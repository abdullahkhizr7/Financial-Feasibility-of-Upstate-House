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Zaa\Real Estate Project\"/>
    </mc:Choice>
  </mc:AlternateContent>
  <xr:revisionPtr revIDLastSave="0" documentId="13_ncr:1_{629C486A-7D31-42C3-AB8B-86550DEEBC83}" xr6:coauthVersionLast="47" xr6:coauthVersionMax="47" xr10:uidLastSave="{00000000-0000-0000-0000-000000000000}"/>
  <bookViews>
    <workbookView xWindow="-120" yWindow="-120" windowWidth="20730" windowHeight="11040" tabRatio="782" xr2:uid="{EE9D74E8-7B9E-407C-B13B-FA53ED845BBF}"/>
  </bookViews>
  <sheets>
    <sheet name="Index" sheetId="3" r:id="rId1"/>
    <sheet name="Assumptions" sheetId="13" r:id="rId2"/>
    <sheet name="Unit Mix" sheetId="2" r:id="rId3"/>
    <sheet name="Sources and Uses" sheetId="7" r:id="rId4"/>
    <sheet name="Mortgage" sheetId="6" r:id="rId5"/>
    <sheet name="Construction Interest" sheetId="8" r:id="rId6"/>
    <sheet name="Operating Expenses &amp; Reserves" sheetId="9" r:id="rId7"/>
    <sheet name="Tax Credit Analysis" sheetId="1" r:id="rId8"/>
    <sheet name="Budget" sheetId="16" r:id="rId9"/>
    <sheet name="Development CF" sheetId="19" r:id="rId10"/>
    <sheet name="Rental CF" sheetId="10" r:id="rId11"/>
    <sheet name="Amortization" sheetId="17" r:id="rId12"/>
    <sheet name="KPI's" sheetId="21" r:id="rId13"/>
    <sheet name="tSET" sheetId="20" state="hidden" r:id="rId14"/>
    <sheet name="References" sheetId="4" r:id="rId15"/>
    <sheet name="Market Research" sheetId="5" r:id="rId16"/>
    <sheet name="Sheet1" sheetId="22" state="hidden" r:id="rId17"/>
  </sheets>
  <definedNames>
    <definedName name="TOTALDU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0" l="1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F6" i="10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D9" i="22"/>
  <c r="F10" i="7"/>
  <c r="C19" i="7" l="1"/>
  <c r="B168" i="16"/>
  <c r="B60" i="16"/>
  <c r="C65" i="13" l="1"/>
  <c r="B161" i="16"/>
  <c r="B26" i="7" l="1"/>
  <c r="E65" i="13"/>
  <c r="C160" i="13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AA30" i="17"/>
  <c r="AB30" i="17"/>
  <c r="AC30" i="17"/>
  <c r="AD30" i="17"/>
  <c r="AE30" i="17"/>
  <c r="AF30" i="17"/>
  <c r="AG30" i="17"/>
  <c r="AH30" i="17"/>
  <c r="AI30" i="17"/>
  <c r="AJ30" i="17"/>
  <c r="AK30" i="17"/>
  <c r="AL30" i="17"/>
  <c r="AM30" i="17"/>
  <c r="AN30" i="17"/>
  <c r="AO30" i="17"/>
  <c r="AP30" i="17"/>
  <c r="AQ30" i="17"/>
  <c r="AR30" i="17"/>
  <c r="AS30" i="17"/>
  <c r="AT30" i="17"/>
  <c r="AU30" i="17"/>
  <c r="AV30" i="17"/>
  <c r="AW30" i="17"/>
  <c r="AX30" i="17"/>
  <c r="AY30" i="17"/>
  <c r="AZ30" i="17"/>
  <c r="BA30" i="17"/>
  <c r="BB30" i="17"/>
  <c r="BC30" i="17"/>
  <c r="BD30" i="17"/>
  <c r="BE30" i="17"/>
  <c r="BF30" i="17"/>
  <c r="BG30" i="17"/>
  <c r="BH30" i="17"/>
  <c r="BI30" i="17"/>
  <c r="BJ30" i="17"/>
  <c r="BK30" i="17"/>
  <c r="BL30" i="17"/>
  <c r="BM30" i="17"/>
  <c r="BN30" i="17"/>
  <c r="BO30" i="17"/>
  <c r="BP30" i="17"/>
  <c r="BQ30" i="17"/>
  <c r="BR30" i="17"/>
  <c r="BS30" i="17"/>
  <c r="BT30" i="17"/>
  <c r="BU30" i="17"/>
  <c r="BV30" i="17"/>
  <c r="BW30" i="17"/>
  <c r="BX30" i="17"/>
  <c r="BY30" i="17"/>
  <c r="BZ30" i="17"/>
  <c r="CA30" i="17"/>
  <c r="CB30" i="17"/>
  <c r="CC30" i="17"/>
  <c r="CD30" i="17"/>
  <c r="CE30" i="17"/>
  <c r="CF30" i="17"/>
  <c r="CG30" i="17"/>
  <c r="CH30" i="17"/>
  <c r="CI30" i="17"/>
  <c r="CJ30" i="17"/>
  <c r="CK30" i="17"/>
  <c r="CL30" i="17"/>
  <c r="CM30" i="17"/>
  <c r="CN30" i="17"/>
  <c r="CO30" i="17"/>
  <c r="CP30" i="17"/>
  <c r="CQ30" i="17"/>
  <c r="CR30" i="17"/>
  <c r="CS30" i="17"/>
  <c r="CT30" i="17"/>
  <c r="CU30" i="17"/>
  <c r="CV30" i="17"/>
  <c r="CW30" i="17"/>
  <c r="CX30" i="17"/>
  <c r="CY30" i="17"/>
  <c r="CZ30" i="17"/>
  <c r="DA30" i="17"/>
  <c r="DB30" i="17"/>
  <c r="DC30" i="17"/>
  <c r="DD30" i="17"/>
  <c r="DE30" i="17"/>
  <c r="DF30" i="17"/>
  <c r="DG30" i="17"/>
  <c r="DH30" i="17"/>
  <c r="DI30" i="17"/>
  <c r="DJ30" i="17"/>
  <c r="DK30" i="17"/>
  <c r="DL30" i="17"/>
  <c r="DM30" i="17"/>
  <c r="DN30" i="17"/>
  <c r="DO30" i="17"/>
  <c r="DP30" i="17"/>
  <c r="DQ30" i="17"/>
  <c r="DR30" i="17"/>
  <c r="DS30" i="17"/>
  <c r="DT30" i="17"/>
  <c r="DU30" i="17"/>
  <c r="DV30" i="17"/>
  <c r="DW30" i="17"/>
  <c r="DX30" i="17"/>
  <c r="DY30" i="17"/>
  <c r="DZ30" i="17"/>
  <c r="EA30" i="17"/>
  <c r="EB30" i="17"/>
  <c r="EC30" i="17"/>
  <c r="ED30" i="17"/>
  <c r="EE30" i="17"/>
  <c r="EF30" i="17"/>
  <c r="EG30" i="17"/>
  <c r="EH30" i="17"/>
  <c r="EI30" i="17"/>
  <c r="EJ30" i="17"/>
  <c r="EK30" i="17"/>
  <c r="EL30" i="17"/>
  <c r="EM30" i="17"/>
  <c r="EN30" i="17"/>
  <c r="EO30" i="17"/>
  <c r="EP30" i="17"/>
  <c r="EQ30" i="17"/>
  <c r="ER30" i="17"/>
  <c r="ES30" i="17"/>
  <c r="ET30" i="17"/>
  <c r="EU30" i="17"/>
  <c r="EV30" i="17"/>
  <c r="EW30" i="17"/>
  <c r="EX30" i="17"/>
  <c r="EY30" i="17"/>
  <c r="EZ30" i="17"/>
  <c r="FA30" i="17"/>
  <c r="FB30" i="17"/>
  <c r="FC30" i="17"/>
  <c r="FD30" i="17"/>
  <c r="FE30" i="17"/>
  <c r="FF30" i="17"/>
  <c r="FG30" i="17"/>
  <c r="FH30" i="17"/>
  <c r="FI30" i="17"/>
  <c r="FJ30" i="17"/>
  <c r="FK30" i="17"/>
  <c r="FL30" i="17"/>
  <c r="FM30" i="17"/>
  <c r="FN30" i="17"/>
  <c r="FO30" i="17"/>
  <c r="FP30" i="17"/>
  <c r="FQ30" i="17"/>
  <c r="FR30" i="17"/>
  <c r="FS30" i="17"/>
  <c r="FT30" i="17"/>
  <c r="FU30" i="17"/>
  <c r="FV30" i="17"/>
  <c r="FW30" i="17"/>
  <c r="FX30" i="17"/>
  <c r="FY30" i="17"/>
  <c r="FZ30" i="17"/>
  <c r="GA30" i="17"/>
  <c r="GB30" i="17"/>
  <c r="GC30" i="17"/>
  <c r="GD30" i="17"/>
  <c r="GE30" i="17"/>
  <c r="GF30" i="17"/>
  <c r="GG30" i="17"/>
  <c r="GH30" i="17"/>
  <c r="GI30" i="17"/>
  <c r="GJ30" i="17"/>
  <c r="GK30" i="17"/>
  <c r="GL30" i="17"/>
  <c r="GM30" i="17"/>
  <c r="GN30" i="17"/>
  <c r="GO30" i="17"/>
  <c r="GP30" i="17"/>
  <c r="GQ30" i="17"/>
  <c r="GR30" i="17"/>
  <c r="GS30" i="17"/>
  <c r="GT30" i="17"/>
  <c r="GU30" i="17"/>
  <c r="GV30" i="17"/>
  <c r="GW30" i="17"/>
  <c r="GX30" i="17"/>
  <c r="GY30" i="17"/>
  <c r="GZ30" i="17"/>
  <c r="HA30" i="17"/>
  <c r="HB30" i="17"/>
  <c r="HC30" i="17"/>
  <c r="HD30" i="17"/>
  <c r="HE30" i="17"/>
  <c r="HF30" i="17"/>
  <c r="HG30" i="17"/>
  <c r="HH30" i="17"/>
  <c r="HI30" i="17"/>
  <c r="HJ30" i="17"/>
  <c r="HK30" i="17"/>
  <c r="HL30" i="17"/>
  <c r="HM30" i="17"/>
  <c r="HN30" i="17"/>
  <c r="HO30" i="17"/>
  <c r="HP30" i="17"/>
  <c r="HQ30" i="17"/>
  <c r="HR30" i="17"/>
  <c r="HS30" i="17"/>
  <c r="HT30" i="17"/>
  <c r="HU30" i="17"/>
  <c r="HV30" i="17"/>
  <c r="HW30" i="17"/>
  <c r="HX30" i="17"/>
  <c r="HY30" i="17"/>
  <c r="HZ30" i="17"/>
  <c r="IA30" i="17"/>
  <c r="IB30" i="17"/>
  <c r="IC30" i="17"/>
  <c r="ID30" i="17"/>
  <c r="IE30" i="17"/>
  <c r="IF30" i="17"/>
  <c r="IG30" i="17"/>
  <c r="IH30" i="17"/>
  <c r="II30" i="17"/>
  <c r="IJ30" i="17"/>
  <c r="IK30" i="17"/>
  <c r="IL30" i="17"/>
  <c r="IM30" i="17"/>
  <c r="IN30" i="17"/>
  <c r="IO30" i="17"/>
  <c r="IP30" i="17"/>
  <c r="IQ30" i="17"/>
  <c r="IR30" i="17"/>
  <c r="IS30" i="17"/>
  <c r="IT30" i="17"/>
  <c r="IU30" i="17"/>
  <c r="IV30" i="17"/>
  <c r="IW30" i="17"/>
  <c r="IX30" i="17"/>
  <c r="IY30" i="17"/>
  <c r="IZ30" i="17"/>
  <c r="JA30" i="17"/>
  <c r="JB30" i="17"/>
  <c r="JC30" i="17"/>
  <c r="JD30" i="17"/>
  <c r="JE30" i="17"/>
  <c r="JF30" i="17"/>
  <c r="JG30" i="17"/>
  <c r="JH30" i="17"/>
  <c r="JI30" i="17"/>
  <c r="JJ30" i="17"/>
  <c r="JK30" i="17"/>
  <c r="JL30" i="17"/>
  <c r="JM30" i="17"/>
  <c r="JN30" i="17"/>
  <c r="JO30" i="17"/>
  <c r="JP30" i="17"/>
  <c r="JQ30" i="17"/>
  <c r="JR30" i="17"/>
  <c r="JS30" i="17"/>
  <c r="JT30" i="17"/>
  <c r="JU30" i="17"/>
  <c r="JV30" i="17"/>
  <c r="JW30" i="17"/>
  <c r="JX30" i="17"/>
  <c r="JY30" i="17"/>
  <c r="JZ30" i="17"/>
  <c r="KA30" i="17"/>
  <c r="KB30" i="17"/>
  <c r="KC30" i="17"/>
  <c r="KD30" i="17"/>
  <c r="KE30" i="17"/>
  <c r="KF30" i="17"/>
  <c r="KG30" i="17"/>
  <c r="KH30" i="17"/>
  <c r="KI30" i="17"/>
  <c r="KJ30" i="17"/>
  <c r="KK30" i="17"/>
  <c r="KL30" i="17"/>
  <c r="KM30" i="17"/>
  <c r="KN30" i="17"/>
  <c r="KO30" i="17"/>
  <c r="KP30" i="17"/>
  <c r="KQ30" i="17"/>
  <c r="KR30" i="17"/>
  <c r="KS30" i="17"/>
  <c r="KT30" i="17"/>
  <c r="KU30" i="17"/>
  <c r="KV30" i="17"/>
  <c r="KW30" i="17"/>
  <c r="KX30" i="17"/>
  <c r="KY30" i="17"/>
  <c r="KZ30" i="17"/>
  <c r="LA30" i="17"/>
  <c r="LB30" i="17"/>
  <c r="LC30" i="17"/>
  <c r="LD30" i="17"/>
  <c r="LE30" i="17"/>
  <c r="LF30" i="17"/>
  <c r="LG30" i="17"/>
  <c r="LH30" i="17"/>
  <c r="LI30" i="17"/>
  <c r="LJ30" i="17"/>
  <c r="LK30" i="17"/>
  <c r="LL30" i="17"/>
  <c r="LM30" i="17"/>
  <c r="LN30" i="17"/>
  <c r="LO30" i="17"/>
  <c r="LP30" i="17"/>
  <c r="LQ30" i="17"/>
  <c r="LR30" i="17"/>
  <c r="LS30" i="17"/>
  <c r="LT30" i="17"/>
  <c r="LU30" i="17"/>
  <c r="LV30" i="17"/>
  <c r="LW30" i="17"/>
  <c r="LX30" i="17"/>
  <c r="LY30" i="17"/>
  <c r="LZ30" i="17"/>
  <c r="MA30" i="17"/>
  <c r="MB30" i="17"/>
  <c r="MC30" i="17"/>
  <c r="MD30" i="17"/>
  <c r="ME30" i="17"/>
  <c r="MF30" i="17"/>
  <c r="MG30" i="17"/>
  <c r="MH30" i="17"/>
  <c r="MI30" i="17"/>
  <c r="MJ30" i="17"/>
  <c r="MK30" i="17"/>
  <c r="ML30" i="17"/>
  <c r="MM30" i="17"/>
  <c r="MN30" i="17"/>
  <c r="MO30" i="17"/>
  <c r="MP30" i="17"/>
  <c r="MQ30" i="17"/>
  <c r="MR30" i="17"/>
  <c r="MS30" i="17"/>
  <c r="MT30" i="17"/>
  <c r="MU30" i="17"/>
  <c r="MV30" i="17"/>
  <c r="MW30" i="17"/>
  <c r="MX30" i="17"/>
  <c r="MY30" i="17"/>
  <c r="MZ30" i="17"/>
  <c r="NA30" i="17"/>
  <c r="NB30" i="17"/>
  <c r="NC30" i="17"/>
  <c r="I30" i="17"/>
  <c r="C11" i="17"/>
  <c r="C16" i="17"/>
  <c r="C14" i="17"/>
  <c r="C6" i="17"/>
  <c r="C41" i="10"/>
  <c r="C23" i="8"/>
  <c r="C39" i="10"/>
  <c r="K115" i="16"/>
  <c r="L115" i="16" s="1"/>
  <c r="M115" i="16" s="1"/>
  <c r="N115" i="16" s="1"/>
  <c r="O115" i="16" s="1"/>
  <c r="P115" i="16" s="1"/>
  <c r="Q115" i="16" s="1"/>
  <c r="R115" i="16" s="1"/>
  <c r="S115" i="16" s="1"/>
  <c r="T115" i="16" s="1"/>
  <c r="U115" i="16" s="1"/>
  <c r="V115" i="16" s="1"/>
  <c r="W115" i="16" s="1"/>
  <c r="X115" i="16" s="1"/>
  <c r="Y115" i="16" s="1"/>
  <c r="Z115" i="16" s="1"/>
  <c r="AA115" i="16" s="1"/>
  <c r="AB115" i="16" s="1"/>
  <c r="AC115" i="16" s="1"/>
  <c r="AD115" i="16" s="1"/>
  <c r="AE115" i="16" s="1"/>
  <c r="AF115" i="16" s="1"/>
  <c r="AG115" i="16" s="1"/>
  <c r="AH115" i="16" s="1"/>
  <c r="AI115" i="16" s="1"/>
  <c r="AJ115" i="16" s="1"/>
  <c r="AK115" i="16" s="1"/>
  <c r="AL115" i="16" s="1"/>
  <c r="AM115" i="16" s="1"/>
  <c r="AN115" i="16" s="1"/>
  <c r="AO115" i="16" s="1"/>
  <c r="AP115" i="16" s="1"/>
  <c r="AQ115" i="16" s="1"/>
  <c r="AQ114" i="16" s="1"/>
  <c r="B124" i="16"/>
  <c r="B158" i="16"/>
  <c r="B160" i="16"/>
  <c r="B162" i="16"/>
  <c r="B163" i="16"/>
  <c r="B164" i="16"/>
  <c r="B166" i="16"/>
  <c r="B170" i="16"/>
  <c r="B172" i="16"/>
  <c r="B174" i="16"/>
  <c r="B175" i="16"/>
  <c r="B176" i="16"/>
  <c r="B177" i="16"/>
  <c r="B178" i="16"/>
  <c r="B179" i="16"/>
  <c r="B180" i="16"/>
  <c r="B182" i="16"/>
  <c r="B183" i="16"/>
  <c r="B184" i="16"/>
  <c r="B185" i="16"/>
  <c r="B186" i="16"/>
  <c r="B187" i="16"/>
  <c r="B188" i="16"/>
  <c r="B190" i="16"/>
  <c r="B191" i="16"/>
  <c r="B192" i="16"/>
  <c r="B193" i="16"/>
  <c r="B194" i="16"/>
  <c r="B195" i="16"/>
  <c r="B196" i="16"/>
  <c r="B198" i="16"/>
  <c r="B199" i="16"/>
  <c r="B200" i="16"/>
  <c r="B201" i="16"/>
  <c r="B203" i="16"/>
  <c r="B204" i="16"/>
  <c r="B206" i="16"/>
  <c r="B208" i="16"/>
  <c r="B209" i="16"/>
  <c r="B210" i="16"/>
  <c r="B212" i="16"/>
  <c r="B214" i="16"/>
  <c r="B117" i="16"/>
  <c r="J114" i="16"/>
  <c r="E56" i="16"/>
  <c r="F56" i="16" s="1"/>
  <c r="G56" i="16" s="1"/>
  <c r="E55" i="16"/>
  <c r="F55" i="16" s="1"/>
  <c r="G55" i="16" s="1"/>
  <c r="E57" i="16"/>
  <c r="F57" i="16" s="1"/>
  <c r="G57" i="16" s="1"/>
  <c r="E48" i="16"/>
  <c r="F48" i="16" s="1"/>
  <c r="G48" i="16" s="1"/>
  <c r="E47" i="16"/>
  <c r="F47" i="16" s="1"/>
  <c r="G47" i="16" s="1"/>
  <c r="E46" i="16"/>
  <c r="F46" i="16" s="1"/>
  <c r="G46" i="16" s="1"/>
  <c r="E31" i="16"/>
  <c r="F31" i="16" s="1"/>
  <c r="G31" i="16" s="1"/>
  <c r="E32" i="16"/>
  <c r="F32" i="16" s="1"/>
  <c r="G32" i="16" s="1"/>
  <c r="E33" i="16"/>
  <c r="F33" i="16" s="1"/>
  <c r="G33" i="16" s="1"/>
  <c r="E34" i="16"/>
  <c r="F34" i="16" s="1"/>
  <c r="G34" i="16" s="1"/>
  <c r="E35" i="16"/>
  <c r="F35" i="16" s="1"/>
  <c r="G35" i="16" s="1"/>
  <c r="E36" i="16"/>
  <c r="F36" i="16" s="1"/>
  <c r="G36" i="16" s="1"/>
  <c r="E37" i="16"/>
  <c r="F37" i="16" s="1"/>
  <c r="E38" i="16"/>
  <c r="F38" i="16" s="1"/>
  <c r="G38" i="16" s="1"/>
  <c r="E39" i="16"/>
  <c r="F39" i="16" s="1"/>
  <c r="G39" i="16" s="1"/>
  <c r="E40" i="16"/>
  <c r="F40" i="16" s="1"/>
  <c r="G40" i="16" s="1"/>
  <c r="E41" i="16"/>
  <c r="F41" i="16" s="1"/>
  <c r="G41" i="16" s="1"/>
  <c r="E42" i="16"/>
  <c r="F42" i="16" s="1"/>
  <c r="G42" i="16" s="1"/>
  <c r="E43" i="16"/>
  <c r="F43" i="16" s="1"/>
  <c r="G43" i="16" s="1"/>
  <c r="E44" i="16"/>
  <c r="F44" i="16" s="1"/>
  <c r="G44" i="16" s="1"/>
  <c r="E30" i="16"/>
  <c r="F30" i="16" s="1"/>
  <c r="G30" i="16" s="1"/>
  <c r="E13" i="16"/>
  <c r="F13" i="16" s="1"/>
  <c r="G13" i="16" s="1"/>
  <c r="E12" i="16"/>
  <c r="F12" i="16" s="1"/>
  <c r="G12" i="16" s="1"/>
  <c r="B14" i="16"/>
  <c r="B122" i="16" s="1"/>
  <c r="B11" i="16"/>
  <c r="B119" i="16" s="1"/>
  <c r="D13" i="16"/>
  <c r="D12" i="16"/>
  <c r="B13" i="16"/>
  <c r="B121" i="16" s="1"/>
  <c r="B12" i="16"/>
  <c r="B120" i="16" s="1"/>
  <c r="D47" i="16"/>
  <c r="D48" i="16"/>
  <c r="D46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4" i="16"/>
  <c r="D30" i="16"/>
  <c r="D23" i="16"/>
  <c r="D17" i="16"/>
  <c r="B57" i="16"/>
  <c r="B165" i="16" s="1"/>
  <c r="B47" i="16"/>
  <c r="B155" i="16" s="1"/>
  <c r="B48" i="16"/>
  <c r="B156" i="16" s="1"/>
  <c r="B46" i="16"/>
  <c r="B154" i="16" s="1"/>
  <c r="B31" i="16"/>
  <c r="B139" i="16" s="1"/>
  <c r="B32" i="16"/>
  <c r="B140" i="16" s="1"/>
  <c r="B33" i="16"/>
  <c r="B141" i="16" s="1"/>
  <c r="B34" i="16"/>
  <c r="B142" i="16" s="1"/>
  <c r="B35" i="16"/>
  <c r="B143" i="16" s="1"/>
  <c r="B36" i="16"/>
  <c r="B144" i="16" s="1"/>
  <c r="B37" i="16"/>
  <c r="B145" i="16" s="1"/>
  <c r="B38" i="16"/>
  <c r="B146" i="16" s="1"/>
  <c r="B39" i="16"/>
  <c r="B147" i="16" s="1"/>
  <c r="B40" i="16"/>
  <c r="B148" i="16" s="1"/>
  <c r="B41" i="16"/>
  <c r="B149" i="16" s="1"/>
  <c r="B42" i="16"/>
  <c r="B150" i="16" s="1"/>
  <c r="B43" i="16"/>
  <c r="B151" i="16" s="1"/>
  <c r="B44" i="16"/>
  <c r="B152" i="16" s="1"/>
  <c r="B30" i="16"/>
  <c r="B138" i="16" s="1"/>
  <c r="B18" i="16"/>
  <c r="B126" i="16" s="1"/>
  <c r="B19" i="16"/>
  <c r="B127" i="16" s="1"/>
  <c r="B20" i="16"/>
  <c r="B128" i="16" s="1"/>
  <c r="B21" i="16"/>
  <c r="B129" i="16" s="1"/>
  <c r="B22" i="16"/>
  <c r="B130" i="16" s="1"/>
  <c r="B23" i="16"/>
  <c r="B131" i="16" s="1"/>
  <c r="B24" i="16"/>
  <c r="B132" i="16" s="1"/>
  <c r="B25" i="16"/>
  <c r="B133" i="16" s="1"/>
  <c r="B26" i="16"/>
  <c r="B134" i="16" s="1"/>
  <c r="B27" i="16"/>
  <c r="B135" i="16" s="1"/>
  <c r="B28" i="16"/>
  <c r="B136" i="16" s="1"/>
  <c r="B17" i="16"/>
  <c r="B125" i="16" s="1"/>
  <c r="J7" i="16"/>
  <c r="C16" i="8"/>
  <c r="B44" i="10"/>
  <c r="C28" i="8"/>
  <c r="C44" i="10" s="1"/>
  <c r="D19" i="10"/>
  <c r="D20" i="10"/>
  <c r="D21" i="10"/>
  <c r="D17" i="10"/>
  <c r="J13" i="16" l="1"/>
  <c r="C104" i="16"/>
  <c r="L114" i="16"/>
  <c r="K114" i="16"/>
  <c r="K7" i="16"/>
  <c r="J47" i="16"/>
  <c r="J48" i="16"/>
  <c r="J32" i="16"/>
  <c r="J46" i="16"/>
  <c r="J36" i="16"/>
  <c r="J31" i="16"/>
  <c r="J33" i="16"/>
  <c r="J38" i="16"/>
  <c r="J34" i="16"/>
  <c r="J35" i="16"/>
  <c r="J30" i="16"/>
  <c r="J39" i="16"/>
  <c r="J41" i="16"/>
  <c r="J42" i="16"/>
  <c r="J44" i="16"/>
  <c r="J40" i="16"/>
  <c r="J12" i="16"/>
  <c r="G37" i="16"/>
  <c r="J37" i="16" s="1"/>
  <c r="D14" i="16"/>
  <c r="J6" i="16"/>
  <c r="K13" i="16" l="1"/>
  <c r="M114" i="16"/>
  <c r="K6" i="16"/>
  <c r="L7" i="16"/>
  <c r="K47" i="16"/>
  <c r="K48" i="16"/>
  <c r="K33" i="16"/>
  <c r="K37" i="16"/>
  <c r="K46" i="16"/>
  <c r="K31" i="16"/>
  <c r="K32" i="16"/>
  <c r="K34" i="16"/>
  <c r="K35" i="16"/>
  <c r="K38" i="16"/>
  <c r="K44" i="16"/>
  <c r="K36" i="16"/>
  <c r="K39" i="16"/>
  <c r="K41" i="16"/>
  <c r="K40" i="16"/>
  <c r="K42" i="16"/>
  <c r="K30" i="16"/>
  <c r="K12" i="16"/>
  <c r="J14" i="16"/>
  <c r="N114" i="16" l="1"/>
  <c r="L30" i="16"/>
  <c r="L44" i="16"/>
  <c r="L42" i="16"/>
  <c r="L6" i="16"/>
  <c r="L13" i="16"/>
  <c r="L35" i="16"/>
  <c r="L12" i="16"/>
  <c r="L34" i="16"/>
  <c r="L46" i="16"/>
  <c r="L38" i="16"/>
  <c r="M7" i="16"/>
  <c r="L39" i="16"/>
  <c r="L41" i="16"/>
  <c r="L31" i="16"/>
  <c r="L40" i="16"/>
  <c r="L32" i="16"/>
  <c r="L36" i="16"/>
  <c r="L33" i="16"/>
  <c r="L37" i="16"/>
  <c r="L47" i="16"/>
  <c r="L48" i="16"/>
  <c r="K14" i="16"/>
  <c r="O114" i="16" l="1"/>
  <c r="M42" i="16"/>
  <c r="M40" i="16"/>
  <c r="M33" i="16"/>
  <c r="M35" i="16"/>
  <c r="M39" i="16"/>
  <c r="M6" i="16"/>
  <c r="M37" i="16"/>
  <c r="M31" i="16"/>
  <c r="M34" i="16"/>
  <c r="M47" i="16"/>
  <c r="M30" i="16"/>
  <c r="M12" i="16"/>
  <c r="M44" i="16"/>
  <c r="M48" i="16"/>
  <c r="N7" i="16"/>
  <c r="M46" i="16"/>
  <c r="M41" i="16"/>
  <c r="M36" i="16"/>
  <c r="M13" i="16"/>
  <c r="M38" i="16"/>
  <c r="M32" i="16"/>
  <c r="L14" i="16"/>
  <c r="N47" i="16" l="1"/>
  <c r="P114" i="16"/>
  <c r="O7" i="16"/>
  <c r="N34" i="16"/>
  <c r="N6" i="16"/>
  <c r="N39" i="16"/>
  <c r="M14" i="16"/>
  <c r="N30" i="16"/>
  <c r="N37" i="16"/>
  <c r="N36" i="16"/>
  <c r="N46" i="16"/>
  <c r="N44" i="16"/>
  <c r="N35" i="16"/>
  <c r="N48" i="16"/>
  <c r="N12" i="16"/>
  <c r="N13" i="16"/>
  <c r="N42" i="16"/>
  <c r="N41" i="16"/>
  <c r="N32" i="16"/>
  <c r="N40" i="16"/>
  <c r="N31" i="16"/>
  <c r="N38" i="16"/>
  <c r="N33" i="16"/>
  <c r="O37" i="16" l="1"/>
  <c r="O33" i="16"/>
  <c r="O40" i="16"/>
  <c r="O48" i="16"/>
  <c r="O30" i="16"/>
  <c r="O12" i="16"/>
  <c r="O35" i="16"/>
  <c r="O13" i="16"/>
  <c r="O42" i="16"/>
  <c r="O32" i="16"/>
  <c r="O41" i="16"/>
  <c r="O34" i="16"/>
  <c r="Q114" i="16"/>
  <c r="O36" i="16"/>
  <c r="O6" i="16"/>
  <c r="O46" i="16"/>
  <c r="O44" i="16"/>
  <c r="O38" i="16"/>
  <c r="O31" i="16"/>
  <c r="P7" i="16"/>
  <c r="O39" i="16"/>
  <c r="O47" i="16"/>
  <c r="N14" i="16"/>
  <c r="O14" i="16" l="1"/>
  <c r="R114" i="16"/>
  <c r="P30" i="16"/>
  <c r="P6" i="16"/>
  <c r="P32" i="16"/>
  <c r="P13" i="16"/>
  <c r="P37" i="16"/>
  <c r="P42" i="16"/>
  <c r="P48" i="16"/>
  <c r="P38" i="16"/>
  <c r="P46" i="16"/>
  <c r="P44" i="16"/>
  <c r="P34" i="16"/>
  <c r="P31" i="16"/>
  <c r="Q7" i="16"/>
  <c r="P33" i="16"/>
  <c r="P40" i="16"/>
  <c r="P47" i="16"/>
  <c r="P39" i="16"/>
  <c r="P57" i="16"/>
  <c r="P12" i="16"/>
  <c r="P43" i="16"/>
  <c r="P35" i="16"/>
  <c r="P56" i="16"/>
  <c r="P41" i="16"/>
  <c r="P36" i="16"/>
  <c r="P55" i="16"/>
  <c r="Q36" i="16" l="1"/>
  <c r="Q13" i="16"/>
  <c r="Q33" i="16"/>
  <c r="Q32" i="16"/>
  <c r="Q48" i="16"/>
  <c r="Q55" i="16"/>
  <c r="Q43" i="16"/>
  <c r="Q38" i="16"/>
  <c r="Q56" i="16"/>
  <c r="P14" i="16"/>
  <c r="Q12" i="16"/>
  <c r="Q44" i="16"/>
  <c r="Q34" i="16"/>
  <c r="Q42" i="16"/>
  <c r="Q46" i="16"/>
  <c r="R7" i="16"/>
  <c r="Q41" i="16"/>
  <c r="Q57" i="16"/>
  <c r="S114" i="16"/>
  <c r="Q40" i="16"/>
  <c r="Q35" i="16"/>
  <c r="Q37" i="16"/>
  <c r="Q31" i="16"/>
  <c r="Q6" i="16"/>
  <c r="Q30" i="16"/>
  <c r="Q39" i="16"/>
  <c r="Q47" i="16"/>
  <c r="Q14" i="16" l="1"/>
  <c r="R36" i="16"/>
  <c r="R55" i="16"/>
  <c r="R56" i="16"/>
  <c r="R39" i="16"/>
  <c r="R31" i="16"/>
  <c r="R40" i="16"/>
  <c r="R32" i="16"/>
  <c r="R30" i="16"/>
  <c r="R33" i="16"/>
  <c r="R46" i="16"/>
  <c r="R41" i="16"/>
  <c r="R37" i="16"/>
  <c r="R6" i="16"/>
  <c r="S7" i="16"/>
  <c r="R35" i="16"/>
  <c r="R13" i="16"/>
  <c r="R44" i="16"/>
  <c r="R48" i="16"/>
  <c r="R47" i="16"/>
  <c r="R12" i="16"/>
  <c r="R42" i="16"/>
  <c r="R38" i="16"/>
  <c r="R57" i="16"/>
  <c r="R43" i="16"/>
  <c r="R34" i="16"/>
  <c r="T114" i="16"/>
  <c r="R14" i="16" l="1"/>
  <c r="S42" i="16"/>
  <c r="S41" i="16"/>
  <c r="S47" i="16"/>
  <c r="S56" i="16"/>
  <c r="S44" i="16"/>
  <c r="S39" i="16"/>
  <c r="S48" i="16"/>
  <c r="S55" i="16"/>
  <c r="S35" i="16"/>
  <c r="S31" i="16"/>
  <c r="S46" i="16"/>
  <c r="S6" i="16"/>
  <c r="S38" i="16"/>
  <c r="T7" i="16"/>
  <c r="S30" i="16"/>
  <c r="S43" i="16"/>
  <c r="S36" i="16"/>
  <c r="S33" i="16"/>
  <c r="S12" i="16"/>
  <c r="S34" i="16"/>
  <c r="S57" i="16"/>
  <c r="S13" i="16"/>
  <c r="S40" i="16"/>
  <c r="S37" i="16"/>
  <c r="S32" i="16"/>
  <c r="U114" i="16"/>
  <c r="T39" i="16" l="1"/>
  <c r="U7" i="16"/>
  <c r="T46" i="16"/>
  <c r="T33" i="16"/>
  <c r="T44" i="16"/>
  <c r="T6" i="16"/>
  <c r="T36" i="16"/>
  <c r="T12" i="16"/>
  <c r="T38" i="16"/>
  <c r="T37" i="16"/>
  <c r="T42" i="16"/>
  <c r="T43" i="16"/>
  <c r="T47" i="16"/>
  <c r="T57" i="16"/>
  <c r="T13" i="16"/>
  <c r="T56" i="16"/>
  <c r="T30" i="16"/>
  <c r="T40" i="16"/>
  <c r="T32" i="16"/>
  <c r="T55" i="16"/>
  <c r="T48" i="16"/>
  <c r="T35" i="16"/>
  <c r="T34" i="16"/>
  <c r="T41" i="16"/>
  <c r="T31" i="16"/>
  <c r="S14" i="16"/>
  <c r="V114" i="16"/>
  <c r="U36" i="16" l="1"/>
  <c r="U57" i="16"/>
  <c r="U30" i="16"/>
  <c r="U6" i="16"/>
  <c r="U37" i="16"/>
  <c r="V7" i="16"/>
  <c r="U47" i="16"/>
  <c r="U46" i="16"/>
  <c r="U41" i="16"/>
  <c r="U34" i="16"/>
  <c r="U43" i="16"/>
  <c r="U12" i="16"/>
  <c r="U40" i="16"/>
  <c r="U39" i="16"/>
  <c r="U33" i="16"/>
  <c r="U32" i="16"/>
  <c r="U44" i="16"/>
  <c r="U31" i="16"/>
  <c r="U56" i="16"/>
  <c r="U13" i="16"/>
  <c r="U42" i="16"/>
  <c r="U35" i="16"/>
  <c r="U55" i="16"/>
  <c r="U38" i="16"/>
  <c r="U48" i="16"/>
  <c r="T14" i="16"/>
  <c r="W114" i="16"/>
  <c r="V43" i="16" l="1"/>
  <c r="U14" i="16"/>
  <c r="V38" i="16"/>
  <c r="V33" i="16"/>
  <c r="V34" i="16"/>
  <c r="V6" i="16"/>
  <c r="V36" i="16"/>
  <c r="V31" i="16"/>
  <c r="W7" i="16"/>
  <c r="V12" i="16"/>
  <c r="V42" i="16"/>
  <c r="V44" i="16"/>
  <c r="V37" i="16"/>
  <c r="V47" i="16"/>
  <c r="V30" i="16"/>
  <c r="V35" i="16"/>
  <c r="V57" i="16"/>
  <c r="V13" i="16"/>
  <c r="V14" i="16" s="1"/>
  <c r="V40" i="16"/>
  <c r="V32" i="16"/>
  <c r="V55" i="16"/>
  <c r="V41" i="16"/>
  <c r="V48" i="16"/>
  <c r="V56" i="16"/>
  <c r="V39" i="16"/>
  <c r="V46" i="16"/>
  <c r="X114" i="16"/>
  <c r="W44" i="16" l="1"/>
  <c r="W39" i="16"/>
  <c r="W33" i="16"/>
  <c r="W6" i="16"/>
  <c r="X7" i="16"/>
  <c r="W40" i="16"/>
  <c r="W41" i="16"/>
  <c r="W55" i="16"/>
  <c r="W32" i="16"/>
  <c r="W12" i="16"/>
  <c r="W57" i="16"/>
  <c r="W42" i="16"/>
  <c r="W38" i="16"/>
  <c r="W13" i="16"/>
  <c r="W30" i="16"/>
  <c r="W46" i="16"/>
  <c r="W48" i="16"/>
  <c r="W31" i="16"/>
  <c r="W43" i="16"/>
  <c r="W37" i="16"/>
  <c r="W34" i="16"/>
  <c r="W47" i="16"/>
  <c r="W36" i="16"/>
  <c r="W35" i="16"/>
  <c r="W56" i="16"/>
  <c r="Y114" i="16"/>
  <c r="X38" i="16" l="1"/>
  <c r="X40" i="16"/>
  <c r="X12" i="16"/>
  <c r="X44" i="16"/>
  <c r="X37" i="16"/>
  <c r="X36" i="16"/>
  <c r="X13" i="16"/>
  <c r="X14" i="16" s="1"/>
  <c r="X39" i="16"/>
  <c r="X46" i="16"/>
  <c r="X56" i="16"/>
  <c r="X55" i="16"/>
  <c r="X31" i="16"/>
  <c r="X34" i="16"/>
  <c r="X43" i="16"/>
  <c r="X57" i="16"/>
  <c r="X35" i="16"/>
  <c r="X6" i="16"/>
  <c r="X41" i="16"/>
  <c r="X42" i="16"/>
  <c r="X48" i="16"/>
  <c r="X30" i="16"/>
  <c r="X32" i="16"/>
  <c r="Y7" i="16"/>
  <c r="X33" i="16"/>
  <c r="X47" i="16"/>
  <c r="W14" i="16"/>
  <c r="Z114" i="16"/>
  <c r="Y38" i="16" l="1"/>
  <c r="Y48" i="16"/>
  <c r="Y35" i="16"/>
  <c r="Y43" i="16"/>
  <c r="Y47" i="16"/>
  <c r="Y57" i="16"/>
  <c r="Y12" i="16"/>
  <c r="Y36" i="16"/>
  <c r="Z7" i="16"/>
  <c r="Y30" i="16"/>
  <c r="Y46" i="16"/>
  <c r="Y44" i="16"/>
  <c r="Y34" i="16"/>
  <c r="Y41" i="16"/>
  <c r="Y32" i="16"/>
  <c r="Y42" i="16"/>
  <c r="Y37" i="16"/>
  <c r="Y56" i="16"/>
  <c r="Y13" i="16"/>
  <c r="Y55" i="16"/>
  <c r="Y40" i="16"/>
  <c r="Y31" i="16"/>
  <c r="Y6" i="16"/>
  <c r="Y39" i="16"/>
  <c r="Y33" i="16"/>
  <c r="AA114" i="16"/>
  <c r="Y14" i="16" l="1"/>
  <c r="Z39" i="16"/>
  <c r="Z33" i="16"/>
  <c r="Z42" i="16"/>
  <c r="AA7" i="16"/>
  <c r="Z47" i="16"/>
  <c r="Z37" i="16"/>
  <c r="Z38" i="16"/>
  <c r="Z46" i="16"/>
  <c r="Z48" i="16"/>
  <c r="Z56" i="16"/>
  <c r="Z31" i="16"/>
  <c r="Z6" i="16"/>
  <c r="Z41" i="16"/>
  <c r="Z12" i="16"/>
  <c r="Z57" i="16"/>
  <c r="Z30" i="16"/>
  <c r="Z35" i="16"/>
  <c r="Z13" i="16"/>
  <c r="Z44" i="16"/>
  <c r="Z32" i="16"/>
  <c r="Z43" i="16"/>
  <c r="Z36" i="16"/>
  <c r="Z55" i="16"/>
  <c r="Z40" i="16"/>
  <c r="Z34" i="16"/>
  <c r="AB114" i="16"/>
  <c r="AA44" i="16" l="1"/>
  <c r="AA41" i="16"/>
  <c r="AA48" i="16"/>
  <c r="AA37" i="16"/>
  <c r="AA56" i="16"/>
  <c r="AA55" i="16"/>
  <c r="AA12" i="16"/>
  <c r="Z14" i="16"/>
  <c r="AA13" i="16"/>
  <c r="AA36" i="16"/>
  <c r="AA31" i="16"/>
  <c r="AA40" i="16"/>
  <c r="AA6" i="16"/>
  <c r="AA30" i="16"/>
  <c r="AA32" i="16"/>
  <c r="AA46" i="16"/>
  <c r="AA34" i="16"/>
  <c r="AA33" i="16"/>
  <c r="AA42" i="16"/>
  <c r="AA39" i="16"/>
  <c r="AB7" i="16"/>
  <c r="AA38" i="16"/>
  <c r="AA47" i="16"/>
  <c r="AA43" i="16"/>
  <c r="AA35" i="16"/>
  <c r="AA57" i="16"/>
  <c r="AC114" i="16"/>
  <c r="AB36" i="16" l="1"/>
  <c r="AA14" i="16"/>
  <c r="AB57" i="16"/>
  <c r="AB44" i="16"/>
  <c r="AC7" i="16"/>
  <c r="AB12" i="16"/>
  <c r="AB31" i="16"/>
  <c r="AB56" i="16"/>
  <c r="AB33" i="16"/>
  <c r="AB40" i="16"/>
  <c r="AB46" i="16"/>
  <c r="AB43" i="16"/>
  <c r="AB13" i="16"/>
  <c r="AB39" i="16"/>
  <c r="AB41" i="16"/>
  <c r="AB38" i="16"/>
  <c r="AB47" i="16"/>
  <c r="AB35" i="16"/>
  <c r="AB55" i="16"/>
  <c r="AB32" i="16"/>
  <c r="AB34" i="16"/>
  <c r="AB30" i="16"/>
  <c r="AB6" i="16"/>
  <c r="AB42" i="16"/>
  <c r="AB37" i="16"/>
  <c r="AB48" i="16"/>
  <c r="AD114" i="16"/>
  <c r="AB14" i="16" l="1"/>
  <c r="AC31" i="16"/>
  <c r="AC44" i="16"/>
  <c r="AC41" i="16"/>
  <c r="AC39" i="16"/>
  <c r="AC34" i="16"/>
  <c r="AC35" i="16"/>
  <c r="AC30" i="16"/>
  <c r="AC48" i="16"/>
  <c r="AC43" i="16"/>
  <c r="AC42" i="16"/>
  <c r="AC46" i="16"/>
  <c r="AC38" i="16"/>
  <c r="AC47" i="16"/>
  <c r="AC6" i="16"/>
  <c r="AC36" i="16"/>
  <c r="AC13" i="16"/>
  <c r="AC33" i="16"/>
  <c r="AC57" i="16"/>
  <c r="AD7" i="16"/>
  <c r="AC40" i="16"/>
  <c r="AC32" i="16"/>
  <c r="AC55" i="16"/>
  <c r="AC56" i="16"/>
  <c r="AC12" i="16"/>
  <c r="AC37" i="16"/>
  <c r="AE114" i="16"/>
  <c r="AD46" i="16" l="1"/>
  <c r="AC14" i="16"/>
  <c r="AD39" i="16"/>
  <c r="AD31" i="16"/>
  <c r="AD40" i="16"/>
  <c r="AD41" i="16"/>
  <c r="AD34" i="16"/>
  <c r="AD13" i="16"/>
  <c r="AD43" i="16"/>
  <c r="AD33" i="16"/>
  <c r="AD56" i="16"/>
  <c r="AD30" i="16"/>
  <c r="AD35" i="16"/>
  <c r="AD55" i="16"/>
  <c r="AD32" i="16"/>
  <c r="AD6" i="16"/>
  <c r="AE7" i="16"/>
  <c r="AD37" i="16"/>
  <c r="AD48" i="16"/>
  <c r="AD38" i="16"/>
  <c r="AD47" i="16"/>
  <c r="AD44" i="16"/>
  <c r="AD36" i="16"/>
  <c r="AD57" i="16"/>
  <c r="AD12" i="16"/>
  <c r="AD42" i="16"/>
  <c r="AF114" i="16"/>
  <c r="AD14" i="16" l="1"/>
  <c r="AE46" i="16"/>
  <c r="AE36" i="16"/>
  <c r="AE13" i="16"/>
  <c r="AE48" i="16"/>
  <c r="AE44" i="16"/>
  <c r="AE37" i="16"/>
  <c r="AE31" i="16"/>
  <c r="AE40" i="16"/>
  <c r="AE56" i="16"/>
  <c r="AE43" i="16"/>
  <c r="AE39" i="16"/>
  <c r="AE57" i="16"/>
  <c r="AE34" i="16"/>
  <c r="AE47" i="16"/>
  <c r="AE30" i="16"/>
  <c r="AE33" i="16"/>
  <c r="AE6" i="16"/>
  <c r="AE42" i="16"/>
  <c r="AE35" i="16"/>
  <c r="AF7" i="16"/>
  <c r="AE38" i="16"/>
  <c r="AE32" i="16"/>
  <c r="AE55" i="16"/>
  <c r="AE12" i="16"/>
  <c r="AE41" i="16"/>
  <c r="AG114" i="16"/>
  <c r="AF46" i="16" l="1"/>
  <c r="AE14" i="16"/>
  <c r="AF13" i="16"/>
  <c r="AF42" i="16"/>
  <c r="AF34" i="16"/>
  <c r="AF40" i="16"/>
  <c r="AF48" i="16"/>
  <c r="AF12" i="16"/>
  <c r="AF32" i="16"/>
  <c r="AF44" i="16"/>
  <c r="AF31" i="16"/>
  <c r="AF57" i="16"/>
  <c r="AF38" i="16"/>
  <c r="AF30" i="16"/>
  <c r="AF37" i="16"/>
  <c r="AF47" i="16"/>
  <c r="AF35" i="16"/>
  <c r="AF6" i="16"/>
  <c r="AF41" i="16"/>
  <c r="AF36" i="16"/>
  <c r="AF55" i="16"/>
  <c r="AF33" i="16"/>
  <c r="AG7" i="16"/>
  <c r="AF43" i="16"/>
  <c r="AF56" i="16"/>
  <c r="AF39" i="16"/>
  <c r="AH114" i="16"/>
  <c r="AG33" i="16" l="1"/>
  <c r="AF14" i="16"/>
  <c r="AG13" i="16"/>
  <c r="AG39" i="16"/>
  <c r="AG31" i="16"/>
  <c r="AG43" i="16"/>
  <c r="AG35" i="16"/>
  <c r="AG48" i="16"/>
  <c r="AG42" i="16"/>
  <c r="AG36" i="16"/>
  <c r="AG47" i="16"/>
  <c r="AG37" i="16"/>
  <c r="AG30" i="16"/>
  <c r="AG57" i="16"/>
  <c r="AG6" i="16"/>
  <c r="AG44" i="16"/>
  <c r="AG46" i="16"/>
  <c r="AG56" i="16"/>
  <c r="AH7" i="16"/>
  <c r="AG40" i="16"/>
  <c r="AG32" i="16"/>
  <c r="AG55" i="16"/>
  <c r="AG38" i="16"/>
  <c r="AG34" i="16"/>
  <c r="AG12" i="16"/>
  <c r="AG41" i="16"/>
  <c r="AI114" i="16"/>
  <c r="AG14" i="16" l="1"/>
  <c r="AH56" i="16"/>
  <c r="AH36" i="16"/>
  <c r="AH35" i="16"/>
  <c r="AH13" i="16"/>
  <c r="AH30" i="16"/>
  <c r="AH38" i="16"/>
  <c r="AH37" i="16"/>
  <c r="AH33" i="16"/>
  <c r="AI7" i="16"/>
  <c r="AH39" i="16"/>
  <c r="AH55" i="16"/>
  <c r="AH12" i="16"/>
  <c r="AH14" i="16" s="1"/>
  <c r="AH32" i="16"/>
  <c r="AH40" i="16"/>
  <c r="AH31" i="16"/>
  <c r="AH34" i="16"/>
  <c r="AH48" i="16"/>
  <c r="AH41" i="16"/>
  <c r="AH47" i="16"/>
  <c r="AH44" i="16"/>
  <c r="AH57" i="16"/>
  <c r="AH43" i="16"/>
  <c r="AH6" i="16"/>
  <c r="AH42" i="16"/>
  <c r="AH46" i="16"/>
  <c r="AJ114" i="16"/>
  <c r="AI31" i="16" l="1"/>
  <c r="AI12" i="16"/>
  <c r="AI38" i="16"/>
  <c r="AI37" i="16"/>
  <c r="AI13" i="16"/>
  <c r="AI14" i="16" s="1"/>
  <c r="AI33" i="16"/>
  <c r="AI30" i="16"/>
  <c r="AI41" i="16"/>
  <c r="AI57" i="16"/>
  <c r="AI40" i="16"/>
  <c r="AI56" i="16"/>
  <c r="AI36" i="16"/>
  <c r="AI43" i="16"/>
  <c r="AI39" i="16"/>
  <c r="AI47" i="16"/>
  <c r="AI35" i="16"/>
  <c r="AI48" i="16"/>
  <c r="AI46" i="16"/>
  <c r="AI6" i="16"/>
  <c r="AI32" i="16"/>
  <c r="AI55" i="16"/>
  <c r="AJ7" i="16"/>
  <c r="AI42" i="16"/>
  <c r="AI34" i="16"/>
  <c r="AI44" i="16"/>
  <c r="AK114" i="16"/>
  <c r="AJ32" i="16" l="1"/>
  <c r="AJ12" i="16"/>
  <c r="AJ13" i="16"/>
  <c r="AJ40" i="16"/>
  <c r="AJ47" i="16"/>
  <c r="AJ37" i="16"/>
  <c r="AJ31" i="16"/>
  <c r="AJ44" i="16"/>
  <c r="AJ42" i="16"/>
  <c r="AJ34" i="16"/>
  <c r="AJ46" i="16"/>
  <c r="AJ30" i="16"/>
  <c r="AJ38" i="16"/>
  <c r="AJ48" i="16"/>
  <c r="AJ36" i="16"/>
  <c r="AJ57" i="16"/>
  <c r="AJ6" i="16"/>
  <c r="AJ43" i="16"/>
  <c r="AJ35" i="16"/>
  <c r="AJ56" i="16"/>
  <c r="AK7" i="16"/>
  <c r="AJ39" i="16"/>
  <c r="AJ33" i="16"/>
  <c r="AJ55" i="16"/>
  <c r="AJ41" i="16"/>
  <c r="AL114" i="16"/>
  <c r="AK48" i="16" l="1"/>
  <c r="AJ14" i="16"/>
  <c r="AK30" i="16"/>
  <c r="AK43" i="16"/>
  <c r="AK34" i="16"/>
  <c r="AK37" i="16"/>
  <c r="AK47" i="16"/>
  <c r="AK46" i="16"/>
  <c r="AK42" i="16"/>
  <c r="AK39" i="16"/>
  <c r="AK57" i="16"/>
  <c r="AK6" i="16"/>
  <c r="AK44" i="16"/>
  <c r="AK33" i="16"/>
  <c r="AK56" i="16"/>
  <c r="AL7" i="16"/>
  <c r="AK40" i="16"/>
  <c r="AK35" i="16"/>
  <c r="AK55" i="16"/>
  <c r="AK36" i="16"/>
  <c r="AK32" i="16"/>
  <c r="AK12" i="16"/>
  <c r="AK41" i="16"/>
  <c r="AK31" i="16"/>
  <c r="AK13" i="16"/>
  <c r="AK38" i="16"/>
  <c r="AM114" i="16"/>
  <c r="AL46" i="16" l="1"/>
  <c r="AK14" i="16"/>
  <c r="AL38" i="16"/>
  <c r="AL43" i="16"/>
  <c r="AL36" i="16"/>
  <c r="AL35" i="16"/>
  <c r="AL6" i="16"/>
  <c r="AL32" i="16"/>
  <c r="AL56" i="16"/>
  <c r="AL31" i="16"/>
  <c r="AL30" i="16"/>
  <c r="AL48" i="16"/>
  <c r="AL44" i="16"/>
  <c r="AL47" i="16"/>
  <c r="AL57" i="16"/>
  <c r="AL42" i="16"/>
  <c r="AM7" i="16"/>
  <c r="AL41" i="16"/>
  <c r="AL33" i="16"/>
  <c r="AL55" i="16"/>
  <c r="AL40" i="16"/>
  <c r="AL12" i="16"/>
  <c r="AL37" i="16"/>
  <c r="AL34" i="16"/>
  <c r="AL13" i="16"/>
  <c r="AL39" i="16"/>
  <c r="AN114" i="16"/>
  <c r="AM32" i="16" l="1"/>
  <c r="AL14" i="16"/>
  <c r="AM12" i="16"/>
  <c r="AM41" i="16"/>
  <c r="AM57" i="16"/>
  <c r="AM34" i="16"/>
  <c r="AM6" i="16"/>
  <c r="AM55" i="16"/>
  <c r="AM56" i="16"/>
  <c r="AM42" i="16"/>
  <c r="AM46" i="16"/>
  <c r="AM13" i="16"/>
  <c r="AM38" i="16"/>
  <c r="AM48" i="16"/>
  <c r="AM44" i="16"/>
  <c r="AM37" i="16"/>
  <c r="AM31" i="16"/>
  <c r="AM43" i="16"/>
  <c r="AM39" i="16"/>
  <c r="AM47" i="16"/>
  <c r="AM36" i="16"/>
  <c r="AM33" i="16"/>
  <c r="AN7" i="16"/>
  <c r="AM40" i="16"/>
  <c r="AM35" i="16"/>
  <c r="AM30" i="16"/>
  <c r="AP114" i="16"/>
  <c r="AO114" i="16"/>
  <c r="AM14" i="16"/>
  <c r="AN46" i="16" l="1"/>
  <c r="AN34" i="16"/>
  <c r="AN33" i="16"/>
  <c r="AN47" i="16"/>
  <c r="AN32" i="16"/>
  <c r="AN44" i="16"/>
  <c r="AN30" i="16"/>
  <c r="AN39" i="16"/>
  <c r="AN6" i="16"/>
  <c r="AN36" i="16"/>
  <c r="AN38" i="16"/>
  <c r="AN35" i="16"/>
  <c r="AN57" i="16"/>
  <c r="AN37" i="16"/>
  <c r="AN40" i="16"/>
  <c r="AN41" i="16"/>
  <c r="AN55" i="16"/>
  <c r="AO7" i="16"/>
  <c r="AN43" i="16"/>
  <c r="AN48" i="16"/>
  <c r="AN56" i="16"/>
  <c r="AN13" i="16"/>
  <c r="AN31" i="16"/>
  <c r="AN12" i="16"/>
  <c r="AN42" i="16"/>
  <c r="AO34" i="16" l="1"/>
  <c r="AN14" i="16"/>
  <c r="AO43" i="16"/>
  <c r="AO42" i="16"/>
  <c r="AO37" i="16"/>
  <c r="AO44" i="16"/>
  <c r="AO48" i="16"/>
  <c r="AO47" i="16"/>
  <c r="AO36" i="16"/>
  <c r="AO32" i="16"/>
  <c r="AO13" i="16"/>
  <c r="AO46" i="16"/>
  <c r="AO12" i="16"/>
  <c r="AO14" i="16" s="1"/>
  <c r="AO31" i="16"/>
  <c r="AO30" i="16"/>
  <c r="AO38" i="16"/>
  <c r="AO57" i="16"/>
  <c r="AO6" i="16"/>
  <c r="AO39" i="16"/>
  <c r="AO33" i="16"/>
  <c r="AO56" i="16"/>
  <c r="AP7" i="16"/>
  <c r="AO41" i="16"/>
  <c r="AO35" i="16"/>
  <c r="AO55" i="16"/>
  <c r="AO40" i="16"/>
  <c r="AP46" i="16" l="1"/>
  <c r="AP32" i="16"/>
  <c r="AP39" i="16"/>
  <c r="AP48" i="16"/>
  <c r="AP30" i="16"/>
  <c r="AP38" i="16"/>
  <c r="AP47" i="16"/>
  <c r="AP42" i="16"/>
  <c r="AP57" i="16"/>
  <c r="AP6" i="16"/>
  <c r="AP31" i="16"/>
  <c r="AP56" i="16"/>
  <c r="AQ7" i="16"/>
  <c r="AP41" i="16"/>
  <c r="AP55" i="16"/>
  <c r="AP40" i="16"/>
  <c r="AP36" i="16"/>
  <c r="AP12" i="16"/>
  <c r="AP43" i="16"/>
  <c r="AP34" i="16"/>
  <c r="AP13" i="16"/>
  <c r="AP37" i="16"/>
  <c r="AP33" i="16"/>
  <c r="AP44" i="16"/>
  <c r="AP35" i="16"/>
  <c r="AQ56" i="16" l="1"/>
  <c r="AP14" i="16"/>
  <c r="AQ13" i="16"/>
  <c r="AQ43" i="16"/>
  <c r="AQ44" i="16"/>
  <c r="AQ38" i="16"/>
  <c r="AQ40" i="16"/>
  <c r="AQ37" i="16"/>
  <c r="AQ32" i="16"/>
  <c r="AQ12" i="16"/>
  <c r="AQ33" i="16"/>
  <c r="AQ34" i="16"/>
  <c r="AQ30" i="16"/>
  <c r="AQ46" i="16"/>
  <c r="AQ47" i="16"/>
  <c r="AQ39" i="16"/>
  <c r="AQ36" i="16"/>
  <c r="AQ57" i="16"/>
  <c r="AQ41" i="16"/>
  <c r="AQ6" i="16"/>
  <c r="AQ42" i="16"/>
  <c r="AQ31" i="16"/>
  <c r="AQ55" i="16"/>
  <c r="AR7" i="16"/>
  <c r="AQ35" i="16"/>
  <c r="AQ48" i="16"/>
  <c r="AR56" i="16" l="1"/>
  <c r="AQ14" i="16"/>
  <c r="AR13" i="16"/>
  <c r="AR43" i="16"/>
  <c r="AR39" i="16"/>
  <c r="AR32" i="16"/>
  <c r="AR42" i="16"/>
  <c r="AR55" i="16"/>
  <c r="AR35" i="16"/>
  <c r="AR36" i="16"/>
  <c r="AR46" i="16"/>
  <c r="AS7" i="16"/>
  <c r="AS32" i="16" s="1"/>
  <c r="AR12" i="16"/>
  <c r="AR14" i="16" s="1"/>
  <c r="AR34" i="16"/>
  <c r="AR47" i="16"/>
  <c r="AR30" i="16"/>
  <c r="AR31" i="16"/>
  <c r="AR33" i="16"/>
  <c r="AR41" i="16"/>
  <c r="AR38" i="16"/>
  <c r="AR57" i="16"/>
  <c r="AR44" i="16"/>
  <c r="AR48" i="16"/>
  <c r="AR6" i="16"/>
  <c r="AR40" i="16"/>
  <c r="AR37" i="16"/>
  <c r="AS43" i="16" l="1"/>
  <c r="AS42" i="16"/>
  <c r="AS41" i="16"/>
  <c r="AS37" i="16"/>
  <c r="AS34" i="16"/>
  <c r="AS39" i="16"/>
  <c r="AS48" i="16"/>
  <c r="AS13" i="16"/>
  <c r="AS47" i="16"/>
  <c r="AS30" i="16"/>
  <c r="AS46" i="16"/>
  <c r="AS38" i="16"/>
  <c r="AS33" i="16"/>
  <c r="AS57" i="16"/>
  <c r="AS6" i="16"/>
  <c r="AS44" i="16"/>
  <c r="AS31" i="16"/>
  <c r="AS56" i="16"/>
  <c r="AT7" i="16"/>
  <c r="AS35" i="16"/>
  <c r="AS55" i="16"/>
  <c r="AS40" i="16"/>
  <c r="AS12" i="16"/>
  <c r="AS36" i="16"/>
  <c r="AT47" i="16" l="1"/>
  <c r="AS14" i="16"/>
  <c r="AT43" i="16"/>
  <c r="AT44" i="16"/>
  <c r="AT37" i="16"/>
  <c r="AT57" i="16"/>
  <c r="AT6" i="16"/>
  <c r="AT40" i="16"/>
  <c r="AT36" i="16"/>
  <c r="AT56" i="16"/>
  <c r="AT32" i="16"/>
  <c r="AT34" i="16"/>
  <c r="AT12" i="16"/>
  <c r="AT14" i="16" s="1"/>
  <c r="AT48" i="16"/>
  <c r="AU7" i="16"/>
  <c r="AT55" i="16"/>
  <c r="AT41" i="16"/>
  <c r="AT38" i="16"/>
  <c r="AT31" i="16"/>
  <c r="AT13" i="16"/>
  <c r="AT39" i="16"/>
  <c r="AT46" i="16"/>
  <c r="AT30" i="16"/>
  <c r="AT35" i="16"/>
  <c r="AT42" i="16"/>
  <c r="AT33" i="16"/>
  <c r="AU55" i="16" l="1"/>
  <c r="AU12" i="16"/>
  <c r="AU13" i="16"/>
  <c r="AU14" i="16" s="1"/>
  <c r="AU41" i="16"/>
  <c r="AU36" i="16"/>
  <c r="AU37" i="16"/>
  <c r="AU32" i="16"/>
  <c r="AU46" i="16"/>
  <c r="AU48" i="16"/>
  <c r="AU57" i="16"/>
  <c r="AU44" i="16"/>
  <c r="AU38" i="16"/>
  <c r="AU39" i="16"/>
  <c r="AU31" i="16"/>
  <c r="AU42" i="16"/>
  <c r="AU47" i="16"/>
  <c r="AU56" i="16"/>
  <c r="AU43" i="16"/>
  <c r="AU34" i="16"/>
  <c r="AU6" i="16"/>
  <c r="AU40" i="16"/>
  <c r="AU35" i="16"/>
  <c r="AV7" i="16"/>
  <c r="AU30" i="16"/>
  <c r="AU33" i="16"/>
  <c r="AV55" i="16" l="1"/>
  <c r="AV37" i="16"/>
  <c r="AV31" i="16"/>
  <c r="AV13" i="16"/>
  <c r="AV12" i="16"/>
  <c r="AV14" i="16" s="1"/>
  <c r="AV34" i="16"/>
  <c r="AV48" i="16"/>
  <c r="AV57" i="16"/>
  <c r="AV42" i="16"/>
  <c r="AV46" i="16"/>
  <c r="AV38" i="16"/>
  <c r="AV32" i="16"/>
  <c r="AV30" i="16"/>
  <c r="AV44" i="16"/>
  <c r="AV40" i="16"/>
  <c r="AV43" i="16"/>
  <c r="AV35" i="16"/>
  <c r="AV6" i="16"/>
  <c r="AV56" i="16"/>
  <c r="AV47" i="16"/>
  <c r="AV39" i="16"/>
  <c r="AV33" i="16"/>
  <c r="AW7" i="16"/>
  <c r="AV41" i="16"/>
  <c r="AV36" i="16"/>
  <c r="AW31" i="16" l="1"/>
  <c r="AW40" i="16"/>
  <c r="AW13" i="16"/>
  <c r="AW32" i="16"/>
  <c r="AW43" i="16"/>
  <c r="AW33" i="16"/>
  <c r="AW30" i="16"/>
  <c r="AW38" i="16"/>
  <c r="AW55" i="16"/>
  <c r="AW56" i="16"/>
  <c r="AW12" i="16"/>
  <c r="AW37" i="16"/>
  <c r="AW46" i="16"/>
  <c r="AW44" i="16"/>
  <c r="AW39" i="16"/>
  <c r="AW47" i="16"/>
  <c r="AW48" i="16"/>
  <c r="AW34" i="16"/>
  <c r="AW57" i="16"/>
  <c r="AW36" i="16"/>
  <c r="AW6" i="16"/>
  <c r="AW41" i="16"/>
  <c r="AW35" i="16"/>
  <c r="AX7" i="16"/>
  <c r="AW42" i="16"/>
  <c r="AX57" i="16" l="1"/>
  <c r="AX38" i="16"/>
  <c r="AX39" i="16"/>
  <c r="AX36" i="16"/>
  <c r="AX56" i="16"/>
  <c r="AX41" i="16"/>
  <c r="AX42" i="16"/>
  <c r="AX32" i="16"/>
  <c r="AX6" i="16"/>
  <c r="AW14" i="16"/>
  <c r="AY7" i="16"/>
  <c r="AX55" i="16"/>
  <c r="AX40" i="16"/>
  <c r="AX12" i="16"/>
  <c r="AX46" i="16"/>
  <c r="AX13" i="16"/>
  <c r="AX34" i="16"/>
  <c r="AX48" i="16"/>
  <c r="AX37" i="16"/>
  <c r="AX47" i="16"/>
  <c r="AX44" i="16"/>
  <c r="AX31" i="16"/>
  <c r="AX30" i="16"/>
  <c r="AX33" i="16"/>
  <c r="AX43" i="16"/>
  <c r="AX35" i="16"/>
  <c r="AY31" i="16" l="1"/>
  <c r="AY43" i="16"/>
  <c r="AY44" i="16"/>
  <c r="AY37" i="16"/>
  <c r="AY46" i="16"/>
  <c r="AY48" i="16"/>
  <c r="AY33" i="16"/>
  <c r="AY47" i="16"/>
  <c r="AY13" i="16"/>
  <c r="AY12" i="16"/>
  <c r="AY30" i="16"/>
  <c r="AY57" i="16"/>
  <c r="AY41" i="16"/>
  <c r="AY6" i="16"/>
  <c r="AY36" i="16"/>
  <c r="AY55" i="16"/>
  <c r="AZ7" i="16"/>
  <c r="AY38" i="16"/>
  <c r="AY35" i="16"/>
  <c r="AX14" i="16"/>
  <c r="AY42" i="16"/>
  <c r="AY32" i="16"/>
  <c r="AY39" i="16"/>
  <c r="AY34" i="16"/>
  <c r="AY56" i="16"/>
  <c r="AY40" i="16"/>
  <c r="AZ57" i="16" l="1"/>
  <c r="AY14" i="16"/>
  <c r="AZ36" i="16"/>
  <c r="AZ6" i="16"/>
  <c r="AZ32" i="16"/>
  <c r="AZ13" i="16"/>
  <c r="AZ37" i="16"/>
  <c r="BA7" i="16"/>
  <c r="AZ38" i="16"/>
  <c r="AZ12" i="16"/>
  <c r="AZ31" i="16"/>
  <c r="AZ41" i="16"/>
  <c r="AZ46" i="16"/>
  <c r="AZ39" i="16"/>
  <c r="AZ55" i="16"/>
  <c r="AZ42" i="16"/>
  <c r="AZ56" i="16"/>
  <c r="AZ48" i="16"/>
  <c r="AZ44" i="16"/>
  <c r="AZ40" i="16"/>
  <c r="AZ33" i="16"/>
  <c r="AZ43" i="16"/>
  <c r="AZ34" i="16"/>
  <c r="AZ47" i="16"/>
  <c r="AZ30" i="16"/>
  <c r="AZ35" i="16"/>
  <c r="BA33" i="16" l="1"/>
  <c r="AZ14" i="16"/>
  <c r="BB7" i="16"/>
  <c r="BB56" i="16" s="1"/>
  <c r="BA44" i="16"/>
  <c r="BA6" i="16"/>
  <c r="BA40" i="16"/>
  <c r="BA34" i="16"/>
  <c r="BA55" i="16"/>
  <c r="BA31" i="16"/>
  <c r="BA12" i="16"/>
  <c r="BA41" i="16"/>
  <c r="BA32" i="16"/>
  <c r="BA39" i="16"/>
  <c r="BA56" i="16"/>
  <c r="BA38" i="16"/>
  <c r="BA35" i="16"/>
  <c r="BA13" i="16"/>
  <c r="BA48" i="16"/>
  <c r="BA43" i="16"/>
  <c r="BA47" i="16"/>
  <c r="BA30" i="16"/>
  <c r="BA46" i="16"/>
  <c r="BA36" i="16"/>
  <c r="BA37" i="16"/>
  <c r="BA57" i="16"/>
  <c r="BA42" i="16"/>
  <c r="BB34" i="16"/>
  <c r="BB37" i="16"/>
  <c r="BB38" i="16"/>
  <c r="BB32" i="16" l="1"/>
  <c r="BB47" i="16"/>
  <c r="BB57" i="16"/>
  <c r="BB6" i="16"/>
  <c r="BB41" i="16"/>
  <c r="BB30" i="16"/>
  <c r="BB12" i="16"/>
  <c r="BB36" i="16"/>
  <c r="BB33" i="16"/>
  <c r="BB13" i="16"/>
  <c r="BB40" i="16"/>
  <c r="BB44" i="16"/>
  <c r="BB35" i="16"/>
  <c r="BB43" i="16"/>
  <c r="BB48" i="16"/>
  <c r="BB31" i="16"/>
  <c r="BB55" i="16"/>
  <c r="BB42" i="16"/>
  <c r="BB46" i="16"/>
  <c r="BC7" i="16"/>
  <c r="BB39" i="16"/>
  <c r="BA14" i="16"/>
  <c r="BB14" i="16" l="1"/>
  <c r="BC55" i="16"/>
  <c r="BD7" i="16"/>
  <c r="BD46" i="16" s="1"/>
  <c r="BC30" i="16"/>
  <c r="BC33" i="16"/>
  <c r="BC13" i="16"/>
  <c r="BC12" i="16"/>
  <c r="BC14" i="16" s="1"/>
  <c r="BC41" i="16"/>
  <c r="BC32" i="16"/>
  <c r="BC36" i="16"/>
  <c r="BC46" i="16"/>
  <c r="BC42" i="16"/>
  <c r="BC39" i="16"/>
  <c r="BC31" i="16"/>
  <c r="BC43" i="16"/>
  <c r="BC57" i="16"/>
  <c r="BC48" i="16"/>
  <c r="BC37" i="16"/>
  <c r="BC44" i="16"/>
  <c r="BC34" i="16"/>
  <c r="BC47" i="16"/>
  <c r="BC38" i="16"/>
  <c r="BC56" i="16"/>
  <c r="BC6" i="16"/>
  <c r="BC40" i="16"/>
  <c r="BC35" i="16"/>
  <c r="BD48" i="16"/>
  <c r="BD32" i="16"/>
  <c r="BD47" i="16"/>
  <c r="BD33" i="16"/>
  <c r="BD39" i="16"/>
  <c r="BD12" i="16" l="1"/>
  <c r="BD57" i="16"/>
  <c r="BD30" i="16"/>
  <c r="BD41" i="16"/>
  <c r="BD44" i="16"/>
  <c r="BD56" i="16"/>
  <c r="BD35" i="16"/>
  <c r="BD34" i="16"/>
  <c r="BD37" i="16"/>
  <c r="BD6" i="16"/>
  <c r="BD40" i="16"/>
  <c r="BE7" i="16"/>
  <c r="BE33" i="16" s="1"/>
  <c r="BD43" i="16"/>
  <c r="BD31" i="16"/>
  <c r="BD55" i="16"/>
  <c r="BD38" i="16"/>
  <c r="BD13" i="16"/>
  <c r="BD14" i="16" s="1"/>
  <c r="BD42" i="16"/>
  <c r="BD36" i="16"/>
  <c r="BE31" i="16" l="1"/>
  <c r="BE12" i="16"/>
  <c r="BE30" i="16"/>
  <c r="BE34" i="16"/>
  <c r="BE48" i="16"/>
  <c r="BE44" i="16"/>
  <c r="BE47" i="16"/>
  <c r="BE43" i="16"/>
  <c r="BE57" i="16"/>
  <c r="BE37" i="16"/>
  <c r="BE38" i="16"/>
  <c r="BE35" i="16"/>
  <c r="BE42" i="16"/>
  <c r="BE36" i="16"/>
  <c r="BE56" i="16"/>
  <c r="BE6" i="16"/>
  <c r="BE41" i="16"/>
  <c r="BE32" i="16"/>
  <c r="BE55" i="16"/>
  <c r="BF7" i="16"/>
  <c r="BF48" i="16" s="1"/>
  <c r="BE40" i="16"/>
  <c r="BE46" i="16"/>
  <c r="BE13" i="16"/>
  <c r="BE39" i="16"/>
  <c r="BE14" i="16" l="1"/>
  <c r="BF39" i="16"/>
  <c r="BF6" i="16"/>
  <c r="BF43" i="16"/>
  <c r="BF56" i="16"/>
  <c r="BF32" i="16"/>
  <c r="BF30" i="16"/>
  <c r="BF35" i="16"/>
  <c r="BF57" i="16"/>
  <c r="BF33" i="16"/>
  <c r="BF36" i="16"/>
  <c r="BG7" i="16"/>
  <c r="BG56" i="16" s="1"/>
  <c r="BF42" i="16"/>
  <c r="BF55" i="16"/>
  <c r="BF12" i="16"/>
  <c r="BF14" i="16" s="1"/>
  <c r="BF41" i="16"/>
  <c r="BF31" i="16"/>
  <c r="BF13" i="16"/>
  <c r="BF37" i="16"/>
  <c r="BF46" i="16"/>
  <c r="BF44" i="16"/>
  <c r="BF34" i="16"/>
  <c r="BF47" i="16"/>
  <c r="BF40" i="16"/>
  <c r="BF38" i="16"/>
  <c r="BG44" i="16"/>
  <c r="BG40" i="16"/>
  <c r="BG13" i="16"/>
  <c r="BG34" i="16" l="1"/>
  <c r="BG35" i="16"/>
  <c r="BG36" i="16"/>
  <c r="BG12" i="16"/>
  <c r="BG30" i="16"/>
  <c r="BG31" i="16"/>
  <c r="BG33" i="16"/>
  <c r="BG43" i="16"/>
  <c r="BG48" i="16"/>
  <c r="BG39" i="16"/>
  <c r="BG47" i="16"/>
  <c r="BG38" i="16"/>
  <c r="BG57" i="16"/>
  <c r="BG37" i="16"/>
  <c r="BG6" i="16"/>
  <c r="BG42" i="16"/>
  <c r="BG32" i="16"/>
  <c r="BG55" i="16"/>
  <c r="BH7" i="16"/>
  <c r="BH55" i="16" s="1"/>
  <c r="BG41" i="16"/>
  <c r="BG46" i="16"/>
  <c r="BG14" i="16"/>
  <c r="BH47" i="16" l="1"/>
  <c r="BH40" i="16"/>
  <c r="BH34" i="16"/>
  <c r="BH13" i="16"/>
  <c r="BH39" i="16"/>
  <c r="BH32" i="16"/>
  <c r="BH12" i="16"/>
  <c r="BH14" i="16" s="1"/>
  <c r="BH37" i="16"/>
  <c r="BH48" i="16"/>
  <c r="BH42" i="16"/>
  <c r="BH35" i="16"/>
  <c r="BH33" i="16"/>
  <c r="BH44" i="16"/>
  <c r="BH38" i="16"/>
  <c r="BH30" i="16"/>
  <c r="BH36" i="16"/>
  <c r="BH57" i="16"/>
  <c r="BH6" i="16"/>
  <c r="BH43" i="16"/>
  <c r="BH31" i="16"/>
  <c r="BH56" i="16"/>
  <c r="BI7" i="16"/>
  <c r="BI56" i="16" s="1"/>
  <c r="BH41" i="16"/>
  <c r="BH46" i="16"/>
  <c r="BI37" i="16" l="1"/>
  <c r="BI35" i="16"/>
  <c r="BI40" i="16"/>
  <c r="BI30" i="16"/>
  <c r="BI47" i="16"/>
  <c r="BI33" i="16"/>
  <c r="BI57" i="16"/>
  <c r="BI55" i="16"/>
  <c r="BI12" i="16"/>
  <c r="BI36" i="16"/>
  <c r="BI48" i="16"/>
  <c r="BI13" i="16"/>
  <c r="BI41" i="16"/>
  <c r="BI31" i="16"/>
  <c r="BI38" i="16"/>
  <c r="BI46" i="16"/>
  <c r="BI34" i="16"/>
  <c r="BI43" i="16"/>
  <c r="BI6" i="16"/>
  <c r="BI44" i="16"/>
  <c r="BI39" i="16"/>
  <c r="BJ7" i="16"/>
  <c r="BJ57" i="16" s="1"/>
  <c r="BI42" i="16"/>
  <c r="BI32" i="16"/>
  <c r="BJ6" i="16" l="1"/>
  <c r="BK7" i="16"/>
  <c r="BK48" i="16" s="1"/>
  <c r="BJ38" i="16"/>
  <c r="BJ33" i="16"/>
  <c r="BJ13" i="16"/>
  <c r="BJ32" i="16"/>
  <c r="BJ34" i="16"/>
  <c r="BJ12" i="16"/>
  <c r="BJ14" i="16" s="1"/>
  <c r="BJ37" i="16"/>
  <c r="BJ42" i="16"/>
  <c r="BJ46" i="16"/>
  <c r="BJ41" i="16"/>
  <c r="BJ40" i="16"/>
  <c r="BJ55" i="16"/>
  <c r="BJ39" i="16"/>
  <c r="BJ56" i="16"/>
  <c r="BI14" i="16"/>
  <c r="BJ44" i="16"/>
  <c r="BJ36" i="16"/>
  <c r="BJ48" i="16"/>
  <c r="BJ30" i="16"/>
  <c r="BJ31" i="16"/>
  <c r="BJ47" i="16"/>
  <c r="BJ43" i="16"/>
  <c r="BJ35" i="16"/>
  <c r="BK47" i="16"/>
  <c r="BK57" i="16"/>
  <c r="BK31" i="16"/>
  <c r="BK32" i="16"/>
  <c r="BK34" i="16"/>
  <c r="BK40" i="16"/>
  <c r="BK41" i="16"/>
  <c r="BK37" i="16"/>
  <c r="BK30" i="16"/>
  <c r="BK42" i="16"/>
  <c r="BK6" i="16"/>
  <c r="BK13" i="16" l="1"/>
  <c r="BK33" i="16"/>
  <c r="BK56" i="16"/>
  <c r="BK44" i="16"/>
  <c r="BK39" i="16"/>
  <c r="BK55" i="16"/>
  <c r="BK43" i="16"/>
  <c r="BK35" i="16"/>
  <c r="BL7" i="16"/>
  <c r="BK38" i="16"/>
  <c r="BK46" i="16"/>
  <c r="BK12" i="16"/>
  <c r="BK36" i="16"/>
  <c r="BL55" i="16"/>
  <c r="BL56" i="16"/>
  <c r="BL57" i="16"/>
  <c r="BL46" i="16"/>
  <c r="BL32" i="16"/>
  <c r="BL47" i="16"/>
  <c r="BL48" i="16"/>
  <c r="BL33" i="16"/>
  <c r="BL36" i="16"/>
  <c r="BL31" i="16"/>
  <c r="BL40" i="16"/>
  <c r="BL37" i="16"/>
  <c r="BL35" i="16"/>
  <c r="BL34" i="16"/>
  <c r="BL42" i="16"/>
  <c r="BL43" i="16"/>
  <c r="BL39" i="16"/>
  <c r="BL41" i="16"/>
  <c r="BL38" i="16"/>
  <c r="BL30" i="16"/>
  <c r="BL44" i="16"/>
  <c r="BL12" i="16"/>
  <c r="BL13" i="16"/>
  <c r="BK14" i="16"/>
  <c r="BM7" i="16"/>
  <c r="BL6" i="16"/>
  <c r="BM55" i="16" l="1"/>
  <c r="BM56" i="16"/>
  <c r="BL14" i="16"/>
  <c r="BM57" i="16"/>
  <c r="BM48" i="16"/>
  <c r="BM32" i="16"/>
  <c r="BM47" i="16"/>
  <c r="BM31" i="16"/>
  <c r="BM33" i="16"/>
  <c r="BM46" i="16"/>
  <c r="BM34" i="16"/>
  <c r="BM35" i="16"/>
  <c r="BM36" i="16"/>
  <c r="BM38" i="16"/>
  <c r="BM40" i="16"/>
  <c r="BM39" i="16"/>
  <c r="BM37" i="16"/>
  <c r="BM41" i="16"/>
  <c r="BM44" i="16"/>
  <c r="BM42" i="16"/>
  <c r="BM30" i="16"/>
  <c r="BM43" i="16"/>
  <c r="BM12" i="16"/>
  <c r="BM13" i="16"/>
  <c r="BN7" i="16"/>
  <c r="BM6" i="16"/>
  <c r="BN56" i="16" l="1"/>
  <c r="BN55" i="16"/>
  <c r="BM14" i="16"/>
  <c r="BN57" i="16"/>
  <c r="BN47" i="16"/>
  <c r="BN48" i="16"/>
  <c r="BN31" i="16"/>
  <c r="BN36" i="16"/>
  <c r="BN32" i="16"/>
  <c r="BN46" i="16"/>
  <c r="BN34" i="16"/>
  <c r="BN38" i="16"/>
  <c r="BN33" i="16"/>
  <c r="BN35" i="16"/>
  <c r="BN37" i="16"/>
  <c r="BN40" i="16"/>
  <c r="BN43" i="16"/>
  <c r="BN39" i="16"/>
  <c r="BN42" i="16"/>
  <c r="BN44" i="16"/>
  <c r="BN30" i="16"/>
  <c r="BN41" i="16"/>
  <c r="BN13" i="16"/>
  <c r="BN12" i="16"/>
  <c r="BO7" i="16"/>
  <c r="BN6" i="16"/>
  <c r="BO56" i="16" l="1"/>
  <c r="BO55" i="16"/>
  <c r="BO57" i="16"/>
  <c r="BO47" i="16"/>
  <c r="BO48" i="16"/>
  <c r="BO31" i="16"/>
  <c r="BO33" i="16"/>
  <c r="BO32" i="16"/>
  <c r="BO46" i="16"/>
  <c r="BO37" i="16"/>
  <c r="BO34" i="16"/>
  <c r="BO35" i="16"/>
  <c r="BO39" i="16"/>
  <c r="BO38" i="16"/>
  <c r="BO42" i="16"/>
  <c r="BO44" i="16"/>
  <c r="BO40" i="16"/>
  <c r="BO41" i="16"/>
  <c r="BO30" i="16"/>
  <c r="BO36" i="16"/>
  <c r="BO43" i="16"/>
  <c r="BO12" i="16"/>
  <c r="BO13" i="16"/>
  <c r="BN14" i="16"/>
  <c r="BP7" i="16"/>
  <c r="BO6" i="16"/>
  <c r="BP56" i="16" l="1"/>
  <c r="BP55" i="16"/>
  <c r="BP57" i="16"/>
  <c r="BP47" i="16"/>
  <c r="BP48" i="16"/>
  <c r="BP31" i="16"/>
  <c r="BP46" i="16"/>
  <c r="BP33" i="16"/>
  <c r="BP32" i="16"/>
  <c r="BP35" i="16"/>
  <c r="BP36" i="16"/>
  <c r="BP34" i="16"/>
  <c r="BP38" i="16"/>
  <c r="BP37" i="16"/>
  <c r="BP41" i="16"/>
  <c r="BP42" i="16"/>
  <c r="BP39" i="16"/>
  <c r="BP40" i="16"/>
  <c r="BP43" i="16"/>
  <c r="BP30" i="16"/>
  <c r="BP44" i="16"/>
  <c r="BP12" i="16"/>
  <c r="BP13" i="16"/>
  <c r="BO14" i="16"/>
  <c r="BQ7" i="16"/>
  <c r="BP6" i="16"/>
  <c r="BQ55" i="16" l="1"/>
  <c r="BQ56" i="16"/>
  <c r="BP14" i="16"/>
  <c r="BQ57" i="16"/>
  <c r="BQ46" i="16"/>
  <c r="BQ47" i="16"/>
  <c r="BQ48" i="16"/>
  <c r="BQ31" i="16"/>
  <c r="BQ34" i="16"/>
  <c r="BQ35" i="16"/>
  <c r="BQ33" i="16"/>
  <c r="BQ32" i="16"/>
  <c r="BQ39" i="16"/>
  <c r="BQ38" i="16"/>
  <c r="BQ37" i="16"/>
  <c r="BQ41" i="16"/>
  <c r="BQ36" i="16"/>
  <c r="BQ44" i="16"/>
  <c r="BQ43" i="16"/>
  <c r="BQ42" i="16"/>
  <c r="BQ30" i="16"/>
  <c r="BQ40" i="16"/>
  <c r="BQ12" i="16"/>
  <c r="BQ13" i="16"/>
  <c r="BR7" i="16"/>
  <c r="BQ6" i="16"/>
  <c r="BR55" i="16" l="1"/>
  <c r="BR56" i="16"/>
  <c r="BR57" i="16"/>
  <c r="BR47" i="16"/>
  <c r="BR34" i="16"/>
  <c r="BR46" i="16"/>
  <c r="BR48" i="16"/>
  <c r="BR31" i="16"/>
  <c r="BR32" i="16"/>
  <c r="BR35" i="16"/>
  <c r="BR36" i="16"/>
  <c r="BR38" i="16"/>
  <c r="BR40" i="16"/>
  <c r="BR33" i="16"/>
  <c r="BR37" i="16"/>
  <c r="BR39" i="16"/>
  <c r="BR41" i="16"/>
  <c r="BR42" i="16"/>
  <c r="BR43" i="16"/>
  <c r="BR44" i="16"/>
  <c r="BR30" i="16"/>
  <c r="BR13" i="16"/>
  <c r="BR12" i="16"/>
  <c r="BQ14" i="16"/>
  <c r="BS7" i="16"/>
  <c r="BR6" i="16"/>
  <c r="BS55" i="16" l="1"/>
  <c r="BS56" i="16"/>
  <c r="BR14" i="16"/>
  <c r="BS47" i="16"/>
  <c r="BS57" i="16"/>
  <c r="BS31" i="16"/>
  <c r="BS32" i="16"/>
  <c r="BS46" i="16"/>
  <c r="BS48" i="16"/>
  <c r="BS35" i="16"/>
  <c r="BS37" i="16"/>
  <c r="BS34" i="16"/>
  <c r="BS39" i="16"/>
  <c r="BS33" i="16"/>
  <c r="BS36" i="16"/>
  <c r="BS41" i="16"/>
  <c r="BS38" i="16"/>
  <c r="BS30" i="16"/>
  <c r="BS42" i="16"/>
  <c r="BS40" i="16"/>
  <c r="BS43" i="16"/>
  <c r="BS44" i="16"/>
  <c r="BS13" i="16"/>
  <c r="BS12" i="16"/>
  <c r="BT7" i="16"/>
  <c r="BS6" i="16"/>
  <c r="BT55" i="16" l="1"/>
  <c r="BT56" i="16"/>
  <c r="BT57" i="16"/>
  <c r="BT47" i="16"/>
  <c r="BT32" i="16"/>
  <c r="BT46" i="16"/>
  <c r="BT31" i="16"/>
  <c r="BT36" i="16"/>
  <c r="BT48" i="16"/>
  <c r="BT34" i="16"/>
  <c r="BT33" i="16"/>
  <c r="BT40" i="16"/>
  <c r="BT42" i="16"/>
  <c r="BT37" i="16"/>
  <c r="BT38" i="16"/>
  <c r="BT35" i="16"/>
  <c r="BT43" i="16"/>
  <c r="BT41" i="16"/>
  <c r="BT39" i="16"/>
  <c r="BT30" i="16"/>
  <c r="BT44" i="16"/>
  <c r="BT12" i="16"/>
  <c r="BT13" i="16"/>
  <c r="BS14" i="16"/>
  <c r="BU7" i="16"/>
  <c r="BT6" i="16"/>
  <c r="BU55" i="16" l="1"/>
  <c r="BU56" i="16"/>
  <c r="BU57" i="16"/>
  <c r="BU48" i="16"/>
  <c r="BU47" i="16"/>
  <c r="BU46" i="16"/>
  <c r="BU32" i="16"/>
  <c r="BU31" i="16"/>
  <c r="BU33" i="16"/>
  <c r="BU35" i="16"/>
  <c r="BU37" i="16"/>
  <c r="BU34" i="16"/>
  <c r="BU36" i="16"/>
  <c r="BU40" i="16"/>
  <c r="BU38" i="16"/>
  <c r="BU41" i="16"/>
  <c r="BU39" i="16"/>
  <c r="BU42" i="16"/>
  <c r="BU43" i="16"/>
  <c r="BU30" i="16"/>
  <c r="BU44" i="16"/>
  <c r="BU12" i="16"/>
  <c r="BU13" i="16"/>
  <c r="BT14" i="16"/>
  <c r="BV7" i="16"/>
  <c r="BU6" i="16"/>
  <c r="BV56" i="16" l="1"/>
  <c r="BV55" i="16"/>
  <c r="BV57" i="16"/>
  <c r="BV47" i="16"/>
  <c r="BV46" i="16"/>
  <c r="BV33" i="16"/>
  <c r="BV32" i="16"/>
  <c r="BV36" i="16"/>
  <c r="BV48" i="16"/>
  <c r="BV31" i="16"/>
  <c r="BV38" i="16"/>
  <c r="BV35" i="16"/>
  <c r="BV34" i="16"/>
  <c r="BV37" i="16"/>
  <c r="BV39" i="16"/>
  <c r="BV40" i="16"/>
  <c r="BV43" i="16"/>
  <c r="BV41" i="16"/>
  <c r="BV42" i="16"/>
  <c r="BV30" i="16"/>
  <c r="BV44" i="16"/>
  <c r="BV13" i="16"/>
  <c r="BV12" i="16"/>
  <c r="BU14" i="16"/>
  <c r="BW7" i="16"/>
  <c r="BV6" i="16"/>
  <c r="BV14" i="16" l="1"/>
  <c r="BW56" i="16"/>
  <c r="BW55" i="16"/>
  <c r="BW57" i="16"/>
  <c r="BW47" i="16"/>
  <c r="BW48" i="16"/>
  <c r="BW33" i="16"/>
  <c r="BW32" i="16"/>
  <c r="BW37" i="16"/>
  <c r="BW46" i="16"/>
  <c r="BW31" i="16"/>
  <c r="BW34" i="16"/>
  <c r="BW36" i="16"/>
  <c r="BW39" i="16"/>
  <c r="BW40" i="16"/>
  <c r="BW44" i="16"/>
  <c r="BW38" i="16"/>
  <c r="BW35" i="16"/>
  <c r="BW41" i="16"/>
  <c r="BW42" i="16"/>
  <c r="BW43" i="16"/>
  <c r="BW30" i="16"/>
  <c r="BW12" i="16"/>
  <c r="BW13" i="16"/>
  <c r="BX7" i="16"/>
  <c r="BW6" i="16"/>
  <c r="BX55" i="16" l="1"/>
  <c r="BX56" i="16"/>
  <c r="BX57" i="16"/>
  <c r="BX47" i="16"/>
  <c r="BX48" i="16"/>
  <c r="BX33" i="16"/>
  <c r="BX32" i="16"/>
  <c r="BX46" i="16"/>
  <c r="BX38" i="16"/>
  <c r="BX34" i="16"/>
  <c r="BX36" i="16"/>
  <c r="BX31" i="16"/>
  <c r="BX37" i="16"/>
  <c r="BX35" i="16"/>
  <c r="BX42" i="16"/>
  <c r="BX39" i="16"/>
  <c r="BX40" i="16"/>
  <c r="BX44" i="16"/>
  <c r="BX30" i="16"/>
  <c r="BX41" i="16"/>
  <c r="BX43" i="16"/>
  <c r="BX12" i="16"/>
  <c r="BX13" i="16"/>
  <c r="BW14" i="16"/>
  <c r="BY7" i="16"/>
  <c r="BX6" i="16"/>
  <c r="BY56" i="16" l="1"/>
  <c r="BY55" i="16"/>
  <c r="BY57" i="16"/>
  <c r="BY47" i="16"/>
  <c r="BY46" i="16"/>
  <c r="BY31" i="16"/>
  <c r="BY48" i="16"/>
  <c r="BY33" i="16"/>
  <c r="BY35" i="16"/>
  <c r="BY32" i="16"/>
  <c r="BY34" i="16"/>
  <c r="BY39" i="16"/>
  <c r="BY41" i="16"/>
  <c r="BY36" i="16"/>
  <c r="BY42" i="16"/>
  <c r="BY38" i="16"/>
  <c r="BY40" i="16"/>
  <c r="BY44" i="16"/>
  <c r="BY30" i="16"/>
  <c r="BY37" i="16"/>
  <c r="BY43" i="16"/>
  <c r="BY13" i="16"/>
  <c r="BY12" i="16"/>
  <c r="BX14" i="16"/>
  <c r="BZ7" i="16"/>
  <c r="BY6" i="16"/>
  <c r="BY14" i="16" l="1"/>
  <c r="BZ55" i="16"/>
  <c r="BZ56" i="16"/>
  <c r="BZ57" i="16"/>
  <c r="BZ48" i="16"/>
  <c r="BZ47" i="16"/>
  <c r="BZ31" i="16"/>
  <c r="BZ34" i="16"/>
  <c r="BZ46" i="16"/>
  <c r="BZ32" i="16"/>
  <c r="BZ36" i="16"/>
  <c r="BZ33" i="16"/>
  <c r="BZ35" i="16"/>
  <c r="BZ39" i="16"/>
  <c r="BZ37" i="16"/>
  <c r="BZ38" i="16"/>
  <c r="BZ40" i="16"/>
  <c r="BZ41" i="16"/>
  <c r="BZ43" i="16"/>
  <c r="BZ44" i="16"/>
  <c r="BZ30" i="16"/>
  <c r="BZ42" i="16"/>
  <c r="BZ13" i="16"/>
  <c r="BZ12" i="16"/>
  <c r="CA7" i="16"/>
  <c r="BZ6" i="16"/>
  <c r="CA55" i="16" l="1"/>
  <c r="CA56" i="16"/>
  <c r="BZ14" i="16"/>
  <c r="CA47" i="16"/>
  <c r="CA31" i="16"/>
  <c r="CA57" i="16"/>
  <c r="CA48" i="16"/>
  <c r="CA46" i="16"/>
  <c r="CA34" i="16"/>
  <c r="CA33" i="16"/>
  <c r="CA35" i="16"/>
  <c r="CA32" i="16"/>
  <c r="CA39" i="16"/>
  <c r="CA37" i="16"/>
  <c r="CA38" i="16"/>
  <c r="CA40" i="16"/>
  <c r="CA41" i="16"/>
  <c r="CA36" i="16"/>
  <c r="CA30" i="16"/>
  <c r="CA42" i="16"/>
  <c r="CA43" i="16"/>
  <c r="CA44" i="16"/>
  <c r="CA13" i="16"/>
  <c r="CA12" i="16"/>
  <c r="CB7" i="16"/>
  <c r="CA6" i="16"/>
  <c r="CB55" i="16" l="1"/>
  <c r="CB56" i="16"/>
  <c r="CA14" i="16"/>
  <c r="CB57" i="16"/>
  <c r="CB47" i="16"/>
  <c r="CB32" i="16"/>
  <c r="CB46" i="16"/>
  <c r="CB31" i="16"/>
  <c r="CB48" i="16"/>
  <c r="CB36" i="16"/>
  <c r="CB35" i="16"/>
  <c r="CB34" i="16"/>
  <c r="CB37" i="16"/>
  <c r="CB40" i="16"/>
  <c r="CB33" i="16"/>
  <c r="CB38" i="16"/>
  <c r="CB42" i="16"/>
  <c r="CB41" i="16"/>
  <c r="CB43" i="16"/>
  <c r="CB39" i="16"/>
  <c r="CB44" i="16"/>
  <c r="CB30" i="16"/>
  <c r="CB12" i="16"/>
  <c r="CB13" i="16"/>
  <c r="CC7" i="16"/>
  <c r="CB6" i="16"/>
  <c r="CC55" i="16" l="1"/>
  <c r="CC56" i="16"/>
  <c r="CC57" i="16"/>
  <c r="CC48" i="16"/>
  <c r="CC47" i="16"/>
  <c r="CC32" i="16"/>
  <c r="CC34" i="16"/>
  <c r="CC46" i="16"/>
  <c r="CC31" i="16"/>
  <c r="CC35" i="16"/>
  <c r="CC36" i="16"/>
  <c r="CC33" i="16"/>
  <c r="CC37" i="16"/>
  <c r="CC39" i="16"/>
  <c r="CC41" i="16"/>
  <c r="CC38" i="16"/>
  <c r="CC42" i="16"/>
  <c r="CC40" i="16"/>
  <c r="CC43" i="16"/>
  <c r="CC44" i="16"/>
  <c r="CC30" i="16"/>
  <c r="CC12" i="16"/>
  <c r="CC13" i="16"/>
  <c r="CB14" i="16"/>
  <c r="CD7" i="16"/>
  <c r="CC6" i="16"/>
  <c r="CD56" i="16" l="1"/>
  <c r="CD55" i="16"/>
  <c r="CC14" i="16"/>
  <c r="CD57" i="16"/>
  <c r="CD47" i="16"/>
  <c r="CD46" i="16"/>
  <c r="CD48" i="16"/>
  <c r="CD31" i="16"/>
  <c r="CD36" i="16"/>
  <c r="CD32" i="16"/>
  <c r="CD38" i="16"/>
  <c r="CD34" i="16"/>
  <c r="CD37" i="16"/>
  <c r="CD33" i="16"/>
  <c r="CD35" i="16"/>
  <c r="CD40" i="16"/>
  <c r="CD41" i="16"/>
  <c r="CD43" i="16"/>
  <c r="CD39" i="16"/>
  <c r="CD44" i="16"/>
  <c r="CD30" i="16"/>
  <c r="CD42" i="16"/>
  <c r="CD13" i="16"/>
  <c r="CD12" i="16"/>
  <c r="CE7" i="16"/>
  <c r="CD6" i="16"/>
  <c r="CE56" i="16" l="1"/>
  <c r="CE55" i="16"/>
  <c r="CE57" i="16"/>
  <c r="CE47" i="16"/>
  <c r="CE33" i="16"/>
  <c r="CE46" i="16"/>
  <c r="CE32" i="16"/>
  <c r="CE48" i="16"/>
  <c r="CE31" i="16"/>
  <c r="CE37" i="16"/>
  <c r="CE34" i="16"/>
  <c r="CE35" i="16"/>
  <c r="CE38" i="16"/>
  <c r="CE44" i="16"/>
  <c r="CE41" i="16"/>
  <c r="CE39" i="16"/>
  <c r="CE36" i="16"/>
  <c r="CE43" i="16"/>
  <c r="CE40" i="16"/>
  <c r="CE42" i="16"/>
  <c r="CE30" i="16"/>
  <c r="CE13" i="16"/>
  <c r="CE12" i="16"/>
  <c r="CD14" i="16"/>
  <c r="CF7" i="16"/>
  <c r="CE6" i="16"/>
  <c r="CF55" i="16" l="1"/>
  <c r="CF56" i="16"/>
  <c r="CF57" i="16"/>
  <c r="CF47" i="16"/>
  <c r="CF33" i="16"/>
  <c r="CF46" i="16"/>
  <c r="CF31" i="16"/>
  <c r="CF48" i="16"/>
  <c r="CF32" i="16"/>
  <c r="CF38" i="16"/>
  <c r="CF34" i="16"/>
  <c r="CF35" i="16"/>
  <c r="CF37" i="16"/>
  <c r="CF36" i="16"/>
  <c r="CF41" i="16"/>
  <c r="CF40" i="16"/>
  <c r="CF42" i="16"/>
  <c r="CF39" i="16"/>
  <c r="CF43" i="16"/>
  <c r="CF30" i="16"/>
  <c r="CF44" i="16"/>
  <c r="CF13" i="16"/>
  <c r="CF12" i="16"/>
  <c r="CE14" i="16"/>
  <c r="CG7" i="16"/>
  <c r="CF6" i="16"/>
  <c r="CG55" i="16" l="1"/>
  <c r="CG56" i="16"/>
  <c r="CF14" i="16"/>
  <c r="CG57" i="16"/>
  <c r="CG46" i="16"/>
  <c r="CG48" i="16"/>
  <c r="CG47" i="16"/>
  <c r="CG32" i="16"/>
  <c r="CG35" i="16"/>
  <c r="CG31" i="16"/>
  <c r="CG39" i="16"/>
  <c r="CG34" i="16"/>
  <c r="CG36" i="16"/>
  <c r="CG41" i="16"/>
  <c r="CG33" i="16"/>
  <c r="CG37" i="16"/>
  <c r="CG38" i="16"/>
  <c r="CG40" i="16"/>
  <c r="CG42" i="16"/>
  <c r="CG44" i="16"/>
  <c r="CG30" i="16"/>
  <c r="CG43" i="16"/>
  <c r="CG13" i="16"/>
  <c r="CG12" i="16"/>
  <c r="CH7" i="16"/>
  <c r="CG6" i="16"/>
  <c r="CH56" i="16" l="1"/>
  <c r="CH55" i="16"/>
  <c r="CG14" i="16"/>
  <c r="CH57" i="16"/>
  <c r="CH47" i="16"/>
  <c r="CH31" i="16"/>
  <c r="CH34" i="16"/>
  <c r="CH33" i="16"/>
  <c r="CH32" i="16"/>
  <c r="CH46" i="16"/>
  <c r="CH48" i="16"/>
  <c r="CH35" i="16"/>
  <c r="CH36" i="16"/>
  <c r="CH37" i="16"/>
  <c r="CH40" i="16"/>
  <c r="CH42" i="16"/>
  <c r="CH38" i="16"/>
  <c r="CH41" i="16"/>
  <c r="CH39" i="16"/>
  <c r="CH30" i="16"/>
  <c r="CH43" i="16"/>
  <c r="CH44" i="16"/>
  <c r="CH13" i="16"/>
  <c r="CH12" i="16"/>
  <c r="CI7" i="16"/>
  <c r="CH6" i="16"/>
  <c r="CI55" i="16" l="1"/>
  <c r="CI56" i="16"/>
  <c r="CH14" i="16"/>
  <c r="CI47" i="16"/>
  <c r="CI31" i="16"/>
  <c r="CI57" i="16"/>
  <c r="CI33" i="16"/>
  <c r="CI32" i="16"/>
  <c r="CI35" i="16"/>
  <c r="CI48" i="16"/>
  <c r="CI46" i="16"/>
  <c r="CI39" i="16"/>
  <c r="CI34" i="16"/>
  <c r="CI36" i="16"/>
  <c r="CI41" i="16"/>
  <c r="CI37" i="16"/>
  <c r="CI30" i="16"/>
  <c r="CI40" i="16"/>
  <c r="CI42" i="16"/>
  <c r="CI44" i="16"/>
  <c r="CI43" i="16"/>
  <c r="CI38" i="16"/>
  <c r="CI12" i="16"/>
  <c r="CI13" i="16"/>
  <c r="CJ7" i="16"/>
  <c r="CI6" i="16"/>
  <c r="CJ55" i="16" l="1"/>
  <c r="CJ56" i="16"/>
  <c r="CJ57" i="16"/>
  <c r="CJ47" i="16"/>
  <c r="CJ48" i="16"/>
  <c r="CJ32" i="16"/>
  <c r="CJ46" i="16"/>
  <c r="CJ34" i="16"/>
  <c r="CJ36" i="16"/>
  <c r="CJ31" i="16"/>
  <c r="CJ40" i="16"/>
  <c r="CJ33" i="16"/>
  <c r="CJ42" i="16"/>
  <c r="CJ35" i="16"/>
  <c r="CJ38" i="16"/>
  <c r="CJ39" i="16"/>
  <c r="CJ43" i="16"/>
  <c r="CJ37" i="16"/>
  <c r="CJ41" i="16"/>
  <c r="CJ44" i="16"/>
  <c r="CJ30" i="16"/>
  <c r="CJ13" i="16"/>
  <c r="CJ12" i="16"/>
  <c r="CI14" i="16"/>
  <c r="CK7" i="16"/>
  <c r="CJ6" i="16"/>
  <c r="CK55" i="16" l="1"/>
  <c r="CK56" i="16"/>
  <c r="CJ14" i="16"/>
  <c r="CK57" i="16"/>
  <c r="CK47" i="16"/>
  <c r="CK48" i="16"/>
  <c r="CK46" i="16"/>
  <c r="CK31" i="16"/>
  <c r="CK32" i="16"/>
  <c r="CK33" i="16"/>
  <c r="CK36" i="16"/>
  <c r="CK37" i="16"/>
  <c r="CK34" i="16"/>
  <c r="CK35" i="16"/>
  <c r="CK38" i="16"/>
  <c r="CK39" i="16"/>
  <c r="CK40" i="16"/>
  <c r="CK42" i="16"/>
  <c r="CK41" i="16"/>
  <c r="CK43" i="16"/>
  <c r="CK44" i="16"/>
  <c r="CK30" i="16"/>
  <c r="CK13" i="16"/>
  <c r="CK12" i="16"/>
  <c r="CL7" i="16"/>
  <c r="CK6" i="16"/>
  <c r="CL56" i="16" l="1"/>
  <c r="CL55" i="16"/>
  <c r="CL57" i="16"/>
  <c r="CL48" i="16"/>
  <c r="CL46" i="16"/>
  <c r="CL31" i="16"/>
  <c r="CL47" i="16"/>
  <c r="CL32" i="16"/>
  <c r="CL34" i="16"/>
  <c r="CL36" i="16"/>
  <c r="CL33" i="16"/>
  <c r="CL35" i="16"/>
  <c r="CL38" i="16"/>
  <c r="CL37" i="16"/>
  <c r="CL41" i="16"/>
  <c r="CL39" i="16"/>
  <c r="CL40" i="16"/>
  <c r="CL43" i="16"/>
  <c r="CL42" i="16"/>
  <c r="CL44" i="16"/>
  <c r="CL30" i="16"/>
  <c r="CL13" i="16"/>
  <c r="CL12" i="16"/>
  <c r="CK14" i="16"/>
  <c r="CM7" i="16"/>
  <c r="CL6" i="16"/>
  <c r="CM56" i="16" l="1"/>
  <c r="CM55" i="16"/>
  <c r="CM57" i="16"/>
  <c r="CM47" i="16"/>
  <c r="CM46" i="16"/>
  <c r="CM48" i="16"/>
  <c r="CM33" i="16"/>
  <c r="CM32" i="16"/>
  <c r="CM37" i="16"/>
  <c r="CM31" i="16"/>
  <c r="CM34" i="16"/>
  <c r="CM35" i="16"/>
  <c r="CM38" i="16"/>
  <c r="CM36" i="16"/>
  <c r="CM39" i="16"/>
  <c r="CM40" i="16"/>
  <c r="CM41" i="16"/>
  <c r="CM44" i="16"/>
  <c r="CM42" i="16"/>
  <c r="CM43" i="16"/>
  <c r="CM30" i="16"/>
  <c r="CM13" i="16"/>
  <c r="CM12" i="16"/>
  <c r="CL14" i="16"/>
  <c r="CN7" i="16"/>
  <c r="CM6" i="16"/>
  <c r="CN56" i="16" l="1"/>
  <c r="CN55" i="16"/>
  <c r="CN57" i="16"/>
  <c r="CN47" i="16"/>
  <c r="CN48" i="16"/>
  <c r="CN33" i="16"/>
  <c r="CN31" i="16"/>
  <c r="CN46" i="16"/>
  <c r="CN32" i="16"/>
  <c r="CN34" i="16"/>
  <c r="CN36" i="16"/>
  <c r="CN37" i="16"/>
  <c r="CN38" i="16"/>
  <c r="CN35" i="16"/>
  <c r="CN39" i="16"/>
  <c r="CN41" i="16"/>
  <c r="CN40" i="16"/>
  <c r="CN42" i="16"/>
  <c r="CN43" i="16"/>
  <c r="CN44" i="16"/>
  <c r="CN30" i="16"/>
  <c r="CN13" i="16"/>
  <c r="CN12" i="16"/>
  <c r="CM14" i="16"/>
  <c r="CO7" i="16"/>
  <c r="CN6" i="16"/>
  <c r="CO56" i="16" l="1"/>
  <c r="CO55" i="16"/>
  <c r="CO57" i="16"/>
  <c r="CO46" i="16"/>
  <c r="CO47" i="16"/>
  <c r="CO48" i="16"/>
  <c r="CO35" i="16"/>
  <c r="CO31" i="16"/>
  <c r="CO32" i="16"/>
  <c r="CO33" i="16"/>
  <c r="CO39" i="16"/>
  <c r="CO34" i="16"/>
  <c r="CO37" i="16"/>
  <c r="CO41" i="16"/>
  <c r="CO36" i="16"/>
  <c r="CO44" i="16"/>
  <c r="CO40" i="16"/>
  <c r="CO38" i="16"/>
  <c r="CO42" i="16"/>
  <c r="CO43" i="16"/>
  <c r="CO30" i="16"/>
  <c r="CO13" i="16"/>
  <c r="CO12" i="16"/>
  <c r="CN14" i="16"/>
  <c r="CP7" i="16"/>
  <c r="CO6" i="16"/>
  <c r="CO14" i="16" l="1"/>
  <c r="CP55" i="16"/>
  <c r="CP56" i="16"/>
  <c r="CP57" i="16"/>
  <c r="CP47" i="16"/>
  <c r="CP48" i="16"/>
  <c r="CP34" i="16"/>
  <c r="CP46" i="16"/>
  <c r="CP32" i="16"/>
  <c r="CP33" i="16"/>
  <c r="CP35" i="16"/>
  <c r="CP31" i="16"/>
  <c r="CP37" i="16"/>
  <c r="CP38" i="16"/>
  <c r="CP36" i="16"/>
  <c r="CP42" i="16"/>
  <c r="CP39" i="16"/>
  <c r="CP41" i="16"/>
  <c r="CP30" i="16"/>
  <c r="CP43" i="16"/>
  <c r="CP40" i="16"/>
  <c r="CP44" i="16"/>
  <c r="CP13" i="16"/>
  <c r="CP12" i="16"/>
  <c r="CQ7" i="16"/>
  <c r="CP6" i="16"/>
  <c r="CQ55" i="16" l="1"/>
  <c r="CQ56" i="16"/>
  <c r="CP14" i="16"/>
  <c r="CQ47" i="16"/>
  <c r="CQ57" i="16"/>
  <c r="CQ31" i="16"/>
  <c r="CQ48" i="16"/>
  <c r="CQ46" i="16"/>
  <c r="CQ35" i="16"/>
  <c r="CQ32" i="16"/>
  <c r="CQ33" i="16"/>
  <c r="CQ34" i="16"/>
  <c r="CQ39" i="16"/>
  <c r="CQ37" i="16"/>
  <c r="CQ41" i="16"/>
  <c r="CQ38" i="16"/>
  <c r="CQ36" i="16"/>
  <c r="CQ42" i="16"/>
  <c r="CQ30" i="16"/>
  <c r="CQ40" i="16"/>
  <c r="CQ43" i="16"/>
  <c r="CQ44" i="16"/>
  <c r="CQ13" i="16"/>
  <c r="CQ12" i="16"/>
  <c r="CR7" i="16"/>
  <c r="CQ6" i="16"/>
  <c r="CQ14" i="16" l="1"/>
  <c r="CR55" i="16"/>
  <c r="CR56" i="16"/>
  <c r="CR57" i="16"/>
  <c r="CR47" i="16"/>
  <c r="CR31" i="16"/>
  <c r="CR32" i="16"/>
  <c r="CR48" i="16"/>
  <c r="CR33" i="16"/>
  <c r="CR36" i="16"/>
  <c r="CR46" i="16"/>
  <c r="CR40" i="16"/>
  <c r="CR34" i="16"/>
  <c r="CR35" i="16"/>
  <c r="CR42" i="16"/>
  <c r="CR37" i="16"/>
  <c r="CR38" i="16"/>
  <c r="CR43" i="16"/>
  <c r="CR39" i="16"/>
  <c r="CR41" i="16"/>
  <c r="CR30" i="16"/>
  <c r="CR44" i="16"/>
  <c r="CR12" i="16"/>
  <c r="CR13" i="16"/>
  <c r="CS7" i="16"/>
  <c r="CR6" i="16"/>
  <c r="CS55" i="16" l="1"/>
  <c r="CS56" i="16"/>
  <c r="CS57" i="16"/>
  <c r="CS48" i="16"/>
  <c r="CS47" i="16"/>
  <c r="CS32" i="16"/>
  <c r="CS33" i="16"/>
  <c r="CS34" i="16"/>
  <c r="CS46" i="16"/>
  <c r="CS31" i="16"/>
  <c r="CS35" i="16"/>
  <c r="CS37" i="16"/>
  <c r="CS36" i="16"/>
  <c r="CS40" i="16"/>
  <c r="CS38" i="16"/>
  <c r="CS39" i="16"/>
  <c r="CS41" i="16"/>
  <c r="CS44" i="16"/>
  <c r="CS30" i="16"/>
  <c r="CS42" i="16"/>
  <c r="CS43" i="16"/>
  <c r="CS13" i="16"/>
  <c r="CS12" i="16"/>
  <c r="CR14" i="16"/>
  <c r="CT7" i="16"/>
  <c r="CS6" i="16"/>
  <c r="CT56" i="16" l="1"/>
  <c r="CT55" i="16"/>
  <c r="CT57" i="16"/>
  <c r="CT47" i="16"/>
  <c r="CT48" i="16"/>
  <c r="CT31" i="16"/>
  <c r="CT32" i="16"/>
  <c r="CT36" i="16"/>
  <c r="CT46" i="16"/>
  <c r="CT37" i="16"/>
  <c r="CT38" i="16"/>
  <c r="CT33" i="16"/>
  <c r="CT34" i="16"/>
  <c r="CT40" i="16"/>
  <c r="CT35" i="16"/>
  <c r="CT42" i="16"/>
  <c r="CT43" i="16"/>
  <c r="CT41" i="16"/>
  <c r="CT44" i="16"/>
  <c r="CT30" i="16"/>
  <c r="CT39" i="16"/>
  <c r="CT13" i="16"/>
  <c r="CT12" i="16"/>
  <c r="CS14" i="16"/>
  <c r="CU7" i="16"/>
  <c r="CT6" i="16"/>
  <c r="CT14" i="16" l="1"/>
  <c r="CU56" i="16"/>
  <c r="CU55" i="16"/>
  <c r="CU57" i="16"/>
  <c r="CU48" i="16"/>
  <c r="CU47" i="16"/>
  <c r="CU46" i="16"/>
  <c r="CU31" i="16"/>
  <c r="CU33" i="16"/>
  <c r="CU32" i="16"/>
  <c r="CU37" i="16"/>
  <c r="CU34" i="16"/>
  <c r="CU35" i="16"/>
  <c r="CU36" i="16"/>
  <c r="CU39" i="16"/>
  <c r="CU38" i="16"/>
  <c r="CU40" i="16"/>
  <c r="CU44" i="16"/>
  <c r="CU42" i="16"/>
  <c r="CU41" i="16"/>
  <c r="CU30" i="16"/>
  <c r="CU43" i="16"/>
  <c r="CU13" i="16"/>
  <c r="CU12" i="16"/>
  <c r="CV7" i="16"/>
  <c r="CU6" i="16"/>
  <c r="CV55" i="16" l="1"/>
  <c r="CV56" i="16"/>
  <c r="CV57" i="16"/>
  <c r="CV48" i="16"/>
  <c r="CV46" i="16"/>
  <c r="CV47" i="16"/>
  <c r="CV31" i="16"/>
  <c r="CV33" i="16"/>
  <c r="CV32" i="16"/>
  <c r="CV35" i="16"/>
  <c r="CV36" i="16"/>
  <c r="CV38" i="16"/>
  <c r="CV34" i="16"/>
  <c r="CV40" i="16"/>
  <c r="CV37" i="16"/>
  <c r="CV41" i="16"/>
  <c r="CV39" i="16"/>
  <c r="CV43" i="16"/>
  <c r="CV44" i="16"/>
  <c r="CV42" i="16"/>
  <c r="CV30" i="16"/>
  <c r="CV13" i="16"/>
  <c r="CV12" i="16"/>
  <c r="CU14" i="16"/>
  <c r="CW7" i="16"/>
  <c r="CV6" i="16"/>
  <c r="CW55" i="16" l="1"/>
  <c r="CW56" i="16"/>
  <c r="CV14" i="16"/>
  <c r="CW57" i="16"/>
  <c r="CW46" i="16"/>
  <c r="CW47" i="16"/>
  <c r="CW48" i="16"/>
  <c r="CW31" i="16"/>
  <c r="CW35" i="16"/>
  <c r="CW32" i="16"/>
  <c r="CW33" i="16"/>
  <c r="CW39" i="16"/>
  <c r="CW37" i="16"/>
  <c r="CW34" i="16"/>
  <c r="CW38" i="16"/>
  <c r="CW36" i="16"/>
  <c r="CW41" i="16"/>
  <c r="CW40" i="16"/>
  <c r="CW44" i="16"/>
  <c r="CW43" i="16"/>
  <c r="CW42" i="16"/>
  <c r="CW30" i="16"/>
  <c r="CW13" i="16"/>
  <c r="CW12" i="16"/>
  <c r="CX7" i="16"/>
  <c r="CW6" i="16"/>
  <c r="CX55" i="16" l="1"/>
  <c r="CX56" i="16"/>
  <c r="CX57" i="16"/>
  <c r="CX47" i="16"/>
  <c r="CX34" i="16"/>
  <c r="CX46" i="16"/>
  <c r="CX31" i="16"/>
  <c r="CX48" i="16"/>
  <c r="CX32" i="16"/>
  <c r="CX35" i="16"/>
  <c r="CX36" i="16"/>
  <c r="CX33" i="16"/>
  <c r="CX38" i="16"/>
  <c r="CX39" i="16"/>
  <c r="CX37" i="16"/>
  <c r="CX41" i="16"/>
  <c r="CX40" i="16"/>
  <c r="CX42" i="16"/>
  <c r="CX43" i="16"/>
  <c r="CX44" i="16"/>
  <c r="CX30" i="16"/>
  <c r="CX13" i="16"/>
  <c r="CX12" i="16"/>
  <c r="CW14" i="16"/>
  <c r="CY7" i="16"/>
  <c r="CX6" i="16"/>
  <c r="CY55" i="16" l="1"/>
  <c r="CY56" i="16"/>
  <c r="CX14" i="16"/>
  <c r="CY47" i="16"/>
  <c r="CY57" i="16"/>
  <c r="CY31" i="16"/>
  <c r="CY48" i="16"/>
  <c r="CY35" i="16"/>
  <c r="CY32" i="16"/>
  <c r="CY46" i="16"/>
  <c r="CY34" i="16"/>
  <c r="CY39" i="16"/>
  <c r="CY36" i="16"/>
  <c r="CY41" i="16"/>
  <c r="CY33" i="16"/>
  <c r="CY37" i="16"/>
  <c r="CY42" i="16"/>
  <c r="CY30" i="16"/>
  <c r="CY38" i="16"/>
  <c r="CY40" i="16"/>
  <c r="CY43" i="16"/>
  <c r="CY44" i="16"/>
  <c r="CY13" i="16"/>
  <c r="CY12" i="16"/>
  <c r="CZ7" i="16"/>
  <c r="CY6" i="16"/>
  <c r="CZ55" i="16" l="1"/>
  <c r="CZ56" i="16"/>
  <c r="CY14" i="16"/>
  <c r="CZ57" i="16"/>
  <c r="CZ47" i="16"/>
  <c r="CZ48" i="16"/>
  <c r="CZ32" i="16"/>
  <c r="CZ46" i="16"/>
  <c r="CZ36" i="16"/>
  <c r="CZ31" i="16"/>
  <c r="CZ34" i="16"/>
  <c r="CZ40" i="16"/>
  <c r="CZ33" i="16"/>
  <c r="CZ37" i="16"/>
  <c r="CZ42" i="16"/>
  <c r="CZ38" i="16"/>
  <c r="CZ39" i="16"/>
  <c r="CZ43" i="16"/>
  <c r="CZ41" i="16"/>
  <c r="CZ35" i="16"/>
  <c r="CZ30" i="16"/>
  <c r="CZ44" i="16"/>
  <c r="CZ12" i="16"/>
  <c r="CZ13" i="16"/>
  <c r="DA7" i="16"/>
  <c r="CZ6" i="16"/>
  <c r="DA55" i="16" l="1"/>
  <c r="DA56" i="16"/>
  <c r="DA57" i="16"/>
  <c r="DA47" i="16"/>
  <c r="DA48" i="16"/>
  <c r="DA31" i="16"/>
  <c r="DA32" i="16"/>
  <c r="DA46" i="16"/>
  <c r="DA33" i="16"/>
  <c r="DA34" i="16"/>
  <c r="DA35" i="16"/>
  <c r="DA37" i="16"/>
  <c r="DA36" i="16"/>
  <c r="DA38" i="16"/>
  <c r="DA39" i="16"/>
  <c r="DA42" i="16"/>
  <c r="DA41" i="16"/>
  <c r="DA40" i="16"/>
  <c r="DA30" i="16"/>
  <c r="DA43" i="16"/>
  <c r="DA44" i="16"/>
  <c r="DA12" i="16"/>
  <c r="DA13" i="16"/>
  <c r="CZ14" i="16"/>
  <c r="DB7" i="16"/>
  <c r="DA6" i="16"/>
  <c r="DB56" i="16" l="1"/>
  <c r="DB55" i="16"/>
  <c r="DB57" i="16"/>
  <c r="DB47" i="16"/>
  <c r="DB48" i="16"/>
  <c r="DB33" i="16"/>
  <c r="DB34" i="16"/>
  <c r="DB31" i="16"/>
  <c r="DB36" i="16"/>
  <c r="DB32" i="16"/>
  <c r="DB46" i="16"/>
  <c r="DB38" i="16"/>
  <c r="DB35" i="16"/>
  <c r="DB37" i="16"/>
  <c r="DB39" i="16"/>
  <c r="DB43" i="16"/>
  <c r="DB41" i="16"/>
  <c r="DB30" i="16"/>
  <c r="DB40" i="16"/>
  <c r="DB44" i="16"/>
  <c r="DB42" i="16"/>
  <c r="DB13" i="16"/>
  <c r="DB12" i="16"/>
  <c r="DA14" i="16"/>
  <c r="DC7" i="16"/>
  <c r="DB6" i="16"/>
  <c r="DB14" i="16" l="1"/>
  <c r="DC56" i="16"/>
  <c r="DC55" i="16"/>
  <c r="DC57" i="16"/>
  <c r="DC47" i="16"/>
  <c r="DC33" i="16"/>
  <c r="DC48" i="16"/>
  <c r="DC32" i="16"/>
  <c r="DC37" i="16"/>
  <c r="DC31" i="16"/>
  <c r="DC46" i="16"/>
  <c r="DC34" i="16"/>
  <c r="DC40" i="16"/>
  <c r="DC36" i="16"/>
  <c r="DC35" i="16"/>
  <c r="DC44" i="16"/>
  <c r="DC38" i="16"/>
  <c r="DC39" i="16"/>
  <c r="DC42" i="16"/>
  <c r="DC41" i="16"/>
  <c r="DC30" i="16"/>
  <c r="DC43" i="16"/>
  <c r="DC13" i="16"/>
  <c r="DC12" i="16"/>
  <c r="DD7" i="16"/>
  <c r="DC6" i="16"/>
  <c r="DD55" i="16" l="1"/>
  <c r="DD56" i="16"/>
  <c r="DD57" i="16"/>
  <c r="DD47" i="16"/>
  <c r="DD33" i="16"/>
  <c r="DD48" i="16"/>
  <c r="DD46" i="16"/>
  <c r="DD34" i="16"/>
  <c r="DD31" i="16"/>
  <c r="DD37" i="16"/>
  <c r="DD32" i="16"/>
  <c r="DD38" i="16"/>
  <c r="DD35" i="16"/>
  <c r="DD36" i="16"/>
  <c r="DD39" i="16"/>
  <c r="DD42" i="16"/>
  <c r="DD40" i="16"/>
  <c r="DD44" i="16"/>
  <c r="DD41" i="16"/>
  <c r="DD30" i="16"/>
  <c r="DD43" i="16"/>
  <c r="DD13" i="16"/>
  <c r="DD12" i="16"/>
  <c r="DC14" i="16"/>
  <c r="DE7" i="16"/>
  <c r="DD6" i="16"/>
  <c r="DD14" i="16" l="1"/>
  <c r="DE55" i="16"/>
  <c r="DE56" i="16"/>
  <c r="DE57" i="16"/>
  <c r="DE46" i="16"/>
  <c r="DE48" i="16"/>
  <c r="DE31" i="16"/>
  <c r="DE33" i="16"/>
  <c r="DE35" i="16"/>
  <c r="DE47" i="16"/>
  <c r="DE32" i="16"/>
  <c r="DE39" i="16"/>
  <c r="DE34" i="16"/>
  <c r="DE41" i="16"/>
  <c r="DE37" i="16"/>
  <c r="DE40" i="16"/>
  <c r="DE36" i="16"/>
  <c r="DE44" i="16"/>
  <c r="DE38" i="16"/>
  <c r="DE30" i="16"/>
  <c r="DE42" i="16"/>
  <c r="DE43" i="16"/>
  <c r="DE13" i="16"/>
  <c r="DE12" i="16"/>
  <c r="DF7" i="16"/>
  <c r="DE6" i="16"/>
  <c r="DF55" i="16" l="1"/>
  <c r="DF56" i="16"/>
  <c r="DF57" i="16"/>
  <c r="DF48" i="16"/>
  <c r="DF46" i="16"/>
  <c r="DF47" i="16"/>
  <c r="DF31" i="16"/>
  <c r="DF32" i="16"/>
  <c r="DF33" i="16"/>
  <c r="DF36" i="16"/>
  <c r="DF37" i="16"/>
  <c r="DF34" i="16"/>
  <c r="DF35" i="16"/>
  <c r="DF39" i="16"/>
  <c r="DF38" i="16"/>
  <c r="DF40" i="16"/>
  <c r="DF41" i="16"/>
  <c r="DF42" i="16"/>
  <c r="DF43" i="16"/>
  <c r="DF44" i="16"/>
  <c r="DF30" i="16"/>
  <c r="DF13" i="16"/>
  <c r="DF12" i="16"/>
  <c r="DE14" i="16"/>
  <c r="DG7" i="16"/>
  <c r="DF6" i="16"/>
  <c r="DG55" i="16" l="1"/>
  <c r="DG56" i="16"/>
  <c r="DG47" i="16"/>
  <c r="DG57" i="16"/>
  <c r="DG31" i="16"/>
  <c r="DG46" i="16"/>
  <c r="DG48" i="16"/>
  <c r="DG32" i="16"/>
  <c r="DG33" i="16"/>
  <c r="DG35" i="16"/>
  <c r="DG39" i="16"/>
  <c r="DG38" i="16"/>
  <c r="DG41" i="16"/>
  <c r="DG34" i="16"/>
  <c r="DG37" i="16"/>
  <c r="DG36" i="16"/>
  <c r="DG40" i="16"/>
  <c r="DG30" i="16"/>
  <c r="DG42" i="16"/>
  <c r="DG43" i="16"/>
  <c r="DG44" i="16"/>
  <c r="DG13" i="16"/>
  <c r="DG12" i="16"/>
  <c r="DF14" i="16"/>
  <c r="DH7" i="16"/>
  <c r="DG6" i="16"/>
  <c r="DH55" i="16" l="1"/>
  <c r="DH56" i="16"/>
  <c r="DG14" i="16"/>
  <c r="DH57" i="16"/>
  <c r="DH48" i="16"/>
  <c r="DH47" i="16"/>
  <c r="DH32" i="16"/>
  <c r="DH46" i="16"/>
  <c r="DH36" i="16"/>
  <c r="DH31" i="16"/>
  <c r="DH35" i="16"/>
  <c r="DH40" i="16"/>
  <c r="DH33" i="16"/>
  <c r="DH34" i="16"/>
  <c r="DH38" i="16"/>
  <c r="DH42" i="16"/>
  <c r="DH37" i="16"/>
  <c r="DH41" i="16"/>
  <c r="DH43" i="16"/>
  <c r="DH39" i="16"/>
  <c r="DH44" i="16"/>
  <c r="DH30" i="16"/>
  <c r="DH12" i="16"/>
  <c r="DH13" i="16"/>
  <c r="DI7" i="16"/>
  <c r="DH6" i="16"/>
  <c r="DI55" i="16" l="1"/>
  <c r="DI56" i="16"/>
  <c r="DI57" i="16"/>
  <c r="DI48" i="16"/>
  <c r="DI47" i="16"/>
  <c r="DI32" i="16"/>
  <c r="DI31" i="16"/>
  <c r="DI46" i="16"/>
  <c r="DI34" i="16"/>
  <c r="DI35" i="16"/>
  <c r="DI33" i="16"/>
  <c r="DI36" i="16"/>
  <c r="DI39" i="16"/>
  <c r="DI42" i="16"/>
  <c r="DI37" i="16"/>
  <c r="DI41" i="16"/>
  <c r="DI40" i="16"/>
  <c r="DI38" i="16"/>
  <c r="DI30" i="16"/>
  <c r="DI43" i="16"/>
  <c r="DI44" i="16"/>
  <c r="DI12" i="16"/>
  <c r="DI13" i="16"/>
  <c r="DH14" i="16"/>
  <c r="DJ7" i="16"/>
  <c r="DI6" i="16"/>
  <c r="DJ56" i="16" l="1"/>
  <c r="DJ55" i="16"/>
  <c r="DJ57" i="16"/>
  <c r="DJ47" i="16"/>
  <c r="DJ31" i="16"/>
  <c r="DJ46" i="16"/>
  <c r="DJ34" i="16"/>
  <c r="DJ32" i="16"/>
  <c r="DJ48" i="16"/>
  <c r="DJ36" i="16"/>
  <c r="DJ38" i="16"/>
  <c r="DJ33" i="16"/>
  <c r="DJ35" i="16"/>
  <c r="DJ37" i="16"/>
  <c r="DJ42" i="16"/>
  <c r="DJ41" i="16"/>
  <c r="DJ40" i="16"/>
  <c r="DJ43" i="16"/>
  <c r="DJ30" i="16"/>
  <c r="DJ44" i="16"/>
  <c r="DJ39" i="16"/>
  <c r="DJ13" i="16"/>
  <c r="DJ12" i="16"/>
  <c r="DI14" i="16"/>
  <c r="DK7" i="16"/>
  <c r="DJ6" i="16"/>
  <c r="DK56" i="16" l="1"/>
  <c r="DK55" i="16"/>
  <c r="DK57" i="16"/>
  <c r="DK47" i="16"/>
  <c r="DK33" i="16"/>
  <c r="DK32" i="16"/>
  <c r="DK46" i="16"/>
  <c r="DK37" i="16"/>
  <c r="DK48" i="16"/>
  <c r="DK31" i="16"/>
  <c r="DK34" i="16"/>
  <c r="DK35" i="16"/>
  <c r="DK36" i="16"/>
  <c r="DK38" i="16"/>
  <c r="DK44" i="16"/>
  <c r="DK41" i="16"/>
  <c r="DK40" i="16"/>
  <c r="DK39" i="16"/>
  <c r="DK42" i="16"/>
  <c r="DK30" i="16"/>
  <c r="DK43" i="16"/>
  <c r="DK12" i="16"/>
  <c r="DK13" i="16"/>
  <c r="DJ14" i="16"/>
  <c r="DL7" i="16"/>
  <c r="DK6" i="16"/>
  <c r="DK14" i="16" l="1"/>
  <c r="DL56" i="16"/>
  <c r="DL55" i="16"/>
  <c r="DL57" i="16"/>
  <c r="DL47" i="16"/>
  <c r="DL33" i="16"/>
  <c r="DL31" i="16"/>
  <c r="DL46" i="16"/>
  <c r="DL32" i="16"/>
  <c r="DL34" i="16"/>
  <c r="DL48" i="16"/>
  <c r="DL38" i="16"/>
  <c r="DL35" i="16"/>
  <c r="DL37" i="16"/>
  <c r="DL36" i="16"/>
  <c r="DL40" i="16"/>
  <c r="DL39" i="16"/>
  <c r="DL42" i="16"/>
  <c r="DL41" i="16"/>
  <c r="DL30" i="16"/>
  <c r="DL43" i="16"/>
  <c r="DL44" i="16"/>
  <c r="DL13" i="16"/>
  <c r="DL12" i="16"/>
  <c r="DM7" i="16"/>
  <c r="DL6" i="16"/>
  <c r="DM56" i="16" l="1"/>
  <c r="DM55" i="16"/>
  <c r="DL14" i="16"/>
  <c r="DM57" i="16"/>
  <c r="DM46" i="16"/>
  <c r="DM47" i="16"/>
  <c r="DM48" i="16"/>
  <c r="DM31" i="16"/>
  <c r="DM35" i="16"/>
  <c r="DM32" i="16"/>
  <c r="DM37" i="16"/>
  <c r="DM39" i="16"/>
  <c r="DM34" i="16"/>
  <c r="DM33" i="16"/>
  <c r="DM41" i="16"/>
  <c r="DM36" i="16"/>
  <c r="DM38" i="16"/>
  <c r="DM44" i="16"/>
  <c r="DM42" i="16"/>
  <c r="DM40" i="16"/>
  <c r="DM30" i="16"/>
  <c r="DM43" i="16"/>
  <c r="DM13" i="16"/>
  <c r="DM12" i="16"/>
  <c r="DN7" i="16"/>
  <c r="DM6" i="16"/>
  <c r="DN56" i="16" l="1"/>
  <c r="DN55" i="16"/>
  <c r="DM14" i="16"/>
  <c r="DN57" i="16"/>
  <c r="DN47" i="16"/>
  <c r="DN48" i="16"/>
  <c r="DN33" i="16"/>
  <c r="DN31" i="16"/>
  <c r="DN46" i="16"/>
  <c r="DN32" i="16"/>
  <c r="DN34" i="16"/>
  <c r="DN37" i="16"/>
  <c r="DN35" i="16"/>
  <c r="DN36" i="16"/>
  <c r="DN40" i="16"/>
  <c r="DN39" i="16"/>
  <c r="DN41" i="16"/>
  <c r="DN42" i="16"/>
  <c r="DN30" i="16"/>
  <c r="DN38" i="16"/>
  <c r="DN44" i="16"/>
  <c r="DN43" i="16"/>
  <c r="DN13" i="16"/>
  <c r="DN12" i="16"/>
  <c r="DO7" i="16"/>
  <c r="DN6" i="16"/>
  <c r="DN14" i="16" l="1"/>
  <c r="DO55" i="16"/>
  <c r="DO56" i="16"/>
  <c r="DO47" i="16"/>
  <c r="DO31" i="16"/>
  <c r="DO57" i="16"/>
  <c r="DO48" i="16"/>
  <c r="DO46" i="16"/>
  <c r="DO33" i="16"/>
  <c r="DO35" i="16"/>
  <c r="DO37" i="16"/>
  <c r="DO32" i="16"/>
  <c r="DO34" i="16"/>
  <c r="DO41" i="16"/>
  <c r="DO36" i="16"/>
  <c r="DO30" i="16"/>
  <c r="DO39" i="16"/>
  <c r="DO38" i="16"/>
  <c r="DO44" i="16"/>
  <c r="DO42" i="16"/>
  <c r="DO40" i="16"/>
  <c r="DO43" i="16"/>
  <c r="DO13" i="16"/>
  <c r="DO12" i="16"/>
  <c r="DP7" i="16"/>
  <c r="DO6" i="16"/>
  <c r="DP55" i="16" l="1"/>
  <c r="DP56" i="16"/>
  <c r="DP47" i="16"/>
  <c r="DP57" i="16"/>
  <c r="DP48" i="16"/>
  <c r="DP31" i="16"/>
  <c r="DP32" i="16"/>
  <c r="DP36" i="16"/>
  <c r="DP46" i="16"/>
  <c r="DP40" i="16"/>
  <c r="DP34" i="16"/>
  <c r="DP39" i="16"/>
  <c r="DP42" i="16"/>
  <c r="DP37" i="16"/>
  <c r="DP35" i="16"/>
  <c r="DP33" i="16"/>
  <c r="DP38" i="16"/>
  <c r="DP43" i="16"/>
  <c r="DP44" i="16"/>
  <c r="DP41" i="16"/>
  <c r="DP30" i="16"/>
  <c r="DP12" i="16"/>
  <c r="DP13" i="16"/>
  <c r="DO14" i="16"/>
  <c r="DQ7" i="16"/>
  <c r="DP6" i="16"/>
  <c r="DQ55" i="16" l="1"/>
  <c r="DQ56" i="16"/>
  <c r="DP14" i="16"/>
  <c r="DQ57" i="16"/>
  <c r="DQ48" i="16"/>
  <c r="DQ47" i="16"/>
  <c r="DQ46" i="16"/>
  <c r="DQ31" i="16"/>
  <c r="DQ32" i="16"/>
  <c r="DQ33" i="16"/>
  <c r="DQ36" i="16"/>
  <c r="DQ35" i="16"/>
  <c r="DQ38" i="16"/>
  <c r="DQ37" i="16"/>
  <c r="DQ34" i="16"/>
  <c r="DQ39" i="16"/>
  <c r="DQ40" i="16"/>
  <c r="DQ41" i="16"/>
  <c r="DQ43" i="16"/>
  <c r="DQ44" i="16"/>
  <c r="DQ42" i="16"/>
  <c r="DQ30" i="16"/>
  <c r="DQ12" i="16"/>
  <c r="DQ13" i="16"/>
  <c r="DR7" i="16"/>
  <c r="DQ6" i="16"/>
  <c r="DR56" i="16" l="1"/>
  <c r="DR55" i="16"/>
  <c r="DR57" i="16"/>
  <c r="DR48" i="16"/>
  <c r="DR46" i="16"/>
  <c r="DR34" i="16"/>
  <c r="DR47" i="16"/>
  <c r="DR31" i="16"/>
  <c r="DR36" i="16"/>
  <c r="DR32" i="16"/>
  <c r="DR35" i="16"/>
  <c r="DR38" i="16"/>
  <c r="DR33" i="16"/>
  <c r="DR39" i="16"/>
  <c r="DR37" i="16"/>
  <c r="DR40" i="16"/>
  <c r="DR41" i="16"/>
  <c r="DR42" i="16"/>
  <c r="DR43" i="16"/>
  <c r="DR30" i="16"/>
  <c r="DR44" i="16"/>
  <c r="DR13" i="16"/>
  <c r="DR12" i="16"/>
  <c r="DQ14" i="16"/>
  <c r="DS7" i="16"/>
  <c r="DR6" i="16"/>
  <c r="DS56" i="16" l="1"/>
  <c r="DS55" i="16"/>
  <c r="DS57" i="16"/>
  <c r="DS47" i="16"/>
  <c r="DS31" i="16"/>
  <c r="DS33" i="16"/>
  <c r="DS48" i="16"/>
  <c r="DS32" i="16"/>
  <c r="DS37" i="16"/>
  <c r="DS46" i="16"/>
  <c r="DS35" i="16"/>
  <c r="DS34" i="16"/>
  <c r="DS38" i="16"/>
  <c r="DS36" i="16"/>
  <c r="DS40" i="16"/>
  <c r="DS41" i="16"/>
  <c r="DS42" i="16"/>
  <c r="DS44" i="16"/>
  <c r="DS39" i="16"/>
  <c r="DS43" i="16"/>
  <c r="DS30" i="16"/>
  <c r="DS12" i="16"/>
  <c r="DS13" i="16"/>
  <c r="DR14" i="16"/>
  <c r="DT7" i="16"/>
  <c r="DS6" i="16"/>
  <c r="DT55" i="16" l="1"/>
  <c r="DT56" i="16"/>
  <c r="DT57" i="16"/>
  <c r="DT47" i="16"/>
  <c r="DT33" i="16"/>
  <c r="DT48" i="16"/>
  <c r="DT46" i="16"/>
  <c r="DT31" i="16"/>
  <c r="DT32" i="16"/>
  <c r="DT34" i="16"/>
  <c r="DT36" i="16"/>
  <c r="DT38" i="16"/>
  <c r="DT35" i="16"/>
  <c r="DT37" i="16"/>
  <c r="DT40" i="16"/>
  <c r="DT41" i="16"/>
  <c r="DT39" i="16"/>
  <c r="DT43" i="16"/>
  <c r="DT30" i="16"/>
  <c r="DT44" i="16"/>
  <c r="DT42" i="16"/>
  <c r="DT12" i="16"/>
  <c r="DT13" i="16"/>
  <c r="DS14" i="16"/>
  <c r="DU7" i="16"/>
  <c r="DT6" i="16"/>
  <c r="DU56" i="16" l="1"/>
  <c r="DU55" i="16"/>
  <c r="DU57" i="16"/>
  <c r="DU47" i="16"/>
  <c r="DU46" i="16"/>
  <c r="DU48" i="16"/>
  <c r="DU32" i="16"/>
  <c r="DU35" i="16"/>
  <c r="DU31" i="16"/>
  <c r="DU33" i="16"/>
  <c r="DU34" i="16"/>
  <c r="DU39" i="16"/>
  <c r="DU40" i="16"/>
  <c r="DU41" i="16"/>
  <c r="DU38" i="16"/>
  <c r="DU36" i="16"/>
  <c r="DU37" i="16"/>
  <c r="DU42" i="16"/>
  <c r="DU44" i="16"/>
  <c r="DU43" i="16"/>
  <c r="DU30" i="16"/>
  <c r="DU13" i="16"/>
  <c r="DU12" i="16"/>
  <c r="DT14" i="16"/>
  <c r="DV7" i="16"/>
  <c r="DU6" i="16"/>
  <c r="DV55" i="16" l="1"/>
  <c r="DV56" i="16"/>
  <c r="DV57" i="16"/>
  <c r="DV47" i="16"/>
  <c r="DV46" i="16"/>
  <c r="DV32" i="16"/>
  <c r="DV31" i="16"/>
  <c r="DV33" i="16"/>
  <c r="DV34" i="16"/>
  <c r="DV37" i="16"/>
  <c r="DV35" i="16"/>
  <c r="DV48" i="16"/>
  <c r="DV38" i="16"/>
  <c r="DV36" i="16"/>
  <c r="DV40" i="16"/>
  <c r="DV41" i="16"/>
  <c r="DV42" i="16"/>
  <c r="DV43" i="16"/>
  <c r="DV30" i="16"/>
  <c r="DV44" i="16"/>
  <c r="DV39" i="16"/>
  <c r="DV13" i="16"/>
  <c r="DV12" i="16"/>
  <c r="DU14" i="16"/>
  <c r="DW7" i="16"/>
  <c r="DV6" i="16"/>
  <c r="DW55" i="16" l="1"/>
  <c r="DW56" i="16"/>
  <c r="DW47" i="16"/>
  <c r="DW57" i="16"/>
  <c r="DW31" i="16"/>
  <c r="DW32" i="16"/>
  <c r="DW35" i="16"/>
  <c r="DW48" i="16"/>
  <c r="DW46" i="16"/>
  <c r="DW33" i="16"/>
  <c r="DW34" i="16"/>
  <c r="DW36" i="16"/>
  <c r="DW40" i="16"/>
  <c r="DW41" i="16"/>
  <c r="DW38" i="16"/>
  <c r="DW37" i="16"/>
  <c r="DW30" i="16"/>
  <c r="DW39" i="16"/>
  <c r="DW43" i="16"/>
  <c r="DW42" i="16"/>
  <c r="DW44" i="16"/>
  <c r="DW13" i="16"/>
  <c r="DW12" i="16"/>
  <c r="DV14" i="16"/>
  <c r="DX7" i="16"/>
  <c r="DW6" i="16"/>
  <c r="DX55" i="16" l="1"/>
  <c r="DX56" i="16"/>
  <c r="DX57" i="16"/>
  <c r="DX47" i="16"/>
  <c r="DX46" i="16"/>
  <c r="DX32" i="16"/>
  <c r="DX48" i="16"/>
  <c r="DX33" i="16"/>
  <c r="DX36" i="16"/>
  <c r="DX31" i="16"/>
  <c r="DX40" i="16"/>
  <c r="DX34" i="16"/>
  <c r="DX37" i="16"/>
  <c r="DX35" i="16"/>
  <c r="DX42" i="16"/>
  <c r="DX39" i="16"/>
  <c r="DX38" i="16"/>
  <c r="DX43" i="16"/>
  <c r="DX41" i="16"/>
  <c r="DX30" i="16"/>
  <c r="DX44" i="16"/>
  <c r="DX12" i="16"/>
  <c r="DX13" i="16"/>
  <c r="DW14" i="16"/>
  <c r="DY7" i="16"/>
  <c r="DX6" i="16"/>
  <c r="DY55" i="16" l="1"/>
  <c r="DY56" i="16"/>
  <c r="DY57" i="16"/>
  <c r="DY48" i="16"/>
  <c r="DY47" i="16"/>
  <c r="DY32" i="16"/>
  <c r="DY33" i="16"/>
  <c r="DY46" i="16"/>
  <c r="DY31" i="16"/>
  <c r="DY34" i="16"/>
  <c r="DY37" i="16"/>
  <c r="DY36" i="16"/>
  <c r="DY39" i="16"/>
  <c r="DY35" i="16"/>
  <c r="DY38" i="16"/>
  <c r="DY40" i="16"/>
  <c r="DY41" i="16"/>
  <c r="DY42" i="16"/>
  <c r="DY44" i="16"/>
  <c r="DY43" i="16"/>
  <c r="DY30" i="16"/>
  <c r="DY12" i="16"/>
  <c r="DY13" i="16"/>
  <c r="DX14" i="16"/>
  <c r="DZ7" i="16"/>
  <c r="DY6" i="16"/>
  <c r="DZ56" i="16" l="1"/>
  <c r="DZ55" i="16"/>
  <c r="DY14" i="16"/>
  <c r="DZ57" i="16"/>
  <c r="DZ47" i="16"/>
  <c r="DZ48" i="16"/>
  <c r="DZ31" i="16"/>
  <c r="DZ46" i="16"/>
  <c r="DZ34" i="16"/>
  <c r="DZ36" i="16"/>
  <c r="DZ32" i="16"/>
  <c r="DZ38" i="16"/>
  <c r="DZ33" i="16"/>
  <c r="DZ37" i="16"/>
  <c r="DZ39" i="16"/>
  <c r="DZ43" i="16"/>
  <c r="DZ35" i="16"/>
  <c r="DZ40" i="16"/>
  <c r="DZ42" i="16"/>
  <c r="DZ44" i="16"/>
  <c r="DZ41" i="16"/>
  <c r="DZ30" i="16"/>
  <c r="DZ13" i="16"/>
  <c r="DZ12" i="16"/>
  <c r="EA7" i="16"/>
  <c r="DZ6" i="16"/>
  <c r="EA56" i="16" l="1"/>
  <c r="EA55" i="16"/>
  <c r="EA57" i="16"/>
  <c r="EA47" i="16"/>
  <c r="EA48" i="16"/>
  <c r="EA46" i="16"/>
  <c r="EA33" i="16"/>
  <c r="EA31" i="16"/>
  <c r="EA32" i="16"/>
  <c r="EA37" i="16"/>
  <c r="EA34" i="16"/>
  <c r="EA35" i="16"/>
  <c r="EA36" i="16"/>
  <c r="EA39" i="16"/>
  <c r="EA42" i="16"/>
  <c r="EA44" i="16"/>
  <c r="EA38" i="16"/>
  <c r="EA41" i="16"/>
  <c r="EA40" i="16"/>
  <c r="EA30" i="16"/>
  <c r="EA43" i="16"/>
  <c r="EA12" i="16"/>
  <c r="EA13" i="16"/>
  <c r="DZ14" i="16"/>
  <c r="EB7" i="16"/>
  <c r="EA6" i="16"/>
  <c r="EB55" i="16" l="1"/>
  <c r="EB56" i="16"/>
  <c r="EB57" i="16"/>
  <c r="EB47" i="16"/>
  <c r="EB48" i="16"/>
  <c r="EB31" i="16"/>
  <c r="EB46" i="16"/>
  <c r="EB33" i="16"/>
  <c r="EB34" i="16"/>
  <c r="EB32" i="16"/>
  <c r="EB35" i="16"/>
  <c r="EB36" i="16"/>
  <c r="EB38" i="16"/>
  <c r="EB37" i="16"/>
  <c r="EB41" i="16"/>
  <c r="EB42" i="16"/>
  <c r="EB39" i="16"/>
  <c r="EB40" i="16"/>
  <c r="EB43" i="16"/>
  <c r="EB30" i="16"/>
  <c r="EB44" i="16"/>
  <c r="EB12" i="16"/>
  <c r="EB13" i="16"/>
  <c r="EA14" i="16"/>
  <c r="EC7" i="16"/>
  <c r="EB6" i="16"/>
  <c r="EC55" i="16" l="1"/>
  <c r="EC56" i="16"/>
  <c r="EC57" i="16"/>
  <c r="EC46" i="16"/>
  <c r="EC47" i="16"/>
  <c r="EC48" i="16"/>
  <c r="EC31" i="16"/>
  <c r="EC35" i="16"/>
  <c r="EC33" i="16"/>
  <c r="EC39" i="16"/>
  <c r="EC32" i="16"/>
  <c r="EC38" i="16"/>
  <c r="EC41" i="16"/>
  <c r="EC36" i="16"/>
  <c r="EC37" i="16"/>
  <c r="EC40" i="16"/>
  <c r="EC44" i="16"/>
  <c r="EC34" i="16"/>
  <c r="EC43" i="16"/>
  <c r="EC42" i="16"/>
  <c r="EC30" i="16"/>
  <c r="EC12" i="16"/>
  <c r="EC13" i="16"/>
  <c r="EB14" i="16"/>
  <c r="ED7" i="16"/>
  <c r="EC6" i="16"/>
  <c r="ED55" i="16" l="1"/>
  <c r="ED56" i="16"/>
  <c r="ED57" i="16"/>
  <c r="ED47" i="16"/>
  <c r="ED48" i="16"/>
  <c r="ED31" i="16"/>
  <c r="ED46" i="16"/>
  <c r="ED32" i="16"/>
  <c r="ED35" i="16"/>
  <c r="ED36" i="16"/>
  <c r="ED33" i="16"/>
  <c r="ED34" i="16"/>
  <c r="ED38" i="16"/>
  <c r="ED40" i="16"/>
  <c r="ED37" i="16"/>
  <c r="ED41" i="16"/>
  <c r="ED39" i="16"/>
  <c r="ED42" i="16"/>
  <c r="ED43" i="16"/>
  <c r="ED44" i="16"/>
  <c r="ED30" i="16"/>
  <c r="ED13" i="16"/>
  <c r="ED12" i="16"/>
  <c r="EC14" i="16"/>
  <c r="EE7" i="16"/>
  <c r="ED6" i="16"/>
  <c r="EE55" i="16" l="1"/>
  <c r="EE56" i="16"/>
  <c r="ED14" i="16"/>
  <c r="EE47" i="16"/>
  <c r="EE57" i="16"/>
  <c r="EE31" i="16"/>
  <c r="EE48" i="16"/>
  <c r="EE46" i="16"/>
  <c r="EE32" i="16"/>
  <c r="EE35" i="16"/>
  <c r="EE34" i="16"/>
  <c r="EE37" i="16"/>
  <c r="EE33" i="16"/>
  <c r="EE41" i="16"/>
  <c r="EE36" i="16"/>
  <c r="EE40" i="16"/>
  <c r="EE30" i="16"/>
  <c r="EE38" i="16"/>
  <c r="EE39" i="16"/>
  <c r="EE42" i="16"/>
  <c r="EE43" i="16"/>
  <c r="EE44" i="16"/>
  <c r="EE13" i="16"/>
  <c r="EE12" i="16"/>
  <c r="EF7" i="16"/>
  <c r="EE6" i="16"/>
  <c r="EF55" i="16" l="1"/>
  <c r="EF56" i="16"/>
  <c r="EF57" i="16"/>
  <c r="EF47" i="16"/>
  <c r="EF32" i="16"/>
  <c r="EF48" i="16"/>
  <c r="EF46" i="16"/>
  <c r="EF31" i="16"/>
  <c r="EF36" i="16"/>
  <c r="EF34" i="16"/>
  <c r="EF40" i="16"/>
  <c r="EF42" i="16"/>
  <c r="EF38" i="16"/>
  <c r="EF37" i="16"/>
  <c r="EF35" i="16"/>
  <c r="EF43" i="16"/>
  <c r="EF33" i="16"/>
  <c r="EF41" i="16"/>
  <c r="EF39" i="16"/>
  <c r="EF30" i="16"/>
  <c r="EF44" i="16"/>
  <c r="EF12" i="16"/>
  <c r="EF13" i="16"/>
  <c r="EE14" i="16"/>
  <c r="EG7" i="16"/>
  <c r="EF6" i="16"/>
  <c r="EG55" i="16" l="1"/>
  <c r="EG56" i="16"/>
  <c r="EG57" i="16"/>
  <c r="EG48" i="16"/>
  <c r="EG47" i="16"/>
  <c r="EG46" i="16"/>
  <c r="EG32" i="16"/>
  <c r="EG31" i="16"/>
  <c r="EG34" i="16"/>
  <c r="EG35" i="16"/>
  <c r="EG37" i="16"/>
  <c r="EG33" i="16"/>
  <c r="EG40" i="16"/>
  <c r="EG38" i="16"/>
  <c r="EG36" i="16"/>
  <c r="EG41" i="16"/>
  <c r="EG39" i="16"/>
  <c r="EG42" i="16"/>
  <c r="EG43" i="16"/>
  <c r="EG30" i="16"/>
  <c r="EG44" i="16"/>
  <c r="EG12" i="16"/>
  <c r="EG13" i="16"/>
  <c r="EF14" i="16"/>
  <c r="EH7" i="16"/>
  <c r="EG6" i="16"/>
  <c r="EG14" i="16" l="1"/>
  <c r="EH56" i="16"/>
  <c r="EH55" i="16"/>
  <c r="EH57" i="16"/>
  <c r="EH47" i="16"/>
  <c r="EH48" i="16"/>
  <c r="EH32" i="16"/>
  <c r="EH34" i="16"/>
  <c r="EH46" i="16"/>
  <c r="EH31" i="16"/>
  <c r="EH36" i="16"/>
  <c r="EH33" i="16"/>
  <c r="EH38" i="16"/>
  <c r="EH35" i="16"/>
  <c r="EH39" i="16"/>
  <c r="EH40" i="16"/>
  <c r="EH37" i="16"/>
  <c r="EH43" i="16"/>
  <c r="EH41" i="16"/>
  <c r="EH42" i="16"/>
  <c r="EH30" i="16"/>
  <c r="EH44" i="16"/>
  <c r="EH13" i="16"/>
  <c r="EH12" i="16"/>
  <c r="EI7" i="16"/>
  <c r="EH6" i="16"/>
  <c r="EI56" i="16" l="1"/>
  <c r="EI55" i="16"/>
  <c r="EI57" i="16"/>
  <c r="EI47" i="16"/>
  <c r="EI33" i="16"/>
  <c r="EI32" i="16"/>
  <c r="EI48" i="16"/>
  <c r="EI37" i="16"/>
  <c r="EI46" i="16"/>
  <c r="EI31" i="16"/>
  <c r="EI34" i="16"/>
  <c r="EI35" i="16"/>
  <c r="EI44" i="16"/>
  <c r="EI36" i="16"/>
  <c r="EI40" i="16"/>
  <c r="EI38" i="16"/>
  <c r="EI41" i="16"/>
  <c r="EI39" i="16"/>
  <c r="EI42" i="16"/>
  <c r="EI43" i="16"/>
  <c r="EI30" i="16"/>
  <c r="EI12" i="16"/>
  <c r="EI13" i="16"/>
  <c r="EH14" i="16"/>
  <c r="EJ7" i="16"/>
  <c r="EI6" i="16"/>
  <c r="EJ55" i="16" l="1"/>
  <c r="EJ56" i="16"/>
  <c r="EJ57" i="16"/>
  <c r="EJ48" i="16"/>
  <c r="EJ31" i="16"/>
  <c r="EJ47" i="16"/>
  <c r="EJ33" i="16"/>
  <c r="EJ32" i="16"/>
  <c r="EJ34" i="16"/>
  <c r="EJ46" i="16"/>
  <c r="EJ38" i="16"/>
  <c r="EJ35" i="16"/>
  <c r="EJ39" i="16"/>
  <c r="EJ36" i="16"/>
  <c r="EJ37" i="16"/>
  <c r="EJ42" i="16"/>
  <c r="EJ40" i="16"/>
  <c r="EJ44" i="16"/>
  <c r="EJ30" i="16"/>
  <c r="EJ41" i="16"/>
  <c r="EJ43" i="16"/>
  <c r="EJ12" i="16"/>
  <c r="EJ13" i="16"/>
  <c r="EI14" i="16"/>
  <c r="EK7" i="16"/>
  <c r="EJ6" i="16"/>
  <c r="EK56" i="16" l="1"/>
  <c r="EK55" i="16"/>
  <c r="EJ14" i="16"/>
  <c r="EK57" i="16"/>
  <c r="EK47" i="16"/>
  <c r="EK46" i="16"/>
  <c r="EK48" i="16"/>
  <c r="EK31" i="16"/>
  <c r="EK33" i="16"/>
  <c r="EK35" i="16"/>
  <c r="EK32" i="16"/>
  <c r="EK39" i="16"/>
  <c r="EK34" i="16"/>
  <c r="EK36" i="16"/>
  <c r="EK37" i="16"/>
  <c r="EK41" i="16"/>
  <c r="EK42" i="16"/>
  <c r="EK44" i="16"/>
  <c r="EK40" i="16"/>
  <c r="EK38" i="16"/>
  <c r="EK30" i="16"/>
  <c r="EK43" i="16"/>
  <c r="EK13" i="16"/>
  <c r="EK12" i="16"/>
  <c r="EL7" i="16"/>
  <c r="EK6" i="16"/>
  <c r="EK14" i="16" l="1"/>
  <c r="EL55" i="16"/>
  <c r="EL56" i="16"/>
  <c r="EL57" i="16"/>
  <c r="EL48" i="16"/>
  <c r="EL47" i="16"/>
  <c r="EL46" i="16"/>
  <c r="EL31" i="16"/>
  <c r="EL32" i="16"/>
  <c r="EL33" i="16"/>
  <c r="EL36" i="16"/>
  <c r="EL34" i="16"/>
  <c r="EL35" i="16"/>
  <c r="EL37" i="16"/>
  <c r="EL39" i="16"/>
  <c r="EL38" i="16"/>
  <c r="EL41" i="16"/>
  <c r="EL43" i="16"/>
  <c r="EL40" i="16"/>
  <c r="EL44" i="16"/>
  <c r="EL30" i="16"/>
  <c r="EL42" i="16"/>
  <c r="EL13" i="16"/>
  <c r="EL12" i="16"/>
  <c r="EM7" i="16"/>
  <c r="EL6" i="16"/>
  <c r="EM55" i="16" l="1"/>
  <c r="EM56" i="16"/>
  <c r="EL14" i="16"/>
  <c r="EM47" i="16"/>
  <c r="EM57" i="16"/>
  <c r="EM46" i="16"/>
  <c r="EM48" i="16"/>
  <c r="EM33" i="16"/>
  <c r="EM35" i="16"/>
  <c r="EM31" i="16"/>
  <c r="EM32" i="16"/>
  <c r="EM38" i="16"/>
  <c r="EM36" i="16"/>
  <c r="EM40" i="16"/>
  <c r="EM37" i="16"/>
  <c r="EM41" i="16"/>
  <c r="EM34" i="16"/>
  <c r="EM39" i="16"/>
  <c r="EM30" i="16"/>
  <c r="EM42" i="16"/>
  <c r="EM43" i="16"/>
  <c r="EM44" i="16"/>
  <c r="EM13" i="16"/>
  <c r="EM12" i="16"/>
  <c r="EN7" i="16"/>
  <c r="EM6" i="16"/>
  <c r="EN55" i="16" l="1"/>
  <c r="EN56" i="16"/>
  <c r="EN57" i="16"/>
  <c r="EN47" i="16"/>
  <c r="EN32" i="16"/>
  <c r="EN31" i="16"/>
  <c r="EN36" i="16"/>
  <c r="EN48" i="16"/>
  <c r="EN46" i="16"/>
  <c r="EN35" i="16"/>
  <c r="EN37" i="16"/>
  <c r="EN40" i="16"/>
  <c r="EN33" i="16"/>
  <c r="EN34" i="16"/>
  <c r="EN38" i="16"/>
  <c r="EN42" i="16"/>
  <c r="EN41" i="16"/>
  <c r="EN43" i="16"/>
  <c r="EN39" i="16"/>
  <c r="EN44" i="16"/>
  <c r="EN30" i="16"/>
  <c r="EN12" i="16"/>
  <c r="EN13" i="16"/>
  <c r="EM14" i="16"/>
  <c r="EO7" i="16"/>
  <c r="EN6" i="16"/>
  <c r="EN14" i="16" l="1"/>
  <c r="EO55" i="16"/>
  <c r="EO56" i="16"/>
  <c r="EO57" i="16"/>
  <c r="EO48" i="16"/>
  <c r="EO47" i="16"/>
  <c r="EO32" i="16"/>
  <c r="EO46" i="16"/>
  <c r="EO34" i="16"/>
  <c r="EO35" i="16"/>
  <c r="EO31" i="16"/>
  <c r="EO33" i="16"/>
  <c r="EO36" i="16"/>
  <c r="EO37" i="16"/>
  <c r="EO38" i="16"/>
  <c r="EO41" i="16"/>
  <c r="EO39" i="16"/>
  <c r="EO42" i="16"/>
  <c r="EO40" i="16"/>
  <c r="EO43" i="16"/>
  <c r="EO44" i="16"/>
  <c r="EO30" i="16"/>
  <c r="EO12" i="16"/>
  <c r="EO13" i="16"/>
  <c r="EP7" i="16"/>
  <c r="EO6" i="16"/>
  <c r="EO14" i="16" l="1"/>
  <c r="EP56" i="16"/>
  <c r="EP55" i="16"/>
  <c r="EP57" i="16"/>
  <c r="EP46" i="16"/>
  <c r="EP48" i="16"/>
  <c r="EP47" i="16"/>
  <c r="EP34" i="16"/>
  <c r="EP36" i="16"/>
  <c r="EP31" i="16"/>
  <c r="EP38" i="16"/>
  <c r="EP37" i="16"/>
  <c r="EP33" i="16"/>
  <c r="EP32" i="16"/>
  <c r="EP35" i="16"/>
  <c r="EP40" i="16"/>
  <c r="EP41" i="16"/>
  <c r="EP43" i="16"/>
  <c r="EP39" i="16"/>
  <c r="EP44" i="16"/>
  <c r="EP30" i="16"/>
  <c r="EP42" i="16"/>
  <c r="EP13" i="16"/>
  <c r="EP12" i="16"/>
  <c r="EQ7" i="16"/>
  <c r="EP6" i="16"/>
  <c r="EQ56" i="16" l="1"/>
  <c r="EQ55" i="16"/>
  <c r="EQ57" i="16"/>
  <c r="EQ47" i="16"/>
  <c r="EQ33" i="16"/>
  <c r="EQ48" i="16"/>
  <c r="EQ32" i="16"/>
  <c r="EQ46" i="16"/>
  <c r="EQ31" i="16"/>
  <c r="EQ37" i="16"/>
  <c r="EQ34" i="16"/>
  <c r="EQ35" i="16"/>
  <c r="EQ39" i="16"/>
  <c r="EQ36" i="16"/>
  <c r="EQ38" i="16"/>
  <c r="EQ40" i="16"/>
  <c r="EQ44" i="16"/>
  <c r="EQ41" i="16"/>
  <c r="EQ42" i="16"/>
  <c r="EQ43" i="16"/>
  <c r="EQ30" i="16"/>
  <c r="EQ13" i="16"/>
  <c r="EQ12" i="16"/>
  <c r="EP14" i="16"/>
  <c r="ER7" i="16"/>
  <c r="EQ6" i="16"/>
  <c r="ER55" i="16" l="1"/>
  <c r="ER56" i="16"/>
  <c r="ER57" i="16"/>
  <c r="ER47" i="16"/>
  <c r="ER33" i="16"/>
  <c r="ER48" i="16"/>
  <c r="ER31" i="16"/>
  <c r="ER34" i="16"/>
  <c r="ER32" i="16"/>
  <c r="ER46" i="16"/>
  <c r="ER38" i="16"/>
  <c r="ER35" i="16"/>
  <c r="ER36" i="16"/>
  <c r="ER37" i="16"/>
  <c r="ER40" i="16"/>
  <c r="ER41" i="16"/>
  <c r="ER39" i="16"/>
  <c r="ER42" i="16"/>
  <c r="ER43" i="16"/>
  <c r="ER44" i="16"/>
  <c r="ER30" i="16"/>
  <c r="ER13" i="16"/>
  <c r="ER12" i="16"/>
  <c r="ER14" i="16" s="1"/>
  <c r="EQ14" i="16"/>
  <c r="ES7" i="16"/>
  <c r="ER6" i="16"/>
  <c r="ES55" i="16" l="1"/>
  <c r="ES56" i="16"/>
  <c r="ES57" i="16"/>
  <c r="ES46" i="16"/>
  <c r="ES48" i="16"/>
  <c r="ES47" i="16"/>
  <c r="ES31" i="16"/>
  <c r="ES32" i="16"/>
  <c r="ES35" i="16"/>
  <c r="ES39" i="16"/>
  <c r="ES34" i="16"/>
  <c r="ES33" i="16"/>
  <c r="ES41" i="16"/>
  <c r="ES36" i="16"/>
  <c r="ES38" i="16"/>
  <c r="ES37" i="16"/>
  <c r="ES42" i="16"/>
  <c r="ES40" i="16"/>
  <c r="ES44" i="16"/>
  <c r="ES30" i="16"/>
  <c r="ES43" i="16"/>
  <c r="ES13" i="16"/>
  <c r="ES12" i="16"/>
  <c r="ET7" i="16"/>
  <c r="ES6" i="16"/>
  <c r="ES14" i="16" l="1"/>
  <c r="ET56" i="16"/>
  <c r="ET55" i="16"/>
  <c r="ET57" i="16"/>
  <c r="ET47" i="16"/>
  <c r="ET31" i="16"/>
  <c r="ET48" i="16"/>
  <c r="ET32" i="16"/>
  <c r="ET46" i="16"/>
  <c r="ET34" i="16"/>
  <c r="ET35" i="16"/>
  <c r="ET39" i="16"/>
  <c r="ET36" i="16"/>
  <c r="ET33" i="16"/>
  <c r="ET38" i="16"/>
  <c r="ET42" i="16"/>
  <c r="ET40" i="16"/>
  <c r="ET37" i="16"/>
  <c r="ET41" i="16"/>
  <c r="ET30" i="16"/>
  <c r="ET43" i="16"/>
  <c r="ET44" i="16"/>
  <c r="ET12" i="16"/>
  <c r="ET13" i="16"/>
  <c r="EU7" i="16"/>
  <c r="ET6" i="16"/>
  <c r="EU55" i="16" l="1"/>
  <c r="EU56" i="16"/>
  <c r="EU47" i="16"/>
  <c r="EU57" i="16"/>
  <c r="EU48" i="16"/>
  <c r="EU31" i="16"/>
  <c r="EU46" i="16"/>
  <c r="EU33" i="16"/>
  <c r="EU32" i="16"/>
  <c r="EU35" i="16"/>
  <c r="EU34" i="16"/>
  <c r="EU41" i="16"/>
  <c r="EU37" i="16"/>
  <c r="EU30" i="16"/>
  <c r="EU38" i="16"/>
  <c r="EU36" i="16"/>
  <c r="EU40" i="16"/>
  <c r="EU44" i="16"/>
  <c r="EU39" i="16"/>
  <c r="EU42" i="16"/>
  <c r="EU43" i="16"/>
  <c r="EU12" i="16"/>
  <c r="EU13" i="16"/>
  <c r="ET14" i="16"/>
  <c r="EV7" i="16"/>
  <c r="EU6" i="16"/>
  <c r="EV55" i="16" l="1"/>
  <c r="EV56" i="16"/>
  <c r="EV47" i="16"/>
  <c r="EV57" i="16"/>
  <c r="EV48" i="16"/>
  <c r="EV46" i="16"/>
  <c r="EV32" i="16"/>
  <c r="EV36" i="16"/>
  <c r="EV31" i="16"/>
  <c r="EV40" i="16"/>
  <c r="EV34" i="16"/>
  <c r="EV33" i="16"/>
  <c r="EV37" i="16"/>
  <c r="EV42" i="16"/>
  <c r="EV35" i="16"/>
  <c r="EV43" i="16"/>
  <c r="EV38" i="16"/>
  <c r="EV39" i="16"/>
  <c r="EV44" i="16"/>
  <c r="EV30" i="16"/>
  <c r="EV41" i="16"/>
  <c r="EV13" i="16"/>
  <c r="EV12" i="16"/>
  <c r="EU14" i="16"/>
  <c r="EW7" i="16"/>
  <c r="EV6" i="16"/>
  <c r="EW55" i="16" l="1"/>
  <c r="EW56" i="16"/>
  <c r="EV14" i="16"/>
  <c r="EW57" i="16"/>
  <c r="EW47" i="16"/>
  <c r="EW48" i="16"/>
  <c r="EW46" i="16"/>
  <c r="EW32" i="16"/>
  <c r="EW31" i="16"/>
  <c r="EW33" i="16"/>
  <c r="EW36" i="16"/>
  <c r="EW37" i="16"/>
  <c r="EW35" i="16"/>
  <c r="EW34" i="16"/>
  <c r="EW38" i="16"/>
  <c r="EW40" i="16"/>
  <c r="EW39" i="16"/>
  <c r="EW42" i="16"/>
  <c r="EW41" i="16"/>
  <c r="EW43" i="16"/>
  <c r="EW44" i="16"/>
  <c r="EW30" i="16"/>
  <c r="EW13" i="16"/>
  <c r="EW12" i="16"/>
  <c r="EX7" i="16"/>
  <c r="EW6" i="16"/>
  <c r="EX56" i="16" l="1"/>
  <c r="EX55" i="16"/>
  <c r="EX57" i="16"/>
  <c r="EX47" i="16"/>
  <c r="EX48" i="16"/>
  <c r="EX46" i="16"/>
  <c r="EX34" i="16"/>
  <c r="EX31" i="16"/>
  <c r="EX32" i="16"/>
  <c r="EX36" i="16"/>
  <c r="EX33" i="16"/>
  <c r="EX35" i="16"/>
  <c r="EX38" i="16"/>
  <c r="EX37" i="16"/>
  <c r="EX41" i="16"/>
  <c r="EX39" i="16"/>
  <c r="EX43" i="16"/>
  <c r="EX42" i="16"/>
  <c r="EX40" i="16"/>
  <c r="EX44" i="16"/>
  <c r="EX30" i="16"/>
  <c r="EX13" i="16"/>
  <c r="EX12" i="16"/>
  <c r="EW14" i="16"/>
  <c r="EY7" i="16"/>
  <c r="EX6" i="16"/>
  <c r="EY56" i="16" l="1"/>
  <c r="EY55" i="16"/>
  <c r="EY57" i="16"/>
  <c r="EY46" i="16"/>
  <c r="EY47" i="16"/>
  <c r="EY33" i="16"/>
  <c r="EY32" i="16"/>
  <c r="EY37" i="16"/>
  <c r="EY48" i="16"/>
  <c r="EY31" i="16"/>
  <c r="EY35" i="16"/>
  <c r="EY34" i="16"/>
  <c r="EY38" i="16"/>
  <c r="EY40" i="16"/>
  <c r="EY36" i="16"/>
  <c r="EY41" i="16"/>
  <c r="EY44" i="16"/>
  <c r="EY39" i="16"/>
  <c r="EY43" i="16"/>
  <c r="EY42" i="16"/>
  <c r="EY30" i="16"/>
  <c r="EY13" i="16"/>
  <c r="EY12" i="16"/>
  <c r="EX14" i="16"/>
  <c r="EZ7" i="16"/>
  <c r="EY6" i="16"/>
  <c r="EY14" i="16" l="1"/>
  <c r="EZ55" i="16"/>
  <c r="EZ56" i="16"/>
  <c r="EZ57" i="16"/>
  <c r="EZ47" i="16"/>
  <c r="EZ33" i="16"/>
  <c r="EZ46" i="16"/>
  <c r="EZ34" i="16"/>
  <c r="EZ32" i="16"/>
  <c r="EZ48" i="16"/>
  <c r="EZ31" i="16"/>
  <c r="EZ36" i="16"/>
  <c r="EZ37" i="16"/>
  <c r="EZ38" i="16"/>
  <c r="EZ39" i="16"/>
  <c r="EZ35" i="16"/>
  <c r="EZ41" i="16"/>
  <c r="EZ40" i="16"/>
  <c r="EZ43" i="16"/>
  <c r="EZ42" i="16"/>
  <c r="EZ44" i="16"/>
  <c r="EZ30" i="16"/>
  <c r="EZ13" i="16"/>
  <c r="EZ12" i="16"/>
  <c r="FA7" i="16"/>
  <c r="EZ6" i="16"/>
  <c r="FA56" i="16" l="1"/>
  <c r="FA55" i="16"/>
  <c r="FA57" i="16"/>
  <c r="FA46" i="16"/>
  <c r="FA31" i="16"/>
  <c r="FA47" i="16"/>
  <c r="FA35" i="16"/>
  <c r="FA32" i="16"/>
  <c r="FA34" i="16"/>
  <c r="FA33" i="16"/>
  <c r="FA39" i="16"/>
  <c r="FA48" i="16"/>
  <c r="FA36" i="16"/>
  <c r="FA41" i="16"/>
  <c r="FA37" i="16"/>
  <c r="FA44" i="16"/>
  <c r="FA38" i="16"/>
  <c r="FA40" i="16"/>
  <c r="FA43" i="16"/>
  <c r="FA42" i="16"/>
  <c r="FA30" i="16"/>
  <c r="FA13" i="16"/>
  <c r="FA12" i="16"/>
  <c r="FA14" i="16" s="1"/>
  <c r="EZ14" i="16"/>
  <c r="FB7" i="16"/>
  <c r="FA6" i="16"/>
  <c r="FB55" i="16" l="1"/>
  <c r="FB56" i="16"/>
  <c r="FB57" i="16"/>
  <c r="FB48" i="16"/>
  <c r="FB47" i="16"/>
  <c r="FB46" i="16"/>
  <c r="FB34" i="16"/>
  <c r="FB33" i="16"/>
  <c r="FB31" i="16"/>
  <c r="FB35" i="16"/>
  <c r="FB32" i="16"/>
  <c r="FB36" i="16"/>
  <c r="FB37" i="16"/>
  <c r="FB38" i="16"/>
  <c r="FB40" i="16"/>
  <c r="FB42" i="16"/>
  <c r="FB39" i="16"/>
  <c r="FB41" i="16"/>
  <c r="FB30" i="16"/>
  <c r="FB43" i="16"/>
  <c r="FB44" i="16"/>
  <c r="FB12" i="16"/>
  <c r="FB13" i="16"/>
  <c r="FC7" i="16"/>
  <c r="FB6" i="16"/>
  <c r="FC55" i="16" l="1"/>
  <c r="FC56" i="16"/>
  <c r="FC47" i="16"/>
  <c r="FC57" i="16"/>
  <c r="FC48" i="16"/>
  <c r="FC31" i="16"/>
  <c r="FC46" i="16"/>
  <c r="FC35" i="16"/>
  <c r="FC32" i="16"/>
  <c r="FC34" i="16"/>
  <c r="FC33" i="16"/>
  <c r="FC36" i="16"/>
  <c r="FC39" i="16"/>
  <c r="FC41" i="16"/>
  <c r="FC37" i="16"/>
  <c r="FC38" i="16"/>
  <c r="FC40" i="16"/>
  <c r="FC42" i="16"/>
  <c r="FC30" i="16"/>
  <c r="FC43" i="16"/>
  <c r="FC44" i="16"/>
  <c r="FC13" i="16"/>
  <c r="FC12" i="16"/>
  <c r="FB14" i="16"/>
  <c r="FD7" i="16"/>
  <c r="FC6" i="16"/>
  <c r="FD55" i="16" l="1"/>
  <c r="FD56" i="16"/>
  <c r="FD57" i="16"/>
  <c r="FD47" i="16"/>
  <c r="FD32" i="16"/>
  <c r="FD48" i="16"/>
  <c r="FD31" i="16"/>
  <c r="FD36" i="16"/>
  <c r="FD46" i="16"/>
  <c r="FD40" i="16"/>
  <c r="FD34" i="16"/>
  <c r="FD33" i="16"/>
  <c r="FD35" i="16"/>
  <c r="FD42" i="16"/>
  <c r="FD37" i="16"/>
  <c r="FD43" i="16"/>
  <c r="FD39" i="16"/>
  <c r="FD41" i="16"/>
  <c r="FD38" i="16"/>
  <c r="FD30" i="16"/>
  <c r="FD44" i="16"/>
  <c r="FD12" i="16"/>
  <c r="FD13" i="16"/>
  <c r="FC14" i="16"/>
  <c r="FE7" i="16"/>
  <c r="FD6" i="16"/>
  <c r="FE55" i="16" l="1"/>
  <c r="FE56" i="16"/>
  <c r="FE57" i="16"/>
  <c r="FE48" i="16"/>
  <c r="FE32" i="16"/>
  <c r="FE47" i="16"/>
  <c r="FE33" i="16"/>
  <c r="FE46" i="16"/>
  <c r="FE31" i="16"/>
  <c r="FE34" i="16"/>
  <c r="FE36" i="16"/>
  <c r="FE40" i="16"/>
  <c r="FE37" i="16"/>
  <c r="FE39" i="16"/>
  <c r="FE41" i="16"/>
  <c r="FE44" i="16"/>
  <c r="FE35" i="16"/>
  <c r="FE38" i="16"/>
  <c r="FE30" i="16"/>
  <c r="FE42" i="16"/>
  <c r="FE43" i="16"/>
  <c r="FE13" i="16"/>
  <c r="FE12" i="16"/>
  <c r="FD14" i="16"/>
  <c r="FF7" i="16"/>
  <c r="FE6" i="16"/>
  <c r="FF56" i="16" l="1"/>
  <c r="FF55" i="16"/>
  <c r="FF57" i="16"/>
  <c r="FF47" i="16"/>
  <c r="FF48" i="16"/>
  <c r="FF46" i="16"/>
  <c r="FF31" i="16"/>
  <c r="FF32" i="16"/>
  <c r="FF34" i="16"/>
  <c r="FF36" i="16"/>
  <c r="FF37" i="16"/>
  <c r="FF38" i="16"/>
  <c r="FF33" i="16"/>
  <c r="FF40" i="16"/>
  <c r="FF35" i="16"/>
  <c r="FF42" i="16"/>
  <c r="FF43" i="16"/>
  <c r="FF44" i="16"/>
  <c r="FF39" i="16"/>
  <c r="FF30" i="16"/>
  <c r="FF41" i="16"/>
  <c r="FF13" i="16"/>
  <c r="FF12" i="16"/>
  <c r="FE14" i="16"/>
  <c r="FG7" i="16"/>
  <c r="FF6" i="16"/>
  <c r="FG56" i="16" l="1"/>
  <c r="FG55" i="16"/>
  <c r="FF14" i="16"/>
  <c r="FG57" i="16"/>
  <c r="FG47" i="16"/>
  <c r="FG48" i="16"/>
  <c r="FG33" i="16"/>
  <c r="FG46" i="16"/>
  <c r="FG32" i="16"/>
  <c r="FG31" i="16"/>
  <c r="FG37" i="16"/>
  <c r="FG34" i="16"/>
  <c r="FG35" i="16"/>
  <c r="FG36" i="16"/>
  <c r="FG44" i="16"/>
  <c r="FG40" i="16"/>
  <c r="FG42" i="16"/>
  <c r="FG38" i="16"/>
  <c r="FG39" i="16"/>
  <c r="FG41" i="16"/>
  <c r="FG30" i="16"/>
  <c r="FG43" i="16"/>
  <c r="FG13" i="16"/>
  <c r="FG12" i="16"/>
  <c r="FH7" i="16"/>
  <c r="FG6" i="16"/>
  <c r="FH55" i="16" l="1"/>
  <c r="FH56" i="16"/>
  <c r="FH57" i="16"/>
  <c r="FH46" i="16"/>
  <c r="FH47" i="16"/>
  <c r="FH33" i="16"/>
  <c r="FH48" i="16"/>
  <c r="FH31" i="16"/>
  <c r="FH32" i="16"/>
  <c r="FH34" i="16"/>
  <c r="FH35" i="16"/>
  <c r="FH36" i="16"/>
  <c r="FH38" i="16"/>
  <c r="FH40" i="16"/>
  <c r="FH37" i="16"/>
  <c r="FH39" i="16"/>
  <c r="FH41" i="16"/>
  <c r="FH43" i="16"/>
  <c r="FH44" i="16"/>
  <c r="FH30" i="16"/>
  <c r="FH42" i="16"/>
  <c r="FH13" i="16"/>
  <c r="FH12" i="16"/>
  <c r="FG14" i="16"/>
  <c r="FI7" i="16"/>
  <c r="FH6" i="16"/>
  <c r="FI55" i="16" l="1"/>
  <c r="FI56" i="16"/>
  <c r="FI57" i="16"/>
  <c r="FI46" i="16"/>
  <c r="FI47" i="16"/>
  <c r="FI31" i="16"/>
  <c r="FI48" i="16"/>
  <c r="FI35" i="16"/>
  <c r="FI32" i="16"/>
  <c r="FI33" i="16"/>
  <c r="FI39" i="16"/>
  <c r="FI37" i="16"/>
  <c r="FI38" i="16"/>
  <c r="FI34" i="16"/>
  <c r="FI41" i="16"/>
  <c r="FI36" i="16"/>
  <c r="FI44" i="16"/>
  <c r="FI40" i="16"/>
  <c r="FI42" i="16"/>
  <c r="FI43" i="16"/>
  <c r="FI30" i="16"/>
  <c r="FI13" i="16"/>
  <c r="FI12" i="16"/>
  <c r="FH14" i="16"/>
  <c r="FJ7" i="16"/>
  <c r="FI6" i="16"/>
  <c r="FJ55" i="16" l="1"/>
  <c r="FJ56" i="16"/>
  <c r="FJ57" i="16"/>
  <c r="FJ47" i="16"/>
  <c r="FJ48" i="16"/>
  <c r="FJ31" i="16"/>
  <c r="FJ32" i="16"/>
  <c r="FJ46" i="16"/>
  <c r="FJ35" i="16"/>
  <c r="FJ36" i="16"/>
  <c r="FJ34" i="16"/>
  <c r="FJ33" i="16"/>
  <c r="FJ37" i="16"/>
  <c r="FJ38" i="16"/>
  <c r="FJ39" i="16"/>
  <c r="FJ41" i="16"/>
  <c r="FJ40" i="16"/>
  <c r="FJ42" i="16"/>
  <c r="FJ43" i="16"/>
  <c r="FJ44" i="16"/>
  <c r="FJ30" i="16"/>
  <c r="FJ13" i="16"/>
  <c r="FJ12" i="16"/>
  <c r="FI14" i="16"/>
  <c r="FK7" i="16"/>
  <c r="FJ6" i="16"/>
  <c r="FK55" i="16" l="1"/>
  <c r="FK56" i="16"/>
  <c r="FJ14" i="16"/>
  <c r="FK47" i="16"/>
  <c r="FK57" i="16"/>
  <c r="FK48" i="16"/>
  <c r="FK46" i="16"/>
  <c r="FK31" i="16"/>
  <c r="FK35" i="16"/>
  <c r="FK32" i="16"/>
  <c r="FK34" i="16"/>
  <c r="FK33" i="16"/>
  <c r="FK37" i="16"/>
  <c r="FK41" i="16"/>
  <c r="FK38" i="16"/>
  <c r="FK42" i="16"/>
  <c r="FK39" i="16"/>
  <c r="FK30" i="16"/>
  <c r="FK36" i="16"/>
  <c r="FK40" i="16"/>
  <c r="FK43" i="16"/>
  <c r="FK44" i="16"/>
  <c r="FK13" i="16"/>
  <c r="FK12" i="16"/>
  <c r="FL7" i="16"/>
  <c r="FK6" i="16"/>
  <c r="FK14" i="16" l="1"/>
  <c r="FL55" i="16"/>
  <c r="FL56" i="16"/>
  <c r="FL57" i="16"/>
  <c r="FL47" i="16"/>
  <c r="FL31" i="16"/>
  <c r="FL32" i="16"/>
  <c r="FL46" i="16"/>
  <c r="FL36" i="16"/>
  <c r="FL48" i="16"/>
  <c r="FL33" i="16"/>
  <c r="FL34" i="16"/>
  <c r="FL40" i="16"/>
  <c r="FL35" i="16"/>
  <c r="FL42" i="16"/>
  <c r="FL37" i="16"/>
  <c r="FL38" i="16"/>
  <c r="FL39" i="16"/>
  <c r="FL43" i="16"/>
  <c r="FL41" i="16"/>
  <c r="FL30" i="16"/>
  <c r="FL44" i="16"/>
  <c r="FL12" i="16"/>
  <c r="FL13" i="16"/>
  <c r="FM7" i="16"/>
  <c r="FL6" i="16"/>
  <c r="FM55" i="16" l="1"/>
  <c r="FM56" i="16"/>
  <c r="FM57" i="16"/>
  <c r="FM48" i="16"/>
  <c r="FM47" i="16"/>
  <c r="FM31" i="16"/>
  <c r="FM32" i="16"/>
  <c r="FM33" i="16"/>
  <c r="FM34" i="16"/>
  <c r="FM35" i="16"/>
  <c r="FM46" i="16"/>
  <c r="FM37" i="16"/>
  <c r="FM38" i="16"/>
  <c r="FM36" i="16"/>
  <c r="FM42" i="16"/>
  <c r="FM39" i="16"/>
  <c r="FM41" i="16"/>
  <c r="FM40" i="16"/>
  <c r="FM30" i="16"/>
  <c r="FM43" i="16"/>
  <c r="FM44" i="16"/>
  <c r="FM12" i="16"/>
  <c r="FM13" i="16"/>
  <c r="FL14" i="16"/>
  <c r="FN7" i="16"/>
  <c r="FM6" i="16"/>
  <c r="FN56" i="16" l="1"/>
  <c r="FN55" i="16"/>
  <c r="FN57" i="16"/>
  <c r="FN47" i="16"/>
  <c r="FN48" i="16"/>
  <c r="FN34" i="16"/>
  <c r="FN36" i="16"/>
  <c r="FN31" i="16"/>
  <c r="FN32" i="16"/>
  <c r="FN46" i="16"/>
  <c r="FN38" i="16"/>
  <c r="FN33" i="16"/>
  <c r="FN35" i="16"/>
  <c r="FN37" i="16"/>
  <c r="FN40" i="16"/>
  <c r="FN39" i="16"/>
  <c r="FN43" i="16"/>
  <c r="FN41" i="16"/>
  <c r="FN42" i="16"/>
  <c r="FN30" i="16"/>
  <c r="FN44" i="16"/>
  <c r="FN13" i="16"/>
  <c r="FN12" i="16"/>
  <c r="FM14" i="16"/>
  <c r="FO7" i="16"/>
  <c r="FN6" i="16"/>
  <c r="FN14" i="16" l="1"/>
  <c r="FO56" i="16"/>
  <c r="FO55" i="16"/>
  <c r="FO57" i="16"/>
  <c r="FO47" i="16"/>
  <c r="FO33" i="16"/>
  <c r="FO31" i="16"/>
  <c r="FO32" i="16"/>
  <c r="FO46" i="16"/>
  <c r="FO48" i="16"/>
  <c r="FO37" i="16"/>
  <c r="FO34" i="16"/>
  <c r="FO36" i="16"/>
  <c r="FO35" i="16"/>
  <c r="FO40" i="16"/>
  <c r="FO38" i="16"/>
  <c r="FO44" i="16"/>
  <c r="FO42" i="16"/>
  <c r="FO39" i="16"/>
  <c r="FO41" i="16"/>
  <c r="FO30" i="16"/>
  <c r="FO43" i="16"/>
  <c r="FO13" i="16"/>
  <c r="FO12" i="16"/>
  <c r="FP7" i="16"/>
  <c r="FO6" i="16"/>
  <c r="FP55" i="16" l="1"/>
  <c r="FP56" i="16"/>
  <c r="FP57" i="16"/>
  <c r="FP48" i="16"/>
  <c r="FP47" i="16"/>
  <c r="FP46" i="16"/>
  <c r="FP33" i="16"/>
  <c r="FP34" i="16"/>
  <c r="FP31" i="16"/>
  <c r="FP32" i="16"/>
  <c r="FP37" i="16"/>
  <c r="FP38" i="16"/>
  <c r="FP36" i="16"/>
  <c r="FP35" i="16"/>
  <c r="FP40" i="16"/>
  <c r="FP42" i="16"/>
  <c r="FP39" i="16"/>
  <c r="FP41" i="16"/>
  <c r="FP44" i="16"/>
  <c r="FP30" i="16"/>
  <c r="FP43" i="16"/>
  <c r="FP13" i="16"/>
  <c r="FP12" i="16"/>
  <c r="FO14" i="16"/>
  <c r="FQ7" i="16"/>
  <c r="FP6" i="16"/>
  <c r="FQ55" i="16" l="1"/>
  <c r="FQ56" i="16"/>
  <c r="FQ57" i="16"/>
  <c r="FQ47" i="16"/>
  <c r="FQ46" i="16"/>
  <c r="FQ48" i="16"/>
  <c r="FQ31" i="16"/>
  <c r="FQ33" i="16"/>
  <c r="FQ35" i="16"/>
  <c r="FQ32" i="16"/>
  <c r="FQ39" i="16"/>
  <c r="FQ34" i="16"/>
  <c r="FQ41" i="16"/>
  <c r="FQ36" i="16"/>
  <c r="FQ40" i="16"/>
  <c r="FQ37" i="16"/>
  <c r="FQ38" i="16"/>
  <c r="FQ44" i="16"/>
  <c r="FQ42" i="16"/>
  <c r="FQ30" i="16"/>
  <c r="FQ43" i="16"/>
  <c r="FQ13" i="16"/>
  <c r="FQ12" i="16"/>
  <c r="FP14" i="16"/>
  <c r="FR7" i="16"/>
  <c r="FQ6" i="16"/>
  <c r="FR55" i="16" l="1"/>
  <c r="FR56" i="16"/>
  <c r="FR57" i="16"/>
  <c r="FR46" i="16"/>
  <c r="FR48" i="16"/>
  <c r="FR47" i="16"/>
  <c r="FR32" i="16"/>
  <c r="FR36" i="16"/>
  <c r="FR33" i="16"/>
  <c r="FR37" i="16"/>
  <c r="FR31" i="16"/>
  <c r="FR34" i="16"/>
  <c r="FR35" i="16"/>
  <c r="FR40" i="16"/>
  <c r="FR38" i="16"/>
  <c r="FR41" i="16"/>
  <c r="FR43" i="16"/>
  <c r="FR44" i="16"/>
  <c r="FR39" i="16"/>
  <c r="FR42" i="16"/>
  <c r="FR30" i="16"/>
  <c r="FR13" i="16"/>
  <c r="FR12" i="16"/>
  <c r="FQ14" i="16"/>
  <c r="FS7" i="16"/>
  <c r="FR6" i="16"/>
  <c r="FS55" i="16" l="1"/>
  <c r="FS56" i="16"/>
  <c r="FS47" i="16"/>
  <c r="FS57" i="16"/>
  <c r="FS48" i="16"/>
  <c r="FS46" i="16"/>
  <c r="FS32" i="16"/>
  <c r="FS33" i="16"/>
  <c r="FS35" i="16"/>
  <c r="FS31" i="16"/>
  <c r="FS38" i="16"/>
  <c r="FS39" i="16"/>
  <c r="FS34" i="16"/>
  <c r="FS36" i="16"/>
  <c r="FS41" i="16"/>
  <c r="FS30" i="16"/>
  <c r="FS40" i="16"/>
  <c r="FS37" i="16"/>
  <c r="FS43" i="16"/>
  <c r="FS44" i="16"/>
  <c r="FS42" i="16"/>
  <c r="FS13" i="16"/>
  <c r="FS12" i="16"/>
  <c r="FR14" i="16"/>
  <c r="FT7" i="16"/>
  <c r="FS6" i="16"/>
  <c r="FT55" i="16" l="1"/>
  <c r="FT56" i="16"/>
  <c r="FT57" i="16"/>
  <c r="FT48" i="16"/>
  <c r="FT47" i="16"/>
  <c r="FT32" i="16"/>
  <c r="FT31" i="16"/>
  <c r="FT46" i="16"/>
  <c r="FT36" i="16"/>
  <c r="FT35" i="16"/>
  <c r="FT40" i="16"/>
  <c r="FT33" i="16"/>
  <c r="FT34" i="16"/>
  <c r="FT38" i="16"/>
  <c r="FT42" i="16"/>
  <c r="FT37" i="16"/>
  <c r="FT41" i="16"/>
  <c r="FT43" i="16"/>
  <c r="FT39" i="16"/>
  <c r="FT44" i="16"/>
  <c r="FT30" i="16"/>
  <c r="FT12" i="16"/>
  <c r="FT13" i="16"/>
  <c r="FS14" i="16"/>
  <c r="FU7" i="16"/>
  <c r="FT6" i="16"/>
  <c r="FT14" i="16" l="1"/>
  <c r="FU55" i="16"/>
  <c r="FU56" i="16"/>
  <c r="FU57" i="16"/>
  <c r="FU48" i="16"/>
  <c r="FU47" i="16"/>
  <c r="FU31" i="16"/>
  <c r="FU32" i="16"/>
  <c r="FU46" i="16"/>
  <c r="FU34" i="16"/>
  <c r="FU35" i="16"/>
  <c r="FU36" i="16"/>
  <c r="FU33" i="16"/>
  <c r="FU37" i="16"/>
  <c r="FU39" i="16"/>
  <c r="FU42" i="16"/>
  <c r="FU41" i="16"/>
  <c r="FU38" i="16"/>
  <c r="FU40" i="16"/>
  <c r="FU30" i="16"/>
  <c r="FU43" i="16"/>
  <c r="FU44" i="16"/>
  <c r="FU12" i="16"/>
  <c r="FU13" i="16"/>
  <c r="FV7" i="16"/>
  <c r="FU6" i="16"/>
  <c r="FV56" i="16" l="1"/>
  <c r="FV55" i="16"/>
  <c r="FV57" i="16"/>
  <c r="FV31" i="16"/>
  <c r="FV48" i="16"/>
  <c r="FV46" i="16"/>
  <c r="FV34" i="16"/>
  <c r="FV32" i="16"/>
  <c r="FV36" i="16"/>
  <c r="FV47" i="16"/>
  <c r="FV38" i="16"/>
  <c r="FV33" i="16"/>
  <c r="FV37" i="16"/>
  <c r="FV35" i="16"/>
  <c r="FV39" i="16"/>
  <c r="FV42" i="16"/>
  <c r="FV41" i="16"/>
  <c r="FV43" i="16"/>
  <c r="FV40" i="16"/>
  <c r="FV30" i="16"/>
  <c r="FV44" i="16"/>
  <c r="FV13" i="16"/>
  <c r="FV12" i="16"/>
  <c r="FU14" i="16"/>
  <c r="FW7" i="16"/>
  <c r="FV6" i="16"/>
  <c r="FW56" i="16" l="1"/>
  <c r="FW55" i="16"/>
  <c r="FW57" i="16"/>
  <c r="FW47" i="16"/>
  <c r="FW33" i="16"/>
  <c r="FW48" i="16"/>
  <c r="FW32" i="16"/>
  <c r="FW31" i="16"/>
  <c r="FW37" i="16"/>
  <c r="FW46" i="16"/>
  <c r="FW34" i="16"/>
  <c r="FW35" i="16"/>
  <c r="FW38" i="16"/>
  <c r="FW36" i="16"/>
  <c r="FW39" i="16"/>
  <c r="FW44" i="16"/>
  <c r="FW41" i="16"/>
  <c r="FW30" i="16"/>
  <c r="FW43" i="16"/>
  <c r="FW40" i="16"/>
  <c r="FW42" i="16"/>
  <c r="FW12" i="16"/>
  <c r="FW13" i="16"/>
  <c r="FV14" i="16"/>
  <c r="FX7" i="16"/>
  <c r="FW6" i="16"/>
  <c r="FX56" i="16" l="1"/>
  <c r="FX55" i="16"/>
  <c r="FX57" i="16"/>
  <c r="FX47" i="16"/>
  <c r="FX33" i="16"/>
  <c r="FX31" i="16"/>
  <c r="FX48" i="16"/>
  <c r="FX46" i="16"/>
  <c r="FX32" i="16"/>
  <c r="FX34" i="16"/>
  <c r="FX38" i="16"/>
  <c r="FX35" i="16"/>
  <c r="FX40" i="16"/>
  <c r="FX37" i="16"/>
  <c r="FX36" i="16"/>
  <c r="FX39" i="16"/>
  <c r="FX42" i="16"/>
  <c r="FX41" i="16"/>
  <c r="FX30" i="16"/>
  <c r="FX43" i="16"/>
  <c r="FX44" i="16"/>
  <c r="FX13" i="16"/>
  <c r="FX12" i="16"/>
  <c r="FW14" i="16"/>
  <c r="FY7" i="16"/>
  <c r="FX6" i="16"/>
  <c r="FY56" i="16" l="1"/>
  <c r="FY55" i="16"/>
  <c r="FY57" i="16"/>
  <c r="FY46" i="16"/>
  <c r="FY47" i="16"/>
  <c r="FY31" i="16"/>
  <c r="FY35" i="16"/>
  <c r="FY48" i="16"/>
  <c r="FY32" i="16"/>
  <c r="FY37" i="16"/>
  <c r="FY39" i="16"/>
  <c r="FY34" i="16"/>
  <c r="FY33" i="16"/>
  <c r="FY41" i="16"/>
  <c r="FY38" i="16"/>
  <c r="FY44" i="16"/>
  <c r="FY42" i="16"/>
  <c r="FY40" i="16"/>
  <c r="FY36" i="16"/>
  <c r="FY30" i="16"/>
  <c r="FY43" i="16"/>
  <c r="FY13" i="16"/>
  <c r="FY12" i="16"/>
  <c r="FX14" i="16"/>
  <c r="FZ7" i="16"/>
  <c r="FY6" i="16"/>
  <c r="FZ56" i="16" l="1"/>
  <c r="FZ55" i="16"/>
  <c r="FZ57" i="16"/>
  <c r="FZ47" i="16"/>
  <c r="FZ48" i="16"/>
  <c r="FZ31" i="16"/>
  <c r="FZ46" i="16"/>
  <c r="FZ32" i="16"/>
  <c r="FZ33" i="16"/>
  <c r="FZ34" i="16"/>
  <c r="FZ37" i="16"/>
  <c r="FZ40" i="16"/>
  <c r="FZ35" i="16"/>
  <c r="FZ36" i="16"/>
  <c r="FZ39" i="16"/>
  <c r="FZ38" i="16"/>
  <c r="FZ41" i="16"/>
  <c r="FZ30" i="16"/>
  <c r="FZ42" i="16"/>
  <c r="FZ44" i="16"/>
  <c r="FZ43" i="16"/>
  <c r="FZ13" i="16"/>
  <c r="FZ12" i="16"/>
  <c r="FY14" i="16"/>
  <c r="GA7" i="16"/>
  <c r="FZ6" i="16"/>
  <c r="GA55" i="16" l="1"/>
  <c r="GA56" i="16"/>
  <c r="GA47" i="16"/>
  <c r="GA57" i="16"/>
  <c r="GA48" i="16"/>
  <c r="GA46" i="16"/>
  <c r="GA33" i="16"/>
  <c r="GA31" i="16"/>
  <c r="GA35" i="16"/>
  <c r="GA32" i="16"/>
  <c r="GA37" i="16"/>
  <c r="GA34" i="16"/>
  <c r="GA36" i="16"/>
  <c r="GA41" i="16"/>
  <c r="GA40" i="16"/>
  <c r="GA30" i="16"/>
  <c r="GA39" i="16"/>
  <c r="GA42" i="16"/>
  <c r="GA44" i="16"/>
  <c r="GA38" i="16"/>
  <c r="GA43" i="16"/>
  <c r="GA13" i="16"/>
  <c r="GA12" i="16"/>
  <c r="FZ14" i="16"/>
  <c r="GB7" i="16"/>
  <c r="GA6" i="16"/>
  <c r="GB55" i="16" l="1"/>
  <c r="GB56" i="16"/>
  <c r="GA14" i="16"/>
  <c r="GB57" i="16"/>
  <c r="GB47" i="16"/>
  <c r="GB46" i="16"/>
  <c r="GB32" i="16"/>
  <c r="GB36" i="16"/>
  <c r="GB48" i="16"/>
  <c r="GB31" i="16"/>
  <c r="GB33" i="16"/>
  <c r="GB40" i="16"/>
  <c r="GB34" i="16"/>
  <c r="GB39" i="16"/>
  <c r="GB42" i="16"/>
  <c r="GB37" i="16"/>
  <c r="GB35" i="16"/>
  <c r="GB43" i="16"/>
  <c r="GB38" i="16"/>
  <c r="GB41" i="16"/>
  <c r="GB44" i="16"/>
  <c r="GB30" i="16"/>
  <c r="GB12" i="16"/>
  <c r="GB13" i="16"/>
  <c r="GC7" i="16"/>
  <c r="GB6" i="16"/>
  <c r="GC55" i="16" l="1"/>
  <c r="GC56" i="16"/>
  <c r="GC57" i="16"/>
  <c r="GC48" i="16"/>
  <c r="GC47" i="16"/>
  <c r="GC46" i="16"/>
  <c r="GC32" i="16"/>
  <c r="GC33" i="16"/>
  <c r="GC31" i="16"/>
  <c r="GC36" i="16"/>
  <c r="GC35" i="16"/>
  <c r="GC38" i="16"/>
  <c r="GC34" i="16"/>
  <c r="GC37" i="16"/>
  <c r="GC40" i="16"/>
  <c r="GC39" i="16"/>
  <c r="GC41" i="16"/>
  <c r="GC43" i="16"/>
  <c r="GC42" i="16"/>
  <c r="GC44" i="16"/>
  <c r="GC30" i="16"/>
  <c r="GC12" i="16"/>
  <c r="GC13" i="16"/>
  <c r="GB14" i="16"/>
  <c r="GD7" i="16"/>
  <c r="GC6" i="16"/>
  <c r="GC14" i="16" l="1"/>
  <c r="GD56" i="16"/>
  <c r="GD55" i="16"/>
  <c r="GD57" i="16"/>
  <c r="GD48" i="16"/>
  <c r="GD47" i="16"/>
  <c r="GD31" i="16"/>
  <c r="GD34" i="16"/>
  <c r="GD46" i="16"/>
  <c r="GD32" i="16"/>
  <c r="GD35" i="16"/>
  <c r="GD38" i="16"/>
  <c r="GD33" i="16"/>
  <c r="GD36" i="16"/>
  <c r="GD39" i="16"/>
  <c r="GD41" i="16"/>
  <c r="GD42" i="16"/>
  <c r="GD40" i="16"/>
  <c r="GD43" i="16"/>
  <c r="GD37" i="16"/>
  <c r="GD30" i="16"/>
  <c r="GD44" i="16"/>
  <c r="GD12" i="16"/>
  <c r="GD13" i="16"/>
  <c r="GE7" i="16"/>
  <c r="GD6" i="16"/>
  <c r="GE56" i="16" l="1"/>
  <c r="GE55" i="16"/>
  <c r="GE57" i="16"/>
  <c r="GE47" i="16"/>
  <c r="GE33" i="16"/>
  <c r="GE31" i="16"/>
  <c r="GE46" i="16"/>
  <c r="GE32" i="16"/>
  <c r="GE37" i="16"/>
  <c r="GE48" i="16"/>
  <c r="GE35" i="16"/>
  <c r="GE36" i="16"/>
  <c r="GE34" i="16"/>
  <c r="GE38" i="16"/>
  <c r="GE41" i="16"/>
  <c r="GE42" i="16"/>
  <c r="GE44" i="16"/>
  <c r="GE40" i="16"/>
  <c r="GE43" i="16"/>
  <c r="GE30" i="16"/>
  <c r="GE39" i="16"/>
  <c r="GE12" i="16"/>
  <c r="GE13" i="16"/>
  <c r="GD14" i="16"/>
  <c r="GF7" i="16"/>
  <c r="GE6" i="16"/>
  <c r="GF55" i="16" l="1"/>
  <c r="GF56" i="16"/>
  <c r="GF57" i="16"/>
  <c r="GF47" i="16"/>
  <c r="GF48" i="16"/>
  <c r="GF46" i="16"/>
  <c r="GF32" i="16"/>
  <c r="GF34" i="16"/>
  <c r="GF33" i="16"/>
  <c r="GF38" i="16"/>
  <c r="GF31" i="16"/>
  <c r="GF36" i="16"/>
  <c r="GF37" i="16"/>
  <c r="GF41" i="16"/>
  <c r="GF40" i="16"/>
  <c r="GF35" i="16"/>
  <c r="GF39" i="16"/>
  <c r="GF42" i="16"/>
  <c r="GF43" i="16"/>
  <c r="GF30" i="16"/>
  <c r="GF44" i="16"/>
  <c r="GF13" i="16"/>
  <c r="GF12" i="16"/>
  <c r="GE14" i="16"/>
  <c r="GG7" i="16"/>
  <c r="GF6" i="16"/>
  <c r="GG56" i="16" l="1"/>
  <c r="GG55" i="16"/>
  <c r="GG57" i="16"/>
  <c r="GG47" i="16"/>
  <c r="GG46" i="16"/>
  <c r="GG31" i="16"/>
  <c r="GG48" i="16"/>
  <c r="GG32" i="16"/>
  <c r="GG35" i="16"/>
  <c r="GG34" i="16"/>
  <c r="GG39" i="16"/>
  <c r="GG33" i="16"/>
  <c r="GG37" i="16"/>
  <c r="GG40" i="16"/>
  <c r="GG41" i="16"/>
  <c r="GG36" i="16"/>
  <c r="GG38" i="16"/>
  <c r="GG42" i="16"/>
  <c r="GG44" i="16"/>
  <c r="GG43" i="16"/>
  <c r="GG30" i="16"/>
  <c r="GG13" i="16"/>
  <c r="GG12" i="16"/>
  <c r="GF14" i="16"/>
  <c r="GH7" i="16"/>
  <c r="GG6" i="16"/>
  <c r="GH56" i="16" l="1"/>
  <c r="GH55" i="16"/>
  <c r="GH57" i="16"/>
  <c r="GH48" i="16"/>
  <c r="GH31" i="16"/>
  <c r="GH32" i="16"/>
  <c r="GH47" i="16"/>
  <c r="GH34" i="16"/>
  <c r="GH37" i="16"/>
  <c r="GH35" i="16"/>
  <c r="GH46" i="16"/>
  <c r="GH33" i="16"/>
  <c r="GH38" i="16"/>
  <c r="GH36" i="16"/>
  <c r="GH39" i="16"/>
  <c r="GH41" i="16"/>
  <c r="GH42" i="16"/>
  <c r="GH40" i="16"/>
  <c r="GH43" i="16"/>
  <c r="GH30" i="16"/>
  <c r="GH44" i="16"/>
  <c r="GH13" i="16"/>
  <c r="GH12" i="16"/>
  <c r="GG14" i="16"/>
  <c r="GI7" i="16"/>
  <c r="GH6" i="16"/>
  <c r="GI55" i="16" l="1"/>
  <c r="GI56" i="16"/>
  <c r="GI47" i="16"/>
  <c r="GI57" i="16"/>
  <c r="GI48" i="16"/>
  <c r="GI32" i="16"/>
  <c r="GI35" i="16"/>
  <c r="GI46" i="16"/>
  <c r="GI31" i="16"/>
  <c r="GI34" i="16"/>
  <c r="GI37" i="16"/>
  <c r="GI33" i="16"/>
  <c r="GI40" i="16"/>
  <c r="GI41" i="16"/>
  <c r="GI38" i="16"/>
  <c r="GI36" i="16"/>
  <c r="GI39" i="16"/>
  <c r="GI30" i="16"/>
  <c r="GI42" i="16"/>
  <c r="GI43" i="16"/>
  <c r="GI44" i="16"/>
  <c r="GI13" i="16"/>
  <c r="GI12" i="16"/>
  <c r="GH14" i="16"/>
  <c r="GJ7" i="16"/>
  <c r="GI6" i="16"/>
  <c r="GJ55" i="16" l="1"/>
  <c r="GJ56" i="16"/>
  <c r="GJ48" i="16"/>
  <c r="GJ46" i="16"/>
  <c r="GJ57" i="16"/>
  <c r="GJ47" i="16"/>
  <c r="GJ32" i="16"/>
  <c r="GJ31" i="16"/>
  <c r="GJ33" i="16"/>
  <c r="GJ36" i="16"/>
  <c r="GJ40" i="16"/>
  <c r="GJ34" i="16"/>
  <c r="GJ37" i="16"/>
  <c r="GJ35" i="16"/>
  <c r="GJ42" i="16"/>
  <c r="GJ38" i="16"/>
  <c r="GJ43" i="16"/>
  <c r="GJ39" i="16"/>
  <c r="GJ41" i="16"/>
  <c r="GJ30" i="16"/>
  <c r="GJ44" i="16"/>
  <c r="GJ12" i="16"/>
  <c r="GJ13" i="16"/>
  <c r="GI14" i="16"/>
  <c r="GK7" i="16"/>
  <c r="GJ6" i="16"/>
  <c r="GK55" i="16" l="1"/>
  <c r="GK56" i="16"/>
  <c r="GJ14" i="16"/>
  <c r="GK57" i="16"/>
  <c r="GK48" i="16"/>
  <c r="GK47" i="16"/>
  <c r="GK32" i="16"/>
  <c r="GK46" i="16"/>
  <c r="GK31" i="16"/>
  <c r="GK34" i="16"/>
  <c r="GK33" i="16"/>
  <c r="GK39" i="16"/>
  <c r="GK37" i="16"/>
  <c r="GK35" i="16"/>
  <c r="GK38" i="16"/>
  <c r="GK41" i="16"/>
  <c r="GK36" i="16"/>
  <c r="GK44" i="16"/>
  <c r="GK42" i="16"/>
  <c r="GK40" i="16"/>
  <c r="GK30" i="16"/>
  <c r="GK43" i="16"/>
  <c r="GK12" i="16"/>
  <c r="GK13" i="16"/>
  <c r="GL7" i="16"/>
  <c r="GK6" i="16"/>
  <c r="GL56" i="16" l="1"/>
  <c r="GL55" i="16"/>
  <c r="GL57" i="16"/>
  <c r="GL47" i="16"/>
  <c r="GL48" i="16"/>
  <c r="GL46" i="16"/>
  <c r="GL34" i="16"/>
  <c r="GL31" i="16"/>
  <c r="GL33" i="16"/>
  <c r="GL32" i="16"/>
  <c r="GL36" i="16"/>
  <c r="GL38" i="16"/>
  <c r="GL35" i="16"/>
  <c r="GL37" i="16"/>
  <c r="GL39" i="16"/>
  <c r="GL43" i="16"/>
  <c r="GL40" i="16"/>
  <c r="GL44" i="16"/>
  <c r="GL41" i="16"/>
  <c r="GL42" i="16"/>
  <c r="GL30" i="16"/>
  <c r="GL12" i="16"/>
  <c r="GL13" i="16"/>
  <c r="GK14" i="16"/>
  <c r="GM7" i="16"/>
  <c r="GL6" i="16"/>
  <c r="GM56" i="16" l="1"/>
  <c r="GM55" i="16"/>
  <c r="GM57" i="16"/>
  <c r="GM47" i="16"/>
  <c r="GM48" i="16"/>
  <c r="GM31" i="16"/>
  <c r="GM33" i="16"/>
  <c r="GM46" i="16"/>
  <c r="GM32" i="16"/>
  <c r="GM37" i="16"/>
  <c r="GM34" i="16"/>
  <c r="GM35" i="16"/>
  <c r="GM39" i="16"/>
  <c r="GM36" i="16"/>
  <c r="GM40" i="16"/>
  <c r="GM42" i="16"/>
  <c r="GM44" i="16"/>
  <c r="GM38" i="16"/>
  <c r="GM41" i="16"/>
  <c r="GM30" i="16"/>
  <c r="GM43" i="16"/>
  <c r="GM12" i="16"/>
  <c r="GM13" i="16"/>
  <c r="GL14" i="16"/>
  <c r="GN7" i="16"/>
  <c r="GM6" i="16"/>
  <c r="GN55" i="16" l="1"/>
  <c r="GN56" i="16"/>
  <c r="GN57" i="16"/>
  <c r="GN47" i="16"/>
  <c r="GN31" i="16"/>
  <c r="GN48" i="16"/>
  <c r="GN46" i="16"/>
  <c r="GN34" i="16"/>
  <c r="GN32" i="16"/>
  <c r="GN33" i="16"/>
  <c r="GN35" i="16"/>
  <c r="GN36" i="16"/>
  <c r="GN38" i="16"/>
  <c r="GN37" i="16"/>
  <c r="GN41" i="16"/>
  <c r="GN40" i="16"/>
  <c r="GN42" i="16"/>
  <c r="GN39" i="16"/>
  <c r="GN43" i="16"/>
  <c r="GN30" i="16"/>
  <c r="GN44" i="16"/>
  <c r="GN13" i="16"/>
  <c r="GN12" i="16"/>
  <c r="GM14" i="16"/>
  <c r="GO7" i="16"/>
  <c r="GN6" i="16"/>
  <c r="GO55" i="16" l="1"/>
  <c r="GO56" i="16"/>
  <c r="GN14" i="16"/>
  <c r="GO57" i="16"/>
  <c r="GO46" i="16"/>
  <c r="GO47" i="16"/>
  <c r="GO31" i="16"/>
  <c r="GO35" i="16"/>
  <c r="GO48" i="16"/>
  <c r="GO33" i="16"/>
  <c r="GO39" i="16"/>
  <c r="GO32" i="16"/>
  <c r="GO36" i="16"/>
  <c r="GO38" i="16"/>
  <c r="GO41" i="16"/>
  <c r="GO34" i="16"/>
  <c r="GO37" i="16"/>
  <c r="GO40" i="16"/>
  <c r="GO44" i="16"/>
  <c r="GO43" i="16"/>
  <c r="GO30" i="16"/>
  <c r="GO42" i="16"/>
  <c r="GO13" i="16"/>
  <c r="GO12" i="16"/>
  <c r="GP7" i="16"/>
  <c r="GO6" i="16"/>
  <c r="GP55" i="16" l="1"/>
  <c r="GP56" i="16"/>
  <c r="GP57" i="16"/>
  <c r="GP47" i="16"/>
  <c r="GP46" i="16"/>
  <c r="GP31" i="16"/>
  <c r="GP32" i="16"/>
  <c r="GP35" i="16"/>
  <c r="GP33" i="16"/>
  <c r="GP48" i="16"/>
  <c r="GP34" i="16"/>
  <c r="GP36" i="16"/>
  <c r="GP38" i="16"/>
  <c r="GP40" i="16"/>
  <c r="GP37" i="16"/>
  <c r="GP41" i="16"/>
  <c r="GP42" i="16"/>
  <c r="GP39" i="16"/>
  <c r="GP43" i="16"/>
  <c r="GP44" i="16"/>
  <c r="GP30" i="16"/>
  <c r="GP13" i="16"/>
  <c r="GP12" i="16"/>
  <c r="GO14" i="16"/>
  <c r="GQ7" i="16"/>
  <c r="GP6" i="16"/>
  <c r="GQ55" i="16" l="1"/>
  <c r="GQ56" i="16"/>
  <c r="GQ47" i="16"/>
  <c r="GQ57" i="16"/>
  <c r="GQ31" i="16"/>
  <c r="GQ46" i="16"/>
  <c r="GQ32" i="16"/>
  <c r="GQ35" i="16"/>
  <c r="GQ48" i="16"/>
  <c r="GQ34" i="16"/>
  <c r="GQ37" i="16"/>
  <c r="GQ33" i="16"/>
  <c r="GQ36" i="16"/>
  <c r="GQ41" i="16"/>
  <c r="GQ30" i="16"/>
  <c r="GQ40" i="16"/>
  <c r="GQ38" i="16"/>
  <c r="GQ42" i="16"/>
  <c r="GQ43" i="16"/>
  <c r="GQ44" i="16"/>
  <c r="GQ39" i="16"/>
  <c r="GQ13" i="16"/>
  <c r="GQ12" i="16"/>
  <c r="GP14" i="16"/>
  <c r="GR7" i="16"/>
  <c r="GQ6" i="16"/>
  <c r="GR55" i="16" l="1"/>
  <c r="GR56" i="16"/>
  <c r="GR57" i="16"/>
  <c r="GR47" i="16"/>
  <c r="GR48" i="16"/>
  <c r="GR32" i="16"/>
  <c r="GR36" i="16"/>
  <c r="GR46" i="16"/>
  <c r="GR31" i="16"/>
  <c r="GR34" i="16"/>
  <c r="GR40" i="16"/>
  <c r="GR33" i="16"/>
  <c r="GR35" i="16"/>
  <c r="GR42" i="16"/>
  <c r="GR38" i="16"/>
  <c r="GR37" i="16"/>
  <c r="GR43" i="16"/>
  <c r="GR41" i="16"/>
  <c r="GR39" i="16"/>
  <c r="GR30" i="16"/>
  <c r="GR44" i="16"/>
  <c r="GR12" i="16"/>
  <c r="GR13" i="16"/>
  <c r="GQ14" i="16"/>
  <c r="GS7" i="16"/>
  <c r="GR6" i="16"/>
  <c r="GS55" i="16" l="1"/>
  <c r="GS56" i="16"/>
  <c r="GS57" i="16"/>
  <c r="GS48" i="16"/>
  <c r="GS47" i="16"/>
  <c r="GS46" i="16"/>
  <c r="GS32" i="16"/>
  <c r="GS33" i="16"/>
  <c r="GS31" i="16"/>
  <c r="GS34" i="16"/>
  <c r="GS35" i="16"/>
  <c r="GS37" i="16"/>
  <c r="GS36" i="16"/>
  <c r="GS40" i="16"/>
  <c r="GS38" i="16"/>
  <c r="GS39" i="16"/>
  <c r="GS41" i="16"/>
  <c r="GS43" i="16"/>
  <c r="GS30" i="16"/>
  <c r="GS42" i="16"/>
  <c r="GS44" i="16"/>
  <c r="GS12" i="16"/>
  <c r="GS13" i="16"/>
  <c r="GR14" i="16"/>
  <c r="GT7" i="16"/>
  <c r="GS6" i="16"/>
  <c r="GS14" i="16" l="1"/>
  <c r="GT56" i="16"/>
  <c r="GT55" i="16"/>
  <c r="GT57" i="16"/>
  <c r="GT47" i="16"/>
  <c r="GT48" i="16"/>
  <c r="GT32" i="16"/>
  <c r="GT34" i="16"/>
  <c r="GT46" i="16"/>
  <c r="GT38" i="16"/>
  <c r="GT35" i="16"/>
  <c r="GT33" i="16"/>
  <c r="GT37" i="16"/>
  <c r="GT39" i="16"/>
  <c r="GT36" i="16"/>
  <c r="GT31" i="16"/>
  <c r="GT43" i="16"/>
  <c r="GT40" i="16"/>
  <c r="GT41" i="16"/>
  <c r="GT42" i="16"/>
  <c r="GT44" i="16"/>
  <c r="GT30" i="16"/>
  <c r="GT12" i="16"/>
  <c r="GT13" i="16"/>
  <c r="GU7" i="16"/>
  <c r="GT6" i="16"/>
  <c r="GT14" i="16" l="1"/>
  <c r="GU56" i="16"/>
  <c r="GU55" i="16"/>
  <c r="GU57" i="16"/>
  <c r="GU48" i="16"/>
  <c r="GU47" i="16"/>
  <c r="GU33" i="16"/>
  <c r="GU32" i="16"/>
  <c r="GU37" i="16"/>
  <c r="GU46" i="16"/>
  <c r="GU31" i="16"/>
  <c r="GU36" i="16"/>
  <c r="GU34" i="16"/>
  <c r="GU35" i="16"/>
  <c r="GU39" i="16"/>
  <c r="GU44" i="16"/>
  <c r="GU38" i="16"/>
  <c r="GU40" i="16"/>
  <c r="GU41" i="16"/>
  <c r="GU42" i="16"/>
  <c r="GU43" i="16"/>
  <c r="GU30" i="16"/>
  <c r="GU12" i="16"/>
  <c r="GU13" i="16"/>
  <c r="GV7" i="16"/>
  <c r="GU6" i="16"/>
  <c r="GV55" i="16" l="1"/>
  <c r="GV56" i="16"/>
  <c r="GV57" i="16"/>
  <c r="GV47" i="16"/>
  <c r="GV48" i="16"/>
  <c r="GV46" i="16"/>
  <c r="GV31" i="16"/>
  <c r="GV33" i="16"/>
  <c r="GV34" i="16"/>
  <c r="GV32" i="16"/>
  <c r="GV38" i="16"/>
  <c r="GV37" i="16"/>
  <c r="GV35" i="16"/>
  <c r="GV39" i="16"/>
  <c r="GV36" i="16"/>
  <c r="GV42" i="16"/>
  <c r="GV44" i="16"/>
  <c r="GV30" i="16"/>
  <c r="GV41" i="16"/>
  <c r="GV40" i="16"/>
  <c r="GV43" i="16"/>
  <c r="GV13" i="16"/>
  <c r="GV12" i="16"/>
  <c r="GU14" i="16"/>
  <c r="GW7" i="16"/>
  <c r="GV6" i="16"/>
  <c r="GW55" i="16" l="1"/>
  <c r="GW56" i="16"/>
  <c r="GW57" i="16"/>
  <c r="GW46" i="16"/>
  <c r="GW48" i="16"/>
  <c r="GW31" i="16"/>
  <c r="GW47" i="16"/>
  <c r="GW35" i="16"/>
  <c r="GW32" i="16"/>
  <c r="GW39" i="16"/>
  <c r="GW36" i="16"/>
  <c r="GW34" i="16"/>
  <c r="GW41" i="16"/>
  <c r="GW37" i="16"/>
  <c r="GW33" i="16"/>
  <c r="GW42" i="16"/>
  <c r="GW44" i="16"/>
  <c r="GW40" i="16"/>
  <c r="GW30" i="16"/>
  <c r="GW38" i="16"/>
  <c r="GW43" i="16"/>
  <c r="GW13" i="16"/>
  <c r="GW12" i="16"/>
  <c r="GV14" i="16"/>
  <c r="GX7" i="16"/>
  <c r="GW6" i="16"/>
  <c r="GX55" i="16" l="1"/>
  <c r="GX56" i="16"/>
  <c r="GW14" i="16"/>
  <c r="GX57" i="16"/>
  <c r="GX46" i="16"/>
  <c r="GX31" i="16"/>
  <c r="GX48" i="16"/>
  <c r="GX47" i="16"/>
  <c r="GX32" i="16"/>
  <c r="GX34" i="16"/>
  <c r="GX33" i="16"/>
  <c r="GX37" i="16"/>
  <c r="GX35" i="16"/>
  <c r="GX36" i="16"/>
  <c r="GX40" i="16"/>
  <c r="GX39" i="16"/>
  <c r="GX38" i="16"/>
  <c r="GX41" i="16"/>
  <c r="GX43" i="16"/>
  <c r="GX44" i="16"/>
  <c r="GX42" i="16"/>
  <c r="GX30" i="16"/>
  <c r="GX13" i="16"/>
  <c r="GX12" i="16"/>
  <c r="GY7" i="16"/>
  <c r="GX6" i="16"/>
  <c r="GY55" i="16" l="1"/>
  <c r="GY56" i="16"/>
  <c r="GY47" i="16"/>
  <c r="GY57" i="16"/>
  <c r="GY48" i="16"/>
  <c r="GY31" i="16"/>
  <c r="GY35" i="16"/>
  <c r="GY46" i="16"/>
  <c r="GY33" i="16"/>
  <c r="GY32" i="16"/>
  <c r="GY38" i="16"/>
  <c r="GY40" i="16"/>
  <c r="GY41" i="16"/>
  <c r="GY37" i="16"/>
  <c r="GY34" i="16"/>
  <c r="GY36" i="16"/>
  <c r="GY30" i="16"/>
  <c r="GY39" i="16"/>
  <c r="GY42" i="16"/>
  <c r="GY43" i="16"/>
  <c r="GY44" i="16"/>
  <c r="GY13" i="16"/>
  <c r="GY12" i="16"/>
  <c r="GX14" i="16"/>
  <c r="GZ7" i="16"/>
  <c r="GY6" i="16"/>
  <c r="GZ55" i="16" l="1"/>
  <c r="GZ56" i="16"/>
  <c r="GZ57" i="16"/>
  <c r="GZ47" i="16"/>
  <c r="GZ32" i="16"/>
  <c r="GZ46" i="16"/>
  <c r="GZ31" i="16"/>
  <c r="GZ48" i="16"/>
  <c r="GZ36" i="16"/>
  <c r="GZ35" i="16"/>
  <c r="GZ33" i="16"/>
  <c r="GZ37" i="16"/>
  <c r="GZ40" i="16"/>
  <c r="GZ34" i="16"/>
  <c r="GZ38" i="16"/>
  <c r="GZ42" i="16"/>
  <c r="GZ41" i="16"/>
  <c r="GZ43" i="16"/>
  <c r="GZ39" i="16"/>
  <c r="GZ44" i="16"/>
  <c r="GZ30" i="16"/>
  <c r="GZ12" i="16"/>
  <c r="GZ13" i="16"/>
  <c r="GY14" i="16"/>
  <c r="HA7" i="16"/>
  <c r="GZ6" i="16"/>
  <c r="HA55" i="16" l="1"/>
  <c r="HA56" i="16"/>
  <c r="GZ14" i="16"/>
  <c r="HA57" i="16"/>
  <c r="HA48" i="16"/>
  <c r="HA47" i="16"/>
  <c r="HA32" i="16"/>
  <c r="HA31" i="16"/>
  <c r="HA34" i="16"/>
  <c r="HA35" i="16"/>
  <c r="HA33" i="16"/>
  <c r="HA36" i="16"/>
  <c r="HA46" i="16"/>
  <c r="HA37" i="16"/>
  <c r="HA38" i="16"/>
  <c r="HA40" i="16"/>
  <c r="HA41" i="16"/>
  <c r="HA42" i="16"/>
  <c r="HA39" i="16"/>
  <c r="HA43" i="16"/>
  <c r="HA44" i="16"/>
  <c r="HA30" i="16"/>
  <c r="HA12" i="16"/>
  <c r="HA13" i="16"/>
  <c r="HB7" i="16"/>
  <c r="HA6" i="16"/>
  <c r="HB56" i="16" l="1"/>
  <c r="HB55" i="16"/>
  <c r="HA14" i="16"/>
  <c r="HB57" i="16"/>
  <c r="HB47" i="16"/>
  <c r="HB46" i="16"/>
  <c r="HB48" i="16"/>
  <c r="HB33" i="16"/>
  <c r="HB34" i="16"/>
  <c r="HB31" i="16"/>
  <c r="HB38" i="16"/>
  <c r="HB37" i="16"/>
  <c r="HB32" i="16"/>
  <c r="HB36" i="16"/>
  <c r="HB40" i="16"/>
  <c r="HB35" i="16"/>
  <c r="HB41" i="16"/>
  <c r="HB43" i="16"/>
  <c r="HB42" i="16"/>
  <c r="HB44" i="16"/>
  <c r="HB30" i="16"/>
  <c r="HB39" i="16"/>
  <c r="HB12" i="16"/>
  <c r="HB13" i="16"/>
  <c r="HC7" i="16"/>
  <c r="HB6" i="16"/>
  <c r="HC56" i="16" l="1"/>
  <c r="HC55" i="16"/>
  <c r="HB14" i="16"/>
  <c r="HC57" i="16"/>
  <c r="HC33" i="16"/>
  <c r="HC32" i="16"/>
  <c r="HC47" i="16"/>
  <c r="HC48" i="16"/>
  <c r="HC37" i="16"/>
  <c r="HC31" i="16"/>
  <c r="HC46" i="16"/>
  <c r="HC34" i="16"/>
  <c r="HC35" i="16"/>
  <c r="HC39" i="16"/>
  <c r="HC36" i="16"/>
  <c r="HC38" i="16"/>
  <c r="HC44" i="16"/>
  <c r="HC40" i="16"/>
  <c r="HC41" i="16"/>
  <c r="HC43" i="16"/>
  <c r="HC42" i="16"/>
  <c r="HC30" i="16"/>
  <c r="HC12" i="16"/>
  <c r="HC13" i="16"/>
  <c r="HD7" i="16"/>
  <c r="HC6" i="16"/>
  <c r="HD55" i="16" l="1"/>
  <c r="HD56" i="16"/>
  <c r="HC14" i="16"/>
  <c r="HD57" i="16"/>
  <c r="HD47" i="16"/>
  <c r="HD46" i="16"/>
  <c r="HD48" i="16"/>
  <c r="HD34" i="16"/>
  <c r="HD31" i="16"/>
  <c r="HD32" i="16"/>
  <c r="HD36" i="16"/>
  <c r="HD33" i="16"/>
  <c r="HD38" i="16"/>
  <c r="HD35" i="16"/>
  <c r="HD37" i="16"/>
  <c r="HD40" i="16"/>
  <c r="HD41" i="16"/>
  <c r="HD39" i="16"/>
  <c r="HD43" i="16"/>
  <c r="HD42" i="16"/>
  <c r="HD30" i="16"/>
  <c r="HD44" i="16"/>
  <c r="HD13" i="16"/>
  <c r="HD12" i="16"/>
  <c r="HE7" i="16"/>
  <c r="HD6" i="16"/>
  <c r="HE55" i="16" l="1"/>
  <c r="HE56" i="16"/>
  <c r="HD14" i="16"/>
  <c r="HE57" i="16"/>
  <c r="HE46" i="16"/>
  <c r="HE48" i="16"/>
  <c r="HE47" i="16"/>
  <c r="HE31" i="16"/>
  <c r="HE32" i="16"/>
  <c r="HE35" i="16"/>
  <c r="HE33" i="16"/>
  <c r="HE39" i="16"/>
  <c r="HE34" i="16"/>
  <c r="HE41" i="16"/>
  <c r="HE36" i="16"/>
  <c r="HE38" i="16"/>
  <c r="HE37" i="16"/>
  <c r="HE42" i="16"/>
  <c r="HE44" i="16"/>
  <c r="HE40" i="16"/>
  <c r="HE30" i="16"/>
  <c r="HE43" i="16"/>
  <c r="HE13" i="16"/>
  <c r="HE12" i="16"/>
  <c r="HF7" i="16"/>
  <c r="HE6" i="16"/>
  <c r="HF56" i="16" l="1"/>
  <c r="HF55" i="16"/>
  <c r="HF57" i="16"/>
  <c r="HF47" i="16"/>
  <c r="HF48" i="16"/>
  <c r="HF31" i="16"/>
  <c r="HF46" i="16"/>
  <c r="HF32" i="16"/>
  <c r="HF34" i="16"/>
  <c r="HF36" i="16"/>
  <c r="HF33" i="16"/>
  <c r="HF37" i="16"/>
  <c r="HF39" i="16"/>
  <c r="HF35" i="16"/>
  <c r="HF38" i="16"/>
  <c r="HF42" i="16"/>
  <c r="HF40" i="16"/>
  <c r="HF41" i="16"/>
  <c r="HF30" i="16"/>
  <c r="HF43" i="16"/>
  <c r="HF44" i="16"/>
  <c r="HF13" i="16"/>
  <c r="HF12" i="16"/>
  <c r="HE14" i="16"/>
  <c r="HG7" i="16"/>
  <c r="HF6" i="16"/>
  <c r="HG55" i="16" l="1"/>
  <c r="HG56" i="16"/>
  <c r="HF14" i="16"/>
  <c r="HG47" i="16"/>
  <c r="HG57" i="16"/>
  <c r="HG48" i="16"/>
  <c r="HG46" i="16"/>
  <c r="HG31" i="16"/>
  <c r="HG35" i="16"/>
  <c r="HG34" i="16"/>
  <c r="HG33" i="16"/>
  <c r="HG32" i="16"/>
  <c r="HG37" i="16"/>
  <c r="HG41" i="16"/>
  <c r="HG36" i="16"/>
  <c r="HG39" i="16"/>
  <c r="HG30" i="16"/>
  <c r="HG38" i="16"/>
  <c r="HG44" i="16"/>
  <c r="HG40" i="16"/>
  <c r="HG43" i="16"/>
  <c r="HG42" i="16"/>
  <c r="HG13" i="16"/>
  <c r="HG12" i="16"/>
  <c r="HH7" i="16"/>
  <c r="HG6" i="16"/>
  <c r="HG14" i="16" l="1"/>
  <c r="HH55" i="16"/>
  <c r="HH56" i="16"/>
  <c r="HH57" i="16"/>
  <c r="HH47" i="16"/>
  <c r="HH48" i="16"/>
  <c r="HH32" i="16"/>
  <c r="HH46" i="16"/>
  <c r="HH36" i="16"/>
  <c r="HH31" i="16"/>
  <c r="HH40" i="16"/>
  <c r="HH34" i="16"/>
  <c r="HH42" i="16"/>
  <c r="HH37" i="16"/>
  <c r="HH33" i="16"/>
  <c r="HH35" i="16"/>
  <c r="HH39" i="16"/>
  <c r="HH43" i="16"/>
  <c r="HH38" i="16"/>
  <c r="HH44" i="16"/>
  <c r="HH30" i="16"/>
  <c r="HH41" i="16"/>
  <c r="HH12" i="16"/>
  <c r="HH13" i="16"/>
  <c r="HI7" i="16"/>
  <c r="HH6" i="16"/>
  <c r="HI55" i="16" l="1"/>
  <c r="HI56" i="16"/>
  <c r="HI57" i="16"/>
  <c r="HI47" i="16"/>
  <c r="HI48" i="16"/>
  <c r="HI32" i="16"/>
  <c r="HI31" i="16"/>
  <c r="HI46" i="16"/>
  <c r="HI37" i="16"/>
  <c r="HI33" i="16"/>
  <c r="HI35" i="16"/>
  <c r="HI38" i="16"/>
  <c r="HI40" i="16"/>
  <c r="HI36" i="16"/>
  <c r="HI39" i="16"/>
  <c r="HI42" i="16"/>
  <c r="HI34" i="16"/>
  <c r="HI41" i="16"/>
  <c r="HI43" i="16"/>
  <c r="HI44" i="16"/>
  <c r="HI30" i="16"/>
  <c r="HI12" i="16"/>
  <c r="HI13" i="16"/>
  <c r="HH14" i="16"/>
  <c r="HJ7" i="16"/>
  <c r="HI6" i="16"/>
  <c r="HJ56" i="16" l="1"/>
  <c r="HJ55" i="16"/>
  <c r="HI14" i="16"/>
  <c r="HJ57" i="16"/>
  <c r="HJ47" i="16"/>
  <c r="HJ48" i="16"/>
  <c r="HJ46" i="16"/>
  <c r="HJ34" i="16"/>
  <c r="HJ32" i="16"/>
  <c r="HJ33" i="16"/>
  <c r="HJ35" i="16"/>
  <c r="HJ38" i="16"/>
  <c r="HJ31" i="16"/>
  <c r="HJ37" i="16"/>
  <c r="HJ41" i="16"/>
  <c r="HJ36" i="16"/>
  <c r="HJ39" i="16"/>
  <c r="HJ43" i="16"/>
  <c r="HJ42" i="16"/>
  <c r="HJ40" i="16"/>
  <c r="HJ44" i="16"/>
  <c r="HJ30" i="16"/>
  <c r="HJ12" i="16"/>
  <c r="HJ13" i="16"/>
  <c r="HK7" i="16"/>
  <c r="HJ6" i="16"/>
  <c r="HK56" i="16" l="1"/>
  <c r="HK55" i="16"/>
  <c r="HJ14" i="16"/>
  <c r="HK57" i="16"/>
  <c r="HK47" i="16"/>
  <c r="HK46" i="16"/>
  <c r="HK33" i="16"/>
  <c r="HK48" i="16"/>
  <c r="HK32" i="16"/>
  <c r="HK37" i="16"/>
  <c r="HK31" i="16"/>
  <c r="HK35" i="16"/>
  <c r="HK34" i="16"/>
  <c r="HK38" i="16"/>
  <c r="HK40" i="16"/>
  <c r="HK36" i="16"/>
  <c r="HK41" i="16"/>
  <c r="HK44" i="16"/>
  <c r="HK39" i="16"/>
  <c r="HK43" i="16"/>
  <c r="HK30" i="16"/>
  <c r="HK42" i="16"/>
  <c r="HK12" i="16"/>
  <c r="HK13" i="16"/>
  <c r="HL7" i="16"/>
  <c r="HK6" i="16"/>
  <c r="HL55" i="16" l="1"/>
  <c r="HL56" i="16"/>
  <c r="HK14" i="16"/>
  <c r="HL57" i="16"/>
  <c r="HL47" i="16"/>
  <c r="HL48" i="16"/>
  <c r="HL31" i="16"/>
  <c r="HL33" i="16"/>
  <c r="HL46" i="16"/>
  <c r="HL34" i="16"/>
  <c r="HL32" i="16"/>
  <c r="HL37" i="16"/>
  <c r="HL38" i="16"/>
  <c r="HL36" i="16"/>
  <c r="HL35" i="16"/>
  <c r="HL39" i="16"/>
  <c r="HL40" i="16"/>
  <c r="HL41" i="16"/>
  <c r="HL42" i="16"/>
  <c r="HL43" i="16"/>
  <c r="HL44" i="16"/>
  <c r="HL30" i="16"/>
  <c r="HL13" i="16"/>
  <c r="HL12" i="16"/>
  <c r="HM7" i="16"/>
  <c r="HL6" i="16"/>
  <c r="HM56" i="16" l="1"/>
  <c r="HM55" i="16"/>
  <c r="HL14" i="16"/>
  <c r="HM57" i="16"/>
  <c r="HM46" i="16"/>
  <c r="HM31" i="16"/>
  <c r="HM48" i="16"/>
  <c r="HM47" i="16"/>
  <c r="HM35" i="16"/>
  <c r="HM34" i="16"/>
  <c r="HM33" i="16"/>
  <c r="HM36" i="16"/>
  <c r="HM39" i="16"/>
  <c r="HM32" i="16"/>
  <c r="HM41" i="16"/>
  <c r="HM37" i="16"/>
  <c r="HM40" i="16"/>
  <c r="HM44" i="16"/>
  <c r="HM38" i="16"/>
  <c r="HM42" i="16"/>
  <c r="HM43" i="16"/>
  <c r="HM30" i="16"/>
  <c r="HM13" i="16"/>
  <c r="HM12" i="16"/>
  <c r="HN7" i="16"/>
  <c r="HM6" i="16"/>
  <c r="HM14" i="16" l="1"/>
  <c r="HN55" i="16"/>
  <c r="HN56" i="16"/>
  <c r="HN57" i="16"/>
  <c r="HN47" i="16"/>
  <c r="HN48" i="16"/>
  <c r="HN31" i="16"/>
  <c r="HN33" i="16"/>
  <c r="HN46" i="16"/>
  <c r="HN32" i="16"/>
  <c r="HN34" i="16"/>
  <c r="HN35" i="16"/>
  <c r="HN36" i="16"/>
  <c r="HN38" i="16"/>
  <c r="HN37" i="16"/>
  <c r="HN42" i="16"/>
  <c r="HN40" i="16"/>
  <c r="HN41" i="16"/>
  <c r="HN39" i="16"/>
  <c r="HN30" i="16"/>
  <c r="HN43" i="16"/>
  <c r="HN44" i="16"/>
  <c r="HN13" i="16"/>
  <c r="HN12" i="16"/>
  <c r="HO7" i="16"/>
  <c r="HN6" i="16"/>
  <c r="HO55" i="16" l="1"/>
  <c r="HO56" i="16"/>
  <c r="HO47" i="16"/>
  <c r="HO57" i="16"/>
  <c r="HO31" i="16"/>
  <c r="HO48" i="16"/>
  <c r="HO35" i="16"/>
  <c r="HO46" i="16"/>
  <c r="HO32" i="16"/>
  <c r="HO33" i="16"/>
  <c r="HO34" i="16"/>
  <c r="HO36" i="16"/>
  <c r="HO39" i="16"/>
  <c r="HO41" i="16"/>
  <c r="HO38" i="16"/>
  <c r="HO42" i="16"/>
  <c r="HO30" i="16"/>
  <c r="HO37" i="16"/>
  <c r="HO40" i="16"/>
  <c r="HO43" i="16"/>
  <c r="HO44" i="16"/>
  <c r="HO13" i="16"/>
  <c r="HO12" i="16"/>
  <c r="HN14" i="16"/>
  <c r="HP7" i="16"/>
  <c r="HO6" i="16"/>
  <c r="HO14" i="16" l="1"/>
  <c r="HP55" i="16"/>
  <c r="HP56" i="16"/>
  <c r="HP48" i="16"/>
  <c r="HP57" i="16"/>
  <c r="HP32" i="16"/>
  <c r="HP31" i="16"/>
  <c r="HP36" i="16"/>
  <c r="HP47" i="16"/>
  <c r="HP40" i="16"/>
  <c r="HP33" i="16"/>
  <c r="HP34" i="16"/>
  <c r="HP35" i="16"/>
  <c r="HP46" i="16"/>
  <c r="HP42" i="16"/>
  <c r="HP37" i="16"/>
  <c r="HP43" i="16"/>
  <c r="HP41" i="16"/>
  <c r="HP38" i="16"/>
  <c r="HP30" i="16"/>
  <c r="HP39" i="16"/>
  <c r="HP44" i="16"/>
  <c r="HP12" i="16"/>
  <c r="HP13" i="16"/>
  <c r="HQ7" i="16"/>
  <c r="HP6" i="16"/>
  <c r="HQ55" i="16" l="1"/>
  <c r="HQ56" i="16"/>
  <c r="HP14" i="16"/>
  <c r="HQ57" i="16"/>
  <c r="HQ47" i="16"/>
  <c r="HQ48" i="16"/>
  <c r="HQ46" i="16"/>
  <c r="HQ32" i="16"/>
  <c r="HQ31" i="16"/>
  <c r="HQ33" i="16"/>
  <c r="HQ34" i="16"/>
  <c r="HQ37" i="16"/>
  <c r="HQ35" i="16"/>
  <c r="HQ36" i="16"/>
  <c r="HQ40" i="16"/>
  <c r="HQ41" i="16"/>
  <c r="HQ39" i="16"/>
  <c r="HQ44" i="16"/>
  <c r="HQ42" i="16"/>
  <c r="HQ30" i="16"/>
  <c r="HQ38" i="16"/>
  <c r="HQ43" i="16"/>
  <c r="HQ12" i="16"/>
  <c r="HQ13" i="16"/>
  <c r="HR7" i="16"/>
  <c r="HQ6" i="16"/>
  <c r="HQ14" i="16" l="1"/>
  <c r="HR56" i="16"/>
  <c r="HR55" i="16"/>
  <c r="HR57" i="16"/>
  <c r="HR47" i="16"/>
  <c r="HR48" i="16"/>
  <c r="HR46" i="16"/>
  <c r="HR31" i="16"/>
  <c r="HR32" i="16"/>
  <c r="HR34" i="16"/>
  <c r="HR37" i="16"/>
  <c r="HR38" i="16"/>
  <c r="HR33" i="16"/>
  <c r="HR40" i="16"/>
  <c r="HR35" i="16"/>
  <c r="HR36" i="16"/>
  <c r="HR39" i="16"/>
  <c r="HR42" i="16"/>
  <c r="HR43" i="16"/>
  <c r="HR44" i="16"/>
  <c r="HR30" i="16"/>
  <c r="HR41" i="16"/>
  <c r="HR12" i="16"/>
  <c r="HR13" i="16"/>
  <c r="HS7" i="16"/>
  <c r="HR6" i="16"/>
  <c r="HS56" i="16" l="1"/>
  <c r="HS55" i="16"/>
  <c r="HR14" i="16"/>
  <c r="HS57" i="16"/>
  <c r="HS33" i="16"/>
  <c r="HS32" i="16"/>
  <c r="HS37" i="16"/>
  <c r="HS31" i="16"/>
  <c r="HS48" i="16"/>
  <c r="HS47" i="16"/>
  <c r="HS46" i="16"/>
  <c r="HS34" i="16"/>
  <c r="HS35" i="16"/>
  <c r="HS36" i="16"/>
  <c r="HS39" i="16"/>
  <c r="HS44" i="16"/>
  <c r="HS40" i="16"/>
  <c r="HS38" i="16"/>
  <c r="HS41" i="16"/>
  <c r="HS42" i="16"/>
  <c r="HS30" i="16"/>
  <c r="HS43" i="16"/>
  <c r="HS12" i="16"/>
  <c r="HS13" i="16"/>
  <c r="HT7" i="16"/>
  <c r="HS6" i="16"/>
  <c r="HT55" i="16" l="1"/>
  <c r="HT56" i="16"/>
  <c r="HS14" i="16"/>
  <c r="HT57" i="16"/>
  <c r="HT46" i="16"/>
  <c r="HT47" i="16"/>
  <c r="HT32" i="16"/>
  <c r="HT34" i="16"/>
  <c r="HT31" i="16"/>
  <c r="HT48" i="16"/>
  <c r="HT35" i="16"/>
  <c r="HT38" i="16"/>
  <c r="HT37" i="16"/>
  <c r="HT40" i="16"/>
  <c r="HT33" i="16"/>
  <c r="HT36" i="16"/>
  <c r="HT41" i="16"/>
  <c r="HT39" i="16"/>
  <c r="HT43" i="16"/>
  <c r="HT44" i="16"/>
  <c r="HT42" i="16"/>
  <c r="HT30" i="16"/>
  <c r="HT13" i="16"/>
  <c r="HT12" i="16"/>
  <c r="HU7" i="16"/>
  <c r="HT6" i="16"/>
  <c r="HU56" i="16" l="1"/>
  <c r="HU55" i="16"/>
  <c r="HU57" i="16"/>
  <c r="HU46" i="16"/>
  <c r="HU47" i="16"/>
  <c r="HU31" i="16"/>
  <c r="HU48" i="16"/>
  <c r="HU33" i="16"/>
  <c r="HU35" i="16"/>
  <c r="HU32" i="16"/>
  <c r="HU39" i="16"/>
  <c r="HU37" i="16"/>
  <c r="HU38" i="16"/>
  <c r="HU41" i="16"/>
  <c r="HU34" i="16"/>
  <c r="HU36" i="16"/>
  <c r="HU44" i="16"/>
  <c r="HU40" i="16"/>
  <c r="HU43" i="16"/>
  <c r="HU42" i="16"/>
  <c r="HU30" i="16"/>
  <c r="HU13" i="16"/>
  <c r="HU12" i="16"/>
  <c r="HT14" i="16"/>
  <c r="HV7" i="16"/>
  <c r="HU6" i="16"/>
  <c r="HV55" i="16" l="1"/>
  <c r="HV56" i="16"/>
  <c r="HU14" i="16"/>
  <c r="HV57" i="16"/>
  <c r="HV47" i="16"/>
  <c r="HV48" i="16"/>
  <c r="HV46" i="16"/>
  <c r="HV32" i="16"/>
  <c r="HV31" i="16"/>
  <c r="HV35" i="16"/>
  <c r="HV36" i="16"/>
  <c r="HV33" i="16"/>
  <c r="HV34" i="16"/>
  <c r="HV38" i="16"/>
  <c r="HV39" i="16"/>
  <c r="HV37" i="16"/>
  <c r="HV41" i="16"/>
  <c r="HV40" i="16"/>
  <c r="HV43" i="16"/>
  <c r="HV44" i="16"/>
  <c r="HV42" i="16"/>
  <c r="HV30" i="16"/>
  <c r="HV13" i="16"/>
  <c r="HV12" i="16"/>
  <c r="HW7" i="16"/>
  <c r="HV6" i="16"/>
  <c r="HW55" i="16" l="1"/>
  <c r="HW56" i="16"/>
  <c r="HV14" i="16"/>
  <c r="HW47" i="16"/>
  <c r="HW57" i="16"/>
  <c r="HW48" i="16"/>
  <c r="HW46" i="16"/>
  <c r="HW33" i="16"/>
  <c r="HW35" i="16"/>
  <c r="HW32" i="16"/>
  <c r="HW31" i="16"/>
  <c r="HW34" i="16"/>
  <c r="HW37" i="16"/>
  <c r="HW41" i="16"/>
  <c r="HW36" i="16"/>
  <c r="HW38" i="16"/>
  <c r="HW40" i="16"/>
  <c r="HW42" i="16"/>
  <c r="HW30" i="16"/>
  <c r="HW39" i="16"/>
  <c r="HW43" i="16"/>
  <c r="HW44" i="16"/>
  <c r="HW13" i="16"/>
  <c r="HW12" i="16"/>
  <c r="HX7" i="16"/>
  <c r="HW6" i="16"/>
  <c r="HX55" i="16" l="1"/>
  <c r="HX56" i="16"/>
  <c r="HW14" i="16"/>
  <c r="HX57" i="16"/>
  <c r="HX47" i="16"/>
  <c r="HX31" i="16"/>
  <c r="HX32" i="16"/>
  <c r="HX48" i="16"/>
  <c r="HX46" i="16"/>
  <c r="HX36" i="16"/>
  <c r="HX33" i="16"/>
  <c r="HX34" i="16"/>
  <c r="HX42" i="16"/>
  <c r="HX38" i="16"/>
  <c r="HX39" i="16"/>
  <c r="HX37" i="16"/>
  <c r="HX35" i="16"/>
  <c r="HX40" i="16"/>
  <c r="HX43" i="16"/>
  <c r="HX41" i="16"/>
  <c r="HX30" i="16"/>
  <c r="HX44" i="16"/>
  <c r="HX12" i="16"/>
  <c r="HX13" i="16"/>
  <c r="HY7" i="16"/>
  <c r="HX6" i="16"/>
  <c r="HY56" i="16" l="1"/>
  <c r="HY55" i="16"/>
  <c r="HY57" i="16"/>
  <c r="HY48" i="16"/>
  <c r="HY47" i="16"/>
  <c r="HY31" i="16"/>
  <c r="HY32" i="16"/>
  <c r="HY46" i="16"/>
  <c r="HY33" i="16"/>
  <c r="HY34" i="16"/>
  <c r="HY35" i="16"/>
  <c r="HY36" i="16"/>
  <c r="HY38" i="16"/>
  <c r="HY37" i="16"/>
  <c r="HY42" i="16"/>
  <c r="HY40" i="16"/>
  <c r="HY41" i="16"/>
  <c r="HY39" i="16"/>
  <c r="HY30" i="16"/>
  <c r="HY43" i="16"/>
  <c r="HY44" i="16"/>
  <c r="HY12" i="16"/>
  <c r="HY13" i="16"/>
  <c r="HX14" i="16"/>
  <c r="HZ7" i="16"/>
  <c r="HY6" i="16"/>
  <c r="HZ56" i="16" l="1"/>
  <c r="HZ55" i="16"/>
  <c r="HY14" i="16"/>
  <c r="HZ57" i="16"/>
  <c r="HZ47" i="16"/>
  <c r="HZ48" i="16"/>
  <c r="HZ34" i="16"/>
  <c r="HZ46" i="16"/>
  <c r="HZ31" i="16"/>
  <c r="HZ38" i="16"/>
  <c r="HZ32" i="16"/>
  <c r="HZ33" i="16"/>
  <c r="HZ35" i="16"/>
  <c r="HZ36" i="16"/>
  <c r="HZ40" i="16"/>
  <c r="HZ37" i="16"/>
  <c r="HZ43" i="16"/>
  <c r="HZ41" i="16"/>
  <c r="HZ39" i="16"/>
  <c r="HZ42" i="16"/>
  <c r="HZ44" i="16"/>
  <c r="HZ30" i="16"/>
  <c r="HZ12" i="16"/>
  <c r="HZ13" i="16"/>
  <c r="IA7" i="16"/>
  <c r="HZ6" i="16"/>
  <c r="IA56" i="16" l="1"/>
  <c r="IA55" i="16"/>
  <c r="HZ14" i="16"/>
  <c r="IA57" i="16"/>
  <c r="IA47" i="16"/>
  <c r="IA48" i="16"/>
  <c r="IA46" i="16"/>
  <c r="IA33" i="16"/>
  <c r="IA31" i="16"/>
  <c r="IA32" i="16"/>
  <c r="IA37" i="16"/>
  <c r="IA34" i="16"/>
  <c r="IA36" i="16"/>
  <c r="IA35" i="16"/>
  <c r="IA38" i="16"/>
  <c r="IA44" i="16"/>
  <c r="IA40" i="16"/>
  <c r="IA42" i="16"/>
  <c r="IA41" i="16"/>
  <c r="IA39" i="16"/>
  <c r="IA30" i="16"/>
  <c r="IA43" i="16"/>
  <c r="IA12" i="16"/>
  <c r="IA13" i="16"/>
  <c r="IB7" i="16"/>
  <c r="IA6" i="16"/>
  <c r="IB55" i="16" l="1"/>
  <c r="IB56" i="16"/>
  <c r="IA14" i="16"/>
  <c r="IB57" i="16"/>
  <c r="IB47" i="16"/>
  <c r="IB48" i="16"/>
  <c r="IB46" i="16"/>
  <c r="IB31" i="16"/>
  <c r="IB34" i="16"/>
  <c r="IB37" i="16"/>
  <c r="IB32" i="16"/>
  <c r="IB33" i="16"/>
  <c r="IB38" i="16"/>
  <c r="IB36" i="16"/>
  <c r="IB40" i="16"/>
  <c r="IB35" i="16"/>
  <c r="IB39" i="16"/>
  <c r="IB42" i="16"/>
  <c r="IB44" i="16"/>
  <c r="IB30" i="16"/>
  <c r="IB43" i="16"/>
  <c r="IB41" i="16"/>
  <c r="IB13" i="16"/>
  <c r="IB12" i="16"/>
  <c r="IC7" i="16"/>
  <c r="IB6" i="16"/>
  <c r="IC55" i="16" l="1"/>
  <c r="IC56" i="16"/>
  <c r="IB14" i="16"/>
  <c r="IC57" i="16"/>
  <c r="IC46" i="16"/>
  <c r="IC47" i="16"/>
  <c r="IC31" i="16"/>
  <c r="IC48" i="16"/>
  <c r="IC35" i="16"/>
  <c r="IC32" i="16"/>
  <c r="IC39" i="16"/>
  <c r="IC33" i="16"/>
  <c r="IC34" i="16"/>
  <c r="IC41" i="16"/>
  <c r="IC36" i="16"/>
  <c r="IC37" i="16"/>
  <c r="IC38" i="16"/>
  <c r="IC44" i="16"/>
  <c r="IC40" i="16"/>
  <c r="IC42" i="16"/>
  <c r="IC30" i="16"/>
  <c r="IC43" i="16"/>
  <c r="IC13" i="16"/>
  <c r="IC12" i="16"/>
  <c r="ID7" i="16"/>
  <c r="IC6" i="16"/>
  <c r="ID55" i="16" l="1"/>
  <c r="ID56" i="16"/>
  <c r="ID57" i="16"/>
  <c r="ID46" i="16"/>
  <c r="ID47" i="16"/>
  <c r="ID32" i="16"/>
  <c r="ID31" i="16"/>
  <c r="ID33" i="16"/>
  <c r="ID48" i="16"/>
  <c r="ID37" i="16"/>
  <c r="ID34" i="16"/>
  <c r="ID35" i="16"/>
  <c r="ID36" i="16"/>
  <c r="ID39" i="16"/>
  <c r="ID38" i="16"/>
  <c r="ID40" i="16"/>
  <c r="ID41" i="16"/>
  <c r="ID43" i="16"/>
  <c r="ID44" i="16"/>
  <c r="ID42" i="16"/>
  <c r="ID30" i="16"/>
  <c r="ID13" i="16"/>
  <c r="ID12" i="16"/>
  <c r="IC14" i="16"/>
  <c r="IE7" i="16"/>
  <c r="ID6" i="16"/>
  <c r="IE55" i="16" l="1"/>
  <c r="IE56" i="16"/>
  <c r="IE57" i="16"/>
  <c r="IE47" i="16"/>
  <c r="IE32" i="16"/>
  <c r="IE31" i="16"/>
  <c r="IE35" i="16"/>
  <c r="IE46" i="16"/>
  <c r="IE48" i="16"/>
  <c r="IE36" i="16"/>
  <c r="IE33" i="16"/>
  <c r="IE34" i="16"/>
  <c r="IE37" i="16"/>
  <c r="IE38" i="16"/>
  <c r="IE39" i="16"/>
  <c r="IE41" i="16"/>
  <c r="IE30" i="16"/>
  <c r="IE40" i="16"/>
  <c r="IE43" i="16"/>
  <c r="IE44" i="16"/>
  <c r="IE42" i="16"/>
  <c r="IE13" i="16"/>
  <c r="IE12" i="16"/>
  <c r="ID14" i="16"/>
  <c r="IF7" i="16"/>
  <c r="IE6" i="16"/>
  <c r="IE14" i="16" l="1"/>
  <c r="IF55" i="16"/>
  <c r="IF56" i="16"/>
  <c r="IF57" i="16"/>
  <c r="IF47" i="16"/>
  <c r="IF48" i="16"/>
  <c r="IF32" i="16"/>
  <c r="IF46" i="16"/>
  <c r="IF36" i="16"/>
  <c r="IF31" i="16"/>
  <c r="IF33" i="16"/>
  <c r="IF35" i="16"/>
  <c r="IF34" i="16"/>
  <c r="IF37" i="16"/>
  <c r="IF38" i="16"/>
  <c r="IF42" i="16"/>
  <c r="IF41" i="16"/>
  <c r="IF39" i="16"/>
  <c r="IF43" i="16"/>
  <c r="IF40" i="16"/>
  <c r="IF44" i="16"/>
  <c r="IF30" i="16"/>
  <c r="IF12" i="16"/>
  <c r="IF13" i="16"/>
  <c r="IG7" i="16"/>
  <c r="IF6" i="16"/>
  <c r="IF14" i="16" l="1"/>
  <c r="IG56" i="16"/>
  <c r="IG55" i="16"/>
  <c r="IG57" i="16"/>
  <c r="IG48" i="16"/>
  <c r="IG31" i="16"/>
  <c r="IG47" i="16"/>
  <c r="IG32" i="16"/>
  <c r="IG46" i="16"/>
  <c r="IG34" i="16"/>
  <c r="IG35" i="16"/>
  <c r="IG37" i="16"/>
  <c r="IG39" i="16"/>
  <c r="IG36" i="16"/>
  <c r="IG40" i="16"/>
  <c r="IG42" i="16"/>
  <c r="IG41" i="16"/>
  <c r="IG33" i="16"/>
  <c r="IG38" i="16"/>
  <c r="IG30" i="16"/>
  <c r="IG43" i="16"/>
  <c r="IG44" i="16"/>
  <c r="IG12" i="16"/>
  <c r="IG13" i="16"/>
  <c r="IH7" i="16"/>
  <c r="IG6" i="16"/>
  <c r="IH56" i="16" l="1"/>
  <c r="IH55" i="16"/>
  <c r="IH57" i="16"/>
  <c r="IH31" i="16"/>
  <c r="IH47" i="16"/>
  <c r="IH48" i="16"/>
  <c r="IH34" i="16"/>
  <c r="IH46" i="16"/>
  <c r="IH38" i="16"/>
  <c r="IH36" i="16"/>
  <c r="IH32" i="16"/>
  <c r="IH33" i="16"/>
  <c r="IH35" i="16"/>
  <c r="IH40" i="16"/>
  <c r="IH37" i="16"/>
  <c r="IH42" i="16"/>
  <c r="IH39" i="16"/>
  <c r="IH41" i="16"/>
  <c r="IH43" i="16"/>
  <c r="IH30" i="16"/>
  <c r="IH44" i="16"/>
  <c r="IH13" i="16"/>
  <c r="IH12" i="16"/>
  <c r="IG14" i="16"/>
  <c r="II7" i="16"/>
  <c r="IH6" i="16"/>
  <c r="IH14" i="16" l="1"/>
  <c r="II56" i="16"/>
  <c r="II55" i="16"/>
  <c r="II57" i="16"/>
  <c r="II47" i="16"/>
  <c r="II48" i="16"/>
  <c r="II33" i="16"/>
  <c r="II32" i="16"/>
  <c r="II37" i="16"/>
  <c r="II31" i="16"/>
  <c r="II46" i="16"/>
  <c r="II34" i="16"/>
  <c r="II35" i="16"/>
  <c r="II38" i="16"/>
  <c r="II40" i="16"/>
  <c r="II44" i="16"/>
  <c r="II36" i="16"/>
  <c r="II39" i="16"/>
  <c r="II41" i="16"/>
  <c r="II43" i="16"/>
  <c r="II42" i="16"/>
  <c r="II30" i="16"/>
  <c r="II12" i="16"/>
  <c r="II13" i="16"/>
  <c r="IJ7" i="16"/>
  <c r="II6" i="16"/>
  <c r="IJ55" i="16" l="1"/>
  <c r="IJ56" i="16"/>
  <c r="IJ57" i="16"/>
  <c r="IJ47" i="16"/>
  <c r="IJ48" i="16"/>
  <c r="IJ31" i="16"/>
  <c r="IJ46" i="16"/>
  <c r="IJ32" i="16"/>
  <c r="IJ34" i="16"/>
  <c r="IJ33" i="16"/>
  <c r="IJ38" i="16"/>
  <c r="IJ35" i="16"/>
  <c r="IJ40" i="16"/>
  <c r="IJ37" i="16"/>
  <c r="IJ36" i="16"/>
  <c r="IJ42" i="16"/>
  <c r="IJ39" i="16"/>
  <c r="IJ41" i="16"/>
  <c r="IJ30" i="16"/>
  <c r="IJ43" i="16"/>
  <c r="IJ44" i="16"/>
  <c r="IJ13" i="16"/>
  <c r="IJ12" i="16"/>
  <c r="II14" i="16"/>
  <c r="IK7" i="16"/>
  <c r="IJ6" i="16"/>
  <c r="IK55" i="16" l="1"/>
  <c r="IK56" i="16"/>
  <c r="IK57" i="16"/>
  <c r="IK46" i="16"/>
  <c r="IK47" i="16"/>
  <c r="IK48" i="16"/>
  <c r="IK31" i="16"/>
  <c r="IK35" i="16"/>
  <c r="IK32" i="16"/>
  <c r="IK33" i="16"/>
  <c r="IK37" i="16"/>
  <c r="IK39" i="16"/>
  <c r="IK34" i="16"/>
  <c r="IK36" i="16"/>
  <c r="IK41" i="16"/>
  <c r="IK38" i="16"/>
  <c r="IK40" i="16"/>
  <c r="IK44" i="16"/>
  <c r="IK30" i="16"/>
  <c r="IK42" i="16"/>
  <c r="IK43" i="16"/>
  <c r="IK13" i="16"/>
  <c r="IK12" i="16"/>
  <c r="IJ14" i="16"/>
  <c r="IL7" i="16"/>
  <c r="IK6" i="16"/>
  <c r="IL56" i="16" l="1"/>
  <c r="IL55" i="16"/>
  <c r="IL57" i="16"/>
  <c r="IL47" i="16"/>
  <c r="IL48" i="16"/>
  <c r="IL46" i="16"/>
  <c r="IL31" i="16"/>
  <c r="IL33" i="16"/>
  <c r="IL34" i="16"/>
  <c r="IL32" i="16"/>
  <c r="IL36" i="16"/>
  <c r="IL35" i="16"/>
  <c r="IL37" i="16"/>
  <c r="IL40" i="16"/>
  <c r="IL38" i="16"/>
  <c r="IL39" i="16"/>
  <c r="IL41" i="16"/>
  <c r="IL30" i="16"/>
  <c r="IL43" i="16"/>
  <c r="IL42" i="16"/>
  <c r="IL44" i="16"/>
  <c r="IL13" i="16"/>
  <c r="IL12" i="16"/>
  <c r="IK14" i="16"/>
  <c r="IM7" i="16"/>
  <c r="IL6" i="16"/>
  <c r="IM55" i="16" l="1"/>
  <c r="IM56" i="16"/>
  <c r="IL14" i="16"/>
  <c r="IM47" i="16"/>
  <c r="IM57" i="16"/>
  <c r="IM46" i="16"/>
  <c r="IM48" i="16"/>
  <c r="IM33" i="16"/>
  <c r="IM35" i="16"/>
  <c r="IM31" i="16"/>
  <c r="IM37" i="16"/>
  <c r="IM34" i="16"/>
  <c r="IM32" i="16"/>
  <c r="IM36" i="16"/>
  <c r="IM41" i="16"/>
  <c r="IM30" i="16"/>
  <c r="IM40" i="16"/>
  <c r="IM44" i="16"/>
  <c r="IM39" i="16"/>
  <c r="IM38" i="16"/>
  <c r="IM42" i="16"/>
  <c r="IM43" i="16"/>
  <c r="IM13" i="16"/>
  <c r="IM12" i="16"/>
  <c r="IN7" i="16"/>
  <c r="IM6" i="16"/>
  <c r="IN55" i="16" l="1"/>
  <c r="IN56" i="16"/>
  <c r="IN57" i="16"/>
  <c r="IN47" i="16"/>
  <c r="IN32" i="16"/>
  <c r="IN46" i="16"/>
  <c r="IN48" i="16"/>
  <c r="IN36" i="16"/>
  <c r="IN31" i="16"/>
  <c r="IN33" i="16"/>
  <c r="IN34" i="16"/>
  <c r="IN39" i="16"/>
  <c r="IN42" i="16"/>
  <c r="IN35" i="16"/>
  <c r="IN43" i="16"/>
  <c r="IN37" i="16"/>
  <c r="IN40" i="16"/>
  <c r="IN38" i="16"/>
  <c r="IN44" i="16"/>
  <c r="IN41" i="16"/>
  <c r="IN30" i="16"/>
  <c r="IN12" i="16"/>
  <c r="IN13" i="16"/>
  <c r="IM14" i="16"/>
  <c r="IO7" i="16"/>
  <c r="IN6" i="16"/>
  <c r="IO55" i="16" l="1"/>
  <c r="IO56" i="16"/>
  <c r="IO57" i="16"/>
  <c r="IO48" i="16"/>
  <c r="IO47" i="16"/>
  <c r="IO32" i="16"/>
  <c r="IO31" i="16"/>
  <c r="IO46" i="16"/>
  <c r="IO33" i="16"/>
  <c r="IO36" i="16"/>
  <c r="IO38" i="16"/>
  <c r="IO34" i="16"/>
  <c r="IO35" i="16"/>
  <c r="IO37" i="16"/>
  <c r="IO39" i="16"/>
  <c r="IO41" i="16"/>
  <c r="IO42" i="16"/>
  <c r="IO43" i="16"/>
  <c r="IO40" i="16"/>
  <c r="IO44" i="16"/>
  <c r="IO30" i="16"/>
  <c r="IO12" i="16"/>
  <c r="IO13" i="16"/>
  <c r="IN14" i="16"/>
  <c r="IP7" i="16"/>
  <c r="IO6" i="16"/>
  <c r="IP56" i="16" l="1"/>
  <c r="IP55" i="16"/>
  <c r="IP57" i="16"/>
  <c r="IP47" i="16"/>
  <c r="IP48" i="16"/>
  <c r="IP31" i="16"/>
  <c r="IP46" i="16"/>
  <c r="IP34" i="16"/>
  <c r="IP32" i="16"/>
  <c r="IP35" i="16"/>
  <c r="IP38" i="16"/>
  <c r="IP33" i="16"/>
  <c r="IP37" i="16"/>
  <c r="IP40" i="16"/>
  <c r="IP36" i="16"/>
  <c r="IP39" i="16"/>
  <c r="IP41" i="16"/>
  <c r="IP43" i="16"/>
  <c r="IP30" i="16"/>
  <c r="IP42" i="16"/>
  <c r="IP44" i="16"/>
  <c r="IP13" i="16"/>
  <c r="IP12" i="16"/>
  <c r="IO14" i="16"/>
  <c r="IQ7" i="16"/>
  <c r="IP6" i="16"/>
  <c r="IP14" i="16" l="1"/>
  <c r="IQ56" i="16"/>
  <c r="IQ55" i="16"/>
  <c r="IQ57" i="16"/>
  <c r="IQ47" i="16"/>
  <c r="IQ33" i="16"/>
  <c r="IQ31" i="16"/>
  <c r="IQ32" i="16"/>
  <c r="IQ48" i="16"/>
  <c r="IQ37" i="16"/>
  <c r="IQ46" i="16"/>
  <c r="IQ35" i="16"/>
  <c r="IQ36" i="16"/>
  <c r="IQ34" i="16"/>
  <c r="IQ38" i="16"/>
  <c r="IQ39" i="16"/>
  <c r="IQ41" i="16"/>
  <c r="IQ42" i="16"/>
  <c r="IQ44" i="16"/>
  <c r="IQ40" i="16"/>
  <c r="IQ43" i="16"/>
  <c r="IQ30" i="16"/>
  <c r="IQ12" i="16"/>
  <c r="IQ13" i="16"/>
  <c r="IR7" i="16"/>
  <c r="IQ6" i="16"/>
  <c r="IR55" i="16" l="1"/>
  <c r="IR56" i="16"/>
  <c r="IR47" i="16"/>
  <c r="IR57" i="16"/>
  <c r="IR32" i="16"/>
  <c r="IR48" i="16"/>
  <c r="IR31" i="16"/>
  <c r="IR46" i="16"/>
  <c r="IR34" i="16"/>
  <c r="IR38" i="16"/>
  <c r="IR33" i="16"/>
  <c r="IR37" i="16"/>
  <c r="IR40" i="16"/>
  <c r="IR36" i="16"/>
  <c r="IR35" i="16"/>
  <c r="IR39" i="16"/>
  <c r="IR41" i="16"/>
  <c r="IR42" i="16"/>
  <c r="IR43" i="16"/>
  <c r="IR44" i="16"/>
  <c r="IR30" i="16"/>
  <c r="IR13" i="16"/>
  <c r="IR12" i="16"/>
  <c r="IQ14" i="16"/>
  <c r="IS7" i="16"/>
  <c r="IR6" i="16"/>
  <c r="IS56" i="16" l="1"/>
  <c r="IS55" i="16"/>
  <c r="IS57" i="16"/>
  <c r="IS47" i="16"/>
  <c r="IS46" i="16"/>
  <c r="IS31" i="16"/>
  <c r="IS32" i="16"/>
  <c r="IS35" i="16"/>
  <c r="IS48" i="16"/>
  <c r="IS34" i="16"/>
  <c r="IS39" i="16"/>
  <c r="IS41" i="16"/>
  <c r="IS37" i="16"/>
  <c r="IS36" i="16"/>
  <c r="IS33" i="16"/>
  <c r="IS38" i="16"/>
  <c r="IS40" i="16"/>
  <c r="IS42" i="16"/>
  <c r="IS44" i="16"/>
  <c r="IS43" i="16"/>
  <c r="IS30" i="16"/>
  <c r="IS13" i="16"/>
  <c r="IS12" i="16"/>
  <c r="IR14" i="16"/>
  <c r="IT7" i="16"/>
  <c r="IS6" i="16"/>
  <c r="IT55" i="16" l="1"/>
  <c r="IT56" i="16"/>
  <c r="IT57" i="16"/>
  <c r="IT47" i="16"/>
  <c r="IT31" i="16"/>
  <c r="IT48" i="16"/>
  <c r="IT46" i="16"/>
  <c r="IT34" i="16"/>
  <c r="IT37" i="16"/>
  <c r="IT35" i="16"/>
  <c r="IT32" i="16"/>
  <c r="IT33" i="16"/>
  <c r="IT38" i="16"/>
  <c r="IT40" i="16"/>
  <c r="IT39" i="16"/>
  <c r="IT41" i="16"/>
  <c r="IT36" i="16"/>
  <c r="IT42" i="16"/>
  <c r="IT43" i="16"/>
  <c r="IT30" i="16"/>
  <c r="IT44" i="16"/>
  <c r="IT13" i="16"/>
  <c r="IT12" i="16"/>
  <c r="IS14" i="16"/>
  <c r="IU7" i="16"/>
  <c r="IT6" i="16"/>
  <c r="IU55" i="16" l="1"/>
  <c r="IU56" i="16"/>
  <c r="IU47" i="16"/>
  <c r="IU48" i="16"/>
  <c r="IU57" i="16"/>
  <c r="IU31" i="16"/>
  <c r="IU32" i="16"/>
  <c r="IU35" i="16"/>
  <c r="IU46" i="16"/>
  <c r="IU33" i="16"/>
  <c r="IU34" i="16"/>
  <c r="IU37" i="16"/>
  <c r="IU41" i="16"/>
  <c r="IU38" i="16"/>
  <c r="IU36" i="16"/>
  <c r="IU30" i="16"/>
  <c r="IU40" i="16"/>
  <c r="IU39" i="16"/>
  <c r="IU42" i="16"/>
  <c r="IU43" i="16"/>
  <c r="IU44" i="16"/>
  <c r="IU13" i="16"/>
  <c r="IU12" i="16"/>
  <c r="IT14" i="16"/>
  <c r="IV7" i="16"/>
  <c r="IU6" i="16"/>
  <c r="IV55" i="16" l="1"/>
  <c r="IV56" i="16"/>
  <c r="IV57" i="16"/>
  <c r="IV48" i="16"/>
  <c r="IV46" i="16"/>
  <c r="IV32" i="16"/>
  <c r="IV47" i="16"/>
  <c r="IV33" i="16"/>
  <c r="IV36" i="16"/>
  <c r="IV31" i="16"/>
  <c r="IV34" i="16"/>
  <c r="IV37" i="16"/>
  <c r="IV35" i="16"/>
  <c r="IV42" i="16"/>
  <c r="IV38" i="16"/>
  <c r="IV43" i="16"/>
  <c r="IV40" i="16"/>
  <c r="IV39" i="16"/>
  <c r="IV41" i="16"/>
  <c r="IV30" i="16"/>
  <c r="IV44" i="16"/>
  <c r="IV12" i="16"/>
  <c r="IV13" i="16"/>
  <c r="IU14" i="16"/>
  <c r="IW7" i="16"/>
  <c r="IV6" i="16"/>
  <c r="IW55" i="16" l="1"/>
  <c r="IW56" i="16"/>
  <c r="IW57" i="16"/>
  <c r="IW47" i="16"/>
  <c r="IW48" i="16"/>
  <c r="IW46" i="16"/>
  <c r="IW32" i="16"/>
  <c r="IW31" i="16"/>
  <c r="IW33" i="16"/>
  <c r="IW34" i="16"/>
  <c r="IW36" i="16"/>
  <c r="IW39" i="16"/>
  <c r="IW37" i="16"/>
  <c r="IW35" i="16"/>
  <c r="IW38" i="16"/>
  <c r="IW40" i="16"/>
  <c r="IW41" i="16"/>
  <c r="IW44" i="16"/>
  <c r="IW42" i="16"/>
  <c r="IW43" i="16"/>
  <c r="IW30" i="16"/>
  <c r="IW12" i="16"/>
  <c r="IW13" i="16"/>
  <c r="IV14" i="16"/>
  <c r="IX7" i="16"/>
  <c r="IW6" i="16"/>
  <c r="IX56" i="16" l="1"/>
  <c r="IX55" i="16"/>
  <c r="IX57" i="16"/>
  <c r="IX48" i="16"/>
  <c r="IX46" i="16"/>
  <c r="IX47" i="16"/>
  <c r="IX34" i="16"/>
  <c r="IX33" i="16"/>
  <c r="IX32" i="16"/>
  <c r="IX31" i="16"/>
  <c r="IX36" i="16"/>
  <c r="IX38" i="16"/>
  <c r="IX40" i="16"/>
  <c r="IX37" i="16"/>
  <c r="IX35" i="16"/>
  <c r="IX43" i="16"/>
  <c r="IX39" i="16"/>
  <c r="IX41" i="16"/>
  <c r="IX44" i="16"/>
  <c r="IX42" i="16"/>
  <c r="IX30" i="16"/>
  <c r="IX12" i="16"/>
  <c r="IX13" i="16"/>
  <c r="IW14" i="16"/>
  <c r="IY7" i="16"/>
  <c r="IX6" i="16"/>
  <c r="IY56" i="16" l="1"/>
  <c r="IY55" i="16"/>
  <c r="IY57" i="16"/>
  <c r="IY48" i="16"/>
  <c r="IY47" i="16"/>
  <c r="IY31" i="16"/>
  <c r="IY33" i="16"/>
  <c r="IY32" i="16"/>
  <c r="IY37" i="16"/>
  <c r="IY46" i="16"/>
  <c r="IY34" i="16"/>
  <c r="IY35" i="16"/>
  <c r="IY36" i="16"/>
  <c r="IY39" i="16"/>
  <c r="IY44" i="16"/>
  <c r="IY38" i="16"/>
  <c r="IY40" i="16"/>
  <c r="IY41" i="16"/>
  <c r="IY30" i="16"/>
  <c r="IY42" i="16"/>
  <c r="IY43" i="16"/>
  <c r="IY12" i="16"/>
  <c r="IY13" i="16"/>
  <c r="IX14" i="16"/>
  <c r="IZ7" i="16"/>
  <c r="IY6" i="16"/>
  <c r="IZ55" i="16" l="1"/>
  <c r="IZ56" i="16"/>
  <c r="IZ57" i="16"/>
  <c r="IZ47" i="16"/>
  <c r="IZ48" i="16"/>
  <c r="IZ31" i="16"/>
  <c r="IZ46" i="16"/>
  <c r="IZ34" i="16"/>
  <c r="IZ32" i="16"/>
  <c r="IZ35" i="16"/>
  <c r="IZ33" i="16"/>
  <c r="IZ36" i="16"/>
  <c r="IZ38" i="16"/>
  <c r="IZ40" i="16"/>
  <c r="IZ41" i="16"/>
  <c r="IZ42" i="16"/>
  <c r="IZ37" i="16"/>
  <c r="IZ43" i="16"/>
  <c r="IZ30" i="16"/>
  <c r="IZ39" i="16"/>
  <c r="IZ44" i="16"/>
  <c r="IZ13" i="16"/>
  <c r="IZ12" i="16"/>
  <c r="IY14" i="16"/>
  <c r="JA7" i="16"/>
  <c r="IZ6" i="16"/>
  <c r="JA55" i="16" l="1"/>
  <c r="JA56" i="16"/>
  <c r="JA57" i="16"/>
  <c r="JA46" i="16"/>
  <c r="JA47" i="16"/>
  <c r="JA31" i="16"/>
  <c r="JA48" i="16"/>
  <c r="JA35" i="16"/>
  <c r="JA32" i="16"/>
  <c r="JA39" i="16"/>
  <c r="JA33" i="16"/>
  <c r="JA38" i="16"/>
  <c r="JA41" i="16"/>
  <c r="JA34" i="16"/>
  <c r="JA36" i="16"/>
  <c r="JA37" i="16"/>
  <c r="JA44" i="16"/>
  <c r="JA42" i="16"/>
  <c r="JA43" i="16"/>
  <c r="JA40" i="16"/>
  <c r="JA30" i="16"/>
  <c r="JA13" i="16"/>
  <c r="JA12" i="16"/>
  <c r="IZ14" i="16"/>
  <c r="JB7" i="16"/>
  <c r="JA6" i="16"/>
  <c r="JB56" i="16" l="1"/>
  <c r="JB55" i="16"/>
  <c r="JB57" i="16"/>
  <c r="JB47" i="16"/>
  <c r="JB48" i="16"/>
  <c r="JB46" i="16"/>
  <c r="JB32" i="16"/>
  <c r="JB35" i="16"/>
  <c r="JB31" i="16"/>
  <c r="JB33" i="16"/>
  <c r="JB34" i="16"/>
  <c r="JB37" i="16"/>
  <c r="JB38" i="16"/>
  <c r="JB36" i="16"/>
  <c r="JB41" i="16"/>
  <c r="JB42" i="16"/>
  <c r="JB39" i="16"/>
  <c r="JB40" i="16"/>
  <c r="JB43" i="16"/>
  <c r="JB44" i="16"/>
  <c r="JB30" i="16"/>
  <c r="JB13" i="16"/>
  <c r="JB12" i="16"/>
  <c r="JA14" i="16"/>
  <c r="JC7" i="16"/>
  <c r="JB6" i="16"/>
  <c r="JC55" i="16" l="1"/>
  <c r="JC56" i="16"/>
  <c r="JC47" i="16"/>
  <c r="JC57" i="16"/>
  <c r="JC31" i="16"/>
  <c r="JC48" i="16"/>
  <c r="JC46" i="16"/>
  <c r="JC32" i="16"/>
  <c r="JC35" i="16"/>
  <c r="JC34" i="16"/>
  <c r="JC37" i="16"/>
  <c r="JC33" i="16"/>
  <c r="JC41" i="16"/>
  <c r="JC36" i="16"/>
  <c r="JC39" i="16"/>
  <c r="JC40" i="16"/>
  <c r="JC30" i="16"/>
  <c r="JC38" i="16"/>
  <c r="JC42" i="16"/>
  <c r="JC43" i="16"/>
  <c r="JC44" i="16"/>
  <c r="JC13" i="16"/>
  <c r="JC12" i="16"/>
  <c r="JB14" i="16"/>
  <c r="JD7" i="16"/>
  <c r="JC6" i="16"/>
  <c r="JD55" i="16" l="1"/>
  <c r="JD56" i="16"/>
  <c r="JD57" i="16"/>
  <c r="JD47" i="16"/>
  <c r="JD32" i="16"/>
  <c r="JD46" i="16"/>
  <c r="JD36" i="16"/>
  <c r="JD48" i="16"/>
  <c r="JD31" i="16"/>
  <c r="JD34" i="16"/>
  <c r="JD33" i="16"/>
  <c r="JD35" i="16"/>
  <c r="JD37" i="16"/>
  <c r="JD42" i="16"/>
  <c r="JD38" i="16"/>
  <c r="JD39" i="16"/>
  <c r="JD40" i="16"/>
  <c r="JD43" i="16"/>
  <c r="JD41" i="16"/>
  <c r="JD30" i="16"/>
  <c r="JD44" i="16"/>
  <c r="JD12" i="16"/>
  <c r="JD13" i="16"/>
  <c r="JC14" i="16"/>
  <c r="JE7" i="16"/>
  <c r="JD6" i="16"/>
  <c r="JE56" i="16" l="1"/>
  <c r="JE55" i="16"/>
  <c r="JE57" i="16"/>
  <c r="JE48" i="16"/>
  <c r="JE47" i="16"/>
  <c r="JE46" i="16"/>
  <c r="JE32" i="16"/>
  <c r="JE31" i="16"/>
  <c r="JE33" i="16"/>
  <c r="JE34" i="16"/>
  <c r="JE35" i="16"/>
  <c r="JE37" i="16"/>
  <c r="JE36" i="16"/>
  <c r="JE39" i="16"/>
  <c r="JE40" i="16"/>
  <c r="JE41" i="16"/>
  <c r="JE38" i="16"/>
  <c r="JE42" i="16"/>
  <c r="JE43" i="16"/>
  <c r="JE30" i="16"/>
  <c r="JE44" i="16"/>
  <c r="JE12" i="16"/>
  <c r="JE13" i="16"/>
  <c r="JD14" i="16"/>
  <c r="JF7" i="16"/>
  <c r="JE6" i="16"/>
  <c r="JE14" i="16" l="1"/>
  <c r="JF56" i="16"/>
  <c r="JF55" i="16"/>
  <c r="JF57" i="16"/>
  <c r="JF48" i="16"/>
  <c r="JF47" i="16"/>
  <c r="JF31" i="16"/>
  <c r="JF32" i="16"/>
  <c r="JF34" i="16"/>
  <c r="JF46" i="16"/>
  <c r="JF38" i="16"/>
  <c r="JF35" i="16"/>
  <c r="JF33" i="16"/>
  <c r="JF39" i="16"/>
  <c r="JF40" i="16"/>
  <c r="JF37" i="16"/>
  <c r="JF43" i="16"/>
  <c r="JF41" i="16"/>
  <c r="JF36" i="16"/>
  <c r="JF42" i="16"/>
  <c r="JF30" i="16"/>
  <c r="JF44" i="16"/>
  <c r="JF13" i="16"/>
  <c r="JF12" i="16"/>
  <c r="JG7" i="16"/>
  <c r="JF6" i="16"/>
  <c r="JF14" i="16" l="1"/>
  <c r="JG56" i="16"/>
  <c r="JG55" i="16"/>
  <c r="JG57" i="16"/>
  <c r="JG47" i="16"/>
  <c r="JG48" i="16"/>
  <c r="JG46" i="16"/>
  <c r="JG33" i="16"/>
  <c r="JG32" i="16"/>
  <c r="JG31" i="16"/>
  <c r="JG36" i="16"/>
  <c r="JG34" i="16"/>
  <c r="JG35" i="16"/>
  <c r="JG37" i="16"/>
  <c r="JG44" i="16"/>
  <c r="JG39" i="16"/>
  <c r="JG40" i="16"/>
  <c r="JG41" i="16"/>
  <c r="JG42" i="16"/>
  <c r="JG43" i="16"/>
  <c r="JG30" i="16"/>
  <c r="JG38" i="16"/>
  <c r="JG12" i="16"/>
  <c r="JG13" i="16"/>
  <c r="JH7" i="16"/>
  <c r="JG6" i="16"/>
  <c r="JH55" i="16" l="1"/>
  <c r="JH56" i="16"/>
  <c r="JH57" i="16"/>
  <c r="JH48" i="16"/>
  <c r="JH31" i="16"/>
  <c r="JH46" i="16"/>
  <c r="JH47" i="16"/>
  <c r="JH33" i="16"/>
  <c r="JH34" i="16"/>
  <c r="JH32" i="16"/>
  <c r="JH38" i="16"/>
  <c r="JH35" i="16"/>
  <c r="JH39" i="16"/>
  <c r="JH40" i="16"/>
  <c r="JH37" i="16"/>
  <c r="JH36" i="16"/>
  <c r="JH44" i="16"/>
  <c r="JH30" i="16"/>
  <c r="JH41" i="16"/>
  <c r="JH42" i="16"/>
  <c r="JH43" i="16"/>
  <c r="JH13" i="16"/>
  <c r="JH12" i="16"/>
  <c r="JG14" i="16"/>
  <c r="JI7" i="16"/>
  <c r="JH6" i="16"/>
  <c r="JI55" i="16" l="1"/>
  <c r="JI56" i="16"/>
  <c r="JI57" i="16"/>
  <c r="JI46" i="16"/>
  <c r="JI31" i="16"/>
  <c r="JI47" i="16"/>
  <c r="JI35" i="16"/>
  <c r="JI32" i="16"/>
  <c r="JI48" i="16"/>
  <c r="JI33" i="16"/>
  <c r="JI39" i="16"/>
  <c r="JI36" i="16"/>
  <c r="JI34" i="16"/>
  <c r="JI41" i="16"/>
  <c r="JI37" i="16"/>
  <c r="JI42" i="16"/>
  <c r="JI44" i="16"/>
  <c r="JI40" i="16"/>
  <c r="JI38" i="16"/>
  <c r="JI30" i="16"/>
  <c r="JI43" i="16"/>
  <c r="JI13" i="16"/>
  <c r="JI12" i="16"/>
  <c r="JH14" i="16"/>
  <c r="JJ7" i="16"/>
  <c r="JI6" i="16"/>
  <c r="JJ55" i="16" l="1"/>
  <c r="JJ56" i="16"/>
  <c r="JJ57" i="16"/>
  <c r="JJ47" i="16"/>
  <c r="JJ31" i="16"/>
  <c r="JJ46" i="16"/>
  <c r="JJ32" i="16"/>
  <c r="JJ48" i="16"/>
  <c r="JJ33" i="16"/>
  <c r="JJ34" i="16"/>
  <c r="JJ36" i="16"/>
  <c r="JJ35" i="16"/>
  <c r="JJ38" i="16"/>
  <c r="JJ39" i="16"/>
  <c r="JJ40" i="16"/>
  <c r="JJ41" i="16"/>
  <c r="JJ43" i="16"/>
  <c r="JJ37" i="16"/>
  <c r="JJ44" i="16"/>
  <c r="JJ30" i="16"/>
  <c r="JJ42" i="16"/>
  <c r="JJ13" i="16"/>
  <c r="JJ12" i="16"/>
  <c r="JI14" i="16"/>
  <c r="JK7" i="16"/>
  <c r="JJ6" i="16"/>
  <c r="JK55" i="16" l="1"/>
  <c r="JK56" i="16"/>
  <c r="JJ14" i="16"/>
  <c r="JK57" i="16"/>
  <c r="JK47" i="16"/>
  <c r="JK48" i="16"/>
  <c r="JK46" i="16"/>
  <c r="JK31" i="16"/>
  <c r="JK35" i="16"/>
  <c r="JK37" i="16"/>
  <c r="JK33" i="16"/>
  <c r="JK32" i="16"/>
  <c r="JK38" i="16"/>
  <c r="JK36" i="16"/>
  <c r="JK34" i="16"/>
  <c r="JK41" i="16"/>
  <c r="JK30" i="16"/>
  <c r="JK42" i="16"/>
  <c r="JK39" i="16"/>
  <c r="JK43" i="16"/>
  <c r="JK44" i="16"/>
  <c r="JK40" i="16"/>
  <c r="JK13" i="16"/>
  <c r="JK12" i="16"/>
  <c r="JL7" i="16"/>
  <c r="JK6" i="16"/>
  <c r="JL55" i="16" l="1"/>
  <c r="JL56" i="16"/>
  <c r="JK14" i="16"/>
  <c r="JL57" i="16"/>
  <c r="JL47" i="16"/>
  <c r="JL32" i="16"/>
  <c r="JL48" i="16"/>
  <c r="JL31" i="16"/>
  <c r="JL36" i="16"/>
  <c r="JL46" i="16"/>
  <c r="JL35" i="16"/>
  <c r="JL33" i="16"/>
  <c r="JL34" i="16"/>
  <c r="JL38" i="16"/>
  <c r="JL37" i="16"/>
  <c r="JL41" i="16"/>
  <c r="JL43" i="16"/>
  <c r="JL40" i="16"/>
  <c r="JL39" i="16"/>
  <c r="JL44" i="16"/>
  <c r="JL30" i="16"/>
  <c r="JL42" i="16"/>
  <c r="JL12" i="16"/>
  <c r="JL13" i="16"/>
  <c r="JM7" i="16"/>
  <c r="JL6" i="16"/>
  <c r="JM56" i="16" l="1"/>
  <c r="JM55" i="16"/>
  <c r="JM57" i="16"/>
  <c r="JM48" i="16"/>
  <c r="JM47" i="16"/>
  <c r="JM32" i="16"/>
  <c r="JM31" i="16"/>
  <c r="JM46" i="16"/>
  <c r="JM34" i="16"/>
  <c r="JM35" i="16"/>
  <c r="JM37" i="16"/>
  <c r="JM33" i="16"/>
  <c r="JM36" i="16"/>
  <c r="JM40" i="16"/>
  <c r="JM38" i="16"/>
  <c r="JM41" i="16"/>
  <c r="JM39" i="16"/>
  <c r="JM42" i="16"/>
  <c r="JM43" i="16"/>
  <c r="JM44" i="16"/>
  <c r="JM30" i="16"/>
  <c r="JM12" i="16"/>
  <c r="JM13" i="16"/>
  <c r="JL14" i="16"/>
  <c r="JN7" i="16"/>
  <c r="JM6" i="16"/>
  <c r="JM14" i="16" l="1"/>
  <c r="JN56" i="16"/>
  <c r="JN55" i="16"/>
  <c r="JN57" i="16"/>
  <c r="JN46" i="16"/>
  <c r="JN47" i="16"/>
  <c r="JN48" i="16"/>
  <c r="JN33" i="16"/>
  <c r="JN34" i="16"/>
  <c r="JN31" i="16"/>
  <c r="JN38" i="16"/>
  <c r="JN32" i="16"/>
  <c r="JN37" i="16"/>
  <c r="JN40" i="16"/>
  <c r="JN36" i="16"/>
  <c r="JN35" i="16"/>
  <c r="JN39" i="16"/>
  <c r="JN41" i="16"/>
  <c r="JN43" i="16"/>
  <c r="JN42" i="16"/>
  <c r="JN44" i="16"/>
  <c r="JN30" i="16"/>
  <c r="JN13" i="16"/>
  <c r="JN12" i="16"/>
  <c r="JO7" i="16"/>
  <c r="JN6" i="16"/>
  <c r="JO56" i="16" l="1"/>
  <c r="JO55" i="16"/>
  <c r="JN14" i="16"/>
  <c r="JO57" i="16"/>
  <c r="JO47" i="16"/>
  <c r="JO33" i="16"/>
  <c r="JO48" i="16"/>
  <c r="JO32" i="16"/>
  <c r="JO34" i="16"/>
  <c r="JO46" i="16"/>
  <c r="JO31" i="16"/>
  <c r="JO35" i="16"/>
  <c r="JO37" i="16"/>
  <c r="JO39" i="16"/>
  <c r="JO38" i="16"/>
  <c r="JO36" i="16"/>
  <c r="JO40" i="16"/>
  <c r="JO44" i="16"/>
  <c r="JO41" i="16"/>
  <c r="JO42" i="16"/>
  <c r="JO43" i="16"/>
  <c r="JO30" i="16"/>
  <c r="JO12" i="16"/>
  <c r="JO13" i="16"/>
  <c r="JP7" i="16"/>
  <c r="JO6" i="16"/>
  <c r="JP55" i="16" l="1"/>
  <c r="JP56" i="16"/>
  <c r="JO14" i="16"/>
  <c r="JP47" i="16"/>
  <c r="JP57" i="16"/>
  <c r="JP48" i="16"/>
  <c r="JP34" i="16"/>
  <c r="JP46" i="16"/>
  <c r="JP31" i="16"/>
  <c r="JP32" i="16"/>
  <c r="JP36" i="16"/>
  <c r="JP38" i="16"/>
  <c r="JP35" i="16"/>
  <c r="JP33" i="16"/>
  <c r="JP37" i="16"/>
  <c r="JP40" i="16"/>
  <c r="JP39" i="16"/>
  <c r="JP41" i="16"/>
  <c r="JP42" i="16"/>
  <c r="JP43" i="16"/>
  <c r="JP44" i="16"/>
  <c r="JP30" i="16"/>
  <c r="JP13" i="16"/>
  <c r="JP12" i="16"/>
  <c r="JQ7" i="16"/>
  <c r="JP6" i="16"/>
  <c r="JQ55" i="16" l="1"/>
  <c r="JQ56" i="16"/>
  <c r="JQ57" i="16"/>
  <c r="JQ46" i="16"/>
  <c r="JQ47" i="16"/>
  <c r="JQ48" i="16"/>
  <c r="JQ31" i="16"/>
  <c r="JQ32" i="16"/>
  <c r="JQ35" i="16"/>
  <c r="JQ33" i="16"/>
  <c r="JQ39" i="16"/>
  <c r="JQ34" i="16"/>
  <c r="JQ41" i="16"/>
  <c r="JQ37" i="16"/>
  <c r="JQ36" i="16"/>
  <c r="JQ42" i="16"/>
  <c r="JQ38" i="16"/>
  <c r="JQ40" i="16"/>
  <c r="JQ44" i="16"/>
  <c r="JQ30" i="16"/>
  <c r="JQ43" i="16"/>
  <c r="JQ13" i="16"/>
  <c r="JQ12" i="16"/>
  <c r="JP14" i="16"/>
  <c r="JR7" i="16"/>
  <c r="JQ6" i="16"/>
  <c r="JR56" i="16" l="1"/>
  <c r="JR55" i="16"/>
  <c r="JQ14" i="16"/>
  <c r="JR57" i="16"/>
  <c r="JR47" i="16"/>
  <c r="JR48" i="16"/>
  <c r="JR46" i="16"/>
  <c r="JR31" i="16"/>
  <c r="JR32" i="16"/>
  <c r="JR34" i="16"/>
  <c r="JR36" i="16"/>
  <c r="JR33" i="16"/>
  <c r="JR39" i="16"/>
  <c r="JR37" i="16"/>
  <c r="JR35" i="16"/>
  <c r="JR38" i="16"/>
  <c r="JR40" i="16"/>
  <c r="JR41" i="16"/>
  <c r="JR30" i="16"/>
  <c r="JR42" i="16"/>
  <c r="JR43" i="16"/>
  <c r="JR44" i="16"/>
  <c r="JR13" i="16"/>
  <c r="JR12" i="16"/>
  <c r="JS7" i="16"/>
  <c r="JR6" i="16"/>
  <c r="JS55" i="16" l="1"/>
  <c r="JS56" i="16"/>
  <c r="JR14" i="16"/>
  <c r="JS47" i="16"/>
  <c r="JS57" i="16"/>
  <c r="JS46" i="16"/>
  <c r="JS31" i="16"/>
  <c r="JS48" i="16"/>
  <c r="JS35" i="16"/>
  <c r="JS37" i="16"/>
  <c r="JS34" i="16"/>
  <c r="JS32" i="16"/>
  <c r="JS33" i="16"/>
  <c r="JS30" i="16"/>
  <c r="JS39" i="16"/>
  <c r="JS42" i="16"/>
  <c r="JS38" i="16"/>
  <c r="JS40" i="16"/>
  <c r="JS44" i="16"/>
  <c r="JS41" i="16"/>
  <c r="JS36" i="16"/>
  <c r="JS43" i="16"/>
  <c r="JS13" i="16"/>
  <c r="JS12" i="16"/>
  <c r="JT7" i="16"/>
  <c r="JS6" i="16"/>
  <c r="JS14" i="16" l="1"/>
  <c r="JT55" i="16"/>
  <c r="JT56" i="16"/>
  <c r="JT57" i="16"/>
  <c r="JT47" i="16"/>
  <c r="JT32" i="16"/>
  <c r="JT46" i="16"/>
  <c r="JT31" i="16"/>
  <c r="JT36" i="16"/>
  <c r="JT48" i="16"/>
  <c r="JT33" i="16"/>
  <c r="JT34" i="16"/>
  <c r="JT37" i="16"/>
  <c r="JT35" i="16"/>
  <c r="JT43" i="16"/>
  <c r="JT39" i="16"/>
  <c r="JT38" i="16"/>
  <c r="JT40" i="16"/>
  <c r="JT41" i="16"/>
  <c r="JT44" i="16"/>
  <c r="JT42" i="16"/>
  <c r="JT30" i="16"/>
  <c r="JT12" i="16"/>
  <c r="JT13" i="16"/>
  <c r="JU7" i="16"/>
  <c r="JT6" i="16"/>
  <c r="JT14" i="16" l="1"/>
  <c r="JU55" i="16"/>
  <c r="JU56" i="16"/>
  <c r="JU57" i="16"/>
  <c r="JU48" i="16"/>
  <c r="JU47" i="16"/>
  <c r="JU32" i="16"/>
  <c r="JU46" i="16"/>
  <c r="JU31" i="16"/>
  <c r="JU33" i="16"/>
  <c r="JU37" i="16"/>
  <c r="JU35" i="16"/>
  <c r="JU38" i="16"/>
  <c r="JU34" i="16"/>
  <c r="JU36" i="16"/>
  <c r="JU41" i="16"/>
  <c r="JU39" i="16"/>
  <c r="JU43" i="16"/>
  <c r="JU44" i="16"/>
  <c r="JU30" i="16"/>
  <c r="JU40" i="16"/>
  <c r="JU42" i="16"/>
  <c r="JU12" i="16"/>
  <c r="JU13" i="16"/>
  <c r="JV7" i="16"/>
  <c r="JU6" i="16"/>
  <c r="JV56" i="16" l="1"/>
  <c r="JV55" i="16"/>
  <c r="JV57" i="16"/>
  <c r="JV47" i="16"/>
  <c r="JV48" i="16"/>
  <c r="JV46" i="16"/>
  <c r="JV31" i="16"/>
  <c r="JV34" i="16"/>
  <c r="JV32" i="16"/>
  <c r="JV35" i="16"/>
  <c r="JV38" i="16"/>
  <c r="JV33" i="16"/>
  <c r="JV36" i="16"/>
  <c r="JV40" i="16"/>
  <c r="JV41" i="16"/>
  <c r="JV43" i="16"/>
  <c r="JV39" i="16"/>
  <c r="JV37" i="16"/>
  <c r="JV44" i="16"/>
  <c r="JV30" i="16"/>
  <c r="JV42" i="16"/>
  <c r="JV13" i="16"/>
  <c r="JV12" i="16"/>
  <c r="JU14" i="16"/>
  <c r="JW7" i="16"/>
  <c r="JV6" i="16"/>
  <c r="JV14" i="16" l="1"/>
  <c r="JW56" i="16"/>
  <c r="JW55" i="16"/>
  <c r="JW57" i="16"/>
  <c r="JW46" i="16"/>
  <c r="JW33" i="16"/>
  <c r="JW47" i="16"/>
  <c r="JW32" i="16"/>
  <c r="JW48" i="16"/>
  <c r="JW31" i="16"/>
  <c r="JW35" i="16"/>
  <c r="JW34" i="16"/>
  <c r="JW36" i="16"/>
  <c r="JW38" i="16"/>
  <c r="JW37" i="16"/>
  <c r="JW44" i="16"/>
  <c r="JW41" i="16"/>
  <c r="JW40" i="16"/>
  <c r="JW42" i="16"/>
  <c r="JW43" i="16"/>
  <c r="JW39" i="16"/>
  <c r="JW30" i="16"/>
  <c r="JW12" i="16"/>
  <c r="JW13" i="16"/>
  <c r="JX7" i="16"/>
  <c r="JW6" i="16"/>
  <c r="JX55" i="16" l="1"/>
  <c r="JX56" i="16"/>
  <c r="JX57" i="16"/>
  <c r="JX48" i="16"/>
  <c r="JX47" i="16"/>
  <c r="JX33" i="16"/>
  <c r="JX46" i="16"/>
  <c r="JX31" i="16"/>
  <c r="JX34" i="16"/>
  <c r="JX32" i="16"/>
  <c r="JX38" i="16"/>
  <c r="JX37" i="16"/>
  <c r="JX35" i="16"/>
  <c r="JX39" i="16"/>
  <c r="JX36" i="16"/>
  <c r="JX40" i="16"/>
  <c r="JX41" i="16"/>
  <c r="JX42" i="16"/>
  <c r="JX43" i="16"/>
  <c r="JX44" i="16"/>
  <c r="JX30" i="16"/>
  <c r="JX13" i="16"/>
  <c r="JX12" i="16"/>
  <c r="JW14" i="16"/>
  <c r="JY7" i="16"/>
  <c r="JX6" i="16"/>
  <c r="JY56" i="16" l="1"/>
  <c r="JY55" i="16"/>
  <c r="JY57" i="16"/>
  <c r="JY47" i="16"/>
  <c r="JY46" i="16"/>
  <c r="JY31" i="16"/>
  <c r="JY48" i="16"/>
  <c r="JY35" i="16"/>
  <c r="JY34" i="16"/>
  <c r="JY36" i="16"/>
  <c r="JY39" i="16"/>
  <c r="JY33" i="16"/>
  <c r="JY37" i="16"/>
  <c r="JY41" i="16"/>
  <c r="JY32" i="16"/>
  <c r="JY40" i="16"/>
  <c r="JY42" i="16"/>
  <c r="JY44" i="16"/>
  <c r="JY43" i="16"/>
  <c r="JY38" i="16"/>
  <c r="JY30" i="16"/>
  <c r="JY13" i="16"/>
  <c r="JY12" i="16"/>
  <c r="JX14" i="16"/>
  <c r="JZ7" i="16"/>
  <c r="JY6" i="16"/>
  <c r="JZ55" i="16" l="1"/>
  <c r="JZ56" i="16"/>
  <c r="JY14" i="16"/>
  <c r="JZ57" i="16"/>
  <c r="JZ48" i="16"/>
  <c r="JZ47" i="16"/>
  <c r="JZ46" i="16"/>
  <c r="JZ33" i="16"/>
  <c r="JZ31" i="16"/>
  <c r="JZ34" i="16"/>
  <c r="JZ35" i="16"/>
  <c r="JZ32" i="16"/>
  <c r="JZ37" i="16"/>
  <c r="JZ36" i="16"/>
  <c r="JZ38" i="16"/>
  <c r="JZ40" i="16"/>
  <c r="JZ41" i="16"/>
  <c r="JZ39" i="16"/>
  <c r="JZ30" i="16"/>
  <c r="JZ42" i="16"/>
  <c r="JZ43" i="16"/>
  <c r="JZ44" i="16"/>
  <c r="JZ13" i="16"/>
  <c r="JZ12" i="16"/>
  <c r="KA7" i="16"/>
  <c r="JZ6" i="16"/>
  <c r="JZ14" i="16" l="1"/>
  <c r="KA55" i="16"/>
  <c r="KA56" i="16"/>
  <c r="KA57" i="16"/>
  <c r="KA47" i="16"/>
  <c r="KA48" i="16"/>
  <c r="KA31" i="16"/>
  <c r="KA35" i="16"/>
  <c r="KA46" i="16"/>
  <c r="KA32" i="16"/>
  <c r="KA37" i="16"/>
  <c r="KA34" i="16"/>
  <c r="KA36" i="16"/>
  <c r="KA33" i="16"/>
  <c r="KA39" i="16"/>
  <c r="KA30" i="16"/>
  <c r="KA40" i="16"/>
  <c r="KA42" i="16"/>
  <c r="KA41" i="16"/>
  <c r="KA38" i="16"/>
  <c r="KA43" i="16"/>
  <c r="KA44" i="16"/>
  <c r="KA13" i="16"/>
  <c r="KA12" i="16"/>
  <c r="KB7" i="16"/>
  <c r="KA6" i="16"/>
  <c r="KA14" i="16" l="1"/>
  <c r="KB55" i="16"/>
  <c r="KB56" i="16"/>
  <c r="KB57" i="16"/>
  <c r="KB48" i="16"/>
  <c r="KB47" i="16"/>
  <c r="KB46" i="16"/>
  <c r="KB32" i="16"/>
  <c r="KB31" i="16"/>
  <c r="KB36" i="16"/>
  <c r="KB34" i="16"/>
  <c r="KB35" i="16"/>
  <c r="KB33" i="16"/>
  <c r="KB37" i="16"/>
  <c r="KB38" i="16"/>
  <c r="KB39" i="16"/>
  <c r="KB43" i="16"/>
  <c r="KB40" i="16"/>
  <c r="KB30" i="16"/>
  <c r="KB41" i="16"/>
  <c r="KB42" i="16"/>
  <c r="KB44" i="16"/>
  <c r="KB12" i="16"/>
  <c r="KB13" i="16"/>
  <c r="KC7" i="16"/>
  <c r="KB6" i="16"/>
  <c r="KC55" i="16" l="1"/>
  <c r="KC56" i="16"/>
  <c r="KB14" i="16"/>
  <c r="KC57" i="16"/>
  <c r="KC48" i="16"/>
  <c r="KC47" i="16"/>
  <c r="KC46" i="16"/>
  <c r="KC32" i="16"/>
  <c r="KC31" i="16"/>
  <c r="KC37" i="16"/>
  <c r="KC34" i="16"/>
  <c r="KC33" i="16"/>
  <c r="KC35" i="16"/>
  <c r="KC36" i="16"/>
  <c r="KC38" i="16"/>
  <c r="KC39" i="16"/>
  <c r="KC40" i="16"/>
  <c r="KC41" i="16"/>
  <c r="KC44" i="16"/>
  <c r="KC42" i="16"/>
  <c r="KC43" i="16"/>
  <c r="KC30" i="16"/>
  <c r="KC12" i="16"/>
  <c r="KC13" i="16"/>
  <c r="KD7" i="16"/>
  <c r="KC6" i="16"/>
  <c r="KD56" i="16" l="1"/>
  <c r="KD55" i="16"/>
  <c r="KC14" i="16"/>
  <c r="KD57" i="16"/>
  <c r="KD47" i="16"/>
  <c r="KD48" i="16"/>
  <c r="KD31" i="16"/>
  <c r="KD32" i="16"/>
  <c r="KD34" i="16"/>
  <c r="KD46" i="16"/>
  <c r="KD38" i="16"/>
  <c r="KD33" i="16"/>
  <c r="KD40" i="16"/>
  <c r="KD35" i="16"/>
  <c r="KD37" i="16"/>
  <c r="KD36" i="16"/>
  <c r="KD41" i="16"/>
  <c r="KD39" i="16"/>
  <c r="KD43" i="16"/>
  <c r="KD44" i="16"/>
  <c r="KD30" i="16"/>
  <c r="KD42" i="16"/>
  <c r="KD13" i="16"/>
  <c r="KD12" i="16"/>
  <c r="KE7" i="16"/>
  <c r="KD6" i="16"/>
  <c r="KD14" i="16" l="1"/>
  <c r="KE56" i="16"/>
  <c r="KE55" i="16"/>
  <c r="KE57" i="16"/>
  <c r="KE47" i="16"/>
  <c r="KE33" i="16"/>
  <c r="KE48" i="16"/>
  <c r="KE46" i="16"/>
  <c r="KE32" i="16"/>
  <c r="KE31" i="16"/>
  <c r="KE34" i="16"/>
  <c r="KE35" i="16"/>
  <c r="KE37" i="16"/>
  <c r="KE41" i="16"/>
  <c r="KE44" i="16"/>
  <c r="KE38" i="16"/>
  <c r="KE39" i="16"/>
  <c r="KE40" i="16"/>
  <c r="KE36" i="16"/>
  <c r="KE30" i="16"/>
  <c r="KE42" i="16"/>
  <c r="KE43" i="16"/>
  <c r="KE12" i="16"/>
  <c r="KE13" i="16"/>
  <c r="KF7" i="16"/>
  <c r="KE6" i="16"/>
  <c r="KF55" i="16" l="1"/>
  <c r="KF56" i="16"/>
  <c r="KF57" i="16"/>
  <c r="KF47" i="16"/>
  <c r="KF46" i="16"/>
  <c r="KF48" i="16"/>
  <c r="KF32" i="16"/>
  <c r="KF34" i="16"/>
  <c r="KF31" i="16"/>
  <c r="KF33" i="16"/>
  <c r="KF35" i="16"/>
  <c r="KF38" i="16"/>
  <c r="KF40" i="16"/>
  <c r="KF36" i="16"/>
  <c r="KF37" i="16"/>
  <c r="KF41" i="16"/>
  <c r="KF39" i="16"/>
  <c r="KF43" i="16"/>
  <c r="KF44" i="16"/>
  <c r="KF42" i="16"/>
  <c r="KF30" i="16"/>
  <c r="KF13" i="16"/>
  <c r="KF12" i="16"/>
  <c r="KE14" i="16"/>
  <c r="KG7" i="16"/>
  <c r="KF6" i="16"/>
  <c r="KG56" i="16" l="1"/>
  <c r="KG55" i="16"/>
  <c r="KG57" i="16"/>
  <c r="KG46" i="16"/>
  <c r="KG31" i="16"/>
  <c r="KG47" i="16"/>
  <c r="KG33" i="16"/>
  <c r="KG35" i="16"/>
  <c r="KG48" i="16"/>
  <c r="KG32" i="16"/>
  <c r="KG39" i="16"/>
  <c r="KG36" i="16"/>
  <c r="KG38" i="16"/>
  <c r="KG41" i="16"/>
  <c r="KG34" i="16"/>
  <c r="KG37" i="16"/>
  <c r="KG42" i="16"/>
  <c r="KG44" i="16"/>
  <c r="KG43" i="16"/>
  <c r="KG40" i="16"/>
  <c r="KG30" i="16"/>
  <c r="KG13" i="16"/>
  <c r="KG12" i="16"/>
  <c r="KF14" i="16"/>
  <c r="KH7" i="16"/>
  <c r="KG6" i="16"/>
  <c r="KH56" i="16" l="1"/>
  <c r="KH55" i="16"/>
  <c r="KH57" i="16"/>
  <c r="KH47" i="16"/>
  <c r="KH31" i="16"/>
  <c r="KH48" i="16"/>
  <c r="KH32" i="16"/>
  <c r="KH33" i="16"/>
  <c r="KH35" i="16"/>
  <c r="KH36" i="16"/>
  <c r="KH46" i="16"/>
  <c r="KH34" i="16"/>
  <c r="KH37" i="16"/>
  <c r="KH38" i="16"/>
  <c r="KH39" i="16"/>
  <c r="KH41" i="16"/>
  <c r="KH40" i="16"/>
  <c r="KH42" i="16"/>
  <c r="KH43" i="16"/>
  <c r="KH44" i="16"/>
  <c r="KH30" i="16"/>
  <c r="KH13" i="16"/>
  <c r="KH12" i="16"/>
  <c r="KG14" i="16"/>
  <c r="KI7" i="16"/>
  <c r="KH6" i="16"/>
  <c r="KI55" i="16" l="1"/>
  <c r="KI56" i="16"/>
  <c r="KH14" i="16"/>
  <c r="KI57" i="16"/>
  <c r="KI47" i="16"/>
  <c r="KI48" i="16"/>
  <c r="KI31" i="16"/>
  <c r="KI33" i="16"/>
  <c r="KI35" i="16"/>
  <c r="KI32" i="16"/>
  <c r="KI46" i="16"/>
  <c r="KI34" i="16"/>
  <c r="KI37" i="16"/>
  <c r="KI36" i="16"/>
  <c r="KI40" i="16"/>
  <c r="KI30" i="16"/>
  <c r="KI38" i="16"/>
  <c r="KI42" i="16"/>
  <c r="KI41" i="16"/>
  <c r="KI39" i="16"/>
  <c r="KI43" i="16"/>
  <c r="KI44" i="16"/>
  <c r="KI13" i="16"/>
  <c r="KI12" i="16"/>
  <c r="KJ7" i="16"/>
  <c r="KI6" i="16"/>
  <c r="KJ55" i="16" l="1"/>
  <c r="KJ56" i="16"/>
  <c r="KJ57" i="16"/>
  <c r="KJ31" i="16"/>
  <c r="KJ32" i="16"/>
  <c r="KJ46" i="16"/>
  <c r="KJ36" i="16"/>
  <c r="KJ47" i="16"/>
  <c r="KJ48" i="16"/>
  <c r="KJ34" i="16"/>
  <c r="KJ33" i="16"/>
  <c r="KJ37" i="16"/>
  <c r="KJ38" i="16"/>
  <c r="KJ39" i="16"/>
  <c r="KJ35" i="16"/>
  <c r="KJ40" i="16"/>
  <c r="KJ43" i="16"/>
  <c r="KJ41" i="16"/>
  <c r="KJ30" i="16"/>
  <c r="KJ42" i="16"/>
  <c r="KJ44" i="16"/>
  <c r="KJ12" i="16"/>
  <c r="KJ13" i="16"/>
  <c r="KI14" i="16"/>
  <c r="KK7" i="16"/>
  <c r="KJ6" i="16"/>
  <c r="KK56" i="16" l="1"/>
  <c r="KK55" i="16"/>
  <c r="KK57" i="16"/>
  <c r="KK48" i="16"/>
  <c r="KK31" i="16"/>
  <c r="KK32" i="16"/>
  <c r="KK46" i="16"/>
  <c r="KK47" i="16"/>
  <c r="KK34" i="16"/>
  <c r="KK33" i="16"/>
  <c r="KK35" i="16"/>
  <c r="KK36" i="16"/>
  <c r="KK37" i="16"/>
  <c r="KK40" i="16"/>
  <c r="KK38" i="16"/>
  <c r="KK30" i="16"/>
  <c r="KK42" i="16"/>
  <c r="KK41" i="16"/>
  <c r="KK43" i="16"/>
  <c r="KK39" i="16"/>
  <c r="KK44" i="16"/>
  <c r="KK12" i="16"/>
  <c r="KK13" i="16"/>
  <c r="KJ14" i="16"/>
  <c r="KL7" i="16"/>
  <c r="KK6" i="16"/>
  <c r="KL56" i="16" l="1"/>
  <c r="KL55" i="16"/>
  <c r="KL57" i="16"/>
  <c r="KL47" i="16"/>
  <c r="KL48" i="16"/>
  <c r="KL46" i="16"/>
  <c r="KL34" i="16"/>
  <c r="KL31" i="16"/>
  <c r="KL32" i="16"/>
  <c r="KL38" i="16"/>
  <c r="KL33" i="16"/>
  <c r="KL35" i="16"/>
  <c r="KL40" i="16"/>
  <c r="KL36" i="16"/>
  <c r="KL37" i="16"/>
  <c r="KL43" i="16"/>
  <c r="KL39" i="16"/>
  <c r="KL41" i="16"/>
  <c r="KL42" i="16"/>
  <c r="KL44" i="16"/>
  <c r="KL30" i="16"/>
  <c r="KL13" i="16"/>
  <c r="KL12" i="16"/>
  <c r="KK14" i="16"/>
  <c r="KM7" i="16"/>
  <c r="KL6" i="16"/>
  <c r="KM56" i="16" l="1"/>
  <c r="KM55" i="16"/>
  <c r="KM57" i="16"/>
  <c r="KM48" i="16"/>
  <c r="KM47" i="16"/>
  <c r="KM33" i="16"/>
  <c r="KM46" i="16"/>
  <c r="KM31" i="16"/>
  <c r="KM32" i="16"/>
  <c r="KM34" i="16"/>
  <c r="KM36" i="16"/>
  <c r="KM37" i="16"/>
  <c r="KM39" i="16"/>
  <c r="KM41" i="16"/>
  <c r="KM44" i="16"/>
  <c r="KM40" i="16"/>
  <c r="KM35" i="16"/>
  <c r="KM38" i="16"/>
  <c r="KM30" i="16"/>
  <c r="KM42" i="16"/>
  <c r="KM43" i="16"/>
  <c r="KM12" i="16"/>
  <c r="KM13" i="16"/>
  <c r="KL14" i="16"/>
  <c r="KN7" i="16"/>
  <c r="KM6" i="16"/>
  <c r="KM14" i="16" l="1"/>
  <c r="KN55" i="16"/>
  <c r="KN56" i="16"/>
  <c r="KN57" i="16"/>
  <c r="KN48" i="16"/>
  <c r="KN47" i="16"/>
  <c r="KN46" i="16"/>
  <c r="KN31" i="16"/>
  <c r="KN34" i="16"/>
  <c r="KN32" i="16"/>
  <c r="KN38" i="16"/>
  <c r="KN33" i="16"/>
  <c r="KN40" i="16"/>
  <c r="KN36" i="16"/>
  <c r="KN37" i="16"/>
  <c r="KN35" i="16"/>
  <c r="KN39" i="16"/>
  <c r="KN41" i="16"/>
  <c r="KN44" i="16"/>
  <c r="KN30" i="16"/>
  <c r="KN42" i="16"/>
  <c r="KN43" i="16"/>
  <c r="KN13" i="16"/>
  <c r="KN12" i="16"/>
  <c r="KO7" i="16"/>
  <c r="KN6" i="16"/>
  <c r="KO55" i="16" l="1"/>
  <c r="KO56" i="16"/>
  <c r="KN14" i="16"/>
  <c r="KO57" i="16"/>
  <c r="KO46" i="16"/>
  <c r="KO47" i="16"/>
  <c r="KO31" i="16"/>
  <c r="KO48" i="16"/>
  <c r="KO35" i="16"/>
  <c r="KO32" i="16"/>
  <c r="KO39" i="16"/>
  <c r="KO34" i="16"/>
  <c r="KO41" i="16"/>
  <c r="KO33" i="16"/>
  <c r="KO36" i="16"/>
  <c r="KO37" i="16"/>
  <c r="KO42" i="16"/>
  <c r="KO44" i="16"/>
  <c r="KO40" i="16"/>
  <c r="KO38" i="16"/>
  <c r="KO43" i="16"/>
  <c r="KO30" i="16"/>
  <c r="KO13" i="16"/>
  <c r="KO12" i="16"/>
  <c r="KP7" i="16"/>
  <c r="KO6" i="16"/>
  <c r="KP55" i="16" l="1"/>
  <c r="KP56" i="16"/>
  <c r="KP57" i="16"/>
  <c r="KP46" i="16"/>
  <c r="KP47" i="16"/>
  <c r="KP48" i="16"/>
  <c r="KP32" i="16"/>
  <c r="KP33" i="16"/>
  <c r="KP31" i="16"/>
  <c r="KP34" i="16"/>
  <c r="KP35" i="16"/>
  <c r="KP36" i="16"/>
  <c r="KP37" i="16"/>
  <c r="KP39" i="16"/>
  <c r="KP41" i="16"/>
  <c r="KP40" i="16"/>
  <c r="KP38" i="16"/>
  <c r="KP43" i="16"/>
  <c r="KP44" i="16"/>
  <c r="KP30" i="16"/>
  <c r="KP42" i="16"/>
  <c r="KP13" i="16"/>
  <c r="KP12" i="16"/>
  <c r="KO14" i="16"/>
  <c r="KQ7" i="16"/>
  <c r="KP6" i="16"/>
  <c r="KQ55" i="16" l="1"/>
  <c r="KQ56" i="16"/>
  <c r="KQ57" i="16"/>
  <c r="KQ47" i="16"/>
  <c r="KQ48" i="16"/>
  <c r="KQ46" i="16"/>
  <c r="KQ32" i="16"/>
  <c r="KQ35" i="16"/>
  <c r="KQ31" i="16"/>
  <c r="KQ36" i="16"/>
  <c r="KQ37" i="16"/>
  <c r="KQ33" i="16"/>
  <c r="KQ38" i="16"/>
  <c r="KQ39" i="16"/>
  <c r="KQ34" i="16"/>
  <c r="KQ30" i="16"/>
  <c r="KQ41" i="16"/>
  <c r="KQ42" i="16"/>
  <c r="KQ43" i="16"/>
  <c r="KQ44" i="16"/>
  <c r="KQ40" i="16"/>
  <c r="KQ13" i="16"/>
  <c r="KQ12" i="16"/>
  <c r="KP14" i="16"/>
  <c r="KR7" i="16"/>
  <c r="KQ6" i="16"/>
  <c r="KR55" i="16" l="1"/>
  <c r="KR56" i="16"/>
  <c r="KR47" i="16"/>
  <c r="KR48" i="16"/>
  <c r="KR57" i="16"/>
  <c r="KR32" i="16"/>
  <c r="KR36" i="16"/>
  <c r="KR46" i="16"/>
  <c r="KR33" i="16"/>
  <c r="KR35" i="16"/>
  <c r="KR31" i="16"/>
  <c r="KR34" i="16"/>
  <c r="KR38" i="16"/>
  <c r="KR37" i="16"/>
  <c r="KR43" i="16"/>
  <c r="KR39" i="16"/>
  <c r="KR41" i="16"/>
  <c r="KR40" i="16"/>
  <c r="KR44" i="16"/>
  <c r="KR42" i="16"/>
  <c r="KR30" i="16"/>
  <c r="KR12" i="16"/>
  <c r="KR13" i="16"/>
  <c r="KQ14" i="16"/>
  <c r="KS7" i="16"/>
  <c r="KR6" i="16"/>
  <c r="KS56" i="16" l="1"/>
  <c r="KS55" i="16"/>
  <c r="KR14" i="16"/>
  <c r="KS57" i="16"/>
  <c r="KS48" i="16"/>
  <c r="KS47" i="16"/>
  <c r="KS31" i="16"/>
  <c r="KS32" i="16"/>
  <c r="KS46" i="16"/>
  <c r="KS33" i="16"/>
  <c r="KS34" i="16"/>
  <c r="KS35" i="16"/>
  <c r="KS37" i="16"/>
  <c r="KS39" i="16"/>
  <c r="KS36" i="16"/>
  <c r="KS38" i="16"/>
  <c r="KS40" i="16"/>
  <c r="KS41" i="16"/>
  <c r="KS42" i="16"/>
  <c r="KS30" i="16"/>
  <c r="KS43" i="16"/>
  <c r="KS44" i="16"/>
  <c r="KS12" i="16"/>
  <c r="KS13" i="16"/>
  <c r="KT7" i="16"/>
  <c r="KS6" i="16"/>
  <c r="KT56" i="16" l="1"/>
  <c r="KT55" i="16"/>
  <c r="KT57" i="16"/>
  <c r="KT47" i="16"/>
  <c r="KT31" i="16"/>
  <c r="KT48" i="16"/>
  <c r="KT34" i="16"/>
  <c r="KT46" i="16"/>
  <c r="KT33" i="16"/>
  <c r="KT38" i="16"/>
  <c r="KT32" i="16"/>
  <c r="KT36" i="16"/>
  <c r="KT37" i="16"/>
  <c r="KT35" i="16"/>
  <c r="KT40" i="16"/>
  <c r="KT43" i="16"/>
  <c r="KT39" i="16"/>
  <c r="KT42" i="16"/>
  <c r="KT30" i="16"/>
  <c r="KT41" i="16"/>
  <c r="KT44" i="16"/>
  <c r="KT13" i="16"/>
  <c r="KT12" i="16"/>
  <c r="KS14" i="16"/>
  <c r="KU7" i="16"/>
  <c r="KT6" i="16"/>
  <c r="KT14" i="16" l="1"/>
  <c r="KU56" i="16"/>
  <c r="KU55" i="16"/>
  <c r="KU57" i="16"/>
  <c r="KU47" i="16"/>
  <c r="KU33" i="16"/>
  <c r="KU32" i="16"/>
  <c r="KU48" i="16"/>
  <c r="KU31" i="16"/>
  <c r="KU34" i="16"/>
  <c r="KU35" i="16"/>
  <c r="KU46" i="16"/>
  <c r="KU36" i="16"/>
  <c r="KU37" i="16"/>
  <c r="KU38" i="16"/>
  <c r="KU40" i="16"/>
  <c r="KU44" i="16"/>
  <c r="KU39" i="16"/>
  <c r="KU41" i="16"/>
  <c r="KU42" i="16"/>
  <c r="KU43" i="16"/>
  <c r="KU30" i="16"/>
  <c r="KU12" i="16"/>
  <c r="KU13" i="16"/>
  <c r="KV7" i="16"/>
  <c r="KU6" i="16"/>
  <c r="KV55" i="16" l="1"/>
  <c r="KV56" i="16"/>
  <c r="KV57" i="16"/>
  <c r="KV48" i="16"/>
  <c r="KV47" i="16"/>
  <c r="KV46" i="16"/>
  <c r="KV31" i="16"/>
  <c r="KV32" i="16"/>
  <c r="KV34" i="16"/>
  <c r="KV33" i="16"/>
  <c r="KV38" i="16"/>
  <c r="KV35" i="16"/>
  <c r="KV36" i="16"/>
  <c r="KV37" i="16"/>
  <c r="KV40" i="16"/>
  <c r="KV41" i="16"/>
  <c r="KV42" i="16"/>
  <c r="KV30" i="16"/>
  <c r="KV43" i="16"/>
  <c r="KV44" i="16"/>
  <c r="KV39" i="16"/>
  <c r="KV13" i="16"/>
  <c r="KV12" i="16"/>
  <c r="KU14" i="16"/>
  <c r="KW7" i="16"/>
  <c r="KV6" i="16"/>
  <c r="KW55" i="16" l="1"/>
  <c r="KW56" i="16"/>
  <c r="KW57" i="16"/>
  <c r="KW46" i="16"/>
  <c r="KW48" i="16"/>
  <c r="KW31" i="16"/>
  <c r="KW47" i="16"/>
  <c r="KW35" i="16"/>
  <c r="KW32" i="16"/>
  <c r="KW39" i="16"/>
  <c r="KW34" i="16"/>
  <c r="KW33" i="16"/>
  <c r="KW41" i="16"/>
  <c r="KW36" i="16"/>
  <c r="KW37" i="16"/>
  <c r="KW38" i="16"/>
  <c r="KW42" i="16"/>
  <c r="KW40" i="16"/>
  <c r="KW44" i="16"/>
  <c r="KW30" i="16"/>
  <c r="KW43" i="16"/>
  <c r="KW13" i="16"/>
  <c r="KW12" i="16"/>
  <c r="KV14" i="16"/>
  <c r="KX7" i="16"/>
  <c r="KW6" i="16"/>
  <c r="KX56" i="16" l="1"/>
  <c r="KX55" i="16"/>
  <c r="KX57" i="16"/>
  <c r="KX46" i="16"/>
  <c r="KX47" i="16"/>
  <c r="KX31" i="16"/>
  <c r="KX48" i="16"/>
  <c r="KX34" i="16"/>
  <c r="KX32" i="16"/>
  <c r="KX33" i="16"/>
  <c r="KX35" i="16"/>
  <c r="KX36" i="16"/>
  <c r="KX37" i="16"/>
  <c r="KX41" i="16"/>
  <c r="KX38" i="16"/>
  <c r="KX40" i="16"/>
  <c r="KX39" i="16"/>
  <c r="KX42" i="16"/>
  <c r="KX44" i="16"/>
  <c r="KX30" i="16"/>
  <c r="KX43" i="16"/>
  <c r="KX13" i="16"/>
  <c r="KX12" i="16"/>
  <c r="KW14" i="16"/>
  <c r="KY7" i="16"/>
  <c r="KX6" i="16"/>
  <c r="KY55" i="16" l="1"/>
  <c r="KY56" i="16"/>
  <c r="KY57" i="16"/>
  <c r="KY47" i="16"/>
  <c r="KY46" i="16"/>
  <c r="KY31" i="16"/>
  <c r="KY33" i="16"/>
  <c r="KY35" i="16"/>
  <c r="KY48" i="16"/>
  <c r="KY37" i="16"/>
  <c r="KY34" i="16"/>
  <c r="KY32" i="16"/>
  <c r="KY36" i="16"/>
  <c r="KY39" i="16"/>
  <c r="KY30" i="16"/>
  <c r="KY41" i="16"/>
  <c r="KY38" i="16"/>
  <c r="KY42" i="16"/>
  <c r="KY40" i="16"/>
  <c r="KY44" i="16"/>
  <c r="KY43" i="16"/>
  <c r="KY13" i="16"/>
  <c r="KY12" i="16"/>
  <c r="KX14" i="16"/>
  <c r="KZ7" i="16"/>
  <c r="KY6" i="16"/>
  <c r="KZ55" i="16" l="1"/>
  <c r="KZ56" i="16"/>
  <c r="KZ57" i="16"/>
  <c r="KZ48" i="16"/>
  <c r="KZ32" i="16"/>
  <c r="KZ47" i="16"/>
  <c r="KZ36" i="16"/>
  <c r="KZ31" i="16"/>
  <c r="KZ46" i="16"/>
  <c r="KZ33" i="16"/>
  <c r="KZ34" i="16"/>
  <c r="KZ39" i="16"/>
  <c r="KZ35" i="16"/>
  <c r="KZ37" i="16"/>
  <c r="KZ43" i="16"/>
  <c r="KZ41" i="16"/>
  <c r="KZ38" i="16"/>
  <c r="KZ40" i="16"/>
  <c r="KZ44" i="16"/>
  <c r="KZ42" i="16"/>
  <c r="KZ30" i="16"/>
  <c r="KZ12" i="16"/>
  <c r="KZ13" i="16"/>
  <c r="KY14" i="16"/>
  <c r="LA7" i="16"/>
  <c r="KZ6" i="16"/>
  <c r="LA55" i="16" l="1"/>
  <c r="LA56" i="16"/>
  <c r="LA57" i="16"/>
  <c r="LA47" i="16"/>
  <c r="LA48" i="16"/>
  <c r="LA32" i="16"/>
  <c r="LA46" i="16"/>
  <c r="LA31" i="16"/>
  <c r="LA33" i="16"/>
  <c r="LA36" i="16"/>
  <c r="LA37" i="16"/>
  <c r="LA38" i="16"/>
  <c r="LA35" i="16"/>
  <c r="LA34" i="16"/>
  <c r="LA39" i="16"/>
  <c r="LA41" i="16"/>
  <c r="LA40" i="16"/>
  <c r="LA43" i="16"/>
  <c r="LA44" i="16"/>
  <c r="LA42" i="16"/>
  <c r="LA30" i="16"/>
  <c r="LA12" i="16"/>
  <c r="LA13" i="16"/>
  <c r="KZ14" i="16"/>
  <c r="LB7" i="16"/>
  <c r="LA6" i="16"/>
  <c r="LB56" i="16" l="1"/>
  <c r="LB55" i="16"/>
  <c r="LB57" i="16"/>
  <c r="LB47" i="16"/>
  <c r="LB48" i="16"/>
  <c r="LB31" i="16"/>
  <c r="LB46" i="16"/>
  <c r="LB34" i="16"/>
  <c r="LB32" i="16"/>
  <c r="LB35" i="16"/>
  <c r="LB38" i="16"/>
  <c r="LB40" i="16"/>
  <c r="LB39" i="16"/>
  <c r="LB33" i="16"/>
  <c r="LB36" i="16"/>
  <c r="LB37" i="16"/>
  <c r="LB43" i="16"/>
  <c r="LB41" i="16"/>
  <c r="LB30" i="16"/>
  <c r="LB44" i="16"/>
  <c r="LB42" i="16"/>
  <c r="LB13" i="16"/>
  <c r="LB12" i="16"/>
  <c r="LA14" i="16"/>
  <c r="LC7" i="16"/>
  <c r="LB6" i="16"/>
  <c r="LC56" i="16" l="1"/>
  <c r="LC55" i="16"/>
  <c r="LB14" i="16"/>
  <c r="LC57" i="16"/>
  <c r="LC33" i="16"/>
  <c r="LC48" i="16"/>
  <c r="LC31" i="16"/>
  <c r="LC32" i="16"/>
  <c r="LC47" i="16"/>
  <c r="LC46" i="16"/>
  <c r="LC35" i="16"/>
  <c r="LC36" i="16"/>
  <c r="LC34" i="16"/>
  <c r="LC38" i="16"/>
  <c r="LC37" i="16"/>
  <c r="LC44" i="16"/>
  <c r="LC39" i="16"/>
  <c r="LC40" i="16"/>
  <c r="LC42" i="16"/>
  <c r="LC43" i="16"/>
  <c r="LC30" i="16"/>
  <c r="LC41" i="16"/>
  <c r="LC12" i="16"/>
  <c r="LC13" i="16"/>
  <c r="LD7" i="16"/>
  <c r="LC6" i="16"/>
  <c r="LD55" i="16" l="1"/>
  <c r="LD56" i="16"/>
  <c r="LD57" i="16"/>
  <c r="LD47" i="16"/>
  <c r="LD48" i="16"/>
  <c r="LD32" i="16"/>
  <c r="LD46" i="16"/>
  <c r="LD34" i="16"/>
  <c r="LD31" i="16"/>
  <c r="LD38" i="16"/>
  <c r="LD33" i="16"/>
  <c r="LD37" i="16"/>
  <c r="LD40" i="16"/>
  <c r="LD35" i="16"/>
  <c r="LD36" i="16"/>
  <c r="LD39" i="16"/>
  <c r="LD41" i="16"/>
  <c r="LD42" i="16"/>
  <c r="LD43" i="16"/>
  <c r="LD44" i="16"/>
  <c r="LD30" i="16"/>
  <c r="LD13" i="16"/>
  <c r="LD12" i="16"/>
  <c r="LC14" i="16"/>
  <c r="LE7" i="16"/>
  <c r="LD6" i="16"/>
  <c r="LE56" i="16" l="1"/>
  <c r="LE55" i="16"/>
  <c r="LE57" i="16"/>
  <c r="LE46" i="16"/>
  <c r="LE31" i="16"/>
  <c r="LE48" i="16"/>
  <c r="LE32" i="16"/>
  <c r="LE35" i="16"/>
  <c r="LE47" i="16"/>
  <c r="LE33" i="16"/>
  <c r="LE34" i="16"/>
  <c r="LE39" i="16"/>
  <c r="LE37" i="16"/>
  <c r="LE41" i="16"/>
  <c r="LE36" i="16"/>
  <c r="LE40" i="16"/>
  <c r="LE42" i="16"/>
  <c r="LE44" i="16"/>
  <c r="LE38" i="16"/>
  <c r="LE43" i="16"/>
  <c r="LE30" i="16"/>
  <c r="LE13" i="16"/>
  <c r="LE12" i="16"/>
  <c r="LD14" i="16"/>
  <c r="LF7" i="16"/>
  <c r="LE6" i="16"/>
  <c r="LF55" i="16" l="1"/>
  <c r="LF56" i="16"/>
  <c r="LF57" i="16"/>
  <c r="LF47" i="16"/>
  <c r="LF48" i="16"/>
  <c r="LF31" i="16"/>
  <c r="LF46" i="16"/>
  <c r="LF33" i="16"/>
  <c r="LF34" i="16"/>
  <c r="LF35" i="16"/>
  <c r="LF36" i="16"/>
  <c r="LF37" i="16"/>
  <c r="LF38" i="16"/>
  <c r="LF32" i="16"/>
  <c r="LF41" i="16"/>
  <c r="LF40" i="16"/>
  <c r="LF39" i="16"/>
  <c r="LF42" i="16"/>
  <c r="LF43" i="16"/>
  <c r="LF30" i="16"/>
  <c r="LF44" i="16"/>
  <c r="LF13" i="16"/>
  <c r="LF12" i="16"/>
  <c r="LE14" i="16"/>
  <c r="LG7" i="16"/>
  <c r="LF6" i="16"/>
  <c r="LG55" i="16" l="1"/>
  <c r="LG56" i="16"/>
  <c r="LG57" i="16"/>
  <c r="LG47" i="16"/>
  <c r="LG48" i="16"/>
  <c r="LG46" i="16"/>
  <c r="LG32" i="16"/>
  <c r="LG35" i="16"/>
  <c r="LG31" i="16"/>
  <c r="LG37" i="16"/>
  <c r="LG33" i="16"/>
  <c r="LG34" i="16"/>
  <c r="LG36" i="16"/>
  <c r="LG41" i="16"/>
  <c r="LG30" i="16"/>
  <c r="LG40" i="16"/>
  <c r="LG42" i="16"/>
  <c r="LG39" i="16"/>
  <c r="LG38" i="16"/>
  <c r="LG43" i="16"/>
  <c r="LG44" i="16"/>
  <c r="LG13" i="16"/>
  <c r="LG12" i="16"/>
  <c r="LF14" i="16"/>
  <c r="LH7" i="16"/>
  <c r="LG6" i="16"/>
  <c r="LH55" i="16" l="1"/>
  <c r="LH56" i="16"/>
  <c r="LG14" i="16"/>
  <c r="LH57" i="16"/>
  <c r="LH47" i="16"/>
  <c r="LH46" i="16"/>
  <c r="LH32" i="16"/>
  <c r="LH48" i="16"/>
  <c r="LH33" i="16"/>
  <c r="LH36" i="16"/>
  <c r="LH34" i="16"/>
  <c r="LH35" i="16"/>
  <c r="LH37" i="16"/>
  <c r="LH31" i="16"/>
  <c r="LH43" i="16"/>
  <c r="LH41" i="16"/>
  <c r="LH40" i="16"/>
  <c r="LH38" i="16"/>
  <c r="LH42" i="16"/>
  <c r="LH39" i="16"/>
  <c r="LH44" i="16"/>
  <c r="LH30" i="16"/>
  <c r="LH12" i="16"/>
  <c r="LH13" i="16"/>
  <c r="LI7" i="16"/>
  <c r="LH6" i="16"/>
  <c r="LI55" i="16" l="1"/>
  <c r="LI56" i="16"/>
  <c r="LI57" i="16"/>
  <c r="LI48" i="16"/>
  <c r="LI47" i="16"/>
  <c r="LI46" i="16"/>
  <c r="LI32" i="16"/>
  <c r="LI31" i="16"/>
  <c r="LI33" i="16"/>
  <c r="LI37" i="16"/>
  <c r="LI34" i="16"/>
  <c r="LI39" i="16"/>
  <c r="LI36" i="16"/>
  <c r="LI38" i="16"/>
  <c r="LI41" i="16"/>
  <c r="LI40" i="16"/>
  <c r="LI35" i="16"/>
  <c r="LI44" i="16"/>
  <c r="LI42" i="16"/>
  <c r="LI43" i="16"/>
  <c r="LI30" i="16"/>
  <c r="LI12" i="16"/>
  <c r="LI13" i="16"/>
  <c r="LH14" i="16"/>
  <c r="LJ7" i="16"/>
  <c r="LI6" i="16"/>
  <c r="LJ56" i="16" l="1"/>
  <c r="LJ55" i="16"/>
  <c r="LI14" i="16"/>
  <c r="LJ57" i="16"/>
  <c r="LJ47" i="16"/>
  <c r="LJ48" i="16"/>
  <c r="LJ31" i="16"/>
  <c r="LJ34" i="16"/>
  <c r="LJ33" i="16"/>
  <c r="LJ46" i="16"/>
  <c r="LJ32" i="16"/>
  <c r="LJ36" i="16"/>
  <c r="LJ38" i="16"/>
  <c r="LJ40" i="16"/>
  <c r="LJ37" i="16"/>
  <c r="LJ35" i="16"/>
  <c r="LJ43" i="16"/>
  <c r="LJ41" i="16"/>
  <c r="LJ39" i="16"/>
  <c r="LJ44" i="16"/>
  <c r="LJ42" i="16"/>
  <c r="LJ30" i="16"/>
  <c r="LJ12" i="16"/>
  <c r="LJ13" i="16"/>
  <c r="LK7" i="16"/>
  <c r="LJ6" i="16"/>
  <c r="LK56" i="16" l="1"/>
  <c r="LK55" i="16"/>
  <c r="LK57" i="16"/>
  <c r="LK48" i="16"/>
  <c r="LK31" i="16"/>
  <c r="LK33" i="16"/>
  <c r="LK46" i="16"/>
  <c r="LK32" i="16"/>
  <c r="LK47" i="16"/>
  <c r="LK34" i="16"/>
  <c r="LK35" i="16"/>
  <c r="LK36" i="16"/>
  <c r="LK39" i="16"/>
  <c r="LK37" i="16"/>
  <c r="LK38" i="16"/>
  <c r="LK44" i="16"/>
  <c r="LK40" i="16"/>
  <c r="LK41" i="16"/>
  <c r="LK30" i="16"/>
  <c r="LK43" i="16"/>
  <c r="LK42" i="16"/>
  <c r="LK12" i="16"/>
  <c r="LK13" i="16"/>
  <c r="LJ14" i="16"/>
  <c r="LL7" i="16"/>
  <c r="LK6" i="16"/>
  <c r="LK14" i="16" l="1"/>
  <c r="LL55" i="16"/>
  <c r="LL56" i="16"/>
  <c r="LL57" i="16"/>
  <c r="LL47" i="16"/>
  <c r="LL31" i="16"/>
  <c r="LL48" i="16"/>
  <c r="LL34" i="16"/>
  <c r="LL46" i="16"/>
  <c r="LL35" i="16"/>
  <c r="LL36" i="16"/>
  <c r="LL38" i="16"/>
  <c r="LL33" i="16"/>
  <c r="LL32" i="16"/>
  <c r="LL40" i="16"/>
  <c r="LL39" i="16"/>
  <c r="LL37" i="16"/>
  <c r="LL43" i="16"/>
  <c r="LL30" i="16"/>
  <c r="LL44" i="16"/>
  <c r="LL41" i="16"/>
  <c r="LL42" i="16"/>
  <c r="LL13" i="16"/>
  <c r="LL12" i="16"/>
  <c r="LM7" i="16"/>
  <c r="LL6" i="16"/>
  <c r="LM55" i="16" l="1"/>
  <c r="LM56" i="16"/>
  <c r="LL14" i="16"/>
  <c r="LM57" i="16"/>
  <c r="LM46" i="16"/>
  <c r="LM47" i="16"/>
  <c r="LM31" i="16"/>
  <c r="LM35" i="16"/>
  <c r="LM48" i="16"/>
  <c r="LM32" i="16"/>
  <c r="LM39" i="16"/>
  <c r="LM33" i="16"/>
  <c r="LM34" i="16"/>
  <c r="LM38" i="16"/>
  <c r="LM41" i="16"/>
  <c r="LM36" i="16"/>
  <c r="LM37" i="16"/>
  <c r="LM42" i="16"/>
  <c r="LM44" i="16"/>
  <c r="LM40" i="16"/>
  <c r="LM43" i="16"/>
  <c r="LM30" i="16"/>
  <c r="LM13" i="16"/>
  <c r="LM12" i="16"/>
  <c r="LN7" i="16"/>
  <c r="LM6" i="16"/>
  <c r="LN56" i="16" l="1"/>
  <c r="LN55" i="16"/>
  <c r="LM14" i="16"/>
  <c r="LN57" i="16"/>
  <c r="LN47" i="16"/>
  <c r="LN48" i="16"/>
  <c r="LN31" i="16"/>
  <c r="LN32" i="16"/>
  <c r="LN35" i="16"/>
  <c r="LN46" i="16"/>
  <c r="LN34" i="16"/>
  <c r="LN37" i="16"/>
  <c r="LN38" i="16"/>
  <c r="LN33" i="16"/>
  <c r="LN36" i="16"/>
  <c r="LN39" i="16"/>
  <c r="LN40" i="16"/>
  <c r="LN41" i="16"/>
  <c r="LN42" i="16"/>
  <c r="LN43" i="16"/>
  <c r="LN44" i="16"/>
  <c r="LN30" i="16"/>
  <c r="LN13" i="16"/>
  <c r="LN12" i="16"/>
  <c r="LO7" i="16"/>
  <c r="LN6" i="16"/>
  <c r="LO55" i="16" l="1"/>
  <c r="LO56" i="16"/>
  <c r="LO47" i="16"/>
  <c r="LO57" i="16"/>
  <c r="LO48" i="16"/>
  <c r="LO31" i="16"/>
  <c r="LO32" i="16"/>
  <c r="LO35" i="16"/>
  <c r="LO46" i="16"/>
  <c r="LO34" i="16"/>
  <c r="LO37" i="16"/>
  <c r="LO33" i="16"/>
  <c r="LO40" i="16"/>
  <c r="LO41" i="16"/>
  <c r="LO30" i="16"/>
  <c r="LO36" i="16"/>
  <c r="LO38" i="16"/>
  <c r="LO39" i="16"/>
  <c r="LO42" i="16"/>
  <c r="LO43" i="16"/>
  <c r="LO44" i="16"/>
  <c r="LO13" i="16"/>
  <c r="LO12" i="16"/>
  <c r="LN14" i="16"/>
  <c r="LP7" i="16"/>
  <c r="LO6" i="16"/>
  <c r="LP55" i="16" l="1"/>
  <c r="LP56" i="16"/>
  <c r="LP57" i="16"/>
  <c r="LP48" i="16"/>
  <c r="LP32" i="16"/>
  <c r="LP47" i="16"/>
  <c r="LP46" i="16"/>
  <c r="LP36" i="16"/>
  <c r="LP31" i="16"/>
  <c r="LP33" i="16"/>
  <c r="LP34" i="16"/>
  <c r="LP35" i="16"/>
  <c r="LP37" i="16"/>
  <c r="LP38" i="16"/>
  <c r="LP40" i="16"/>
  <c r="LP41" i="16"/>
  <c r="LP43" i="16"/>
  <c r="LP39" i="16"/>
  <c r="LP42" i="16"/>
  <c r="LP30" i="16"/>
  <c r="LP44" i="16"/>
  <c r="LP12" i="16"/>
  <c r="LP13" i="16"/>
  <c r="LO14" i="16"/>
  <c r="LQ7" i="16"/>
  <c r="LP6" i="16"/>
  <c r="LQ56" i="16" l="1"/>
  <c r="LQ55" i="16"/>
  <c r="LQ57" i="16"/>
  <c r="LQ48" i="16"/>
  <c r="LQ46" i="16"/>
  <c r="LQ32" i="16"/>
  <c r="LQ47" i="16"/>
  <c r="LQ33" i="16"/>
  <c r="LQ31" i="16"/>
  <c r="LQ34" i="16"/>
  <c r="LQ35" i="16"/>
  <c r="LQ37" i="16"/>
  <c r="LQ36" i="16"/>
  <c r="LQ40" i="16"/>
  <c r="LQ41" i="16"/>
  <c r="LQ38" i="16"/>
  <c r="LQ39" i="16"/>
  <c r="LQ42" i="16"/>
  <c r="LQ43" i="16"/>
  <c r="LQ30" i="16"/>
  <c r="LQ44" i="16"/>
  <c r="LQ12" i="16"/>
  <c r="LQ13" i="16"/>
  <c r="LP14" i="16"/>
  <c r="LR7" i="16"/>
  <c r="LQ6" i="16"/>
  <c r="LQ14" i="16" l="1"/>
  <c r="LR56" i="16"/>
  <c r="LR55" i="16"/>
  <c r="LR57" i="16"/>
  <c r="LR48" i="16"/>
  <c r="LR46" i="16"/>
  <c r="LR47" i="16"/>
  <c r="LR32" i="16"/>
  <c r="LR34" i="16"/>
  <c r="LR31" i="16"/>
  <c r="LR33" i="16"/>
  <c r="LR38" i="16"/>
  <c r="LR35" i="16"/>
  <c r="LR36" i="16"/>
  <c r="LR39" i="16"/>
  <c r="LR40" i="16"/>
  <c r="LR37" i="16"/>
  <c r="LR41" i="16"/>
  <c r="LR43" i="16"/>
  <c r="LR42" i="16"/>
  <c r="LR30" i="16"/>
  <c r="LR44" i="16"/>
  <c r="LR13" i="16"/>
  <c r="LR12" i="16"/>
  <c r="LS7" i="16"/>
  <c r="LR6" i="16"/>
  <c r="LR14" i="16" l="1"/>
  <c r="LS56" i="16"/>
  <c r="LS55" i="16"/>
  <c r="LS57" i="16"/>
  <c r="LS47" i="16"/>
  <c r="LS33" i="16"/>
  <c r="LS46" i="16"/>
  <c r="LS48" i="16"/>
  <c r="LS32" i="16"/>
  <c r="LS31" i="16"/>
  <c r="LS36" i="16"/>
  <c r="LS34" i="16"/>
  <c r="LS35" i="16"/>
  <c r="LS37" i="16"/>
  <c r="LS44" i="16"/>
  <c r="LS40" i="16"/>
  <c r="LS38" i="16"/>
  <c r="LS41" i="16"/>
  <c r="LS39" i="16"/>
  <c r="LS42" i="16"/>
  <c r="LS43" i="16"/>
  <c r="LS30" i="16"/>
  <c r="LS12" i="16"/>
  <c r="LS13" i="16"/>
  <c r="LT7" i="16"/>
  <c r="LS6" i="16"/>
  <c r="LT55" i="16" l="1"/>
  <c r="LT56" i="16"/>
  <c r="LT57" i="16"/>
  <c r="LT48" i="16"/>
  <c r="LT47" i="16"/>
  <c r="LT31" i="16"/>
  <c r="LT46" i="16"/>
  <c r="LT33" i="16"/>
  <c r="LT34" i="16"/>
  <c r="LT32" i="16"/>
  <c r="LT38" i="16"/>
  <c r="LT36" i="16"/>
  <c r="LT35" i="16"/>
  <c r="LT39" i="16"/>
  <c r="LT40" i="16"/>
  <c r="LT37" i="16"/>
  <c r="LT41" i="16"/>
  <c r="LT44" i="16"/>
  <c r="LT30" i="16"/>
  <c r="LT42" i="16"/>
  <c r="LT43" i="16"/>
  <c r="LT13" i="16"/>
  <c r="LT12" i="16"/>
  <c r="LS14" i="16"/>
  <c r="LU7" i="16"/>
  <c r="LT6" i="16"/>
  <c r="LU55" i="16" l="1"/>
  <c r="LU56" i="16"/>
  <c r="LT14" i="16"/>
  <c r="LU57" i="16"/>
  <c r="LU46" i="16"/>
  <c r="LU47" i="16"/>
  <c r="LU31" i="16"/>
  <c r="LU48" i="16"/>
  <c r="LU35" i="16"/>
  <c r="LU32" i="16"/>
  <c r="LU39" i="16"/>
  <c r="LU33" i="16"/>
  <c r="LU36" i="16"/>
  <c r="LU34" i="16"/>
  <c r="LU41" i="16"/>
  <c r="LU37" i="16"/>
  <c r="LU42" i="16"/>
  <c r="LU44" i="16"/>
  <c r="LU40" i="16"/>
  <c r="LU38" i="16"/>
  <c r="LU30" i="16"/>
  <c r="LU43" i="16"/>
  <c r="LU13" i="16"/>
  <c r="LU12" i="16"/>
  <c r="LV7" i="16"/>
  <c r="LU6" i="16"/>
  <c r="LU14" i="16" l="1"/>
  <c r="LV55" i="16"/>
  <c r="LV56" i="16"/>
  <c r="LV57" i="16"/>
  <c r="LV47" i="16"/>
  <c r="LV31" i="16"/>
  <c r="LV46" i="16"/>
  <c r="LV48" i="16"/>
  <c r="LV32" i="16"/>
  <c r="LV33" i="16"/>
  <c r="LV34" i="16"/>
  <c r="LV36" i="16"/>
  <c r="LV35" i="16"/>
  <c r="LV37" i="16"/>
  <c r="LV40" i="16"/>
  <c r="LV39" i="16"/>
  <c r="LV41" i="16"/>
  <c r="LV43" i="16"/>
  <c r="LV44" i="16"/>
  <c r="LV38" i="16"/>
  <c r="LV42" i="16"/>
  <c r="LV30" i="16"/>
  <c r="LV13" i="16"/>
  <c r="LV12" i="16"/>
  <c r="LW7" i="16"/>
  <c r="LV6" i="16"/>
  <c r="LW55" i="16" l="1"/>
  <c r="LW56" i="16"/>
  <c r="LW57" i="16"/>
  <c r="LW47" i="16"/>
  <c r="LW46" i="16"/>
  <c r="LW48" i="16"/>
  <c r="LW35" i="16"/>
  <c r="LW37" i="16"/>
  <c r="LW32" i="16"/>
  <c r="LW33" i="16"/>
  <c r="LW31" i="16"/>
  <c r="LW38" i="16"/>
  <c r="LW34" i="16"/>
  <c r="LW36" i="16"/>
  <c r="LW30" i="16"/>
  <c r="LW42" i="16"/>
  <c r="LW39" i="16"/>
  <c r="LW41" i="16"/>
  <c r="LW43" i="16"/>
  <c r="LW40" i="16"/>
  <c r="LW44" i="16"/>
  <c r="LW13" i="16"/>
  <c r="LW12" i="16"/>
  <c r="LV14" i="16"/>
  <c r="LX7" i="16"/>
  <c r="LW6" i="16"/>
  <c r="LX55" i="16" l="1"/>
  <c r="LX56" i="16"/>
  <c r="LX57" i="16"/>
  <c r="LX47" i="16"/>
  <c r="LX32" i="16"/>
  <c r="LX31" i="16"/>
  <c r="LX36" i="16"/>
  <c r="LX46" i="16"/>
  <c r="LX48" i="16"/>
  <c r="LX35" i="16"/>
  <c r="LX33" i="16"/>
  <c r="LX34" i="16"/>
  <c r="LX38" i="16"/>
  <c r="LX37" i="16"/>
  <c r="LX39" i="16"/>
  <c r="LX41" i="16"/>
  <c r="LX43" i="16"/>
  <c r="LX40" i="16"/>
  <c r="LX44" i="16"/>
  <c r="LX30" i="16"/>
  <c r="LX42" i="16"/>
  <c r="LX12" i="16"/>
  <c r="LX13" i="16"/>
  <c r="LW14" i="16"/>
  <c r="LY7" i="16"/>
  <c r="LX6" i="16"/>
  <c r="LX14" i="16" l="1"/>
  <c r="LY56" i="16"/>
  <c r="LY55" i="16"/>
  <c r="LY57" i="16"/>
  <c r="LY48" i="16"/>
  <c r="LY32" i="16"/>
  <c r="LY47" i="16"/>
  <c r="LY46" i="16"/>
  <c r="LY31" i="16"/>
  <c r="LY34" i="16"/>
  <c r="LY35" i="16"/>
  <c r="LY37" i="16"/>
  <c r="LY36" i="16"/>
  <c r="LY40" i="16"/>
  <c r="LY39" i="16"/>
  <c r="LY41" i="16"/>
  <c r="LY33" i="16"/>
  <c r="LY38" i="16"/>
  <c r="LY42" i="16"/>
  <c r="LY43" i="16"/>
  <c r="LY44" i="16"/>
  <c r="LY30" i="16"/>
  <c r="LY12" i="16"/>
  <c r="LY13" i="16"/>
  <c r="LZ7" i="16"/>
  <c r="LY6" i="16"/>
  <c r="LY14" i="16" l="1"/>
  <c r="LZ56" i="16"/>
  <c r="LZ55" i="16"/>
  <c r="LZ57" i="16"/>
  <c r="LZ47" i="16"/>
  <c r="LZ46" i="16"/>
  <c r="LZ31" i="16"/>
  <c r="LZ33" i="16"/>
  <c r="LZ34" i="16"/>
  <c r="LZ48" i="16"/>
  <c r="LZ38" i="16"/>
  <c r="LZ32" i="16"/>
  <c r="LZ37" i="16"/>
  <c r="LZ40" i="16"/>
  <c r="LZ35" i="16"/>
  <c r="LZ36" i="16"/>
  <c r="LZ39" i="16"/>
  <c r="LZ41" i="16"/>
  <c r="LZ43" i="16"/>
  <c r="LZ42" i="16"/>
  <c r="LZ44" i="16"/>
  <c r="LZ30" i="16"/>
  <c r="LZ13" i="16"/>
  <c r="LZ12" i="16"/>
  <c r="MA7" i="16"/>
  <c r="LZ6" i="16"/>
  <c r="LZ14" i="16" l="1"/>
  <c r="MA56" i="16"/>
  <c r="MA55" i="16"/>
  <c r="MA57" i="16"/>
  <c r="MA48" i="16"/>
  <c r="MA33" i="16"/>
  <c r="MA32" i="16"/>
  <c r="MA47" i="16"/>
  <c r="MA31" i="16"/>
  <c r="MA46" i="16"/>
  <c r="MA34" i="16"/>
  <c r="MA35" i="16"/>
  <c r="MA37" i="16"/>
  <c r="MA39" i="16"/>
  <c r="MA38" i="16"/>
  <c r="MA40" i="16"/>
  <c r="MA44" i="16"/>
  <c r="MA36" i="16"/>
  <c r="MA41" i="16"/>
  <c r="MA42" i="16"/>
  <c r="MA43" i="16"/>
  <c r="MA30" i="16"/>
  <c r="MA12" i="16"/>
  <c r="MA13" i="16"/>
  <c r="MB7" i="16"/>
  <c r="MA6" i="16"/>
  <c r="MB55" i="16" l="1"/>
  <c r="MB56" i="16"/>
  <c r="MA14" i="16"/>
  <c r="MB57" i="16"/>
  <c r="MB47" i="16"/>
  <c r="MB48" i="16"/>
  <c r="MB46" i="16"/>
  <c r="MB31" i="16"/>
  <c r="MB34" i="16"/>
  <c r="MB36" i="16"/>
  <c r="MB38" i="16"/>
  <c r="MB32" i="16"/>
  <c r="MB35" i="16"/>
  <c r="MB33" i="16"/>
  <c r="MB37" i="16"/>
  <c r="MB40" i="16"/>
  <c r="MB39" i="16"/>
  <c r="MB41" i="16"/>
  <c r="MB42" i="16"/>
  <c r="MB43" i="16"/>
  <c r="MB30" i="16"/>
  <c r="MB44" i="16"/>
  <c r="MB13" i="16"/>
  <c r="MB12" i="16"/>
  <c r="MC7" i="16"/>
  <c r="MB6" i="16"/>
  <c r="MC55" i="16" l="1"/>
  <c r="MC56" i="16"/>
  <c r="MC57" i="16"/>
  <c r="MC46" i="16"/>
  <c r="MC48" i="16"/>
  <c r="MC31" i="16"/>
  <c r="MC32" i="16"/>
  <c r="MC35" i="16"/>
  <c r="MC33" i="16"/>
  <c r="MC47" i="16"/>
  <c r="MC39" i="16"/>
  <c r="MC34" i="16"/>
  <c r="MC41" i="16"/>
  <c r="MC37" i="16"/>
  <c r="MC36" i="16"/>
  <c r="MC38" i="16"/>
  <c r="MC42" i="16"/>
  <c r="MC40" i="16"/>
  <c r="MC44" i="16"/>
  <c r="MC30" i="16"/>
  <c r="MC43" i="16"/>
  <c r="MC13" i="16"/>
  <c r="MC12" i="16"/>
  <c r="MB14" i="16"/>
  <c r="MD7" i="16"/>
  <c r="MC6" i="16"/>
  <c r="MC14" i="16" l="1"/>
  <c r="MD56" i="16"/>
  <c r="MD55" i="16"/>
  <c r="MD57" i="16"/>
  <c r="MD31" i="16"/>
  <c r="MD48" i="16"/>
  <c r="MD46" i="16"/>
  <c r="MD32" i="16"/>
  <c r="MD47" i="16"/>
  <c r="MD33" i="16"/>
  <c r="MD34" i="16"/>
  <c r="MD36" i="16"/>
  <c r="MD39" i="16"/>
  <c r="MD37" i="16"/>
  <c r="MD38" i="16"/>
  <c r="MD40" i="16"/>
  <c r="MD41" i="16"/>
  <c r="MD30" i="16"/>
  <c r="MD35" i="16"/>
  <c r="MD42" i="16"/>
  <c r="MD43" i="16"/>
  <c r="MD44" i="16"/>
  <c r="MD13" i="16"/>
  <c r="MD12" i="16"/>
  <c r="ME7" i="16"/>
  <c r="MD6" i="16"/>
  <c r="MD14" i="16" l="1"/>
  <c r="ME55" i="16"/>
  <c r="ME56" i="16"/>
  <c r="ME57" i="16"/>
  <c r="ME47" i="16"/>
  <c r="ME31" i="16"/>
  <c r="ME48" i="16"/>
  <c r="ME35" i="16"/>
  <c r="ME33" i="16"/>
  <c r="ME37" i="16"/>
  <c r="ME34" i="16"/>
  <c r="ME32" i="16"/>
  <c r="ME36" i="16"/>
  <c r="ME46" i="16"/>
  <c r="ME30" i="16"/>
  <c r="ME38" i="16"/>
  <c r="ME42" i="16"/>
  <c r="ME39" i="16"/>
  <c r="ME40" i="16"/>
  <c r="ME44" i="16"/>
  <c r="ME41" i="16"/>
  <c r="ME43" i="16"/>
  <c r="ME13" i="16"/>
  <c r="ME12" i="16"/>
  <c r="MF7" i="16"/>
  <c r="ME6" i="16"/>
  <c r="ME14" i="16" l="1"/>
  <c r="MF55" i="16"/>
  <c r="MF56" i="16"/>
  <c r="MF57" i="16"/>
  <c r="MF47" i="16"/>
  <c r="MF32" i="16"/>
  <c r="MF48" i="16"/>
  <c r="MF46" i="16"/>
  <c r="MF36" i="16"/>
  <c r="MF31" i="16"/>
  <c r="MF33" i="16"/>
  <c r="MF34" i="16"/>
  <c r="MF35" i="16"/>
  <c r="MF43" i="16"/>
  <c r="MF38" i="16"/>
  <c r="MF37" i="16"/>
  <c r="MF39" i="16"/>
  <c r="MF40" i="16"/>
  <c r="MF41" i="16"/>
  <c r="MF44" i="16"/>
  <c r="MF42" i="16"/>
  <c r="MF30" i="16"/>
  <c r="MF12" i="16"/>
  <c r="MF13" i="16"/>
  <c r="MG7" i="16"/>
  <c r="MF6" i="16"/>
  <c r="MG55" i="16" l="1"/>
  <c r="MG56" i="16"/>
  <c r="MF14" i="16"/>
  <c r="MG57" i="16"/>
  <c r="MG48" i="16"/>
  <c r="MG47" i="16"/>
  <c r="MG32" i="16"/>
  <c r="MG31" i="16"/>
  <c r="MG46" i="16"/>
  <c r="MG33" i="16"/>
  <c r="MG37" i="16"/>
  <c r="MG35" i="16"/>
  <c r="MG38" i="16"/>
  <c r="MG36" i="16"/>
  <c r="MG34" i="16"/>
  <c r="MG41" i="16"/>
  <c r="MG43" i="16"/>
  <c r="MG39" i="16"/>
  <c r="MG44" i="16"/>
  <c r="MG40" i="16"/>
  <c r="MG30" i="16"/>
  <c r="MG42" i="16"/>
  <c r="MG12" i="16"/>
  <c r="MG13" i="16"/>
  <c r="MH7" i="16"/>
  <c r="MG6" i="16"/>
  <c r="MH56" i="16" l="1"/>
  <c r="MH55" i="16"/>
  <c r="MG14" i="16"/>
  <c r="MH57" i="16"/>
  <c r="MH47" i="16"/>
  <c r="MH48" i="16"/>
  <c r="MH46" i="16"/>
  <c r="MH34" i="16"/>
  <c r="MH32" i="16"/>
  <c r="MH31" i="16"/>
  <c r="MH35" i="16"/>
  <c r="MH38" i="16"/>
  <c r="MH33" i="16"/>
  <c r="MH40" i="16"/>
  <c r="MH36" i="16"/>
  <c r="MH41" i="16"/>
  <c r="MH43" i="16"/>
  <c r="MH39" i="16"/>
  <c r="MH37" i="16"/>
  <c r="MH44" i="16"/>
  <c r="MH30" i="16"/>
  <c r="MH42" i="16"/>
  <c r="MH12" i="16"/>
  <c r="MH13" i="16"/>
  <c r="MI7" i="16"/>
  <c r="MH6" i="16"/>
  <c r="MI56" i="16" l="1"/>
  <c r="MI55" i="16"/>
  <c r="MI57" i="16"/>
  <c r="MI47" i="16"/>
  <c r="MI46" i="16"/>
  <c r="MI33" i="16"/>
  <c r="MI32" i="16"/>
  <c r="MI31" i="16"/>
  <c r="MI35" i="16"/>
  <c r="MI48" i="16"/>
  <c r="MI34" i="16"/>
  <c r="MI38" i="16"/>
  <c r="MI36" i="16"/>
  <c r="MI37" i="16"/>
  <c r="MI39" i="16"/>
  <c r="MI44" i="16"/>
  <c r="MI41" i="16"/>
  <c r="MI40" i="16"/>
  <c r="MI42" i="16"/>
  <c r="MI43" i="16"/>
  <c r="MI30" i="16"/>
  <c r="MI12" i="16"/>
  <c r="MI13" i="16"/>
  <c r="MH14" i="16"/>
  <c r="MJ7" i="16"/>
  <c r="MI6" i="16"/>
  <c r="MJ56" i="16" l="1"/>
  <c r="MJ55" i="16"/>
  <c r="MJ57" i="16"/>
  <c r="MJ47" i="16"/>
  <c r="MJ46" i="16"/>
  <c r="MJ33" i="16"/>
  <c r="MJ34" i="16"/>
  <c r="MJ32" i="16"/>
  <c r="MJ48" i="16"/>
  <c r="MJ31" i="16"/>
  <c r="MJ38" i="16"/>
  <c r="MJ37" i="16"/>
  <c r="MJ35" i="16"/>
  <c r="MJ39" i="16"/>
  <c r="MJ40" i="16"/>
  <c r="MJ36" i="16"/>
  <c r="MJ41" i="16"/>
  <c r="MJ42" i="16"/>
  <c r="MJ43" i="16"/>
  <c r="MJ44" i="16"/>
  <c r="MJ30" i="16"/>
  <c r="MJ13" i="16"/>
  <c r="MJ12" i="16"/>
  <c r="MI14" i="16"/>
  <c r="MK7" i="16"/>
  <c r="MJ6" i="16"/>
  <c r="MK56" i="16" l="1"/>
  <c r="MK55" i="16"/>
  <c r="MK57" i="16"/>
  <c r="MK47" i="16"/>
  <c r="MK46" i="16"/>
  <c r="MK31" i="16"/>
  <c r="MK48" i="16"/>
  <c r="MK35" i="16"/>
  <c r="MK34" i="16"/>
  <c r="MK36" i="16"/>
  <c r="MK39" i="16"/>
  <c r="MK33" i="16"/>
  <c r="MK37" i="16"/>
  <c r="MK41" i="16"/>
  <c r="MK32" i="16"/>
  <c r="MK40" i="16"/>
  <c r="MK42" i="16"/>
  <c r="MK44" i="16"/>
  <c r="MK38" i="16"/>
  <c r="MK43" i="16"/>
  <c r="MK30" i="16"/>
  <c r="MK13" i="16"/>
  <c r="MK12" i="16"/>
  <c r="MJ14" i="16"/>
  <c r="ML7" i="16"/>
  <c r="MK6" i="16"/>
  <c r="ML55" i="16" l="1"/>
  <c r="ML56" i="16"/>
  <c r="MK14" i="16"/>
  <c r="ML57" i="16"/>
  <c r="ML47" i="16"/>
  <c r="ML48" i="16"/>
  <c r="ML46" i="16"/>
  <c r="ML33" i="16"/>
  <c r="ML31" i="16"/>
  <c r="ML34" i="16"/>
  <c r="ML35" i="16"/>
  <c r="ML32" i="16"/>
  <c r="ML37" i="16"/>
  <c r="ML38" i="16"/>
  <c r="ML36" i="16"/>
  <c r="ML39" i="16"/>
  <c r="ML40" i="16"/>
  <c r="ML41" i="16"/>
  <c r="ML30" i="16"/>
  <c r="ML42" i="16"/>
  <c r="ML43" i="16"/>
  <c r="ML44" i="16"/>
  <c r="ML13" i="16"/>
  <c r="ML12" i="16"/>
  <c r="MM7" i="16"/>
  <c r="ML6" i="16"/>
  <c r="ML14" i="16" l="1"/>
  <c r="MM55" i="16"/>
  <c r="MM56" i="16"/>
  <c r="MM47" i="16"/>
  <c r="MM57" i="16"/>
  <c r="MM48" i="16"/>
  <c r="MM46" i="16"/>
  <c r="MM31" i="16"/>
  <c r="MM35" i="16"/>
  <c r="MM32" i="16"/>
  <c r="MM37" i="16"/>
  <c r="MM34" i="16"/>
  <c r="MM36" i="16"/>
  <c r="MM39" i="16"/>
  <c r="MM33" i="16"/>
  <c r="MM30" i="16"/>
  <c r="MM40" i="16"/>
  <c r="MM42" i="16"/>
  <c r="MM38" i="16"/>
  <c r="MM41" i="16"/>
  <c r="MM43" i="16"/>
  <c r="MM44" i="16"/>
  <c r="MM13" i="16"/>
  <c r="MM12" i="16"/>
  <c r="MN7" i="16"/>
  <c r="MM6" i="16"/>
  <c r="MM14" i="16" l="1"/>
  <c r="MN55" i="16"/>
  <c r="MN56" i="16"/>
  <c r="MN57" i="16"/>
  <c r="MN48" i="16"/>
  <c r="MN32" i="16"/>
  <c r="MN47" i="16"/>
  <c r="MN46" i="16"/>
  <c r="MN31" i="16"/>
  <c r="MN36" i="16"/>
  <c r="MN34" i="16"/>
  <c r="MN33" i="16"/>
  <c r="MN35" i="16"/>
  <c r="MN37" i="16"/>
  <c r="MN43" i="16"/>
  <c r="MN39" i="16"/>
  <c r="MN40" i="16"/>
  <c r="MN30" i="16"/>
  <c r="MN41" i="16"/>
  <c r="MN38" i="16"/>
  <c r="MN42" i="16"/>
  <c r="MN44" i="16"/>
  <c r="MN12" i="16"/>
  <c r="MN13" i="16"/>
  <c r="MO7" i="16"/>
  <c r="MN6" i="16"/>
  <c r="MO55" i="16" l="1"/>
  <c r="MO56" i="16"/>
  <c r="MN14" i="16"/>
  <c r="MO57" i="16"/>
  <c r="MO48" i="16"/>
  <c r="MO47" i="16"/>
  <c r="MO32" i="16"/>
  <c r="MO31" i="16"/>
  <c r="MO46" i="16"/>
  <c r="MO33" i="16"/>
  <c r="MO37" i="16"/>
  <c r="MO34" i="16"/>
  <c r="MO35" i="16"/>
  <c r="MO39" i="16"/>
  <c r="MO36" i="16"/>
  <c r="MO40" i="16"/>
  <c r="MO38" i="16"/>
  <c r="MO41" i="16"/>
  <c r="MO44" i="16"/>
  <c r="MO42" i="16"/>
  <c r="MO30" i="16"/>
  <c r="MO43" i="16"/>
  <c r="MO12" i="16"/>
  <c r="MO13" i="16"/>
  <c r="MP7" i="16"/>
  <c r="MO6" i="16"/>
  <c r="MO14" i="16" l="1"/>
  <c r="MP56" i="16"/>
  <c r="MP55" i="16"/>
  <c r="MP57" i="16"/>
  <c r="MP48" i="16"/>
  <c r="MP47" i="16"/>
  <c r="MP46" i="16"/>
  <c r="MP31" i="16"/>
  <c r="MP32" i="16"/>
  <c r="MP34" i="16"/>
  <c r="MP33" i="16"/>
  <c r="MP38" i="16"/>
  <c r="MP40" i="16"/>
  <c r="MP35" i="16"/>
  <c r="MP37" i="16"/>
  <c r="MP36" i="16"/>
  <c r="MP41" i="16"/>
  <c r="MP43" i="16"/>
  <c r="MP39" i="16"/>
  <c r="MP44" i="16"/>
  <c r="MP30" i="16"/>
  <c r="MP42" i="16"/>
  <c r="MP13" i="16"/>
  <c r="MP12" i="16"/>
  <c r="MQ7" i="16"/>
  <c r="MP6" i="16"/>
  <c r="MQ56" i="16" l="1"/>
  <c r="MQ55" i="16"/>
  <c r="MP14" i="16"/>
  <c r="MQ57" i="16"/>
  <c r="MQ33" i="16"/>
  <c r="MQ48" i="16"/>
  <c r="MQ47" i="16"/>
  <c r="MQ32" i="16"/>
  <c r="MQ31" i="16"/>
  <c r="MQ46" i="16"/>
  <c r="MQ34" i="16"/>
  <c r="MQ36" i="16"/>
  <c r="MQ35" i="16"/>
  <c r="MQ38" i="16"/>
  <c r="MQ41" i="16"/>
  <c r="MQ44" i="16"/>
  <c r="MQ39" i="16"/>
  <c r="MQ40" i="16"/>
  <c r="MQ37" i="16"/>
  <c r="MQ30" i="16"/>
  <c r="MQ42" i="16"/>
  <c r="MQ43" i="16"/>
  <c r="MQ12" i="16"/>
  <c r="MQ13" i="16"/>
  <c r="MR7" i="16"/>
  <c r="MQ6" i="16"/>
  <c r="MR55" i="16" l="1"/>
  <c r="MR56" i="16"/>
  <c r="MQ14" i="16"/>
  <c r="MR57" i="16"/>
  <c r="MR46" i="16"/>
  <c r="MR48" i="16"/>
  <c r="MR47" i="16"/>
  <c r="MR32" i="16"/>
  <c r="MR31" i="16"/>
  <c r="MR34" i="16"/>
  <c r="MR35" i="16"/>
  <c r="MR33" i="16"/>
  <c r="MR38" i="16"/>
  <c r="MR36" i="16"/>
  <c r="MR40" i="16"/>
  <c r="MR37" i="16"/>
  <c r="MR41" i="16"/>
  <c r="MR43" i="16"/>
  <c r="MR39" i="16"/>
  <c r="MR44" i="16"/>
  <c r="MR42" i="16"/>
  <c r="MR30" i="16"/>
  <c r="MR13" i="16"/>
  <c r="MR12" i="16"/>
  <c r="MS7" i="16"/>
  <c r="MR6" i="16"/>
  <c r="MS56" i="16" l="1"/>
  <c r="MS55" i="16"/>
  <c r="MS57" i="16"/>
  <c r="MS46" i="16"/>
  <c r="MS31" i="16"/>
  <c r="MS48" i="16"/>
  <c r="MS47" i="16"/>
  <c r="MS33" i="16"/>
  <c r="MS35" i="16"/>
  <c r="MS32" i="16"/>
  <c r="MS39" i="16"/>
  <c r="MS38" i="16"/>
  <c r="MS41" i="16"/>
  <c r="MS36" i="16"/>
  <c r="MS34" i="16"/>
  <c r="MS37" i="16"/>
  <c r="MS42" i="16"/>
  <c r="MS43" i="16"/>
  <c r="MS44" i="16"/>
  <c r="MS40" i="16"/>
  <c r="MS30" i="16"/>
  <c r="MS13" i="16"/>
  <c r="MS12" i="16"/>
  <c r="MR14" i="16"/>
  <c r="MT7" i="16"/>
  <c r="MS6" i="16"/>
  <c r="MT56" i="16" l="1"/>
  <c r="MT55" i="16"/>
  <c r="MS14" i="16"/>
  <c r="MT57" i="16"/>
  <c r="MT47" i="16"/>
  <c r="MT48" i="16"/>
  <c r="MT31" i="16"/>
  <c r="MT32" i="16"/>
  <c r="MT46" i="16"/>
  <c r="MT35" i="16"/>
  <c r="MT36" i="16"/>
  <c r="MT33" i="16"/>
  <c r="MT34" i="16"/>
  <c r="MT37" i="16"/>
  <c r="MT38" i="16"/>
  <c r="MT39" i="16"/>
  <c r="MT41" i="16"/>
  <c r="MT40" i="16"/>
  <c r="MT42" i="16"/>
  <c r="MT43" i="16"/>
  <c r="MT44" i="16"/>
  <c r="MT30" i="16"/>
  <c r="MT13" i="16"/>
  <c r="MT12" i="16"/>
  <c r="MU7" i="16"/>
  <c r="MT6" i="16"/>
  <c r="MT14" i="16" l="1"/>
  <c r="MU55" i="16"/>
  <c r="MU56" i="16"/>
  <c r="MU57" i="16"/>
  <c r="MU48" i="16"/>
  <c r="MU47" i="16"/>
  <c r="MU33" i="16"/>
  <c r="MU35" i="16"/>
  <c r="MU31" i="16"/>
  <c r="MU32" i="16"/>
  <c r="MU34" i="16"/>
  <c r="MU37" i="16"/>
  <c r="MU46" i="16"/>
  <c r="MU36" i="16"/>
  <c r="MU40" i="16"/>
  <c r="MU38" i="16"/>
  <c r="MU30" i="16"/>
  <c r="MU42" i="16"/>
  <c r="MU41" i="16"/>
  <c r="MU39" i="16"/>
  <c r="MU43" i="16"/>
  <c r="MU44" i="16"/>
  <c r="MU13" i="16"/>
  <c r="MU12" i="16"/>
  <c r="MV7" i="16"/>
  <c r="MU6" i="16"/>
  <c r="MV55" i="16" l="1"/>
  <c r="MV56" i="16"/>
  <c r="MU14" i="16"/>
  <c r="MV57" i="16"/>
  <c r="MV47" i="16"/>
  <c r="MV31" i="16"/>
  <c r="MV32" i="16"/>
  <c r="MV36" i="16"/>
  <c r="MV48" i="16"/>
  <c r="MV46" i="16"/>
  <c r="MV34" i="16"/>
  <c r="MV33" i="16"/>
  <c r="MV37" i="16"/>
  <c r="MV38" i="16"/>
  <c r="MV39" i="16"/>
  <c r="MV40" i="16"/>
  <c r="MV43" i="16"/>
  <c r="MV41" i="16"/>
  <c r="MV35" i="16"/>
  <c r="MV30" i="16"/>
  <c r="MV42" i="16"/>
  <c r="MV44" i="16"/>
  <c r="MV12" i="16"/>
  <c r="MV13" i="16"/>
  <c r="MW7" i="16"/>
  <c r="MV6" i="16"/>
  <c r="MW56" i="16" l="1"/>
  <c r="MW55" i="16"/>
  <c r="MV14" i="16"/>
  <c r="MW57" i="16"/>
  <c r="MW48" i="16"/>
  <c r="MW47" i="16"/>
  <c r="MW46" i="16"/>
  <c r="MW31" i="16"/>
  <c r="MW32" i="16"/>
  <c r="MW34" i="16"/>
  <c r="MW35" i="16"/>
  <c r="MW36" i="16"/>
  <c r="MW37" i="16"/>
  <c r="MW33" i="16"/>
  <c r="MW39" i="16"/>
  <c r="MW38" i="16"/>
  <c r="MW40" i="16"/>
  <c r="MW30" i="16"/>
  <c r="MW42" i="16"/>
  <c r="MW41" i="16"/>
  <c r="MW43" i="16"/>
  <c r="MW44" i="16"/>
  <c r="MW12" i="16"/>
  <c r="MW13" i="16"/>
  <c r="MX7" i="16"/>
  <c r="MW6" i="16"/>
  <c r="MX56" i="16" l="1"/>
  <c r="MX55" i="16"/>
  <c r="MW14" i="16"/>
  <c r="MX57" i="16"/>
  <c r="MX47" i="16"/>
  <c r="MX48" i="16"/>
  <c r="MX46" i="16"/>
  <c r="MX34" i="16"/>
  <c r="MX31" i="16"/>
  <c r="MX38" i="16"/>
  <c r="MX32" i="16"/>
  <c r="MX33" i="16"/>
  <c r="MX40" i="16"/>
  <c r="MX37" i="16"/>
  <c r="MX36" i="16"/>
  <c r="MX35" i="16"/>
  <c r="MX39" i="16"/>
  <c r="MX43" i="16"/>
  <c r="MX41" i="16"/>
  <c r="MX44" i="16"/>
  <c r="MX42" i="16"/>
  <c r="MX30" i="16"/>
  <c r="MX12" i="16"/>
  <c r="MX13" i="16"/>
  <c r="MY7" i="16"/>
  <c r="MX6" i="16"/>
  <c r="MY56" i="16" l="1"/>
  <c r="MY55" i="16"/>
  <c r="MY57" i="16"/>
  <c r="MY47" i="16"/>
  <c r="MY33" i="16"/>
  <c r="MY31" i="16"/>
  <c r="MY32" i="16"/>
  <c r="MY46" i="16"/>
  <c r="MY48" i="16"/>
  <c r="MY34" i="16"/>
  <c r="MY35" i="16"/>
  <c r="MY37" i="16"/>
  <c r="MY36" i="16"/>
  <c r="MY41" i="16"/>
  <c r="MY44" i="16"/>
  <c r="MY39" i="16"/>
  <c r="MY38" i="16"/>
  <c r="MY40" i="16"/>
  <c r="MY30" i="16"/>
  <c r="MY42" i="16"/>
  <c r="MY43" i="16"/>
  <c r="MY12" i="16"/>
  <c r="MY13" i="16"/>
  <c r="MX14" i="16"/>
  <c r="MZ7" i="16"/>
  <c r="MY6" i="16"/>
  <c r="MZ55" i="16" l="1"/>
  <c r="MZ56" i="16"/>
  <c r="MY14" i="16"/>
  <c r="MZ57" i="16"/>
  <c r="MZ48" i="16"/>
  <c r="MZ46" i="16"/>
  <c r="MZ47" i="16"/>
  <c r="MZ34" i="16"/>
  <c r="MZ31" i="16"/>
  <c r="MZ32" i="16"/>
  <c r="MZ38" i="16"/>
  <c r="MZ33" i="16"/>
  <c r="MZ35" i="16"/>
  <c r="MZ40" i="16"/>
  <c r="MZ37" i="16"/>
  <c r="MZ41" i="16"/>
  <c r="MZ39" i="16"/>
  <c r="MZ36" i="16"/>
  <c r="MZ44" i="16"/>
  <c r="MZ30" i="16"/>
  <c r="MZ42" i="16"/>
  <c r="MZ43" i="16"/>
  <c r="MZ13" i="16"/>
  <c r="MZ12" i="16"/>
  <c r="NA7" i="16"/>
  <c r="MZ6" i="16"/>
  <c r="NA55" i="16" l="1"/>
  <c r="NA56" i="16"/>
  <c r="MZ14" i="16"/>
  <c r="NA57" i="16"/>
  <c r="NA46" i="16"/>
  <c r="NA31" i="16"/>
  <c r="NA48" i="16"/>
  <c r="NA35" i="16"/>
  <c r="NA47" i="16"/>
  <c r="NA33" i="16"/>
  <c r="NA39" i="16"/>
  <c r="NA32" i="16"/>
  <c r="NA34" i="16"/>
  <c r="NA41" i="16"/>
  <c r="NA36" i="16"/>
  <c r="NA37" i="16"/>
  <c r="NA42" i="16"/>
  <c r="NA38" i="16"/>
  <c r="NA40" i="16"/>
  <c r="NA44" i="16"/>
  <c r="NA43" i="16"/>
  <c r="NA30" i="16"/>
  <c r="NA13" i="16"/>
  <c r="NA12" i="16"/>
  <c r="NB7" i="16"/>
  <c r="NA6" i="16"/>
  <c r="NA14" i="16" l="1"/>
  <c r="NB56" i="16"/>
  <c r="NB55" i="16"/>
  <c r="NB57" i="16"/>
  <c r="NB47" i="16"/>
  <c r="NB46" i="16"/>
  <c r="NB48" i="16"/>
  <c r="NB32" i="16"/>
  <c r="NB33" i="16"/>
  <c r="NB31" i="16"/>
  <c r="NB34" i="16"/>
  <c r="NB36" i="16"/>
  <c r="NB35" i="16"/>
  <c r="NB37" i="16"/>
  <c r="NB41" i="16"/>
  <c r="NB39" i="16"/>
  <c r="NB38" i="16"/>
  <c r="NB40" i="16"/>
  <c r="NB43" i="16"/>
  <c r="NB44" i="16"/>
  <c r="NB42" i="16"/>
  <c r="NB30" i="16"/>
  <c r="NB13" i="16"/>
  <c r="NB12" i="16"/>
  <c r="NC7" i="16"/>
  <c r="NB6" i="16"/>
  <c r="NC55" i="16" l="1"/>
  <c r="NC56" i="16"/>
  <c r="NC57" i="16"/>
  <c r="NC47" i="16"/>
  <c r="NC48" i="16"/>
  <c r="NC31" i="16"/>
  <c r="NC46" i="16"/>
  <c r="NC32" i="16"/>
  <c r="NC35" i="16"/>
  <c r="NC33" i="16"/>
  <c r="NC36" i="16"/>
  <c r="NC37" i="16"/>
  <c r="NC39" i="16"/>
  <c r="NC34" i="16"/>
  <c r="NC30" i="16"/>
  <c r="NC41" i="16"/>
  <c r="NC42" i="16"/>
  <c r="NC43" i="16"/>
  <c r="NC38" i="16"/>
  <c r="NC44" i="16"/>
  <c r="NC40" i="16"/>
  <c r="NC13" i="16"/>
  <c r="NC12" i="16"/>
  <c r="NB14" i="16"/>
  <c r="ND7" i="16"/>
  <c r="NC6" i="16"/>
  <c r="ND55" i="16" l="1"/>
  <c r="ND56" i="16"/>
  <c r="ND57" i="16"/>
  <c r="ND48" i="16"/>
  <c r="ND32" i="16"/>
  <c r="ND47" i="16"/>
  <c r="ND31" i="16"/>
  <c r="ND36" i="16"/>
  <c r="ND46" i="16"/>
  <c r="ND33" i="16"/>
  <c r="ND35" i="16"/>
  <c r="ND34" i="16"/>
  <c r="ND38" i="16"/>
  <c r="ND37" i="16"/>
  <c r="ND43" i="16"/>
  <c r="ND41" i="16"/>
  <c r="ND39" i="16"/>
  <c r="ND40" i="16"/>
  <c r="ND44" i="16"/>
  <c r="ND42" i="16"/>
  <c r="ND30" i="16"/>
  <c r="ND12" i="16"/>
  <c r="ND13" i="16"/>
  <c r="NC14" i="16"/>
  <c r="NE7" i="16"/>
  <c r="ND6" i="16"/>
  <c r="ND14" i="16" l="1"/>
  <c r="NE56" i="16"/>
  <c r="NE55" i="16"/>
  <c r="NE57" i="16"/>
  <c r="NE48" i="16"/>
  <c r="NE47" i="16"/>
  <c r="NE31" i="16"/>
  <c r="NE32" i="16"/>
  <c r="NE46" i="16"/>
  <c r="NE34" i="16"/>
  <c r="NE35" i="16"/>
  <c r="NE33" i="16"/>
  <c r="NE37" i="16"/>
  <c r="NE36" i="16"/>
  <c r="NE39" i="16"/>
  <c r="NE40" i="16"/>
  <c r="NE38" i="16"/>
  <c r="NE42" i="16"/>
  <c r="NE30" i="16"/>
  <c r="NE43" i="16"/>
  <c r="NE41" i="16"/>
  <c r="NE44" i="16"/>
  <c r="NE12" i="16"/>
  <c r="NE13" i="16"/>
  <c r="NF7" i="16"/>
  <c r="NE6" i="16"/>
  <c r="NF56" i="16" l="1"/>
  <c r="NF55" i="16"/>
  <c r="NF57" i="16"/>
  <c r="NF31" i="16"/>
  <c r="NF47" i="16"/>
  <c r="NF48" i="16"/>
  <c r="NF34" i="16"/>
  <c r="NF46" i="16"/>
  <c r="NF38" i="16"/>
  <c r="NF33" i="16"/>
  <c r="NF36" i="16"/>
  <c r="NF32" i="16"/>
  <c r="NF37" i="16"/>
  <c r="NF40" i="16"/>
  <c r="NF35" i="16"/>
  <c r="NF43" i="16"/>
  <c r="NF42" i="16"/>
  <c r="NF30" i="16"/>
  <c r="NF39" i="16"/>
  <c r="NF41" i="16"/>
  <c r="NF44" i="16"/>
  <c r="NF12" i="16"/>
  <c r="NF13" i="16"/>
  <c r="NE14" i="16"/>
  <c r="NG7" i="16"/>
  <c r="NF6" i="16"/>
  <c r="NG56" i="16" l="1"/>
  <c r="NG55" i="16"/>
  <c r="NG57" i="16"/>
  <c r="NG47" i="16"/>
  <c r="NG46" i="16"/>
  <c r="NG33" i="16"/>
  <c r="NG32" i="16"/>
  <c r="NG31" i="16"/>
  <c r="NG48" i="16"/>
  <c r="NG34" i="16"/>
  <c r="NG35" i="16"/>
  <c r="NG37" i="16"/>
  <c r="NG36" i="16"/>
  <c r="NG38" i="16"/>
  <c r="NG40" i="16"/>
  <c r="NG44" i="16"/>
  <c r="NG39" i="16"/>
  <c r="NG41" i="16"/>
  <c r="NG42" i="16"/>
  <c r="NG43" i="16"/>
  <c r="NG30" i="16"/>
  <c r="NG12" i="16"/>
  <c r="NG13" i="16"/>
  <c r="NF14" i="16"/>
  <c r="NH7" i="16"/>
  <c r="NG6" i="16"/>
  <c r="NH55" i="16" l="1"/>
  <c r="NH56" i="16"/>
  <c r="NG14" i="16"/>
  <c r="NH57" i="16"/>
  <c r="NH47" i="16"/>
  <c r="NH48" i="16"/>
  <c r="NH46" i="16"/>
  <c r="NH31" i="16"/>
  <c r="NH32" i="16"/>
  <c r="NH34" i="16"/>
  <c r="NH38" i="16"/>
  <c r="NH33" i="16"/>
  <c r="NH37" i="16"/>
  <c r="NH36" i="16"/>
  <c r="NH40" i="16"/>
  <c r="NH35" i="16"/>
  <c r="NH39" i="16"/>
  <c r="NH41" i="16"/>
  <c r="NH44" i="16"/>
  <c r="NH42" i="16"/>
  <c r="NH30" i="16"/>
  <c r="NH43" i="16"/>
  <c r="NH13" i="16"/>
  <c r="NH12" i="16"/>
  <c r="NI7" i="16"/>
  <c r="NH6" i="16"/>
  <c r="NI55" i="16" l="1"/>
  <c r="NI56" i="16"/>
  <c r="NI57" i="16"/>
  <c r="NI46" i="16"/>
  <c r="NI47" i="16"/>
  <c r="NI31" i="16"/>
  <c r="NI35" i="16"/>
  <c r="NI32" i="16"/>
  <c r="NI48" i="16"/>
  <c r="NI39" i="16"/>
  <c r="NI34" i="16"/>
  <c r="NI33" i="16"/>
  <c r="NI41" i="16"/>
  <c r="NI37" i="16"/>
  <c r="NI36" i="16"/>
  <c r="NI38" i="16"/>
  <c r="NI42" i="16"/>
  <c r="NI40" i="16"/>
  <c r="NI44" i="16"/>
  <c r="NI30" i="16"/>
  <c r="NI43" i="16"/>
  <c r="NI13" i="16"/>
  <c r="NI12" i="16"/>
  <c r="NH14" i="16"/>
  <c r="NJ7" i="16"/>
  <c r="NI6" i="16"/>
  <c r="NJ56" i="16" l="1"/>
  <c r="NJ55" i="16"/>
  <c r="NJ57" i="16"/>
  <c r="NJ47" i="16"/>
  <c r="NJ31" i="16"/>
  <c r="NJ46" i="16"/>
  <c r="NJ34" i="16"/>
  <c r="NJ48" i="16"/>
  <c r="NJ33" i="16"/>
  <c r="NJ37" i="16"/>
  <c r="NJ35" i="16"/>
  <c r="NJ36" i="16"/>
  <c r="NJ32" i="16"/>
  <c r="NJ38" i="16"/>
  <c r="NJ39" i="16"/>
  <c r="NJ41" i="16"/>
  <c r="NJ40" i="16"/>
  <c r="NJ44" i="16"/>
  <c r="NJ42" i="16"/>
  <c r="NJ43" i="16"/>
  <c r="NJ30" i="16"/>
  <c r="NJ13" i="16"/>
  <c r="NJ12" i="16"/>
  <c r="NI14" i="16"/>
  <c r="NK7" i="16"/>
  <c r="NJ6" i="16"/>
  <c r="NK55" i="16" l="1"/>
  <c r="NK56" i="16"/>
  <c r="NJ14" i="16"/>
  <c r="NK46" i="16"/>
  <c r="NK57" i="16"/>
  <c r="NK47" i="16"/>
  <c r="NK48" i="16"/>
  <c r="NK33" i="16"/>
  <c r="NK35" i="16"/>
  <c r="NK31" i="16"/>
  <c r="NK37" i="16"/>
  <c r="NK34" i="16"/>
  <c r="NK32" i="16"/>
  <c r="NK30" i="16"/>
  <c r="NK38" i="16"/>
  <c r="NK39" i="16"/>
  <c r="NK41" i="16"/>
  <c r="NK42" i="16"/>
  <c r="NK40" i="16"/>
  <c r="NK44" i="16"/>
  <c r="NK36" i="16"/>
  <c r="NK43" i="16"/>
  <c r="NK13" i="16"/>
  <c r="NK12" i="16"/>
  <c r="NL7" i="16"/>
  <c r="NK6" i="16"/>
  <c r="NL55" i="16" l="1"/>
  <c r="NL56" i="16"/>
  <c r="NK14" i="16"/>
  <c r="NL57" i="16"/>
  <c r="NL32" i="16"/>
  <c r="NL48" i="16"/>
  <c r="NL47" i="16"/>
  <c r="NL46" i="16"/>
  <c r="NL36" i="16"/>
  <c r="NL31" i="16"/>
  <c r="NL34" i="16"/>
  <c r="NL33" i="16"/>
  <c r="NL39" i="16"/>
  <c r="NL35" i="16"/>
  <c r="NL43" i="16"/>
  <c r="NL37" i="16"/>
  <c r="NL38" i="16"/>
  <c r="NL41" i="16"/>
  <c r="NL40" i="16"/>
  <c r="NL44" i="16"/>
  <c r="NL42" i="16"/>
  <c r="NL30" i="16"/>
  <c r="NL12" i="16"/>
  <c r="NL13" i="16"/>
  <c r="NM7" i="16"/>
  <c r="NL6" i="16"/>
  <c r="NM55" i="16" l="1"/>
  <c r="NM56" i="16"/>
  <c r="NM57" i="16"/>
  <c r="NM48" i="16"/>
  <c r="NM47" i="16"/>
  <c r="NM32" i="16"/>
  <c r="NM33" i="16"/>
  <c r="NM46" i="16"/>
  <c r="NM36" i="16"/>
  <c r="NM31" i="16"/>
  <c r="NM37" i="16"/>
  <c r="NM34" i="16"/>
  <c r="NM35" i="16"/>
  <c r="NM39" i="16"/>
  <c r="NM38" i="16"/>
  <c r="NM41" i="16"/>
  <c r="NM43" i="16"/>
  <c r="NM44" i="16"/>
  <c r="NM42" i="16"/>
  <c r="NM30" i="16"/>
  <c r="NM40" i="16"/>
  <c r="NM12" i="16"/>
  <c r="NM13" i="16"/>
  <c r="NL14" i="16"/>
  <c r="NN7" i="16"/>
  <c r="NM6" i="16"/>
  <c r="NN56" i="16" l="1"/>
  <c r="NN55" i="16"/>
  <c r="NN57" i="16"/>
  <c r="NN48" i="16"/>
  <c r="NN31" i="16"/>
  <c r="NN47" i="16"/>
  <c r="NN34" i="16"/>
  <c r="NN46" i="16"/>
  <c r="NN32" i="16"/>
  <c r="NN33" i="16"/>
  <c r="NN35" i="16"/>
  <c r="NN38" i="16"/>
  <c r="NN40" i="16"/>
  <c r="NN39" i="16"/>
  <c r="NN36" i="16"/>
  <c r="NN43" i="16"/>
  <c r="NN37" i="16"/>
  <c r="NN30" i="16"/>
  <c r="NN42" i="16"/>
  <c r="NN41" i="16"/>
  <c r="NN44" i="16"/>
  <c r="NN13" i="16"/>
  <c r="NN12" i="16"/>
  <c r="NM14" i="16"/>
  <c r="NO7" i="16"/>
  <c r="NN6" i="16"/>
  <c r="NN14" i="16" l="1"/>
  <c r="NO56" i="16"/>
  <c r="NO55" i="16"/>
  <c r="NO57" i="16"/>
  <c r="NO33" i="16"/>
  <c r="NO31" i="16"/>
  <c r="NO48" i="16"/>
  <c r="NO32" i="16"/>
  <c r="NO46" i="16"/>
  <c r="NO47" i="16"/>
  <c r="NO35" i="16"/>
  <c r="NO36" i="16"/>
  <c r="NO34" i="16"/>
  <c r="NO38" i="16"/>
  <c r="NO37" i="16"/>
  <c r="NO44" i="16"/>
  <c r="NO39" i="16"/>
  <c r="NO40" i="16"/>
  <c r="NO42" i="16"/>
  <c r="NO43" i="16"/>
  <c r="NO30" i="16"/>
  <c r="NO41" i="16"/>
  <c r="NO12" i="16"/>
  <c r="NO13" i="16"/>
  <c r="NP7" i="16"/>
  <c r="NO6" i="16"/>
  <c r="NP55" i="16" l="1"/>
  <c r="NP56" i="16"/>
  <c r="NP57" i="16"/>
  <c r="NP48" i="16"/>
  <c r="NP32" i="16"/>
  <c r="NP46" i="16"/>
  <c r="NP34" i="16"/>
  <c r="NP47" i="16"/>
  <c r="NP31" i="16"/>
  <c r="NP33" i="16"/>
  <c r="NP38" i="16"/>
  <c r="NP35" i="16"/>
  <c r="NP36" i="16"/>
  <c r="NP37" i="16"/>
  <c r="NP40" i="16"/>
  <c r="NP39" i="16"/>
  <c r="NP41" i="16"/>
  <c r="NP42" i="16"/>
  <c r="NP43" i="16"/>
  <c r="NP30" i="16"/>
  <c r="NP44" i="16"/>
  <c r="NP13" i="16"/>
  <c r="NP12" i="16"/>
  <c r="NO14" i="16"/>
  <c r="NQ7" i="16"/>
  <c r="NP6" i="16"/>
  <c r="NQ56" i="16" l="1"/>
  <c r="NQ55" i="16"/>
  <c r="NQ57" i="16"/>
  <c r="NQ46" i="16"/>
  <c r="NQ31" i="16"/>
  <c r="NQ48" i="16"/>
  <c r="NQ32" i="16"/>
  <c r="NQ35" i="16"/>
  <c r="NQ47" i="16"/>
  <c r="NQ34" i="16"/>
  <c r="NQ39" i="16"/>
  <c r="NQ33" i="16"/>
  <c r="NQ36" i="16"/>
  <c r="NQ37" i="16"/>
  <c r="NQ41" i="16"/>
  <c r="NQ40" i="16"/>
  <c r="NQ42" i="16"/>
  <c r="NQ38" i="16"/>
  <c r="NQ44" i="16"/>
  <c r="NQ43" i="16"/>
  <c r="NQ30" i="16"/>
  <c r="NQ13" i="16"/>
  <c r="NQ12" i="16"/>
  <c r="NP14" i="16"/>
  <c r="NR7" i="16"/>
  <c r="NQ6" i="16"/>
  <c r="NR55" i="16" l="1"/>
  <c r="NR56" i="16"/>
  <c r="NQ14" i="16"/>
  <c r="NR57" i="16"/>
  <c r="NR47" i="16"/>
  <c r="NR48" i="16"/>
  <c r="NR46" i="16"/>
  <c r="NR31" i="16"/>
  <c r="NR32" i="16"/>
  <c r="NR34" i="16"/>
  <c r="NR33" i="16"/>
  <c r="NR35" i="16"/>
  <c r="NR36" i="16"/>
  <c r="NR37" i="16"/>
  <c r="NR38" i="16"/>
  <c r="NR41" i="16"/>
  <c r="NR40" i="16"/>
  <c r="NR44" i="16"/>
  <c r="NR42" i="16"/>
  <c r="NR39" i="16"/>
  <c r="NR43" i="16"/>
  <c r="NR30" i="16"/>
  <c r="NR13" i="16"/>
  <c r="NR12" i="16"/>
  <c r="NS7" i="16"/>
  <c r="NR6" i="16"/>
  <c r="NS55" i="16" l="1"/>
  <c r="NS56" i="16"/>
  <c r="NR14" i="16"/>
  <c r="NS57" i="16"/>
  <c r="NS47" i="16"/>
  <c r="NS46" i="16"/>
  <c r="NS31" i="16"/>
  <c r="NS32" i="16"/>
  <c r="NS35" i="16"/>
  <c r="NS48" i="16"/>
  <c r="NS37" i="16"/>
  <c r="NS34" i="16"/>
  <c r="NS33" i="16"/>
  <c r="NS36" i="16"/>
  <c r="NS41" i="16"/>
  <c r="NS30" i="16"/>
  <c r="NS40" i="16"/>
  <c r="NS42" i="16"/>
  <c r="NS39" i="16"/>
  <c r="NS44" i="16"/>
  <c r="NS38" i="16"/>
  <c r="NS43" i="16"/>
  <c r="NS13" i="16"/>
  <c r="NS12" i="16"/>
  <c r="NT7" i="16"/>
  <c r="NS6" i="16"/>
  <c r="NT55" i="16" l="1"/>
  <c r="NT56" i="16"/>
  <c r="NT57" i="16"/>
  <c r="NT47" i="16"/>
  <c r="NT46" i="16"/>
  <c r="NT32" i="16"/>
  <c r="NT48" i="16"/>
  <c r="NT31" i="16"/>
  <c r="NT33" i="16"/>
  <c r="NT36" i="16"/>
  <c r="NT34" i="16"/>
  <c r="NT35" i="16"/>
  <c r="NT37" i="16"/>
  <c r="NT39" i="16"/>
  <c r="NT43" i="16"/>
  <c r="NT41" i="16"/>
  <c r="NT40" i="16"/>
  <c r="NT38" i="16"/>
  <c r="NT42" i="16"/>
  <c r="NT44" i="16"/>
  <c r="NT30" i="16"/>
  <c r="NT12" i="16"/>
  <c r="NT13" i="16"/>
  <c r="NS14" i="16"/>
  <c r="NU7" i="16"/>
  <c r="NT6" i="16"/>
  <c r="NU55" i="16" l="1"/>
  <c r="NU56" i="16"/>
  <c r="NU57" i="16"/>
  <c r="NU48" i="16"/>
  <c r="NU47" i="16"/>
  <c r="NU32" i="16"/>
  <c r="NU46" i="16"/>
  <c r="NU31" i="16"/>
  <c r="NU37" i="16"/>
  <c r="NU34" i="16"/>
  <c r="NU33" i="16"/>
  <c r="NU39" i="16"/>
  <c r="NU35" i="16"/>
  <c r="NU36" i="16"/>
  <c r="NU38" i="16"/>
  <c r="NU41" i="16"/>
  <c r="NU40" i="16"/>
  <c r="NU42" i="16"/>
  <c r="NU44" i="16"/>
  <c r="NU43" i="16"/>
  <c r="NU30" i="16"/>
  <c r="NU12" i="16"/>
  <c r="NU13" i="16"/>
  <c r="NT14" i="16"/>
  <c r="NV7" i="16"/>
  <c r="NU6" i="16"/>
  <c r="NV56" i="16" l="1"/>
  <c r="NV55" i="16"/>
  <c r="NV57" i="16"/>
  <c r="NV47" i="16"/>
  <c r="NV46" i="16"/>
  <c r="NV48" i="16"/>
  <c r="NV34" i="16"/>
  <c r="NV31" i="16"/>
  <c r="NV33" i="16"/>
  <c r="NV32" i="16"/>
  <c r="NV36" i="16"/>
  <c r="NV38" i="16"/>
  <c r="NV40" i="16"/>
  <c r="NV35" i="16"/>
  <c r="NV37" i="16"/>
  <c r="NV39" i="16"/>
  <c r="NV43" i="16"/>
  <c r="NV41" i="16"/>
  <c r="NV42" i="16"/>
  <c r="NV44" i="16"/>
  <c r="NV30" i="16"/>
  <c r="NV12" i="16"/>
  <c r="NV13" i="16"/>
  <c r="NU14" i="16"/>
  <c r="NW7" i="16"/>
  <c r="NV6" i="16"/>
  <c r="NW56" i="16" l="1"/>
  <c r="NW55" i="16"/>
  <c r="NW57" i="16"/>
  <c r="NW48" i="16"/>
  <c r="NW47" i="16"/>
  <c r="NW31" i="16"/>
  <c r="NW33" i="16"/>
  <c r="NW32" i="16"/>
  <c r="NW46" i="16"/>
  <c r="NW34" i="16"/>
  <c r="NW39" i="16"/>
  <c r="NW35" i="16"/>
  <c r="NW36" i="16"/>
  <c r="NW38" i="16"/>
  <c r="NW44" i="16"/>
  <c r="NW37" i="16"/>
  <c r="NW40" i="16"/>
  <c r="NW41" i="16"/>
  <c r="NW30" i="16"/>
  <c r="NW42" i="16"/>
  <c r="NW43" i="16"/>
  <c r="NW12" i="16"/>
  <c r="NW13" i="16"/>
  <c r="NV14" i="16"/>
  <c r="NX7" i="16"/>
  <c r="NW6" i="16"/>
  <c r="NX55" i="16" l="1"/>
  <c r="NX56" i="16"/>
  <c r="NX57" i="16"/>
  <c r="NX47" i="16"/>
  <c r="NX48" i="16"/>
  <c r="NX31" i="16"/>
  <c r="NX34" i="16"/>
  <c r="NX46" i="16"/>
  <c r="NX35" i="16"/>
  <c r="NX32" i="16"/>
  <c r="NX36" i="16"/>
  <c r="NX38" i="16"/>
  <c r="NX33" i="16"/>
  <c r="NX40" i="16"/>
  <c r="NX39" i="16"/>
  <c r="NX43" i="16"/>
  <c r="NX41" i="16"/>
  <c r="NX30" i="16"/>
  <c r="NX37" i="16"/>
  <c r="NX42" i="16"/>
  <c r="NX44" i="16"/>
  <c r="NX13" i="16"/>
  <c r="NX12" i="16"/>
  <c r="NW14" i="16"/>
  <c r="NY7" i="16"/>
  <c r="NX6" i="16"/>
  <c r="NY55" i="16" l="1"/>
  <c r="NY56" i="16"/>
  <c r="NY57" i="16"/>
  <c r="NY46" i="16"/>
  <c r="NY31" i="16"/>
  <c r="NY47" i="16"/>
  <c r="NY48" i="16"/>
  <c r="NY35" i="16"/>
  <c r="NY39" i="16"/>
  <c r="NY32" i="16"/>
  <c r="NY33" i="16"/>
  <c r="NY41" i="16"/>
  <c r="NY37" i="16"/>
  <c r="NY34" i="16"/>
  <c r="NY42" i="16"/>
  <c r="NY38" i="16"/>
  <c r="NY36" i="16"/>
  <c r="NY43" i="16"/>
  <c r="NY40" i="16"/>
  <c r="NY44" i="16"/>
  <c r="NY30" i="16"/>
  <c r="NY13" i="16"/>
  <c r="NY12" i="16"/>
  <c r="NX14" i="16"/>
  <c r="NZ7" i="16"/>
  <c r="NY6" i="16"/>
  <c r="NZ56" i="16" l="1"/>
  <c r="NZ55" i="16"/>
  <c r="NZ57" i="16"/>
  <c r="NZ47" i="16"/>
  <c r="NZ48" i="16"/>
  <c r="NZ31" i="16"/>
  <c r="NZ46" i="16"/>
  <c r="NZ33" i="16"/>
  <c r="NZ35" i="16"/>
  <c r="NZ32" i="16"/>
  <c r="NZ34" i="16"/>
  <c r="NZ37" i="16"/>
  <c r="NZ38" i="16"/>
  <c r="NZ36" i="16"/>
  <c r="NZ39" i="16"/>
  <c r="NZ40" i="16"/>
  <c r="NZ41" i="16"/>
  <c r="NZ42" i="16"/>
  <c r="NZ44" i="16"/>
  <c r="NZ43" i="16"/>
  <c r="NZ30" i="16"/>
  <c r="NZ13" i="16"/>
  <c r="NZ12" i="16"/>
  <c r="NY14" i="16"/>
  <c r="OA7" i="16"/>
  <c r="NZ6" i="16"/>
  <c r="OA55" i="16" l="1"/>
  <c r="OA56" i="16"/>
  <c r="OA57" i="16"/>
  <c r="OA47" i="16"/>
  <c r="OA48" i="16"/>
  <c r="OA31" i="16"/>
  <c r="OA32" i="16"/>
  <c r="OA35" i="16"/>
  <c r="OA34" i="16"/>
  <c r="OA46" i="16"/>
  <c r="OA33" i="16"/>
  <c r="OA37" i="16"/>
  <c r="OA36" i="16"/>
  <c r="OA40" i="16"/>
  <c r="OA41" i="16"/>
  <c r="OA30" i="16"/>
  <c r="OA38" i="16"/>
  <c r="OA42" i="16"/>
  <c r="OA39" i="16"/>
  <c r="OA44" i="16"/>
  <c r="OA43" i="16"/>
  <c r="OA13" i="16"/>
  <c r="OA12" i="16"/>
  <c r="NZ14" i="16"/>
  <c r="OB7" i="16"/>
  <c r="OA6" i="16"/>
  <c r="OB55" i="16" l="1"/>
  <c r="OB56" i="16"/>
  <c r="OB57" i="16"/>
  <c r="OB48" i="16"/>
  <c r="OB46" i="16"/>
  <c r="OB32" i="16"/>
  <c r="OB47" i="16"/>
  <c r="OB36" i="16"/>
  <c r="OB31" i="16"/>
  <c r="OB34" i="16"/>
  <c r="OB33" i="16"/>
  <c r="OB37" i="16"/>
  <c r="OB38" i="16"/>
  <c r="OB35" i="16"/>
  <c r="OB40" i="16"/>
  <c r="OB41" i="16"/>
  <c r="OB43" i="16"/>
  <c r="OB39" i="16"/>
  <c r="OB42" i="16"/>
  <c r="OB44" i="16"/>
  <c r="OB30" i="16"/>
  <c r="OB12" i="16"/>
  <c r="OB13" i="16"/>
  <c r="OA14" i="16"/>
  <c r="OC7" i="16"/>
  <c r="OB6" i="16"/>
  <c r="OC56" i="16" l="1"/>
  <c r="OC55" i="16"/>
  <c r="OC57" i="16"/>
  <c r="OC48" i="16"/>
  <c r="OC47" i="16"/>
  <c r="OC46" i="16"/>
  <c r="OC32" i="16"/>
  <c r="OC33" i="16"/>
  <c r="OC34" i="16"/>
  <c r="OC31" i="16"/>
  <c r="OC35" i="16"/>
  <c r="OC37" i="16"/>
  <c r="OC36" i="16"/>
  <c r="OC40" i="16"/>
  <c r="OC38" i="16"/>
  <c r="OC41" i="16"/>
  <c r="OC42" i="16"/>
  <c r="OC44" i="16"/>
  <c r="OC43" i="16"/>
  <c r="OC39" i="16"/>
  <c r="OC30" i="16"/>
  <c r="OC12" i="16"/>
  <c r="OC13" i="16"/>
  <c r="OB14" i="16"/>
  <c r="OD7" i="16"/>
  <c r="OC6" i="16"/>
  <c r="OC14" i="16" l="1"/>
  <c r="OD56" i="16"/>
  <c r="OD55" i="16"/>
  <c r="OD57" i="16"/>
  <c r="OD47" i="16"/>
  <c r="OD46" i="16"/>
  <c r="OD48" i="16"/>
  <c r="OD32" i="16"/>
  <c r="OD34" i="16"/>
  <c r="OD31" i="16"/>
  <c r="OD38" i="16"/>
  <c r="OD33" i="16"/>
  <c r="OD39" i="16"/>
  <c r="OD40" i="16"/>
  <c r="OD36" i="16"/>
  <c r="OD37" i="16"/>
  <c r="OD35" i="16"/>
  <c r="OD41" i="16"/>
  <c r="OD43" i="16"/>
  <c r="OD42" i="16"/>
  <c r="OD44" i="16"/>
  <c r="OD30" i="16"/>
  <c r="OD12" i="16"/>
  <c r="OD13" i="16"/>
  <c r="OE7" i="16"/>
  <c r="OD6" i="16"/>
  <c r="OD14" i="16" l="1"/>
  <c r="OE56" i="16"/>
  <c r="OE55" i="16"/>
  <c r="OE57" i="16"/>
  <c r="OE33" i="16"/>
  <c r="OE32" i="16"/>
  <c r="OE47" i="16"/>
  <c r="OE31" i="16"/>
  <c r="OE48" i="16"/>
  <c r="OE46" i="16"/>
  <c r="OE36" i="16"/>
  <c r="OE34" i="16"/>
  <c r="OE37" i="16"/>
  <c r="OE35" i="16"/>
  <c r="OE44" i="16"/>
  <c r="OE40" i="16"/>
  <c r="OE41" i="16"/>
  <c r="OE38" i="16"/>
  <c r="OE39" i="16"/>
  <c r="OE42" i="16"/>
  <c r="OE43" i="16"/>
  <c r="OE30" i="16"/>
  <c r="OE12" i="16"/>
  <c r="OE13" i="16"/>
  <c r="OF7" i="16"/>
  <c r="OE6" i="16"/>
  <c r="OF55" i="16" l="1"/>
  <c r="OF56" i="16"/>
  <c r="OE14" i="16"/>
  <c r="OF57" i="16"/>
  <c r="OF48" i="16"/>
  <c r="OF47" i="16"/>
  <c r="OF31" i="16"/>
  <c r="OF46" i="16"/>
  <c r="OF33" i="16"/>
  <c r="OF34" i="16"/>
  <c r="OF38" i="16"/>
  <c r="OF32" i="16"/>
  <c r="OF35" i="16"/>
  <c r="OF36" i="16"/>
  <c r="OF39" i="16"/>
  <c r="OF40" i="16"/>
  <c r="OF37" i="16"/>
  <c r="OF30" i="16"/>
  <c r="OF41" i="16"/>
  <c r="OF42" i="16"/>
  <c r="OF44" i="16"/>
  <c r="OF43" i="16"/>
  <c r="OF13" i="16"/>
  <c r="OF12" i="16"/>
  <c r="OG7" i="16"/>
  <c r="OF6" i="16"/>
  <c r="OG55" i="16" l="1"/>
  <c r="OG56" i="16"/>
  <c r="OG46" i="16"/>
  <c r="OG57" i="16"/>
  <c r="OG47" i="16"/>
  <c r="OG31" i="16"/>
  <c r="OG35" i="16"/>
  <c r="OG48" i="16"/>
  <c r="OG32" i="16"/>
  <c r="OG39" i="16"/>
  <c r="OG36" i="16"/>
  <c r="OG33" i="16"/>
  <c r="OG34" i="16"/>
  <c r="OG41" i="16"/>
  <c r="OG42" i="16"/>
  <c r="OG40" i="16"/>
  <c r="OG37" i="16"/>
  <c r="OG30" i="16"/>
  <c r="OG44" i="16"/>
  <c r="OG38" i="16"/>
  <c r="OG43" i="16"/>
  <c r="OG13" i="16"/>
  <c r="OG12" i="16"/>
  <c r="OF14" i="16"/>
  <c r="OH7" i="16"/>
  <c r="OG6" i="16"/>
  <c r="OH55" i="16" l="1"/>
  <c r="OH56" i="16"/>
  <c r="OH57" i="16"/>
  <c r="OH47" i="16"/>
  <c r="OH31" i="16"/>
  <c r="OH46" i="16"/>
  <c r="OH48" i="16"/>
  <c r="OH32" i="16"/>
  <c r="OH33" i="16"/>
  <c r="OH34" i="16"/>
  <c r="OH35" i="16"/>
  <c r="OH36" i="16"/>
  <c r="OH37" i="16"/>
  <c r="OH39" i="16"/>
  <c r="OH40" i="16"/>
  <c r="OH38" i="16"/>
  <c r="OH43" i="16"/>
  <c r="OH41" i="16"/>
  <c r="OH30" i="16"/>
  <c r="OH42" i="16"/>
  <c r="OH44" i="16"/>
  <c r="OH13" i="16"/>
  <c r="OH12" i="16"/>
  <c r="OG14" i="16"/>
  <c r="OI7" i="16"/>
  <c r="OH6" i="16"/>
  <c r="OI55" i="16" l="1"/>
  <c r="OI56" i="16"/>
  <c r="OH14" i="16"/>
  <c r="OI57" i="16"/>
  <c r="OI47" i="16"/>
  <c r="OI48" i="16"/>
  <c r="OI46" i="16"/>
  <c r="OI31" i="16"/>
  <c r="OI35" i="16"/>
  <c r="OI37" i="16"/>
  <c r="OI33" i="16"/>
  <c r="OI36" i="16"/>
  <c r="OI32" i="16"/>
  <c r="OI34" i="16"/>
  <c r="OI38" i="16"/>
  <c r="OI39" i="16"/>
  <c r="OI30" i="16"/>
  <c r="OI42" i="16"/>
  <c r="OI41" i="16"/>
  <c r="OI40" i="16"/>
  <c r="OI44" i="16"/>
  <c r="OI43" i="16"/>
  <c r="OI13" i="16"/>
  <c r="OI12" i="16"/>
  <c r="OJ7" i="16"/>
  <c r="OI6" i="16"/>
  <c r="OJ55" i="16" l="1"/>
  <c r="OJ56" i="16"/>
  <c r="OI14" i="16"/>
  <c r="OJ57" i="16"/>
  <c r="OJ32" i="16"/>
  <c r="OJ48" i="16"/>
  <c r="OJ31" i="16"/>
  <c r="OJ36" i="16"/>
  <c r="OJ46" i="16"/>
  <c r="OJ47" i="16"/>
  <c r="OJ33" i="16"/>
  <c r="OJ34" i="16"/>
  <c r="OJ38" i="16"/>
  <c r="OJ35" i="16"/>
  <c r="OJ37" i="16"/>
  <c r="OJ41" i="16"/>
  <c r="OJ43" i="16"/>
  <c r="OJ39" i="16"/>
  <c r="OJ40" i="16"/>
  <c r="OJ44" i="16"/>
  <c r="OJ30" i="16"/>
  <c r="OJ42" i="16"/>
  <c r="OJ12" i="16"/>
  <c r="OJ13" i="16"/>
  <c r="OK7" i="16"/>
  <c r="OJ6" i="16"/>
  <c r="OK56" i="16" l="1"/>
  <c r="OK55" i="16"/>
  <c r="OK57" i="16"/>
  <c r="OK48" i="16"/>
  <c r="OK47" i="16"/>
  <c r="OK32" i="16"/>
  <c r="OK31" i="16"/>
  <c r="OK46" i="16"/>
  <c r="OK33" i="16"/>
  <c r="OK34" i="16"/>
  <c r="OK35" i="16"/>
  <c r="OK37" i="16"/>
  <c r="OK36" i="16"/>
  <c r="OK40" i="16"/>
  <c r="OK38" i="16"/>
  <c r="OK41" i="16"/>
  <c r="OK39" i="16"/>
  <c r="OK42" i="16"/>
  <c r="OK43" i="16"/>
  <c r="OK44" i="16"/>
  <c r="OK30" i="16"/>
  <c r="OK12" i="16"/>
  <c r="OK13" i="16"/>
  <c r="OJ14" i="16"/>
  <c r="OL7" i="16"/>
  <c r="OK6" i="16"/>
  <c r="OL56" i="16" l="1"/>
  <c r="OL55" i="16"/>
  <c r="OL57" i="16"/>
  <c r="OL46" i="16"/>
  <c r="OL48" i="16"/>
  <c r="OL33" i="16"/>
  <c r="OL34" i="16"/>
  <c r="OL31" i="16"/>
  <c r="OL47" i="16"/>
  <c r="OL38" i="16"/>
  <c r="OL32" i="16"/>
  <c r="OL37" i="16"/>
  <c r="OL40" i="16"/>
  <c r="OL35" i="16"/>
  <c r="OL36" i="16"/>
  <c r="OL43" i="16"/>
  <c r="OL39" i="16"/>
  <c r="OL42" i="16"/>
  <c r="OL44" i="16"/>
  <c r="OL41" i="16"/>
  <c r="OL30" i="16"/>
  <c r="OL13" i="16"/>
  <c r="OL12" i="16"/>
  <c r="OK14" i="16"/>
  <c r="OM7" i="16"/>
  <c r="OL6" i="16"/>
  <c r="OL14" i="16" l="1"/>
  <c r="OM56" i="16"/>
  <c r="OM55" i="16"/>
  <c r="OM57" i="16"/>
  <c r="OM48" i="16"/>
  <c r="OM46" i="16"/>
  <c r="OM33" i="16"/>
  <c r="OM32" i="16"/>
  <c r="OM47" i="16"/>
  <c r="OM31" i="16"/>
  <c r="OM34" i="16"/>
  <c r="OM35" i="16"/>
  <c r="OM36" i="16"/>
  <c r="OM37" i="16"/>
  <c r="OM39" i="16"/>
  <c r="OM38" i="16"/>
  <c r="OM40" i="16"/>
  <c r="OM44" i="16"/>
  <c r="OM41" i="16"/>
  <c r="OM42" i="16"/>
  <c r="OM43" i="16"/>
  <c r="OM30" i="16"/>
  <c r="OM12" i="16"/>
  <c r="OM13" i="16"/>
  <c r="ON7" i="16"/>
  <c r="OM6" i="16"/>
  <c r="ON55" i="16" l="1"/>
  <c r="ON56" i="16"/>
  <c r="OM14" i="16"/>
  <c r="ON57" i="16"/>
  <c r="ON47" i="16"/>
  <c r="ON46" i="16"/>
  <c r="ON48" i="16"/>
  <c r="ON34" i="16"/>
  <c r="ON31" i="16"/>
  <c r="ON32" i="16"/>
  <c r="ON33" i="16"/>
  <c r="ON36" i="16"/>
  <c r="ON38" i="16"/>
  <c r="ON37" i="16"/>
  <c r="ON40" i="16"/>
  <c r="ON35" i="16"/>
  <c r="ON41" i="16"/>
  <c r="ON39" i="16"/>
  <c r="ON42" i="16"/>
  <c r="ON43" i="16"/>
  <c r="ON44" i="16"/>
  <c r="ON30" i="16"/>
  <c r="ON13" i="16"/>
  <c r="ON12" i="16"/>
  <c r="OO7" i="16"/>
  <c r="ON6" i="16"/>
  <c r="OO55" i="16" l="1"/>
  <c r="OO56" i="16"/>
  <c r="OO57" i="16"/>
  <c r="OO46" i="16"/>
  <c r="OO48" i="16"/>
  <c r="OO31" i="16"/>
  <c r="OO47" i="16"/>
  <c r="OO32" i="16"/>
  <c r="J140" i="16" s="1"/>
  <c r="OO35" i="16"/>
  <c r="OO33" i="16"/>
  <c r="OO39" i="16"/>
  <c r="OO34" i="16"/>
  <c r="OO36" i="16"/>
  <c r="OO41" i="16"/>
  <c r="OO37" i="16"/>
  <c r="OO42" i="16"/>
  <c r="OO38" i="16"/>
  <c r="OO40" i="16"/>
  <c r="OO30" i="16"/>
  <c r="OO43" i="16"/>
  <c r="OO44" i="16"/>
  <c r="OO13" i="16"/>
  <c r="OO12" i="16"/>
  <c r="ON14" i="16"/>
  <c r="OO6" i="16"/>
  <c r="J152" i="16" l="1"/>
  <c r="J150" i="16"/>
  <c r="J142" i="16"/>
  <c r="J138" i="16"/>
  <c r="J143" i="16"/>
  <c r="J145" i="16"/>
  <c r="AQ148" i="16"/>
  <c r="J139" i="16"/>
  <c r="J120" i="16"/>
  <c r="AQ154" i="16"/>
  <c r="AQ156" i="16"/>
  <c r="AQ150" i="16"/>
  <c r="J148" i="16"/>
  <c r="J149" i="16"/>
  <c r="AQ139" i="16"/>
  <c r="AQ163" i="16"/>
  <c r="J155" i="16"/>
  <c r="AQ121" i="16"/>
  <c r="AQ145" i="16"/>
  <c r="AQ143" i="16"/>
  <c r="J147" i="16"/>
  <c r="AQ147" i="16"/>
  <c r="L151" i="16"/>
  <c r="AQ142" i="16"/>
  <c r="AQ146" i="16"/>
  <c r="L120" i="16"/>
  <c r="K148" i="16"/>
  <c r="K151" i="16"/>
  <c r="L163" i="16"/>
  <c r="J156" i="16"/>
  <c r="AQ140" i="16"/>
  <c r="AQ138" i="16"/>
  <c r="AQ149" i="16"/>
  <c r="AQ144" i="16"/>
  <c r="J144" i="16"/>
  <c r="AQ120" i="16"/>
  <c r="L148" i="16"/>
  <c r="L154" i="16"/>
  <c r="AQ141" i="16"/>
  <c r="AQ151" i="16"/>
  <c r="AQ152" i="16"/>
  <c r="K149" i="16"/>
  <c r="L145" i="16"/>
  <c r="AQ165" i="16"/>
  <c r="L139" i="16"/>
  <c r="K164" i="16"/>
  <c r="L146" i="16"/>
  <c r="K140" i="16"/>
  <c r="L156" i="16"/>
  <c r="L149" i="16"/>
  <c r="J121" i="16"/>
  <c r="N144" i="16"/>
  <c r="K142" i="16"/>
  <c r="L155" i="16"/>
  <c r="K154" i="16"/>
  <c r="K165" i="16"/>
  <c r="K145" i="16"/>
  <c r="L141" i="16"/>
  <c r="J146" i="16"/>
  <c r="M156" i="16"/>
  <c r="AQ155" i="16"/>
  <c r="L121" i="16"/>
  <c r="K150" i="16"/>
  <c r="L140" i="16"/>
  <c r="K147" i="16"/>
  <c r="L144" i="16"/>
  <c r="K143" i="16"/>
  <c r="K141" i="16"/>
  <c r="J141" i="16"/>
  <c r="N150" i="16"/>
  <c r="K155" i="16"/>
  <c r="K139" i="16"/>
  <c r="M120" i="16"/>
  <c r="M150" i="16"/>
  <c r="K146" i="16"/>
  <c r="K121" i="16"/>
  <c r="J154" i="16"/>
  <c r="AQ164" i="16"/>
  <c r="L150" i="16"/>
  <c r="K152" i="16"/>
  <c r="L143" i="16"/>
  <c r="L165" i="16"/>
  <c r="M139" i="16"/>
  <c r="L122" i="16"/>
  <c r="G24" i="19" s="1"/>
  <c r="M149" i="16"/>
  <c r="M165" i="16"/>
  <c r="M163" i="16"/>
  <c r="L164" i="16"/>
  <c r="L142" i="16"/>
  <c r="M140" i="16"/>
  <c r="N120" i="16"/>
  <c r="N143" i="16"/>
  <c r="K156" i="16"/>
  <c r="M122" i="16"/>
  <c r="H24" i="19" s="1"/>
  <c r="N152" i="16"/>
  <c r="M154" i="16"/>
  <c r="M142" i="16"/>
  <c r="N164" i="16"/>
  <c r="L138" i="16"/>
  <c r="M145" i="16"/>
  <c r="N154" i="16"/>
  <c r="L152" i="16"/>
  <c r="L147" i="16"/>
  <c r="M155" i="16"/>
  <c r="K144" i="16"/>
  <c r="N145" i="16"/>
  <c r="K120" i="16"/>
  <c r="K163" i="16"/>
  <c r="M138" i="16"/>
  <c r="M147" i="16"/>
  <c r="M143" i="16"/>
  <c r="M141" i="16"/>
  <c r="M121" i="16"/>
  <c r="N155" i="16"/>
  <c r="N138" i="16"/>
  <c r="M144" i="16"/>
  <c r="M152" i="16"/>
  <c r="N147" i="16"/>
  <c r="M164" i="16"/>
  <c r="O122" i="16"/>
  <c r="J24" i="19" s="1"/>
  <c r="N142" i="16"/>
  <c r="N165" i="16"/>
  <c r="O138" i="16"/>
  <c r="N149" i="16"/>
  <c r="N139" i="16"/>
  <c r="N122" i="16"/>
  <c r="I24" i="19" s="1"/>
  <c r="N146" i="16"/>
  <c r="N151" i="16"/>
  <c r="O147" i="16"/>
  <c r="M148" i="16"/>
  <c r="O163" i="16"/>
  <c r="N156" i="16"/>
  <c r="N148" i="16"/>
  <c r="M151" i="16"/>
  <c r="N140" i="16"/>
  <c r="O164" i="16"/>
  <c r="O141" i="16"/>
  <c r="O121" i="16"/>
  <c r="N163" i="16"/>
  <c r="O146" i="16"/>
  <c r="M146" i="16"/>
  <c r="O143" i="16"/>
  <c r="O145" i="16"/>
  <c r="O149" i="16"/>
  <c r="O148" i="16"/>
  <c r="O139" i="16"/>
  <c r="N141" i="16"/>
  <c r="N121" i="16"/>
  <c r="K138" i="16"/>
  <c r="P146" i="16"/>
  <c r="P121" i="16"/>
  <c r="P148" i="16"/>
  <c r="P143" i="16"/>
  <c r="P154" i="16"/>
  <c r="O120" i="16"/>
  <c r="P145" i="16"/>
  <c r="O150" i="16"/>
  <c r="P147" i="16"/>
  <c r="P151" i="16"/>
  <c r="P142" i="16"/>
  <c r="O140" i="16"/>
  <c r="O144" i="16"/>
  <c r="P140" i="16"/>
  <c r="P139" i="16"/>
  <c r="P156" i="16"/>
  <c r="P141" i="16"/>
  <c r="P152" i="16"/>
  <c r="O142" i="16"/>
  <c r="O152" i="16"/>
  <c r="P122" i="16"/>
  <c r="K24" i="19" s="1"/>
  <c r="O165" i="16"/>
  <c r="P155" i="16"/>
  <c r="P149" i="16"/>
  <c r="P120" i="16"/>
  <c r="O155" i="16"/>
  <c r="P138" i="16"/>
  <c r="O154" i="16"/>
  <c r="Q165" i="16"/>
  <c r="Q156" i="16"/>
  <c r="P150" i="16"/>
  <c r="Q139" i="16"/>
  <c r="Q122" i="16"/>
  <c r="L24" i="19" s="1"/>
  <c r="Q120" i="16"/>
  <c r="Q163" i="16"/>
  <c r="Q145" i="16"/>
  <c r="Q140" i="16"/>
  <c r="Q149" i="16"/>
  <c r="P144" i="16"/>
  <c r="P165" i="16"/>
  <c r="O151" i="16"/>
  <c r="P163" i="16"/>
  <c r="Q155" i="16"/>
  <c r="Q121" i="16"/>
  <c r="Q148" i="16"/>
  <c r="Q146" i="16"/>
  <c r="S138" i="16"/>
  <c r="R144" i="16"/>
  <c r="R140" i="16"/>
  <c r="Q143" i="16"/>
  <c r="Q142" i="16"/>
  <c r="O156" i="16"/>
  <c r="R141" i="16"/>
  <c r="R147" i="16"/>
  <c r="R143" i="16"/>
  <c r="Q138" i="16"/>
  <c r="Q150" i="16"/>
  <c r="R149" i="16"/>
  <c r="R165" i="16"/>
  <c r="Q147" i="16"/>
  <c r="P164" i="16"/>
  <c r="Q151" i="16"/>
  <c r="R155" i="16"/>
  <c r="R145" i="16"/>
  <c r="S140" i="16"/>
  <c r="S165" i="16"/>
  <c r="R138" i="16"/>
  <c r="R142" i="16"/>
  <c r="R152" i="16"/>
  <c r="R148" i="16"/>
  <c r="Q154" i="16"/>
  <c r="R150" i="16"/>
  <c r="R154" i="16"/>
  <c r="R151" i="16"/>
  <c r="Q164" i="16"/>
  <c r="Q152" i="16"/>
  <c r="Q144" i="16"/>
  <c r="R164" i="16"/>
  <c r="S156" i="16"/>
  <c r="R121" i="16"/>
  <c r="R146" i="16"/>
  <c r="S143" i="16"/>
  <c r="S121" i="16"/>
  <c r="S155" i="16"/>
  <c r="R163" i="16"/>
  <c r="R120" i="16"/>
  <c r="R156" i="16"/>
  <c r="S154" i="16"/>
  <c r="S149" i="16"/>
  <c r="R139" i="16"/>
  <c r="S148" i="16"/>
  <c r="S150" i="16"/>
  <c r="S145" i="16"/>
  <c r="S163" i="16"/>
  <c r="S144" i="16"/>
  <c r="T164" i="16"/>
  <c r="S120" i="16"/>
  <c r="S152" i="16"/>
  <c r="R122" i="16"/>
  <c r="M24" i="19" s="1"/>
  <c r="S164" i="16"/>
  <c r="S122" i="16"/>
  <c r="N24" i="19" s="1"/>
  <c r="S142" i="16"/>
  <c r="S147" i="16"/>
  <c r="U120" i="16"/>
  <c r="S141" i="16"/>
  <c r="Q141" i="16"/>
  <c r="S146" i="16"/>
  <c r="T155" i="16"/>
  <c r="T152" i="16"/>
  <c r="U122" i="16"/>
  <c r="P24" i="19" s="1"/>
  <c r="U144" i="16"/>
  <c r="U138" i="16"/>
  <c r="T148" i="16"/>
  <c r="T149" i="16"/>
  <c r="T151" i="16"/>
  <c r="T163" i="16"/>
  <c r="T156" i="16"/>
  <c r="T138" i="16"/>
  <c r="S151" i="16"/>
  <c r="T140" i="16"/>
  <c r="T141" i="16"/>
  <c r="T144" i="16"/>
  <c r="U121" i="16"/>
  <c r="T122" i="16"/>
  <c r="O24" i="19" s="1"/>
  <c r="U147" i="16"/>
  <c r="U165" i="16"/>
  <c r="T142" i="16"/>
  <c r="T165" i="16"/>
  <c r="U148" i="16"/>
  <c r="U139" i="16"/>
  <c r="T154" i="16"/>
  <c r="T147" i="16"/>
  <c r="V140" i="16"/>
  <c r="U143" i="16"/>
  <c r="T145" i="16"/>
  <c r="U145" i="16"/>
  <c r="U155" i="16"/>
  <c r="U142" i="16"/>
  <c r="V147" i="16"/>
  <c r="U150" i="16"/>
  <c r="U149" i="16"/>
  <c r="U151" i="16"/>
  <c r="V165" i="16"/>
  <c r="T121" i="16"/>
  <c r="V146" i="16"/>
  <c r="U164" i="16"/>
  <c r="V142" i="16"/>
  <c r="T150" i="16"/>
  <c r="V149" i="16"/>
  <c r="T139" i="16"/>
  <c r="S139" i="16"/>
  <c r="T146" i="16"/>
  <c r="U163" i="16"/>
  <c r="V121" i="16"/>
  <c r="U156" i="16"/>
  <c r="U146" i="16"/>
  <c r="U141" i="16"/>
  <c r="T143" i="16"/>
  <c r="T120" i="16"/>
  <c r="U152" i="16"/>
  <c r="W164" i="16"/>
  <c r="W139" i="16"/>
  <c r="W145" i="16"/>
  <c r="V145" i="16"/>
  <c r="V151" i="16"/>
  <c r="V141" i="16"/>
  <c r="W155" i="16"/>
  <c r="W147" i="16"/>
  <c r="V156" i="16"/>
  <c r="V120" i="16"/>
  <c r="V139" i="16"/>
  <c r="W146" i="16"/>
  <c r="W121" i="16"/>
  <c r="W148" i="16"/>
  <c r="V164" i="16"/>
  <c r="U140" i="16"/>
  <c r="V144" i="16"/>
  <c r="W120" i="16"/>
  <c r="W163" i="16"/>
  <c r="V154" i="16"/>
  <c r="V143" i="16"/>
  <c r="V138" i="16"/>
  <c r="V122" i="16"/>
  <c r="Q24" i="19" s="1"/>
  <c r="W152" i="16"/>
  <c r="V163" i="16"/>
  <c r="W142" i="16"/>
  <c r="W143" i="16"/>
  <c r="U154" i="16"/>
  <c r="W150" i="16"/>
  <c r="W122" i="16"/>
  <c r="R24" i="19" s="1"/>
  <c r="W149" i="16"/>
  <c r="X122" i="16"/>
  <c r="S24" i="19" s="1"/>
  <c r="V148" i="16"/>
  <c r="V155" i="16"/>
  <c r="W138" i="16"/>
  <c r="V150" i="16"/>
  <c r="X156" i="16"/>
  <c r="X142" i="16"/>
  <c r="X145" i="16"/>
  <c r="X154" i="16"/>
  <c r="X151" i="16"/>
  <c r="X144" i="16"/>
  <c r="W140" i="16"/>
  <c r="W151" i="16"/>
  <c r="V152" i="16"/>
  <c r="X163" i="16"/>
  <c r="W165" i="16"/>
  <c r="X149" i="16"/>
  <c r="W154" i="16"/>
  <c r="X140" i="16"/>
  <c r="W156" i="16"/>
  <c r="W141" i="16"/>
  <c r="Y143" i="16"/>
  <c r="X165" i="16"/>
  <c r="Y148" i="16"/>
  <c r="X120" i="16"/>
  <c r="Y120" i="16"/>
  <c r="X148" i="16"/>
  <c r="Y147" i="16"/>
  <c r="X146" i="16"/>
  <c r="Y150" i="16"/>
  <c r="X164" i="16"/>
  <c r="Y163" i="16"/>
  <c r="Y145" i="16"/>
  <c r="Y155" i="16"/>
  <c r="Y142" i="16"/>
  <c r="W144" i="16"/>
  <c r="Y151" i="16"/>
  <c r="X152" i="16"/>
  <c r="Y141" i="16"/>
  <c r="Y154" i="16"/>
  <c r="X143" i="16"/>
  <c r="Y164" i="16"/>
  <c r="X155" i="16"/>
  <c r="X141" i="16"/>
  <c r="X139" i="16"/>
  <c r="X150" i="16"/>
  <c r="Z142" i="16"/>
  <c r="Z152" i="16"/>
  <c r="Y146" i="16"/>
  <c r="X138" i="16"/>
  <c r="Z141" i="16"/>
  <c r="Z163" i="16"/>
  <c r="Y121" i="16"/>
  <c r="Y149" i="16"/>
  <c r="Y144" i="16"/>
  <c r="Y122" i="16"/>
  <c r="T24" i="19" s="1"/>
  <c r="Z139" i="16"/>
  <c r="Z140" i="16"/>
  <c r="X147" i="16"/>
  <c r="Y165" i="16"/>
  <c r="Z155" i="16"/>
  <c r="Y138" i="16"/>
  <c r="Z121" i="16"/>
  <c r="Y139" i="16"/>
  <c r="Z165" i="16"/>
  <c r="Z151" i="16"/>
  <c r="Z143" i="16"/>
  <c r="X121" i="16"/>
  <c r="Z148" i="16"/>
  <c r="Z145" i="16"/>
  <c r="Y140" i="16"/>
  <c r="Z120" i="16"/>
  <c r="AA144" i="16"/>
  <c r="AA156" i="16"/>
  <c r="AA164" i="16"/>
  <c r="Y156" i="16"/>
  <c r="Y152" i="16"/>
  <c r="AA140" i="16"/>
  <c r="AA155" i="16"/>
  <c r="AA152" i="16"/>
  <c r="Z150" i="16"/>
  <c r="Z156" i="16"/>
  <c r="AA151" i="16"/>
  <c r="Z147" i="16"/>
  <c r="AA142" i="16"/>
  <c r="AA165" i="16"/>
  <c r="AA139" i="16"/>
  <c r="AA148" i="16"/>
  <c r="AA163" i="16"/>
  <c r="Z164" i="16"/>
  <c r="Z149" i="16"/>
  <c r="AA120" i="16"/>
  <c r="Z122" i="16"/>
  <c r="U24" i="19" s="1"/>
  <c r="AA141" i="16"/>
  <c r="AA150" i="16"/>
  <c r="Z138" i="16"/>
  <c r="Z154" i="16"/>
  <c r="AA138" i="16"/>
  <c r="AA154" i="16"/>
  <c r="AB143" i="16"/>
  <c r="AA149" i="16"/>
  <c r="AA143" i="16"/>
  <c r="AB121" i="16"/>
  <c r="AB149" i="16"/>
  <c r="AB138" i="16"/>
  <c r="AB152" i="16"/>
  <c r="AA122" i="16"/>
  <c r="V24" i="19" s="1"/>
  <c r="AB148" i="16"/>
  <c r="AB144" i="16"/>
  <c r="AB151" i="16"/>
  <c r="AB141" i="16"/>
  <c r="AB164" i="16"/>
  <c r="AB150" i="16"/>
  <c r="AA145" i="16"/>
  <c r="Z146" i="16"/>
  <c r="AA121" i="16"/>
  <c r="AB139" i="16"/>
  <c r="Z144" i="16"/>
  <c r="AB154" i="16"/>
  <c r="AB155" i="16"/>
  <c r="AB163" i="16"/>
  <c r="AB146" i="16"/>
  <c r="AB165" i="16"/>
  <c r="AA146" i="16"/>
  <c r="AB122" i="16"/>
  <c r="W24" i="19" s="1"/>
  <c r="AC138" i="16"/>
  <c r="AC145" i="16"/>
  <c r="AB142" i="16"/>
  <c r="AC164" i="16"/>
  <c r="AC150" i="16"/>
  <c r="AC155" i="16"/>
  <c r="AC144" i="16"/>
  <c r="AC151" i="16"/>
  <c r="AB145" i="16"/>
  <c r="AC148" i="16"/>
  <c r="AB147" i="16"/>
  <c r="AC147" i="16"/>
  <c r="AC141" i="16"/>
  <c r="AC165" i="16"/>
  <c r="AC139" i="16"/>
  <c r="AC149" i="16"/>
  <c r="AC163" i="16"/>
  <c r="AB120" i="16"/>
  <c r="AC140" i="16"/>
  <c r="AC121" i="16"/>
  <c r="AA147" i="16"/>
  <c r="AC120" i="16"/>
  <c r="AB140" i="16"/>
  <c r="AD140" i="16"/>
  <c r="AD148" i="16"/>
  <c r="AB156" i="16"/>
  <c r="AD138" i="16"/>
  <c r="AD143" i="16"/>
  <c r="AD146" i="16"/>
  <c r="AC146" i="16"/>
  <c r="AC122" i="16"/>
  <c r="X24" i="19" s="1"/>
  <c r="AC156" i="16"/>
  <c r="AD151" i="16"/>
  <c r="AD145" i="16"/>
  <c r="AD144" i="16"/>
  <c r="AD156" i="16"/>
  <c r="AD149" i="16"/>
  <c r="AD142" i="16"/>
  <c r="AD152" i="16"/>
  <c r="AD141" i="16"/>
  <c r="AC143" i="16"/>
  <c r="AC154" i="16"/>
  <c r="AD154" i="16"/>
  <c r="AD147" i="16"/>
  <c r="AD121" i="16"/>
  <c r="AD163" i="16"/>
  <c r="AD155" i="16"/>
  <c r="AD150" i="16"/>
  <c r="AD120" i="16"/>
  <c r="AC152" i="16"/>
  <c r="AE151" i="16"/>
  <c r="AD139" i="16"/>
  <c r="AE155" i="16"/>
  <c r="AE165" i="16"/>
  <c r="AE164" i="16"/>
  <c r="AD122" i="16"/>
  <c r="Y24" i="19" s="1"/>
  <c r="AE122" i="16"/>
  <c r="Z24" i="19" s="1"/>
  <c r="AE147" i="16"/>
  <c r="AE120" i="16"/>
  <c r="AE142" i="16"/>
  <c r="AE146" i="16"/>
  <c r="AE141" i="16"/>
  <c r="AE148" i="16"/>
  <c r="AD165" i="16"/>
  <c r="AE121" i="16"/>
  <c r="AE138" i="16"/>
  <c r="AE156" i="16"/>
  <c r="AC142" i="16"/>
  <c r="AE145" i="16"/>
  <c r="AE154" i="16"/>
  <c r="AE149" i="16"/>
  <c r="AE140" i="16"/>
  <c r="AE143" i="16"/>
  <c r="AE139" i="16"/>
  <c r="AD164" i="16"/>
  <c r="AF150" i="16"/>
  <c r="AG140" i="16"/>
  <c r="AF144" i="16"/>
  <c r="AE150" i="16"/>
  <c r="AF122" i="16"/>
  <c r="AA24" i="19" s="1"/>
  <c r="AF142" i="16"/>
  <c r="AE152" i="16"/>
  <c r="AG120" i="16"/>
  <c r="AE144" i="16"/>
  <c r="AF121" i="16"/>
  <c r="AF165" i="16"/>
  <c r="AF141" i="16"/>
  <c r="AE163" i="16"/>
  <c r="AF163" i="16"/>
  <c r="AF151" i="16"/>
  <c r="AF138" i="16"/>
  <c r="AF147" i="16"/>
  <c r="AF154" i="16"/>
  <c r="AF139" i="16"/>
  <c r="AF164" i="16"/>
  <c r="AF146" i="16"/>
  <c r="AF152" i="16"/>
  <c r="AF140" i="16"/>
  <c r="AF149" i="16"/>
  <c r="AF156" i="16"/>
  <c r="AF143" i="16"/>
  <c r="AG163" i="16"/>
  <c r="AG139" i="16"/>
  <c r="AG146" i="16"/>
  <c r="AG165" i="16"/>
  <c r="AG155" i="16"/>
  <c r="AG144" i="16"/>
  <c r="AG122" i="16"/>
  <c r="AB24" i="19" s="1"/>
  <c r="AF148" i="16"/>
  <c r="AF145" i="16"/>
  <c r="AG164" i="16"/>
  <c r="AF155" i="16"/>
  <c r="AG149" i="16"/>
  <c r="AG138" i="16"/>
  <c r="AG151" i="16"/>
  <c r="AG154" i="16"/>
  <c r="AG145" i="16"/>
  <c r="AF120" i="16"/>
  <c r="AG141" i="16"/>
  <c r="AG150" i="16"/>
  <c r="AG147" i="16"/>
  <c r="AG121" i="16"/>
  <c r="AG143" i="16"/>
  <c r="AG142" i="16"/>
  <c r="AG148" i="16"/>
  <c r="AG156" i="16"/>
  <c r="AH152" i="16"/>
  <c r="AH156" i="16"/>
  <c r="AH148" i="16"/>
  <c r="AH138" i="16"/>
  <c r="AG152" i="16"/>
  <c r="AH150" i="16"/>
  <c r="AH121" i="16"/>
  <c r="AH142" i="16"/>
  <c r="AH165" i="16"/>
  <c r="AH139" i="16"/>
  <c r="AH149" i="16"/>
  <c r="AH141" i="16"/>
  <c r="AH122" i="16"/>
  <c r="AC24" i="19" s="1"/>
  <c r="AH164" i="16"/>
  <c r="AH146" i="16"/>
  <c r="AH140" i="16"/>
  <c r="AH151" i="16"/>
  <c r="AH147" i="16"/>
  <c r="AH144" i="16"/>
  <c r="AH120" i="16"/>
  <c r="AH154" i="16"/>
  <c r="AH155" i="16"/>
  <c r="AH145" i="16"/>
  <c r="AH143" i="16"/>
  <c r="AI139" i="16"/>
  <c r="AI150" i="16"/>
  <c r="AI165" i="16"/>
  <c r="AI152" i="16"/>
  <c r="AI154" i="16"/>
  <c r="AI122" i="16"/>
  <c r="AD24" i="19" s="1"/>
  <c r="AI143" i="16"/>
  <c r="AI151" i="16"/>
  <c r="AI141" i="16"/>
  <c r="AI147" i="16"/>
  <c r="AI163" i="16"/>
  <c r="AI140" i="16"/>
  <c r="AI138" i="16"/>
  <c r="AI155" i="16"/>
  <c r="AI120" i="16"/>
  <c r="AI145" i="16"/>
  <c r="AH163" i="16"/>
  <c r="AJ140" i="16"/>
  <c r="AJ148" i="16"/>
  <c r="AJ142" i="16"/>
  <c r="AJ121" i="16"/>
  <c r="AJ147" i="16"/>
  <c r="AJ144" i="16"/>
  <c r="AJ150" i="16"/>
  <c r="AJ152" i="16"/>
  <c r="AI148" i="16"/>
  <c r="AI149" i="16"/>
  <c r="AI142" i="16"/>
  <c r="AI121" i="16"/>
  <c r="AJ154" i="16"/>
  <c r="AJ155" i="16"/>
  <c r="AJ138" i="16"/>
  <c r="AI146" i="16"/>
  <c r="AI156" i="16"/>
  <c r="AI144" i="16"/>
  <c r="AJ163" i="16"/>
  <c r="AJ149" i="16"/>
  <c r="AI164" i="16"/>
  <c r="AJ139" i="16"/>
  <c r="AK156" i="16"/>
  <c r="AK164" i="16"/>
  <c r="AK154" i="16"/>
  <c r="AJ156" i="16"/>
  <c r="AK152" i="16"/>
  <c r="AJ120" i="16"/>
  <c r="AK145" i="16"/>
  <c r="AJ164" i="16"/>
  <c r="AJ146" i="16"/>
  <c r="AK149" i="16"/>
  <c r="AK122" i="16"/>
  <c r="AF24" i="19" s="1"/>
  <c r="AJ165" i="16"/>
  <c r="AK150" i="16"/>
  <c r="AJ141" i="16"/>
  <c r="AK121" i="16"/>
  <c r="AK140" i="16"/>
  <c r="AK155" i="16"/>
  <c r="AK148" i="16"/>
  <c r="AK163" i="16"/>
  <c r="AK141" i="16"/>
  <c r="AK138" i="16"/>
  <c r="AK144" i="16"/>
  <c r="AJ151" i="16"/>
  <c r="AJ145" i="16"/>
  <c r="AJ122" i="16"/>
  <c r="AE24" i="19" s="1"/>
  <c r="AJ143" i="16"/>
  <c r="AL145" i="16"/>
  <c r="AL122" i="16"/>
  <c r="AG24" i="19" s="1"/>
  <c r="AK151" i="16"/>
  <c r="AK147" i="16"/>
  <c r="AL154" i="16"/>
  <c r="AK143" i="16"/>
  <c r="AL146" i="16"/>
  <c r="AL139" i="16"/>
  <c r="AL121" i="16"/>
  <c r="AK165" i="16"/>
  <c r="AK142" i="16"/>
  <c r="AL141" i="16"/>
  <c r="AL163" i="16"/>
  <c r="AK139" i="16"/>
  <c r="AK120" i="16"/>
  <c r="AL152" i="16"/>
  <c r="AL142" i="16"/>
  <c r="AL149" i="16"/>
  <c r="AM148" i="16"/>
  <c r="AM156" i="16"/>
  <c r="AL144" i="16"/>
  <c r="AM165" i="16"/>
  <c r="AL138" i="16"/>
  <c r="AL151" i="16"/>
  <c r="AM142" i="16"/>
  <c r="AL140" i="16"/>
  <c r="AM152" i="16"/>
  <c r="AL143" i="16"/>
  <c r="AM144" i="16"/>
  <c r="AK146" i="16"/>
  <c r="AM164" i="16"/>
  <c r="AL148" i="16"/>
  <c r="AL165" i="16"/>
  <c r="AL150" i="16"/>
  <c r="AM138" i="16"/>
  <c r="AM139" i="16"/>
  <c r="AL147" i="16"/>
  <c r="AL164" i="16"/>
  <c r="AM122" i="16"/>
  <c r="AH24" i="19" s="1"/>
  <c r="AL120" i="16"/>
  <c r="AM140" i="16"/>
  <c r="AM151" i="16"/>
  <c r="AM149" i="16"/>
  <c r="AN151" i="16"/>
  <c r="AN155" i="16"/>
  <c r="AN148" i="16"/>
  <c r="AN121" i="16"/>
  <c r="AN122" i="16"/>
  <c r="AN152" i="16"/>
  <c r="AN138" i="16"/>
  <c r="AM120" i="16"/>
  <c r="AL155" i="16"/>
  <c r="AN144" i="16"/>
  <c r="AN149" i="16"/>
  <c r="AM121" i="16"/>
  <c r="AM163" i="16"/>
  <c r="AN163" i="16"/>
  <c r="AN143" i="16"/>
  <c r="AN141" i="16"/>
  <c r="AM143" i="16"/>
  <c r="AN147" i="16"/>
  <c r="AM141" i="16"/>
  <c r="AM146" i="16"/>
  <c r="AM145" i="16"/>
  <c r="AN165" i="16"/>
  <c r="AM147" i="16"/>
  <c r="AL156" i="16"/>
  <c r="AM154" i="16"/>
  <c r="AN164" i="16"/>
  <c r="AM150" i="16"/>
  <c r="AO165" i="16"/>
  <c r="AP143" i="16"/>
  <c r="AO139" i="16"/>
  <c r="AO164" i="16"/>
  <c r="AP154" i="16"/>
  <c r="AN139" i="16"/>
  <c r="AN142" i="16"/>
  <c r="AP144" i="16"/>
  <c r="AP164" i="16"/>
  <c r="AP148" i="16"/>
  <c r="AO121" i="16"/>
  <c r="AP150" i="16"/>
  <c r="AN145" i="16"/>
  <c r="AN140" i="16"/>
  <c r="AP156" i="16"/>
  <c r="AO140" i="16"/>
  <c r="AO122" i="16"/>
  <c r="AO138" i="16"/>
  <c r="AP163" i="16"/>
  <c r="AO152" i="16"/>
  <c r="AO146" i="16"/>
  <c r="AN154" i="16"/>
  <c r="AP138" i="16"/>
  <c r="AP146" i="16"/>
  <c r="AP140" i="16"/>
  <c r="AM155" i="16"/>
  <c r="AO148" i="16"/>
  <c r="AO120" i="16"/>
  <c r="AP145" i="16"/>
  <c r="AN146" i="16"/>
  <c r="AP142" i="16"/>
  <c r="AP139" i="16"/>
  <c r="AO155" i="16"/>
  <c r="AN120" i="16"/>
  <c r="AN156" i="16"/>
  <c r="AO154" i="16"/>
  <c r="AN150" i="16"/>
  <c r="AO163" i="16"/>
  <c r="AO143" i="16"/>
  <c r="AO142" i="16"/>
  <c r="AP147" i="16"/>
  <c r="AP165" i="16"/>
  <c r="AO144" i="16"/>
  <c r="AO141" i="16"/>
  <c r="AP120" i="16"/>
  <c r="AP141" i="16"/>
  <c r="AP149" i="16"/>
  <c r="AO149" i="16"/>
  <c r="AP152" i="16"/>
  <c r="AO151" i="16"/>
  <c r="AO147" i="16"/>
  <c r="AO150" i="16"/>
  <c r="AP121" i="16"/>
  <c r="AP151" i="16"/>
  <c r="AP155" i="16"/>
  <c r="AO145" i="16"/>
  <c r="AO156" i="16"/>
  <c r="AP122" i="16"/>
  <c r="OO14" i="16"/>
  <c r="I140" i="16" l="1"/>
  <c r="J122" i="16"/>
  <c r="E24" i="19" s="1"/>
  <c r="K122" i="16"/>
  <c r="F24" i="19" s="1"/>
  <c r="AQ122" i="16"/>
  <c r="I150" i="16"/>
  <c r="I146" i="16"/>
  <c r="I155" i="16"/>
  <c r="I121" i="16"/>
  <c r="I145" i="16"/>
  <c r="I144" i="16"/>
  <c r="I147" i="16"/>
  <c r="I141" i="16"/>
  <c r="I120" i="16"/>
  <c r="I142" i="16"/>
  <c r="I154" i="16"/>
  <c r="I156" i="16"/>
  <c r="I138" i="16"/>
  <c r="I152" i="16"/>
  <c r="I149" i="16"/>
  <c r="I143" i="16"/>
  <c r="I148" i="16"/>
  <c r="I139" i="16"/>
  <c r="I122" i="16" l="1"/>
  <c r="F147" i="13" l="1"/>
  <c r="F137" i="13"/>
  <c r="F138" i="13"/>
  <c r="F139" i="13"/>
  <c r="C62" i="13"/>
  <c r="C70" i="13"/>
  <c r="C71" i="13"/>
  <c r="F75" i="13"/>
  <c r="F76" i="13"/>
  <c r="C77" i="13"/>
  <c r="F82" i="13"/>
  <c r="F8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9" i="13"/>
  <c r="F113" i="13"/>
  <c r="F114" i="13"/>
  <c r="F115" i="13"/>
  <c r="C116" i="13"/>
  <c r="F131" i="13"/>
  <c r="F132" i="13"/>
  <c r="F133" i="13"/>
  <c r="F134" i="13"/>
  <c r="F135" i="13"/>
  <c r="F136" i="13"/>
  <c r="F140" i="13"/>
  <c r="F141" i="13"/>
  <c r="F148" i="13"/>
  <c r="K33" i="9"/>
  <c r="F33" i="9"/>
  <c r="F29" i="9"/>
  <c r="K28" i="9"/>
  <c r="K27" i="9"/>
  <c r="K24" i="9"/>
  <c r="K23" i="9"/>
  <c r="K22" i="9"/>
  <c r="F19" i="9"/>
  <c r="K14" i="9"/>
  <c r="K13" i="9"/>
  <c r="F13" i="9"/>
  <c r="K12" i="9"/>
  <c r="F12" i="9"/>
  <c r="K9" i="9"/>
  <c r="C35" i="6"/>
  <c r="D39" i="8"/>
  <c r="C34" i="8"/>
  <c r="D40" i="8" s="1"/>
  <c r="D16" i="8"/>
  <c r="C15" i="8"/>
  <c r="C17" i="8" s="1"/>
  <c r="F97" i="2"/>
  <c r="D6" i="6" s="1"/>
  <c r="D68" i="16" s="1"/>
  <c r="G91" i="2"/>
  <c r="D91" i="2"/>
  <c r="H91" i="2" s="1"/>
  <c r="G90" i="2"/>
  <c r="D90" i="2"/>
  <c r="C99" i="2" s="1"/>
  <c r="F99" i="2" s="1"/>
  <c r="D8" i="6" s="1"/>
  <c r="D70" i="16" s="1"/>
  <c r="G89" i="2"/>
  <c r="D89" i="2"/>
  <c r="D88" i="2"/>
  <c r="H80" i="2"/>
  <c r="C80" i="2"/>
  <c r="H79" i="2"/>
  <c r="C79" i="2"/>
  <c r="H78" i="2"/>
  <c r="C78" i="2"/>
  <c r="H77" i="2"/>
  <c r="C77" i="2"/>
  <c r="H76" i="2"/>
  <c r="C76" i="2"/>
  <c r="H74" i="2"/>
  <c r="C74" i="2"/>
  <c r="H73" i="2"/>
  <c r="G73" i="2"/>
  <c r="C73" i="2"/>
  <c r="H72" i="2"/>
  <c r="G72" i="2"/>
  <c r="C72" i="2"/>
  <c r="H71" i="2"/>
  <c r="G71" i="2"/>
  <c r="C71" i="2"/>
  <c r="H70" i="2"/>
  <c r="G70" i="2"/>
  <c r="C70" i="2"/>
  <c r="H68" i="2"/>
  <c r="C68" i="2"/>
  <c r="H67" i="2"/>
  <c r="C67" i="2"/>
  <c r="H66" i="2"/>
  <c r="C66" i="2"/>
  <c r="H65" i="2"/>
  <c r="C65" i="2"/>
  <c r="H64" i="2"/>
  <c r="C64" i="2"/>
  <c r="H62" i="2"/>
  <c r="C62" i="2"/>
  <c r="H61" i="2"/>
  <c r="C61" i="2"/>
  <c r="H60" i="2"/>
  <c r="C60" i="2"/>
  <c r="H59" i="2"/>
  <c r="C59" i="2"/>
  <c r="H58" i="2"/>
  <c r="C58" i="2"/>
  <c r="H56" i="2"/>
  <c r="C56" i="2"/>
  <c r="H55" i="2"/>
  <c r="C55" i="2"/>
  <c r="H54" i="2"/>
  <c r="C54" i="2"/>
  <c r="H53" i="2"/>
  <c r="C53" i="2"/>
  <c r="H52" i="2"/>
  <c r="C52" i="2"/>
  <c r="B47" i="2"/>
  <c r="B46" i="2"/>
  <c r="B45" i="2"/>
  <c r="B44" i="2"/>
  <c r="B43" i="2"/>
  <c r="F37" i="2"/>
  <c r="E36" i="2"/>
  <c r="F35" i="2"/>
  <c r="F34" i="2"/>
  <c r="F33" i="2"/>
  <c r="F32" i="2"/>
  <c r="B18" i="2"/>
  <c r="D77" i="2" s="1"/>
  <c r="D17" i="2"/>
  <c r="B17" i="2"/>
  <c r="D72" i="2" s="1"/>
  <c r="D16" i="2"/>
  <c r="B16" i="2"/>
  <c r="D67" i="2" s="1"/>
  <c r="D15" i="2"/>
  <c r="B15" i="2"/>
  <c r="D14" i="2"/>
  <c r="B14" i="2"/>
  <c r="D53" i="2" s="1"/>
  <c r="B9" i="2"/>
  <c r="B7" i="2"/>
  <c r="C35" i="2" s="1"/>
  <c r="E35" i="2" s="1"/>
  <c r="B6" i="2"/>
  <c r="C34" i="2" s="1"/>
  <c r="E34" i="2" s="1"/>
  <c r="B5" i="2"/>
  <c r="C33" i="2" s="1"/>
  <c r="E33" i="2" s="1"/>
  <c r="B4" i="2"/>
  <c r="C57" i="13"/>
  <c r="E57" i="13" s="1"/>
  <c r="E56" i="13"/>
  <c r="E55" i="13"/>
  <c r="C14" i="13"/>
  <c r="C68" i="6" s="1"/>
  <c r="C10" i="13"/>
  <c r="E60" i="16" s="1"/>
  <c r="C47" i="13"/>
  <c r="D38" i="13"/>
  <c r="D39" i="13" s="1"/>
  <c r="B28" i="13"/>
  <c r="D27" i="13" s="1"/>
  <c r="G46" i="2" s="1"/>
  <c r="E79" i="2" s="1"/>
  <c r="F60" i="16" l="1"/>
  <c r="G60" i="16" s="1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AG60" i="16"/>
  <c r="AH60" i="16"/>
  <c r="AI60" i="16"/>
  <c r="AJ60" i="16"/>
  <c r="AK60" i="16"/>
  <c r="AL60" i="16"/>
  <c r="AM60" i="16"/>
  <c r="AN60" i="16"/>
  <c r="AO60" i="16"/>
  <c r="AP60" i="16"/>
  <c r="AQ60" i="16"/>
  <c r="AR60" i="16"/>
  <c r="AT60" i="16"/>
  <c r="AU60" i="16"/>
  <c r="AV60" i="16"/>
  <c r="AW60" i="16"/>
  <c r="AX60" i="16"/>
  <c r="AZ60" i="16"/>
  <c r="BA60" i="16"/>
  <c r="BB60" i="16"/>
  <c r="BC60" i="16"/>
  <c r="BD60" i="16"/>
  <c r="BF60" i="16"/>
  <c r="BE60" i="16"/>
  <c r="BG60" i="16"/>
  <c r="BH60" i="16"/>
  <c r="BI60" i="16"/>
  <c r="BJ60" i="16"/>
  <c r="BK60" i="16"/>
  <c r="BL60" i="16"/>
  <c r="BM60" i="16"/>
  <c r="BN60" i="16"/>
  <c r="BO60" i="16"/>
  <c r="BP60" i="16"/>
  <c r="BQ60" i="16"/>
  <c r="BR60" i="16"/>
  <c r="BS60" i="16"/>
  <c r="BT60" i="16"/>
  <c r="BU60" i="16"/>
  <c r="BV60" i="16"/>
  <c r="BW60" i="16"/>
  <c r="BX60" i="16"/>
  <c r="BY60" i="16"/>
  <c r="BZ60" i="16"/>
  <c r="CA60" i="16"/>
  <c r="CB60" i="16"/>
  <c r="CC60" i="16"/>
  <c r="CD60" i="16"/>
  <c r="CE60" i="16"/>
  <c r="CF60" i="16"/>
  <c r="CG60" i="16"/>
  <c r="CH60" i="16"/>
  <c r="CI60" i="16"/>
  <c r="CJ60" i="16"/>
  <c r="CK60" i="16"/>
  <c r="CL60" i="16"/>
  <c r="CM60" i="16"/>
  <c r="CN60" i="16"/>
  <c r="CO60" i="16"/>
  <c r="CP60" i="16"/>
  <c r="CQ60" i="16"/>
  <c r="CR60" i="16"/>
  <c r="CS60" i="16"/>
  <c r="CT60" i="16"/>
  <c r="CU60" i="16"/>
  <c r="CV60" i="16"/>
  <c r="CW60" i="16"/>
  <c r="CX60" i="16"/>
  <c r="CY60" i="16"/>
  <c r="CZ60" i="16"/>
  <c r="DA60" i="16"/>
  <c r="DB60" i="16"/>
  <c r="DC60" i="16"/>
  <c r="DD60" i="16"/>
  <c r="DE60" i="16"/>
  <c r="DF60" i="16"/>
  <c r="DG60" i="16"/>
  <c r="DH60" i="16"/>
  <c r="DI60" i="16"/>
  <c r="DJ60" i="16"/>
  <c r="DK60" i="16"/>
  <c r="DL60" i="16"/>
  <c r="DM60" i="16"/>
  <c r="DN60" i="16"/>
  <c r="DO60" i="16"/>
  <c r="DP60" i="16"/>
  <c r="DQ60" i="16"/>
  <c r="DR60" i="16"/>
  <c r="DS60" i="16"/>
  <c r="DT60" i="16"/>
  <c r="DU60" i="16"/>
  <c r="DV60" i="16"/>
  <c r="DW60" i="16"/>
  <c r="DX60" i="16"/>
  <c r="DY60" i="16"/>
  <c r="DZ60" i="16"/>
  <c r="EA60" i="16"/>
  <c r="EB60" i="16"/>
  <c r="EC60" i="16"/>
  <c r="ED60" i="16"/>
  <c r="EE60" i="16"/>
  <c r="EF60" i="16"/>
  <c r="EG60" i="16"/>
  <c r="EH60" i="16"/>
  <c r="EI60" i="16"/>
  <c r="EJ60" i="16"/>
  <c r="EK60" i="16"/>
  <c r="EL60" i="16"/>
  <c r="EM60" i="16"/>
  <c r="EN60" i="16"/>
  <c r="EO60" i="16"/>
  <c r="EP60" i="16"/>
  <c r="EQ60" i="16"/>
  <c r="ER60" i="16"/>
  <c r="ES60" i="16"/>
  <c r="ET60" i="16"/>
  <c r="EU60" i="16"/>
  <c r="EV60" i="16"/>
  <c r="EW60" i="16"/>
  <c r="EX60" i="16"/>
  <c r="EY60" i="16"/>
  <c r="EZ60" i="16"/>
  <c r="FA60" i="16"/>
  <c r="FB60" i="16"/>
  <c r="FC60" i="16"/>
  <c r="FD60" i="16"/>
  <c r="FE60" i="16"/>
  <c r="FF60" i="16"/>
  <c r="FG60" i="16"/>
  <c r="FH60" i="16"/>
  <c r="FI60" i="16"/>
  <c r="FJ60" i="16"/>
  <c r="FK60" i="16"/>
  <c r="FL60" i="16"/>
  <c r="FM60" i="16"/>
  <c r="FN60" i="16"/>
  <c r="FO60" i="16"/>
  <c r="FP60" i="16"/>
  <c r="FQ60" i="16"/>
  <c r="FR60" i="16"/>
  <c r="FS60" i="16"/>
  <c r="FT60" i="16"/>
  <c r="FU60" i="16"/>
  <c r="FV60" i="16"/>
  <c r="FW60" i="16"/>
  <c r="FX60" i="16"/>
  <c r="FY60" i="16"/>
  <c r="FZ60" i="16"/>
  <c r="GA60" i="16"/>
  <c r="GB60" i="16"/>
  <c r="GC60" i="16"/>
  <c r="GD60" i="16"/>
  <c r="GE60" i="16"/>
  <c r="GF60" i="16"/>
  <c r="GG60" i="16"/>
  <c r="GH60" i="16"/>
  <c r="GI60" i="16"/>
  <c r="GJ60" i="16"/>
  <c r="GK60" i="16"/>
  <c r="GL60" i="16"/>
  <c r="GM60" i="16"/>
  <c r="GN60" i="16"/>
  <c r="GO60" i="16"/>
  <c r="GP60" i="16"/>
  <c r="GQ60" i="16"/>
  <c r="GR60" i="16"/>
  <c r="GS60" i="16"/>
  <c r="GT60" i="16"/>
  <c r="GU60" i="16"/>
  <c r="GV60" i="16"/>
  <c r="GW60" i="16"/>
  <c r="GX60" i="16"/>
  <c r="GY60" i="16"/>
  <c r="GZ60" i="16"/>
  <c r="HA60" i="16"/>
  <c r="HB60" i="16"/>
  <c r="HC60" i="16"/>
  <c r="HD60" i="16"/>
  <c r="HE60" i="16"/>
  <c r="HF60" i="16"/>
  <c r="HG60" i="16"/>
  <c r="HH60" i="16"/>
  <c r="HI60" i="16"/>
  <c r="HJ60" i="16"/>
  <c r="HK60" i="16"/>
  <c r="HL60" i="16"/>
  <c r="HM60" i="16"/>
  <c r="HN60" i="16"/>
  <c r="HO60" i="16"/>
  <c r="HP60" i="16"/>
  <c r="HQ60" i="16"/>
  <c r="HR60" i="16"/>
  <c r="HS60" i="16"/>
  <c r="HT60" i="16"/>
  <c r="HU60" i="16"/>
  <c r="HV60" i="16"/>
  <c r="HW60" i="16"/>
  <c r="HX60" i="16"/>
  <c r="HY60" i="16"/>
  <c r="HZ60" i="16"/>
  <c r="IA60" i="16"/>
  <c r="IB60" i="16"/>
  <c r="IC60" i="16"/>
  <c r="ID60" i="16"/>
  <c r="IE60" i="16"/>
  <c r="IF60" i="16"/>
  <c r="IG60" i="16"/>
  <c r="IH60" i="16"/>
  <c r="II60" i="16"/>
  <c r="IJ60" i="16"/>
  <c r="IK60" i="16"/>
  <c r="IL60" i="16"/>
  <c r="IM60" i="16"/>
  <c r="IN60" i="16"/>
  <c r="IO60" i="16"/>
  <c r="IP60" i="16"/>
  <c r="IQ60" i="16"/>
  <c r="IR60" i="16"/>
  <c r="IS60" i="16"/>
  <c r="IT60" i="16"/>
  <c r="IU60" i="16"/>
  <c r="IV60" i="16"/>
  <c r="IW60" i="16"/>
  <c r="IX60" i="16"/>
  <c r="IY60" i="16"/>
  <c r="IZ60" i="16"/>
  <c r="JA60" i="16"/>
  <c r="JB60" i="16"/>
  <c r="JC60" i="16"/>
  <c r="JD60" i="16"/>
  <c r="JE60" i="16"/>
  <c r="JF60" i="16"/>
  <c r="JG60" i="16"/>
  <c r="JH60" i="16"/>
  <c r="JI60" i="16"/>
  <c r="JJ60" i="16"/>
  <c r="JK60" i="16"/>
  <c r="JL60" i="16"/>
  <c r="JM60" i="16"/>
  <c r="JN60" i="16"/>
  <c r="JO60" i="16"/>
  <c r="JP60" i="16"/>
  <c r="JQ60" i="16"/>
  <c r="JR60" i="16"/>
  <c r="JS60" i="16"/>
  <c r="JT60" i="16"/>
  <c r="JU60" i="16"/>
  <c r="JV60" i="16"/>
  <c r="JW60" i="16"/>
  <c r="JX60" i="16"/>
  <c r="JY60" i="16"/>
  <c r="JZ60" i="16"/>
  <c r="KA60" i="16"/>
  <c r="KB60" i="16"/>
  <c r="KC60" i="16"/>
  <c r="KD60" i="16"/>
  <c r="KE60" i="16"/>
  <c r="KF60" i="16"/>
  <c r="KG60" i="16"/>
  <c r="KH60" i="16"/>
  <c r="KI60" i="16"/>
  <c r="KJ60" i="16"/>
  <c r="KK60" i="16"/>
  <c r="KL60" i="16"/>
  <c r="KM60" i="16"/>
  <c r="KN60" i="16"/>
  <c r="KO60" i="16"/>
  <c r="KP60" i="16"/>
  <c r="KQ60" i="16"/>
  <c r="KR60" i="16"/>
  <c r="KS60" i="16"/>
  <c r="KT60" i="16"/>
  <c r="KU60" i="16"/>
  <c r="KV60" i="16"/>
  <c r="KW60" i="16"/>
  <c r="KX60" i="16"/>
  <c r="KY60" i="16"/>
  <c r="KZ60" i="16"/>
  <c r="LA60" i="16"/>
  <c r="LB60" i="16"/>
  <c r="LC60" i="16"/>
  <c r="LD60" i="16"/>
  <c r="LE60" i="16"/>
  <c r="LF60" i="16"/>
  <c r="LG60" i="16"/>
  <c r="LH60" i="16"/>
  <c r="LI60" i="16"/>
  <c r="LJ60" i="16"/>
  <c r="LK60" i="16"/>
  <c r="LL60" i="16"/>
  <c r="LM60" i="16"/>
  <c r="LN60" i="16"/>
  <c r="LO60" i="16"/>
  <c r="LP60" i="16"/>
  <c r="LQ60" i="16"/>
  <c r="LR60" i="16"/>
  <c r="LS60" i="16"/>
  <c r="LT60" i="16"/>
  <c r="LU60" i="16"/>
  <c r="LV60" i="16"/>
  <c r="LW60" i="16"/>
  <c r="LX60" i="16"/>
  <c r="LY60" i="16"/>
  <c r="LZ60" i="16"/>
  <c r="MA60" i="16"/>
  <c r="MB60" i="16"/>
  <c r="MC60" i="16"/>
  <c r="MD60" i="16"/>
  <c r="ME60" i="16"/>
  <c r="MF60" i="16"/>
  <c r="MG60" i="16"/>
  <c r="MH60" i="16"/>
  <c r="MI60" i="16"/>
  <c r="MJ60" i="16"/>
  <c r="MK60" i="16"/>
  <c r="ML60" i="16"/>
  <c r="MM60" i="16"/>
  <c r="MN60" i="16"/>
  <c r="MO60" i="16"/>
  <c r="MP60" i="16"/>
  <c r="MQ60" i="16"/>
  <c r="MR60" i="16"/>
  <c r="MS60" i="16"/>
  <c r="MT60" i="16"/>
  <c r="MU60" i="16"/>
  <c r="MV60" i="16"/>
  <c r="MW60" i="16"/>
  <c r="MX60" i="16"/>
  <c r="MY60" i="16"/>
  <c r="MZ60" i="16"/>
  <c r="NA60" i="16"/>
  <c r="NB60" i="16"/>
  <c r="NC60" i="16"/>
  <c r="ND60" i="16"/>
  <c r="NE60" i="16"/>
  <c r="NF60" i="16"/>
  <c r="NG60" i="16"/>
  <c r="NH60" i="16"/>
  <c r="NI60" i="16"/>
  <c r="NJ60" i="16"/>
  <c r="NK60" i="16"/>
  <c r="NL60" i="16"/>
  <c r="NM60" i="16"/>
  <c r="NN60" i="16"/>
  <c r="NO60" i="16"/>
  <c r="NP60" i="16"/>
  <c r="NQ60" i="16"/>
  <c r="NR60" i="16"/>
  <c r="NS60" i="16"/>
  <c r="NT60" i="16"/>
  <c r="NU60" i="16"/>
  <c r="NV60" i="16"/>
  <c r="NW60" i="16"/>
  <c r="NX60" i="16"/>
  <c r="NY60" i="16"/>
  <c r="NZ60" i="16"/>
  <c r="OA60" i="16"/>
  <c r="OB60" i="16"/>
  <c r="OC60" i="16"/>
  <c r="OD60" i="16"/>
  <c r="OE60" i="16"/>
  <c r="OF60" i="16"/>
  <c r="OG60" i="16"/>
  <c r="OH60" i="16"/>
  <c r="OI60" i="16"/>
  <c r="OJ60" i="16"/>
  <c r="OK60" i="16"/>
  <c r="OL60" i="16"/>
  <c r="OM60" i="16"/>
  <c r="ON60" i="16"/>
  <c r="OO60" i="16"/>
  <c r="C36" i="6"/>
  <c r="C40" i="10"/>
  <c r="C15" i="17"/>
  <c r="C13" i="13"/>
  <c r="F7" i="10" s="1"/>
  <c r="D4" i="21" s="1"/>
  <c r="E108" i="16"/>
  <c r="E101" i="16"/>
  <c r="E54" i="16"/>
  <c r="E21" i="16"/>
  <c r="E17" i="16"/>
  <c r="E12" i="19"/>
  <c r="E19" i="16"/>
  <c r="E27" i="16"/>
  <c r="E53" i="16"/>
  <c r="E22" i="16"/>
  <c r="C9" i="17"/>
  <c r="G23" i="17" s="1"/>
  <c r="E24" i="16"/>
  <c r="E25" i="16"/>
  <c r="E20" i="16"/>
  <c r="E28" i="16"/>
  <c r="E23" i="16"/>
  <c r="E18" i="16"/>
  <c r="E26" i="16"/>
  <c r="C32" i="8"/>
  <c r="D38" i="8" s="1"/>
  <c r="C101" i="16"/>
  <c r="D16" i="6"/>
  <c r="D78" i="16" s="1"/>
  <c r="F13" i="10"/>
  <c r="I79" i="2"/>
  <c r="F11" i="10"/>
  <c r="D14" i="6"/>
  <c r="D76" i="16" s="1"/>
  <c r="F77" i="13"/>
  <c r="F116" i="13"/>
  <c r="D92" i="2"/>
  <c r="B90" i="2" s="1"/>
  <c r="D64" i="2"/>
  <c r="D66" i="2"/>
  <c r="D55" i="2"/>
  <c r="C38" i="13"/>
  <c r="F47" i="2" s="1"/>
  <c r="E74" i="2" s="1"/>
  <c r="D56" i="2"/>
  <c r="D71" i="2"/>
  <c r="H89" i="2"/>
  <c r="C82" i="13"/>
  <c r="D19" i="16" s="1"/>
  <c r="C81" i="13"/>
  <c r="D18" i="16" s="1"/>
  <c r="D7" i="2"/>
  <c r="D52" i="2"/>
  <c r="C83" i="13"/>
  <c r="D20" i="16" s="1"/>
  <c r="D60" i="2"/>
  <c r="D58" i="2"/>
  <c r="D62" i="2"/>
  <c r="C42" i="2" a="1"/>
  <c r="C42" i="2" s="1"/>
  <c r="D61" i="2"/>
  <c r="D59" i="2"/>
  <c r="F38" i="8"/>
  <c r="F40" i="8"/>
  <c r="F39" i="8"/>
  <c r="B30" i="13"/>
  <c r="C58" i="13" s="1"/>
  <c r="E58" i="13" s="1"/>
  <c r="D18" i="2"/>
  <c r="D19" i="2" s="1"/>
  <c r="D70" i="2"/>
  <c r="D74" i="2"/>
  <c r="D15" i="8"/>
  <c r="D17" i="8" s="1"/>
  <c r="C20" i="13"/>
  <c r="C154" i="13" s="1"/>
  <c r="C34" i="13"/>
  <c r="D51" i="9" s="1"/>
  <c r="D5" i="2"/>
  <c r="D54" i="2"/>
  <c r="D68" i="2"/>
  <c r="D78" i="2"/>
  <c r="D76" i="2"/>
  <c r="D65" i="2"/>
  <c r="D73" i="2"/>
  <c r="H90" i="2"/>
  <c r="C98" i="2"/>
  <c r="F98" i="2" s="1"/>
  <c r="C84" i="13"/>
  <c r="D21" i="16" s="1"/>
  <c r="B8" i="2"/>
  <c r="D79" i="2"/>
  <c r="D28" i="13"/>
  <c r="G47" i="2" s="1"/>
  <c r="E80" i="2" s="1"/>
  <c r="D4" i="2"/>
  <c r="D24" i="13"/>
  <c r="G43" i="2" s="1"/>
  <c r="E76" i="2" s="1"/>
  <c r="D6" i="2"/>
  <c r="C32" i="2"/>
  <c r="D80" i="2"/>
  <c r="C35" i="13"/>
  <c r="D25" i="13"/>
  <c r="G44" i="2" s="1"/>
  <c r="E77" i="2" s="1"/>
  <c r="C36" i="13"/>
  <c r="D26" i="13"/>
  <c r="G45" i="2" s="1"/>
  <c r="E78" i="2" s="1"/>
  <c r="K168" i="16" l="1"/>
  <c r="AN168" i="16"/>
  <c r="AO168" i="16"/>
  <c r="AI168" i="16"/>
  <c r="AC168" i="16"/>
  <c r="Y168" i="16"/>
  <c r="U168" i="16"/>
  <c r="S168" i="16"/>
  <c r="Q168" i="16"/>
  <c r="O168" i="16"/>
  <c r="AM168" i="16"/>
  <c r="AG168" i="16"/>
  <c r="AA168" i="16"/>
  <c r="W168" i="16"/>
  <c r="AQ168" i="16"/>
  <c r="AK168" i="16"/>
  <c r="AE168" i="16"/>
  <c r="L168" i="16"/>
  <c r="AP168" i="16"/>
  <c r="AL168" i="16"/>
  <c r="AJ168" i="16"/>
  <c r="AH168" i="16"/>
  <c r="AD168" i="16"/>
  <c r="Z168" i="16"/>
  <c r="V168" i="16"/>
  <c r="T168" i="16"/>
  <c r="R168" i="16"/>
  <c r="P168" i="16"/>
  <c r="N168" i="16"/>
  <c r="J168" i="16"/>
  <c r="AF168" i="16"/>
  <c r="AB168" i="16"/>
  <c r="X168" i="16"/>
  <c r="AY60" i="16"/>
  <c r="C102" i="16"/>
  <c r="C17" i="17"/>
  <c r="F28" i="16"/>
  <c r="G28" i="16" s="1"/>
  <c r="J28" i="16"/>
  <c r="K28" i="16"/>
  <c r="L28" i="16"/>
  <c r="M28" i="16"/>
  <c r="N28" i="16"/>
  <c r="O28" i="16"/>
  <c r="CV28" i="16"/>
  <c r="DN28" i="16"/>
  <c r="DT28" i="16"/>
  <c r="FG28" i="16"/>
  <c r="GH28" i="16"/>
  <c r="ID28" i="16"/>
  <c r="JG28" i="16"/>
  <c r="JS28" i="16"/>
  <c r="JT28" i="16"/>
  <c r="KL28" i="16"/>
  <c r="MB28" i="16"/>
  <c r="MD28" i="16"/>
  <c r="ML28" i="16"/>
  <c r="NC28" i="16"/>
  <c r="ND28" i="16"/>
  <c r="NX28" i="16"/>
  <c r="OB28" i="16"/>
  <c r="OE28" i="16"/>
  <c r="OF28" i="16"/>
  <c r="OJ28" i="16"/>
  <c r="F19" i="16"/>
  <c r="G19" i="16" s="1"/>
  <c r="S19" i="16" s="1"/>
  <c r="J19" i="16"/>
  <c r="K19" i="16"/>
  <c r="L19" i="16"/>
  <c r="M19" i="16"/>
  <c r="N19" i="16"/>
  <c r="O19" i="16"/>
  <c r="F20" i="16"/>
  <c r="G20" i="16" s="1"/>
  <c r="S20" i="16" s="1"/>
  <c r="J20" i="16"/>
  <c r="K20" i="16"/>
  <c r="L20" i="16"/>
  <c r="M20" i="16"/>
  <c r="N20" i="16"/>
  <c r="O20" i="16"/>
  <c r="F12" i="19"/>
  <c r="E15" i="19"/>
  <c r="E11" i="19"/>
  <c r="F25" i="16"/>
  <c r="G25" i="16" s="1"/>
  <c r="J25" i="16"/>
  <c r="K25" i="16"/>
  <c r="L25" i="16"/>
  <c r="M25" i="16"/>
  <c r="N25" i="16"/>
  <c r="O25" i="16"/>
  <c r="F17" i="16"/>
  <c r="AW17" i="16" s="1"/>
  <c r="J17" i="16"/>
  <c r="K17" i="16"/>
  <c r="L17" i="16"/>
  <c r="M17" i="16"/>
  <c r="N17" i="16"/>
  <c r="O17" i="16"/>
  <c r="F24" i="16"/>
  <c r="BA24" i="16" s="1"/>
  <c r="J24" i="16"/>
  <c r="K24" i="16"/>
  <c r="L24" i="16"/>
  <c r="M24" i="16"/>
  <c r="N24" i="16"/>
  <c r="O24" i="16"/>
  <c r="F21" i="16"/>
  <c r="G21" i="16" s="1"/>
  <c r="S21" i="16" s="1"/>
  <c r="J21" i="16"/>
  <c r="K21" i="16"/>
  <c r="L21" i="16"/>
  <c r="M21" i="16"/>
  <c r="N21" i="16"/>
  <c r="O21" i="16"/>
  <c r="G22" i="17"/>
  <c r="H23" i="17"/>
  <c r="F54" i="16"/>
  <c r="J54" i="16"/>
  <c r="K54" i="16"/>
  <c r="L54" i="16"/>
  <c r="M54" i="16"/>
  <c r="N54" i="16"/>
  <c r="O54" i="16"/>
  <c r="F26" i="16"/>
  <c r="CH26" i="16" s="1"/>
  <c r="J26" i="16"/>
  <c r="K26" i="16"/>
  <c r="L26" i="16"/>
  <c r="M26" i="16"/>
  <c r="N26" i="16"/>
  <c r="O26" i="16"/>
  <c r="F22" i="16"/>
  <c r="FG22" i="16" s="1"/>
  <c r="J22" i="16"/>
  <c r="K22" i="16"/>
  <c r="L22" i="16"/>
  <c r="M22" i="16"/>
  <c r="N22" i="16"/>
  <c r="O22" i="16"/>
  <c r="F101" i="16"/>
  <c r="BH101" i="16" s="1"/>
  <c r="J101" i="16"/>
  <c r="K101" i="16"/>
  <c r="L101" i="16"/>
  <c r="M101" i="16"/>
  <c r="N101" i="16"/>
  <c r="O101" i="16"/>
  <c r="F18" i="16"/>
  <c r="BY18" i="16" s="1"/>
  <c r="J18" i="16"/>
  <c r="K18" i="16"/>
  <c r="L18" i="16"/>
  <c r="M18" i="16"/>
  <c r="N18" i="16"/>
  <c r="O18" i="16"/>
  <c r="F53" i="16"/>
  <c r="AY53" i="16" s="1"/>
  <c r="J53" i="16"/>
  <c r="K53" i="16"/>
  <c r="L53" i="16"/>
  <c r="M53" i="16"/>
  <c r="N53" i="16"/>
  <c r="O53" i="16"/>
  <c r="J108" i="16"/>
  <c r="F108" i="16"/>
  <c r="DS108" i="16" s="1"/>
  <c r="K108" i="16"/>
  <c r="L108" i="16"/>
  <c r="M108" i="16"/>
  <c r="N108" i="16"/>
  <c r="O108" i="16"/>
  <c r="F23" i="16"/>
  <c r="EH23" i="16" s="1"/>
  <c r="J23" i="16"/>
  <c r="K23" i="16"/>
  <c r="L23" i="16"/>
  <c r="M23" i="16"/>
  <c r="N23" i="16"/>
  <c r="O23" i="16"/>
  <c r="F27" i="16"/>
  <c r="AO27" i="16" s="1"/>
  <c r="J27" i="16"/>
  <c r="K27" i="16"/>
  <c r="L27" i="16"/>
  <c r="M27" i="16"/>
  <c r="N27" i="16"/>
  <c r="O27" i="16"/>
  <c r="C15" i="13"/>
  <c r="C16" i="13" s="1"/>
  <c r="E86" i="16"/>
  <c r="F86" i="16" s="1"/>
  <c r="G86" i="16" s="1"/>
  <c r="E75" i="16"/>
  <c r="E84" i="16"/>
  <c r="F84" i="16" s="1"/>
  <c r="G84" i="16" s="1"/>
  <c r="E78" i="16"/>
  <c r="E91" i="16"/>
  <c r="E104" i="16"/>
  <c r="E85" i="16"/>
  <c r="F85" i="16" s="1"/>
  <c r="G85" i="16" s="1"/>
  <c r="E71" i="16"/>
  <c r="E92" i="16"/>
  <c r="E83" i="16"/>
  <c r="F83" i="16" s="1"/>
  <c r="G83" i="16" s="1"/>
  <c r="E69" i="16"/>
  <c r="E77" i="16"/>
  <c r="E95" i="16"/>
  <c r="E79" i="16"/>
  <c r="E68" i="16"/>
  <c r="E109" i="16"/>
  <c r="E102" i="16"/>
  <c r="E87" i="16"/>
  <c r="F87" i="16" s="1"/>
  <c r="G87" i="16" s="1"/>
  <c r="E76" i="16"/>
  <c r="E70" i="16"/>
  <c r="E67" i="16"/>
  <c r="D84" i="16"/>
  <c r="D86" i="16"/>
  <c r="I80" i="2"/>
  <c r="I77" i="2"/>
  <c r="G13" i="10"/>
  <c r="F20" i="10"/>
  <c r="F27" i="10" s="1"/>
  <c r="I74" i="2"/>
  <c r="G7" i="10"/>
  <c r="I78" i="2"/>
  <c r="B89" i="2"/>
  <c r="G11" i="10"/>
  <c r="F18" i="10"/>
  <c r="F25" i="10" s="1"/>
  <c r="D20" i="13"/>
  <c r="C155" i="13"/>
  <c r="B88" i="2"/>
  <c r="C18" i="2"/>
  <c r="B91" i="2"/>
  <c r="F81" i="13"/>
  <c r="C90" i="13"/>
  <c r="F83" i="13"/>
  <c r="C47" i="2"/>
  <c r="E56" i="2" s="1"/>
  <c r="E32" i="2"/>
  <c r="E37" i="2" s="1"/>
  <c r="C37" i="2"/>
  <c r="C39" i="2" s="1"/>
  <c r="C100" i="2" s="1"/>
  <c r="F100" i="2" s="1"/>
  <c r="D9" i="6" s="1"/>
  <c r="D71" i="16" s="1"/>
  <c r="F39" i="2"/>
  <c r="H88" i="2" s="1"/>
  <c r="D7" i="6"/>
  <c r="D69" i="16" s="1"/>
  <c r="D47" i="2"/>
  <c r="E62" i="2" s="1"/>
  <c r="D46" i="2"/>
  <c r="E61" i="2" s="1"/>
  <c r="C15" i="2"/>
  <c r="D43" i="2"/>
  <c r="E58" i="2" s="1"/>
  <c r="D45" i="2"/>
  <c r="E60" i="2" s="1"/>
  <c r="D44" i="2"/>
  <c r="E59" i="2" s="1"/>
  <c r="C14" i="2"/>
  <c r="D50" i="9" s="1"/>
  <c r="C46" i="2"/>
  <c r="C44" i="2"/>
  <c r="C43" i="2"/>
  <c r="D53" i="9" s="1"/>
  <c r="C45" i="2"/>
  <c r="D8" i="2"/>
  <c r="B10" i="2"/>
  <c r="C88" i="13"/>
  <c r="D25" i="16" s="1"/>
  <c r="I76" i="2"/>
  <c r="E81" i="2"/>
  <c r="C89" i="13"/>
  <c r="D26" i="16" s="1"/>
  <c r="E47" i="2"/>
  <c r="E68" i="2" s="1"/>
  <c r="C91" i="13"/>
  <c r="D28" i="16" s="1"/>
  <c r="C37" i="13"/>
  <c r="C17" i="2" s="1"/>
  <c r="E43" i="2"/>
  <c r="E64" i="2" s="1"/>
  <c r="E44" i="2"/>
  <c r="E65" i="2" s="1"/>
  <c r="C16" i="2"/>
  <c r="E45" i="2"/>
  <c r="E66" i="2" s="1"/>
  <c r="E46" i="2"/>
  <c r="E67" i="2" s="1"/>
  <c r="C87" i="13"/>
  <c r="D24" i="16" s="1"/>
  <c r="H7" i="10" l="1"/>
  <c r="E4" i="21"/>
  <c r="NT28" i="16"/>
  <c r="LZ28" i="16"/>
  <c r="HO28" i="16"/>
  <c r="CI28" i="16"/>
  <c r="NK28" i="16"/>
  <c r="LW28" i="16"/>
  <c r="HN28" i="16"/>
  <c r="NJ28" i="16"/>
  <c r="KP28" i="16"/>
  <c r="HL28" i="16"/>
  <c r="OM28" i="16"/>
  <c r="NW28" i="16"/>
  <c r="MY28" i="16"/>
  <c r="LF28" i="16"/>
  <c r="JF28" i="16"/>
  <c r="GG28" i="16"/>
  <c r="BV28" i="16"/>
  <c r="OL28" i="16"/>
  <c r="NV28" i="16"/>
  <c r="MW28" i="16"/>
  <c r="LA28" i="16"/>
  <c r="IX28" i="16"/>
  <c r="FV28" i="16"/>
  <c r="OK28" i="16"/>
  <c r="NU28" i="16"/>
  <c r="MM28" i="16"/>
  <c r="KU28" i="16"/>
  <c r="IH28" i="16"/>
  <c r="FP28" i="16"/>
  <c r="KK28" i="16"/>
  <c r="IW28" i="16"/>
  <c r="HK28" i="16"/>
  <c r="FE28" i="16"/>
  <c r="BQ28" i="16"/>
  <c r="OD28" i="16"/>
  <c r="NN28" i="16"/>
  <c r="MS28" i="16"/>
  <c r="LK28" i="16"/>
  <c r="KA28" i="16"/>
  <c r="IO28" i="16"/>
  <c r="GU28" i="16"/>
  <c r="EJ28" i="16"/>
  <c r="ON28" i="16"/>
  <c r="OC28" i="16"/>
  <c r="NM28" i="16"/>
  <c r="MO28" i="16"/>
  <c r="LJ28" i="16"/>
  <c r="JZ28" i="16"/>
  <c r="IL28" i="16"/>
  <c r="GR28" i="16"/>
  <c r="EI28" i="16"/>
  <c r="NL28" i="16"/>
  <c r="NB28" i="16"/>
  <c r="MN28" i="16"/>
  <c r="MA28" i="16"/>
  <c r="LI28" i="16"/>
  <c r="KM28" i="16"/>
  <c r="JU28" i="16"/>
  <c r="JE28" i="16"/>
  <c r="II28" i="16"/>
  <c r="HM28" i="16"/>
  <c r="GO28" i="16"/>
  <c r="FH28" i="16"/>
  <c r="EH28" i="16"/>
  <c r="BZ28" i="16"/>
  <c r="OI28" i="16"/>
  <c r="OA28" i="16"/>
  <c r="NS28" i="16"/>
  <c r="NG28" i="16"/>
  <c r="MV28" i="16"/>
  <c r="MK28" i="16"/>
  <c r="LR28" i="16"/>
  <c r="KZ28" i="16"/>
  <c r="KJ28" i="16"/>
  <c r="JN28" i="16"/>
  <c r="IV28" i="16"/>
  <c r="IC28" i="16"/>
  <c r="GZ28" i="16"/>
  <c r="GF28" i="16"/>
  <c r="FD28" i="16"/>
  <c r="DK28" i="16"/>
  <c r="BG28" i="16"/>
  <c r="OH28" i="16"/>
  <c r="NZ28" i="16"/>
  <c r="NR28" i="16"/>
  <c r="NF28" i="16"/>
  <c r="MU28" i="16"/>
  <c r="MJ28" i="16"/>
  <c r="LQ28" i="16"/>
  <c r="KY28" i="16"/>
  <c r="KE28" i="16"/>
  <c r="JK28" i="16"/>
  <c r="IU28" i="16"/>
  <c r="HZ28" i="16"/>
  <c r="GY28" i="16"/>
  <c r="FX28" i="16"/>
  <c r="EX28" i="16"/>
  <c r="DJ28" i="16"/>
  <c r="OO28" i="16"/>
  <c r="AQ136" i="16" s="1"/>
  <c r="OG28" i="16"/>
  <c r="NY28" i="16"/>
  <c r="NO28" i="16"/>
  <c r="NE28" i="16"/>
  <c r="MT28" i="16"/>
  <c r="ME28" i="16"/>
  <c r="LP28" i="16"/>
  <c r="KX28" i="16"/>
  <c r="KB28" i="16"/>
  <c r="JJ28" i="16"/>
  <c r="IT28" i="16"/>
  <c r="HV28" i="16"/>
  <c r="GX28" i="16"/>
  <c r="FW28" i="16"/>
  <c r="EO28" i="16"/>
  <c r="CZ28" i="16"/>
  <c r="EB28" i="16"/>
  <c r="CX28" i="16"/>
  <c r="BI28" i="16"/>
  <c r="NQ28" i="16"/>
  <c r="NI28" i="16"/>
  <c r="NA28" i="16"/>
  <c r="MR28" i="16"/>
  <c r="MI28" i="16"/>
  <c r="LV28" i="16"/>
  <c r="LH28" i="16"/>
  <c r="KT28" i="16"/>
  <c r="KD28" i="16"/>
  <c r="JR28" i="16"/>
  <c r="JD28" i="16"/>
  <c r="IN28" i="16"/>
  <c r="HX28" i="16"/>
  <c r="HH28" i="16"/>
  <c r="GN28" i="16"/>
  <c r="FS28" i="16"/>
  <c r="EV28" i="16"/>
  <c r="DQ28" i="16"/>
  <c r="CP28" i="16"/>
  <c r="BC28" i="16"/>
  <c r="NP28" i="16"/>
  <c r="AO136" i="16" s="1"/>
  <c r="NH28" i="16"/>
  <c r="MZ28" i="16"/>
  <c r="MQ28" i="16"/>
  <c r="MF28" i="16"/>
  <c r="LS28" i="16"/>
  <c r="LG28" i="16"/>
  <c r="KQ28" i="16"/>
  <c r="KC28" i="16"/>
  <c r="JO28" i="16"/>
  <c r="IY28" i="16"/>
  <c r="IM28" i="16"/>
  <c r="HW28" i="16"/>
  <c r="HC28" i="16"/>
  <c r="GI28" i="16"/>
  <c r="FR28" i="16"/>
  <c r="ER28" i="16"/>
  <c r="DP28" i="16"/>
  <c r="CL28" i="16"/>
  <c r="MX28" i="16"/>
  <c r="MP28" i="16"/>
  <c r="MH28" i="16"/>
  <c r="LY28" i="16"/>
  <c r="LO28" i="16"/>
  <c r="LC28" i="16"/>
  <c r="KS28" i="16"/>
  <c r="KI28" i="16"/>
  <c r="JW28" i="16"/>
  <c r="JM28" i="16"/>
  <c r="JC28" i="16"/>
  <c r="IQ28" i="16"/>
  <c r="IF28" i="16"/>
  <c r="HU28" i="16"/>
  <c r="HE28" i="16"/>
  <c r="GQ28" i="16"/>
  <c r="GE28" i="16"/>
  <c r="FM28" i="16"/>
  <c r="EU28" i="16"/>
  <c r="EA28" i="16"/>
  <c r="DB28" i="16"/>
  <c r="CE28" i="16"/>
  <c r="AZ28" i="16"/>
  <c r="MG28" i="16"/>
  <c r="LX28" i="16"/>
  <c r="LN28" i="16"/>
  <c r="LB28" i="16"/>
  <c r="KR28" i="16"/>
  <c r="KH28" i="16"/>
  <c r="JV28" i="16"/>
  <c r="JL28" i="16"/>
  <c r="JB28" i="16"/>
  <c r="IP28" i="16"/>
  <c r="IE28" i="16"/>
  <c r="HT28" i="16"/>
  <c r="HD28" i="16"/>
  <c r="GP28" i="16"/>
  <c r="GB28" i="16"/>
  <c r="FJ28" i="16"/>
  <c r="ET28" i="16"/>
  <c r="DZ28" i="16"/>
  <c r="DA28" i="16"/>
  <c r="CA28" i="16"/>
  <c r="BA28" i="16"/>
  <c r="MC28" i="16"/>
  <c r="LU28" i="16"/>
  <c r="AK136" i="16" s="1"/>
  <c r="LM28" i="16"/>
  <c r="LE28" i="16"/>
  <c r="KW28" i="16"/>
  <c r="KO28" i="16"/>
  <c r="KG28" i="16"/>
  <c r="JY28" i="16"/>
  <c r="JQ28" i="16"/>
  <c r="JI28" i="16"/>
  <c r="AF136" i="16" s="1"/>
  <c r="JA28" i="16"/>
  <c r="IS28" i="16"/>
  <c r="IK28" i="16"/>
  <c r="IB28" i="16"/>
  <c r="HS28" i="16"/>
  <c r="HG28" i="16"/>
  <c r="GW28" i="16"/>
  <c r="GM28" i="16"/>
  <c r="GA28" i="16"/>
  <c r="FO28" i="16"/>
  <c r="FC28" i="16"/>
  <c r="EM28" i="16"/>
  <c r="DY28" i="16"/>
  <c r="DI28" i="16"/>
  <c r="CN28" i="16"/>
  <c r="BS28" i="16"/>
  <c r="AW28" i="16"/>
  <c r="LT28" i="16"/>
  <c r="LL28" i="16"/>
  <c r="LD28" i="16"/>
  <c r="KV28" i="16"/>
  <c r="KN28" i="16"/>
  <c r="KF28" i="16"/>
  <c r="JX28" i="16"/>
  <c r="JP28" i="16"/>
  <c r="JH28" i="16"/>
  <c r="IZ28" i="16"/>
  <c r="IR28" i="16"/>
  <c r="IJ28" i="16"/>
  <c r="IA28" i="16"/>
  <c r="HP28" i="16"/>
  <c r="HF28" i="16"/>
  <c r="GV28" i="16"/>
  <c r="GJ28" i="16"/>
  <c r="FZ28" i="16"/>
  <c r="FN28" i="16"/>
  <c r="EY28" i="16"/>
  <c r="EL28" i="16"/>
  <c r="DW28" i="16"/>
  <c r="DD28" i="16"/>
  <c r="CM28" i="16"/>
  <c r="BR28" i="16"/>
  <c r="HR28" i="16"/>
  <c r="HJ28" i="16"/>
  <c r="HB28" i="16"/>
  <c r="GT28" i="16"/>
  <c r="GL28" i="16"/>
  <c r="GD28" i="16"/>
  <c r="FU28" i="16"/>
  <c r="FL28" i="16"/>
  <c r="FB28" i="16"/>
  <c r="EQ28" i="16"/>
  <c r="EF28" i="16"/>
  <c r="DS28" i="16"/>
  <c r="DH28" i="16"/>
  <c r="CT28" i="16"/>
  <c r="Q136" i="16" s="1"/>
  <c r="CD28" i="16"/>
  <c r="BO28" i="16"/>
  <c r="AT28" i="16"/>
  <c r="IG28" i="16"/>
  <c r="HY28" i="16"/>
  <c r="HQ28" i="16"/>
  <c r="HI28" i="16"/>
  <c r="HA28" i="16"/>
  <c r="GS28" i="16"/>
  <c r="GK28" i="16"/>
  <c r="GC28" i="16"/>
  <c r="FT28" i="16"/>
  <c r="FK28" i="16"/>
  <c r="EZ28" i="16"/>
  <c r="EP28" i="16"/>
  <c r="ED28" i="16"/>
  <c r="DR28" i="16"/>
  <c r="DG28" i="16"/>
  <c r="CR28" i="16"/>
  <c r="CC28" i="16"/>
  <c r="BK28" i="16"/>
  <c r="EG28" i="16"/>
  <c r="DX28" i="16"/>
  <c r="DO28" i="16"/>
  <c r="DF28" i="16"/>
  <c r="CU28" i="16"/>
  <c r="CK28" i="16"/>
  <c r="BX28" i="16"/>
  <c r="BJ28" i="16"/>
  <c r="AU28" i="16"/>
  <c r="FF28" i="16"/>
  <c r="EW28" i="16"/>
  <c r="EN28" i="16"/>
  <c r="EE28" i="16"/>
  <c r="DV28" i="16"/>
  <c r="DL28" i="16"/>
  <c r="DC28" i="16"/>
  <c r="CS28" i="16"/>
  <c r="CG28" i="16"/>
  <c r="BU28" i="16"/>
  <c r="BH28" i="16"/>
  <c r="AR28" i="16"/>
  <c r="CY28" i="16"/>
  <c r="CQ28" i="16"/>
  <c r="CH28" i="16"/>
  <c r="BY28" i="16"/>
  <c r="BP28" i="16"/>
  <c r="BE28" i="16"/>
  <c r="N136" i="16" s="1"/>
  <c r="AS28" i="16"/>
  <c r="FY28" i="16"/>
  <c r="FQ28" i="16"/>
  <c r="FI28" i="16"/>
  <c r="FA28" i="16"/>
  <c r="ES28" i="16"/>
  <c r="EK28" i="16"/>
  <c r="EC28" i="16"/>
  <c r="DU28" i="16"/>
  <c r="DM28" i="16"/>
  <c r="DE28" i="16"/>
  <c r="CW28" i="16"/>
  <c r="CO28" i="16"/>
  <c r="CF28" i="16"/>
  <c r="BW28" i="16"/>
  <c r="BM28" i="16"/>
  <c r="BB28" i="16"/>
  <c r="AO28" i="16"/>
  <c r="AY28" i="16"/>
  <c r="AQ28" i="16"/>
  <c r="BN28" i="16"/>
  <c r="BF28" i="16"/>
  <c r="AX28" i="16"/>
  <c r="AP28" i="16"/>
  <c r="CJ28" i="16"/>
  <c r="CB28" i="16"/>
  <c r="BT28" i="16"/>
  <c r="BL28" i="16"/>
  <c r="BD28" i="16"/>
  <c r="AV28" i="16"/>
  <c r="AN28" i="16"/>
  <c r="OF21" i="16"/>
  <c r="MY21" i="16"/>
  <c r="IY21" i="16"/>
  <c r="GU21" i="16"/>
  <c r="GN21" i="16"/>
  <c r="LQ27" i="16"/>
  <c r="IX27" i="16"/>
  <c r="DG21" i="16"/>
  <c r="OO21" i="16"/>
  <c r="IZ21" i="16"/>
  <c r="OF22" i="16"/>
  <c r="KV27" i="16"/>
  <c r="FO18" i="16"/>
  <c r="GS27" i="16"/>
  <c r="JD23" i="16"/>
  <c r="MR21" i="16"/>
  <c r="CM21" i="16"/>
  <c r="KU21" i="16"/>
  <c r="KN21" i="16"/>
  <c r="LW25" i="16"/>
  <c r="OF25" i="16"/>
  <c r="CN25" i="16"/>
  <c r="OD25" i="16"/>
  <c r="MX25" i="16"/>
  <c r="LN25" i="16"/>
  <c r="IR25" i="16"/>
  <c r="CP25" i="16"/>
  <c r="LT25" i="16"/>
  <c r="NZ25" i="16"/>
  <c r="MP25" i="16"/>
  <c r="LB25" i="16"/>
  <c r="HX25" i="16"/>
  <c r="NH25" i="16"/>
  <c r="ON27" i="16"/>
  <c r="CC27" i="16"/>
  <c r="CX18" i="16"/>
  <c r="IZ101" i="16"/>
  <c r="NU25" i="16"/>
  <c r="MO25" i="16"/>
  <c r="KU25" i="16"/>
  <c r="HN25" i="16"/>
  <c r="NF20" i="16"/>
  <c r="OI25" i="16"/>
  <c r="JD25" i="16"/>
  <c r="OC27" i="16"/>
  <c r="BU23" i="16"/>
  <c r="KY22" i="16"/>
  <c r="NR25" i="16"/>
  <c r="MM25" i="16"/>
  <c r="KT25" i="16"/>
  <c r="HL25" i="16"/>
  <c r="NE25" i="16"/>
  <c r="NH27" i="16"/>
  <c r="OM25" i="16"/>
  <c r="NP25" i="16"/>
  <c r="MF25" i="16"/>
  <c r="KK25" i="16"/>
  <c r="FV25" i="16"/>
  <c r="JE25" i="16"/>
  <c r="MG27" i="16"/>
  <c r="OJ25" i="16"/>
  <c r="NN25" i="16"/>
  <c r="LX25" i="16"/>
  <c r="KJ25" i="16"/>
  <c r="FL25" i="16"/>
  <c r="MZ21" i="16"/>
  <c r="LK21" i="16"/>
  <c r="JG21" i="16"/>
  <c r="HC21" i="16"/>
  <c r="DX21" i="16"/>
  <c r="JO27" i="16"/>
  <c r="OE21" i="16"/>
  <c r="MQ21" i="16"/>
  <c r="KM21" i="16"/>
  <c r="II21" i="16"/>
  <c r="GM21" i="16"/>
  <c r="CL21" i="16"/>
  <c r="JN27" i="16"/>
  <c r="NY21" i="16"/>
  <c r="MA21" i="16"/>
  <c r="KF21" i="16"/>
  <c r="IB21" i="16"/>
  <c r="FW21" i="16"/>
  <c r="JX20" i="16"/>
  <c r="NX21" i="16"/>
  <c r="LT21" i="16"/>
  <c r="KE21" i="16"/>
  <c r="IA21" i="16"/>
  <c r="FN21" i="16"/>
  <c r="EP25" i="16"/>
  <c r="OO18" i="16"/>
  <c r="NW21" i="16"/>
  <c r="LS21" i="16"/>
  <c r="JO21" i="16"/>
  <c r="HT21" i="16"/>
  <c r="FC21" i="16"/>
  <c r="LF25" i="16"/>
  <c r="IT25" i="16"/>
  <c r="DT25" i="16"/>
  <c r="NG21" i="16"/>
  <c r="LL21" i="16"/>
  <c r="JH21" i="16"/>
  <c r="HS21" i="16"/>
  <c r="FB21" i="16"/>
  <c r="ER23" i="16"/>
  <c r="LA22" i="16"/>
  <c r="GV21" i="16"/>
  <c r="FO21" i="16"/>
  <c r="DJ21" i="16"/>
  <c r="OM20" i="16"/>
  <c r="AY23" i="16"/>
  <c r="LP108" i="16"/>
  <c r="CN22" i="16"/>
  <c r="LL26" i="16"/>
  <c r="EQ108" i="16"/>
  <c r="DN53" i="16"/>
  <c r="AY20" i="16"/>
  <c r="JG18" i="16"/>
  <c r="ON21" i="16"/>
  <c r="NP21" i="16"/>
  <c r="MJ21" i="16"/>
  <c r="LD21" i="16"/>
  <c r="JX21" i="16"/>
  <c r="IR21" i="16"/>
  <c r="HL21" i="16"/>
  <c r="GF21" i="16"/>
  <c r="EQ21" i="16"/>
  <c r="AF21" i="16"/>
  <c r="FS24" i="16"/>
  <c r="MY17" i="16"/>
  <c r="MB27" i="16"/>
  <c r="AW27" i="16"/>
  <c r="OK23" i="16"/>
  <c r="ID18" i="16"/>
  <c r="OM21" i="16"/>
  <c r="NO21" i="16"/>
  <c r="MI21" i="16"/>
  <c r="LC21" i="16"/>
  <c r="JW21" i="16"/>
  <c r="IQ21" i="16"/>
  <c r="HK21" i="16"/>
  <c r="GE21" i="16"/>
  <c r="EP21" i="16"/>
  <c r="AX25" i="16"/>
  <c r="OJ23" i="16"/>
  <c r="OG21" i="16"/>
  <c r="NH21" i="16"/>
  <c r="MB21" i="16"/>
  <c r="KV21" i="16"/>
  <c r="JP21" i="16"/>
  <c r="IJ21" i="16"/>
  <c r="HD21" i="16"/>
  <c r="FX21" i="16"/>
  <c r="DY21" i="16"/>
  <c r="FW25" i="16"/>
  <c r="NQ21" i="16"/>
  <c r="NI21" i="16"/>
  <c r="NA21" i="16"/>
  <c r="MS21" i="16"/>
  <c r="MK21" i="16"/>
  <c r="MC21" i="16"/>
  <c r="LU21" i="16"/>
  <c r="LM21" i="16"/>
  <c r="LE21" i="16"/>
  <c r="KW21" i="16"/>
  <c r="KO21" i="16"/>
  <c r="KG21" i="16"/>
  <c r="JY21" i="16"/>
  <c r="JQ21" i="16"/>
  <c r="JI21" i="16"/>
  <c r="JA21" i="16"/>
  <c r="IS21" i="16"/>
  <c r="IK21" i="16"/>
  <c r="IC21" i="16"/>
  <c r="HU21" i="16"/>
  <c r="HM21" i="16"/>
  <c r="HE21" i="16"/>
  <c r="GW21" i="16"/>
  <c r="GO21" i="16"/>
  <c r="GG21" i="16"/>
  <c r="FY21" i="16"/>
  <c r="FP21" i="16"/>
  <c r="FE21" i="16"/>
  <c r="ES21" i="16"/>
  <c r="EC21" i="16"/>
  <c r="DM21" i="16"/>
  <c r="CN21" i="16"/>
  <c r="AN21" i="16"/>
  <c r="NO20" i="16"/>
  <c r="LL20" i="16"/>
  <c r="EA20" i="16"/>
  <c r="NN20" i="16"/>
  <c r="LK20" i="16"/>
  <c r="DZ20" i="16"/>
  <c r="CE53" i="16"/>
  <c r="AC21" i="16"/>
  <c r="NX27" i="16"/>
  <c r="LL27" i="16"/>
  <c r="HK27" i="16"/>
  <c r="NL23" i="16"/>
  <c r="NS18" i="16"/>
  <c r="IY22" i="16"/>
  <c r="OL21" i="16"/>
  <c r="OD21" i="16"/>
  <c r="NV21" i="16"/>
  <c r="NN21" i="16"/>
  <c r="NF21" i="16"/>
  <c r="MX21" i="16"/>
  <c r="MP21" i="16"/>
  <c r="MH21" i="16"/>
  <c r="LZ21" i="16"/>
  <c r="LR21" i="16"/>
  <c r="LJ21" i="16"/>
  <c r="LB21" i="16"/>
  <c r="KT21" i="16"/>
  <c r="KL21" i="16"/>
  <c r="KD21" i="16"/>
  <c r="JV21" i="16"/>
  <c r="JN21" i="16"/>
  <c r="JF21" i="16"/>
  <c r="IX21" i="16"/>
  <c r="IP21" i="16"/>
  <c r="IH21" i="16"/>
  <c r="HZ21" i="16"/>
  <c r="HR21" i="16"/>
  <c r="HJ21" i="16"/>
  <c r="HB21" i="16"/>
  <c r="GT21" i="16"/>
  <c r="GL21" i="16"/>
  <c r="GD21" i="16"/>
  <c r="FV21" i="16"/>
  <c r="FL21" i="16"/>
  <c r="FA21" i="16"/>
  <c r="EM21" i="16"/>
  <c r="DW21" i="16"/>
  <c r="DE21" i="16"/>
  <c r="CD21" i="16"/>
  <c r="CA17" i="16"/>
  <c r="OL20" i="16"/>
  <c r="NE20" i="16"/>
  <c r="JW20" i="16"/>
  <c r="AR20" i="16"/>
  <c r="FV19" i="16"/>
  <c r="NM27" i="16"/>
  <c r="LA27" i="16"/>
  <c r="HJ27" i="16"/>
  <c r="MP23" i="16"/>
  <c r="MP18" i="16"/>
  <c r="EU22" i="16"/>
  <c r="OK21" i="16"/>
  <c r="OC21" i="16"/>
  <c r="NU21" i="16"/>
  <c r="NM21" i="16"/>
  <c r="NE21" i="16"/>
  <c r="MW21" i="16"/>
  <c r="MO21" i="16"/>
  <c r="MG21" i="16"/>
  <c r="LY21" i="16"/>
  <c r="LQ21" i="16"/>
  <c r="LI21" i="16"/>
  <c r="LA21" i="16"/>
  <c r="KS21" i="16"/>
  <c r="KK21" i="16"/>
  <c r="KC21" i="16"/>
  <c r="JU21" i="16"/>
  <c r="JM21" i="16"/>
  <c r="JE21" i="16"/>
  <c r="IW21" i="16"/>
  <c r="IO21" i="16"/>
  <c r="IG21" i="16"/>
  <c r="HY21" i="16"/>
  <c r="HQ21" i="16"/>
  <c r="HI21" i="16"/>
  <c r="HA21" i="16"/>
  <c r="GS21" i="16"/>
  <c r="GK21" i="16"/>
  <c r="GC21" i="16"/>
  <c r="FT21" i="16"/>
  <c r="FK21" i="16"/>
  <c r="EY21" i="16"/>
  <c r="EK21" i="16"/>
  <c r="U129" i="16" s="1"/>
  <c r="DV21" i="16"/>
  <c r="DB21" i="16"/>
  <c r="BV21" i="16"/>
  <c r="OE20" i="16"/>
  <c r="MV20" i="16"/>
  <c r="II20" i="16"/>
  <c r="OJ21" i="16"/>
  <c r="OB21" i="16"/>
  <c r="NT21" i="16"/>
  <c r="NL21" i="16"/>
  <c r="ND21" i="16"/>
  <c r="MV21" i="16"/>
  <c r="MN21" i="16"/>
  <c r="MF21" i="16"/>
  <c r="LX21" i="16"/>
  <c r="LP21" i="16"/>
  <c r="LH21" i="16"/>
  <c r="KZ21" i="16"/>
  <c r="KR21" i="16"/>
  <c r="KJ21" i="16"/>
  <c r="KB21" i="16"/>
  <c r="JT21" i="16"/>
  <c r="JL21" i="16"/>
  <c r="JD21" i="16"/>
  <c r="IV21" i="16"/>
  <c r="IN21" i="16"/>
  <c r="IF21" i="16"/>
  <c r="HX21" i="16"/>
  <c r="HP21" i="16"/>
  <c r="HH21" i="16"/>
  <c r="GZ21" i="16"/>
  <c r="GR21" i="16"/>
  <c r="GJ21" i="16"/>
  <c r="GB21" i="16"/>
  <c r="FS21" i="16"/>
  <c r="FJ21" i="16"/>
  <c r="EX21" i="16"/>
  <c r="EH21" i="16"/>
  <c r="DQ21" i="16"/>
  <c r="CZ21" i="16"/>
  <c r="BU21" i="16"/>
  <c r="CD25" i="16"/>
  <c r="OD20" i="16"/>
  <c r="MU20" i="16"/>
  <c r="IH20" i="16"/>
  <c r="MW27" i="16"/>
  <c r="KF27" i="16"/>
  <c r="GN27" i="16"/>
  <c r="BV22" i="16"/>
  <c r="OI21" i="16"/>
  <c r="OA21" i="16"/>
  <c r="NS21" i="16"/>
  <c r="NK21" i="16"/>
  <c r="NC21" i="16"/>
  <c r="MU21" i="16"/>
  <c r="MM21" i="16"/>
  <c r="ME21" i="16"/>
  <c r="LW21" i="16"/>
  <c r="LO21" i="16"/>
  <c r="LG21" i="16"/>
  <c r="KY21" i="16"/>
  <c r="KQ21" i="16"/>
  <c r="KI21" i="16"/>
  <c r="KA21" i="16"/>
  <c r="JS21" i="16"/>
  <c r="JK21" i="16"/>
  <c r="JC21" i="16"/>
  <c r="IU21" i="16"/>
  <c r="IM21" i="16"/>
  <c r="IE21" i="16"/>
  <c r="HW21" i="16"/>
  <c r="HO21" i="16"/>
  <c r="HG21" i="16"/>
  <c r="GY21" i="16"/>
  <c r="GQ21" i="16"/>
  <c r="GI21" i="16"/>
  <c r="GA21" i="16"/>
  <c r="FR21" i="16"/>
  <c r="FI21" i="16"/>
  <c r="EV21" i="16"/>
  <c r="EG21" i="16"/>
  <c r="DO21" i="16"/>
  <c r="CY21" i="16"/>
  <c r="BL21" i="16"/>
  <c r="NW20" i="16"/>
  <c r="MH20" i="16"/>
  <c r="GT20" i="16"/>
  <c r="MR27" i="16"/>
  <c r="KE27" i="16"/>
  <c r="FW27" i="16"/>
  <c r="BS26" i="16"/>
  <c r="OH21" i="16"/>
  <c r="NZ21" i="16"/>
  <c r="NR21" i="16"/>
  <c r="NJ21" i="16"/>
  <c r="NB21" i="16"/>
  <c r="MT21" i="16"/>
  <c r="ML21" i="16"/>
  <c r="MD21" i="16"/>
  <c r="LV21" i="16"/>
  <c r="LN21" i="16"/>
  <c r="LF21" i="16"/>
  <c r="KX21" i="16"/>
  <c r="KP21" i="16"/>
  <c r="KH21" i="16"/>
  <c r="JZ21" i="16"/>
  <c r="JR21" i="16"/>
  <c r="JJ21" i="16"/>
  <c r="JB21" i="16"/>
  <c r="IT21" i="16"/>
  <c r="IL21" i="16"/>
  <c r="ID21" i="16"/>
  <c r="HV21" i="16"/>
  <c r="HN21" i="16"/>
  <c r="HF21" i="16"/>
  <c r="GX21" i="16"/>
  <c r="GP21" i="16"/>
  <c r="GH21" i="16"/>
  <c r="FZ21" i="16"/>
  <c r="FQ21" i="16"/>
  <c r="FG21" i="16"/>
  <c r="ET21" i="16"/>
  <c r="EF21" i="16"/>
  <c r="DN21" i="16"/>
  <c r="CV21" i="16"/>
  <c r="BC21" i="16"/>
  <c r="FM25" i="16"/>
  <c r="AO25" i="16"/>
  <c r="NV20" i="16"/>
  <c r="MF20" i="16"/>
  <c r="GL20" i="16"/>
  <c r="JE23" i="16"/>
  <c r="MA108" i="16"/>
  <c r="FI108" i="16"/>
  <c r="ET53" i="16"/>
  <c r="KG18" i="16"/>
  <c r="LJ22" i="16"/>
  <c r="GX22" i="16"/>
  <c r="ML26" i="16"/>
  <c r="EO26" i="16"/>
  <c r="CQ21" i="16"/>
  <c r="BW21" i="16"/>
  <c r="AY21" i="16"/>
  <c r="NN17" i="16"/>
  <c r="GA17" i="16"/>
  <c r="ON20" i="16"/>
  <c r="OF20" i="16"/>
  <c r="NX20" i="16"/>
  <c r="NP20" i="16"/>
  <c r="NG20" i="16"/>
  <c r="MX20" i="16"/>
  <c r="MM20" i="16"/>
  <c r="AL128" i="16" s="1"/>
  <c r="LP20" i="16"/>
  <c r="KD20" i="16"/>
  <c r="IJ20" i="16"/>
  <c r="GU20" i="16"/>
  <c r="EJ20" i="16"/>
  <c r="BA20" i="16"/>
  <c r="LO108" i="16"/>
  <c r="BW108" i="16"/>
  <c r="LI26" i="16"/>
  <c r="BH26" i="16"/>
  <c r="ML17" i="16"/>
  <c r="AS17" i="16"/>
  <c r="KO108" i="16"/>
  <c r="AX108" i="16"/>
  <c r="OE53" i="16"/>
  <c r="AU53" i="16"/>
  <c r="KP22" i="16"/>
  <c r="CM22" i="16"/>
  <c r="JR26" i="16"/>
  <c r="LW17" i="16"/>
  <c r="OK20" i="16"/>
  <c r="OC20" i="16"/>
  <c r="NU20" i="16"/>
  <c r="NM20" i="16"/>
  <c r="ND20" i="16"/>
  <c r="MS20" i="16"/>
  <c r="ME20" i="16"/>
  <c r="LB20" i="16"/>
  <c r="JH20" i="16"/>
  <c r="HS20" i="16"/>
  <c r="FW20" i="16"/>
  <c r="DA20" i="16"/>
  <c r="AX19" i="16"/>
  <c r="OO108" i="16"/>
  <c r="KF108" i="16"/>
  <c r="OD53" i="16"/>
  <c r="JP26" i="16"/>
  <c r="EO21" i="16"/>
  <c r="EE21" i="16"/>
  <c r="DU21" i="16"/>
  <c r="DI21" i="16"/>
  <c r="CX21" i="16"/>
  <c r="CJ21" i="16"/>
  <c r="BK21" i="16"/>
  <c r="W21" i="16"/>
  <c r="IA24" i="16"/>
  <c r="JI17" i="16"/>
  <c r="OJ20" i="16"/>
  <c r="OB20" i="16"/>
  <c r="NT20" i="16"/>
  <c r="NL20" i="16"/>
  <c r="NC20" i="16"/>
  <c r="MR20" i="16"/>
  <c r="MB20" i="16"/>
  <c r="KV20" i="16"/>
  <c r="JG20" i="16"/>
  <c r="HR20" i="16"/>
  <c r="FN20" i="16"/>
  <c r="CZ20" i="16"/>
  <c r="IW27" i="16"/>
  <c r="EY27" i="16"/>
  <c r="LQ23" i="16"/>
  <c r="OI108" i="16"/>
  <c r="IP108" i="16"/>
  <c r="NL53" i="16"/>
  <c r="NC18" i="16"/>
  <c r="ER101" i="16"/>
  <c r="OH22" i="16"/>
  <c r="HR22" i="16"/>
  <c r="AZ22" i="16"/>
  <c r="NW26" i="16"/>
  <c r="HJ26" i="16"/>
  <c r="FF21" i="16"/>
  <c r="EW21" i="16"/>
  <c r="EN21" i="16"/>
  <c r="ED21" i="16"/>
  <c r="DR21" i="16"/>
  <c r="DH21" i="16"/>
  <c r="CW21" i="16"/>
  <c r="CE21" i="16"/>
  <c r="BF21" i="16"/>
  <c r="HI24" i="16"/>
  <c r="IR17" i="16"/>
  <c r="DV25" i="16"/>
  <c r="OI20" i="16"/>
  <c r="OA20" i="16"/>
  <c r="NS20" i="16"/>
  <c r="NK20" i="16"/>
  <c r="NA20" i="16"/>
  <c r="MQ20" i="16"/>
  <c r="MA20" i="16"/>
  <c r="KU20" i="16"/>
  <c r="JF20" i="16"/>
  <c r="HL20" i="16"/>
  <c r="FM20" i="16"/>
  <c r="CX20" i="16"/>
  <c r="IG27" i="16"/>
  <c r="EG27" i="16"/>
  <c r="KN23" i="16"/>
  <c r="NL108" i="16"/>
  <c r="HU108" i="16"/>
  <c r="MM53" i="16"/>
  <c r="HI22" i="16"/>
  <c r="NU26" i="16"/>
  <c r="HI26" i="16"/>
  <c r="HU17" i="16"/>
  <c r="OH20" i="16"/>
  <c r="NZ20" i="16"/>
  <c r="NR20" i="16"/>
  <c r="NI20" i="16"/>
  <c r="MZ20" i="16"/>
  <c r="MP20" i="16"/>
  <c r="LS20" i="16"/>
  <c r="KT20" i="16"/>
  <c r="IZ20" i="16"/>
  <c r="HK20" i="16"/>
  <c r="FL20" i="16"/>
  <c r="CH20" i="16"/>
  <c r="IA27" i="16"/>
  <c r="DK27" i="16"/>
  <c r="KG23" i="16"/>
  <c r="NI108" i="16"/>
  <c r="HE108" i="16"/>
  <c r="ID53" i="16"/>
  <c r="LX18" i="16"/>
  <c r="MQ22" i="16"/>
  <c r="HG22" i="16"/>
  <c r="MQ26" i="16"/>
  <c r="ET26" i="16"/>
  <c r="FU21" i="16"/>
  <c r="FM21" i="16"/>
  <c r="FD21" i="16"/>
  <c r="EU21" i="16"/>
  <c r="EL21" i="16"/>
  <c r="DZ21" i="16"/>
  <c r="DP21" i="16"/>
  <c r="DF21" i="16"/>
  <c r="CR21" i="16"/>
  <c r="CA21" i="16"/>
  <c r="BB21" i="16"/>
  <c r="BP24" i="16"/>
  <c r="OA17" i="16"/>
  <c r="HA17" i="16"/>
  <c r="MV25" i="16"/>
  <c r="LO25" i="16"/>
  <c r="JN25" i="16"/>
  <c r="GF25" i="16"/>
  <c r="CZ25" i="16"/>
  <c r="OO20" i="16"/>
  <c r="OG20" i="16"/>
  <c r="NY20" i="16"/>
  <c r="NQ20" i="16"/>
  <c r="NH20" i="16"/>
  <c r="MY20" i="16"/>
  <c r="MN20" i="16"/>
  <c r="LR20" i="16"/>
  <c r="KE20" i="16"/>
  <c r="IP20" i="16"/>
  <c r="GV20" i="16"/>
  <c r="EN20" i="16"/>
  <c r="BN20" i="16"/>
  <c r="OD27" i="16"/>
  <c r="NN27" i="16"/>
  <c r="MX27" i="16"/>
  <c r="MH27" i="16"/>
  <c r="LR27" i="16"/>
  <c r="LB27" i="16"/>
  <c r="KK27" i="16"/>
  <c r="JP27" i="16"/>
  <c r="IY27" i="16"/>
  <c r="IH27" i="16"/>
  <c r="HQ27" i="16"/>
  <c r="GT27" i="16"/>
  <c r="FX27" i="16"/>
  <c r="FF27" i="16"/>
  <c r="EH27" i="16"/>
  <c r="DL27" i="16"/>
  <c r="CK27" i="16"/>
  <c r="AY27" i="16"/>
  <c r="LR108" i="16"/>
  <c r="HV108" i="16"/>
  <c r="AY108" i="16"/>
  <c r="FM53" i="16"/>
  <c r="NM18" i="16"/>
  <c r="JK18" i="16"/>
  <c r="CJ18" i="16"/>
  <c r="MS101" i="16"/>
  <c r="MP22" i="16"/>
  <c r="IX22" i="16"/>
  <c r="EQ22" i="16"/>
  <c r="NX26" i="16"/>
  <c r="MU26" i="16"/>
  <c r="LN26" i="16"/>
  <c r="JZ26" i="16"/>
  <c r="HM26" i="16"/>
  <c r="FC26" i="16"/>
  <c r="BT26" i="16"/>
  <c r="AM21" i="16"/>
  <c r="FW19" i="16"/>
  <c r="FV27" i="16"/>
  <c r="EX27" i="16"/>
  <c r="EB27" i="16"/>
  <c r="DI27" i="16"/>
  <c r="BV27" i="16"/>
  <c r="AP27" i="16"/>
  <c r="OM27" i="16"/>
  <c r="NW27" i="16"/>
  <c r="NG27" i="16"/>
  <c r="MQ27" i="16"/>
  <c r="MA27" i="16"/>
  <c r="LK27" i="16"/>
  <c r="KU27" i="16"/>
  <c r="KD27" i="16"/>
  <c r="JM27" i="16"/>
  <c r="IQ27" i="16"/>
  <c r="HZ27" i="16"/>
  <c r="HI27" i="16"/>
  <c r="GM27" i="16"/>
  <c r="FO27" i="16"/>
  <c r="EW27" i="16"/>
  <c r="EA27" i="16"/>
  <c r="DA27" i="16"/>
  <c r="BU27" i="16"/>
  <c r="MG18" i="16"/>
  <c r="HN18" i="16"/>
  <c r="AZ101" i="16"/>
  <c r="NM26" i="16"/>
  <c r="MJ26" i="16"/>
  <c r="LD26" i="16"/>
  <c r="JE26" i="16"/>
  <c r="GT26" i="16"/>
  <c r="EC26" i="16"/>
  <c r="AS26" i="16"/>
  <c r="AA21" i="16"/>
  <c r="AI19" i="16"/>
  <c r="OL27" i="16"/>
  <c r="NV27" i="16"/>
  <c r="NF27" i="16"/>
  <c r="MP27" i="16"/>
  <c r="LZ27" i="16"/>
  <c r="LJ27" i="16"/>
  <c r="KT27" i="16"/>
  <c r="KC27" i="16"/>
  <c r="JG27" i="16"/>
  <c r="IP27" i="16"/>
  <c r="HY27" i="16"/>
  <c r="HD27" i="16"/>
  <c r="GL27" i="16"/>
  <c r="FN27" i="16"/>
  <c r="ER27" i="16"/>
  <c r="DZ27" i="16"/>
  <c r="CV27" i="16"/>
  <c r="BP27" i="16"/>
  <c r="ON26" i="16"/>
  <c r="NK26" i="16"/>
  <c r="MD26" i="16"/>
  <c r="KX26" i="16"/>
  <c r="IR26" i="16"/>
  <c r="GH26" i="16"/>
  <c r="DN26" i="16"/>
  <c r="AU24" i="16"/>
  <c r="OO17" i="16"/>
  <c r="LJ17" i="16"/>
  <c r="FC17" i="16"/>
  <c r="KN20" i="16"/>
  <c r="JV20" i="16"/>
  <c r="IY20" i="16"/>
  <c r="IB20" i="16"/>
  <c r="HJ20" i="16"/>
  <c r="GK20" i="16"/>
  <c r="EZ20" i="16"/>
  <c r="DY20" i="16"/>
  <c r="CG20" i="16"/>
  <c r="V20" i="16"/>
  <c r="OA19" i="16"/>
  <c r="OK27" i="16"/>
  <c r="NU27" i="16"/>
  <c r="NE27" i="16"/>
  <c r="MO27" i="16"/>
  <c r="LY27" i="16"/>
  <c r="LI27" i="16"/>
  <c r="KS27" i="16"/>
  <c r="JW27" i="16"/>
  <c r="JF27" i="16"/>
  <c r="IO27" i="16"/>
  <c r="HT27" i="16"/>
  <c r="HC27" i="16"/>
  <c r="GE27" i="16"/>
  <c r="FM27" i="16"/>
  <c r="EQ27" i="16"/>
  <c r="DS27" i="16"/>
  <c r="CU27" i="16"/>
  <c r="BO27" i="16"/>
  <c r="NK23" i="16"/>
  <c r="HJ23" i="16"/>
  <c r="NB108" i="16"/>
  <c r="KE108" i="16"/>
  <c r="EP108" i="16"/>
  <c r="LS53" i="16"/>
  <c r="OA18" i="16"/>
  <c r="LW18" i="16"/>
  <c r="FE18" i="16"/>
  <c r="NB22" i="16"/>
  <c r="JJ22" i="16"/>
  <c r="FP22" i="16"/>
  <c r="OM26" i="16"/>
  <c r="NC26" i="16"/>
  <c r="MA26" i="16"/>
  <c r="KQ26" i="16"/>
  <c r="IP26" i="16"/>
  <c r="GF26" i="16"/>
  <c r="DJ26" i="16"/>
  <c r="FH21" i="16"/>
  <c r="EZ21" i="16"/>
  <c r="ER21" i="16"/>
  <c r="EJ21" i="16"/>
  <c r="EB21" i="16"/>
  <c r="DT21" i="16"/>
  <c r="DL21" i="16"/>
  <c r="DD21" i="16"/>
  <c r="CU21" i="16"/>
  <c r="CI21" i="16"/>
  <c r="BR21" i="16"/>
  <c r="AU21" i="16"/>
  <c r="T21" i="16"/>
  <c r="NT24" i="16"/>
  <c r="ON17" i="16"/>
  <c r="KV17" i="16"/>
  <c r="EA17" i="16"/>
  <c r="HC25" i="16"/>
  <c r="EG25" i="16"/>
  <c r="BH25" i="16"/>
  <c r="MK20" i="16"/>
  <c r="LZ20" i="16"/>
  <c r="LJ20" i="16"/>
  <c r="KM20" i="16"/>
  <c r="JP20" i="16"/>
  <c r="IX20" i="16"/>
  <c r="IA20" i="16"/>
  <c r="HD20" i="16"/>
  <c r="GJ20" i="16"/>
  <c r="EY20" i="16"/>
  <c r="DP20" i="16"/>
  <c r="CF20" i="16"/>
  <c r="NW19" i="16"/>
  <c r="OF27" i="16"/>
  <c r="NP27" i="16"/>
  <c r="MZ27" i="16"/>
  <c r="MJ27" i="16"/>
  <c r="LT27" i="16"/>
  <c r="LD27" i="16"/>
  <c r="KM27" i="16"/>
  <c r="JV27" i="16"/>
  <c r="JE27" i="16"/>
  <c r="IJ27" i="16"/>
  <c r="HS27" i="16"/>
  <c r="HB27" i="16"/>
  <c r="GD27" i="16"/>
  <c r="FH27" i="16"/>
  <c r="EP27" i="16"/>
  <c r="DR27" i="16"/>
  <c r="CS27" i="16"/>
  <c r="BM27" i="16"/>
  <c r="MQ23" i="16"/>
  <c r="HC23" i="16"/>
  <c r="NA108" i="16"/>
  <c r="KD108" i="16"/>
  <c r="KU53" i="16"/>
  <c r="NZ18" i="16"/>
  <c r="LQ18" i="16"/>
  <c r="EC18" i="16"/>
  <c r="MZ22" i="16"/>
  <c r="JH22" i="16"/>
  <c r="OI26" i="16"/>
  <c r="NB26" i="16"/>
  <c r="LY26" i="16"/>
  <c r="KP26" i="16"/>
  <c r="IN26" i="16"/>
  <c r="FV26" i="16"/>
  <c r="CZ26" i="16"/>
  <c r="EI21" i="16"/>
  <c r="EA21" i="16"/>
  <c r="DS21" i="16"/>
  <c r="DK21" i="16"/>
  <c r="DC21" i="16"/>
  <c r="CT21" i="16"/>
  <c r="CF21" i="16"/>
  <c r="BM21" i="16"/>
  <c r="AO21" i="16"/>
  <c r="NQ24" i="16"/>
  <c r="OC17" i="16"/>
  <c r="KC17" i="16"/>
  <c r="DC17" i="16"/>
  <c r="HB25" i="16"/>
  <c r="EF25" i="16"/>
  <c r="AY25" i="16"/>
  <c r="MJ20" i="16"/>
  <c r="LX20" i="16"/>
  <c r="LD20" i="16"/>
  <c r="KL20" i="16"/>
  <c r="JO20" i="16"/>
  <c r="IR20" i="16"/>
  <c r="HZ20" i="16"/>
  <c r="HC20" i="16"/>
  <c r="GB20" i="16"/>
  <c r="EX20" i="16"/>
  <c r="DL20" i="16"/>
  <c r="BU20" i="16"/>
  <c r="KT19" i="16"/>
  <c r="OE27" i="16"/>
  <c r="NO27" i="16"/>
  <c r="MY27" i="16"/>
  <c r="MI27" i="16"/>
  <c r="LS27" i="16"/>
  <c r="LC27" i="16"/>
  <c r="KL27" i="16"/>
  <c r="JU27" i="16"/>
  <c r="IZ27" i="16"/>
  <c r="II27" i="16"/>
  <c r="HR27" i="16"/>
  <c r="GU27" i="16"/>
  <c r="GC27" i="16"/>
  <c r="FG27" i="16"/>
  <c r="EI27" i="16"/>
  <c r="DQ27" i="16"/>
  <c r="CL27" i="16"/>
  <c r="AZ27" i="16"/>
  <c r="OC26" i="16"/>
  <c r="MZ26" i="16"/>
  <c r="LQ26" i="16"/>
  <c r="KK26" i="16"/>
  <c r="HY26" i="16"/>
  <c r="FH26" i="16"/>
  <c r="CK26" i="16"/>
  <c r="MC24" i="16"/>
  <c r="MI20" i="16"/>
  <c r="LT20" i="16"/>
  <c r="LC20" i="16"/>
  <c r="KF20" i="16"/>
  <c r="JN20" i="16"/>
  <c r="IQ20" i="16"/>
  <c r="HT20" i="16"/>
  <c r="HB20" i="16"/>
  <c r="FX20" i="16"/>
  <c r="EO20" i="16"/>
  <c r="DK20" i="16"/>
  <c r="BT20" i="16"/>
  <c r="JN19" i="16"/>
  <c r="NB101" i="16"/>
  <c r="JT101" i="16"/>
  <c r="FK101" i="16"/>
  <c r="BA101" i="16"/>
  <c r="MB101" i="16"/>
  <c r="IA101" i="16"/>
  <c r="EP101" i="16"/>
  <c r="AX101" i="16"/>
  <c r="LV101" i="16"/>
  <c r="HZ101" i="16"/>
  <c r="EI101" i="16"/>
  <c r="BB22" i="16"/>
  <c r="BU22" i="16"/>
  <c r="ED22" i="16"/>
  <c r="GA22" i="16"/>
  <c r="DA22" i="16"/>
  <c r="FF22" i="16"/>
  <c r="GV22" i="16"/>
  <c r="IM22" i="16"/>
  <c r="KD22" i="16"/>
  <c r="LT22" i="16"/>
  <c r="ND18" i="16"/>
  <c r="LR18" i="16"/>
  <c r="IA18" i="16"/>
  <c r="CL18" i="16"/>
  <c r="KX101" i="16"/>
  <c r="HX101" i="16"/>
  <c r="DO101" i="16"/>
  <c r="NW22" i="16"/>
  <c r="MG22" i="16"/>
  <c r="KN22" i="16"/>
  <c r="IO22" i="16"/>
  <c r="GM22" i="16"/>
  <c r="EE22" i="16"/>
  <c r="AQ22" i="16"/>
  <c r="KV101" i="16"/>
  <c r="GZ101" i="16"/>
  <c r="DM101" i="16"/>
  <c r="NV22" i="16"/>
  <c r="ME22" i="16"/>
  <c r="KE22" i="16"/>
  <c r="ID22" i="16"/>
  <c r="GL22" i="16"/>
  <c r="DR22" i="16"/>
  <c r="LI23" i="16"/>
  <c r="JU53" i="16"/>
  <c r="OL18" i="16"/>
  <c r="NB18" i="16"/>
  <c r="KU18" i="16"/>
  <c r="GQ18" i="16"/>
  <c r="BG18" i="16"/>
  <c r="NY101" i="16"/>
  <c r="KF101" i="16"/>
  <c r="GY101" i="16"/>
  <c r="CB101" i="16"/>
  <c r="NM22" i="16"/>
  <c r="LV22" i="16"/>
  <c r="JU22" i="16"/>
  <c r="IB22" i="16"/>
  <c r="GC22" i="16"/>
  <c r="DQ22" i="16"/>
  <c r="JD53" i="16"/>
  <c r="OB18" i="16"/>
  <c r="MQ18" i="16"/>
  <c r="KI18" i="16"/>
  <c r="FQ18" i="16"/>
  <c r="NC101" i="16"/>
  <c r="JY101" i="16"/>
  <c r="GN101" i="16"/>
  <c r="CA101" i="16"/>
  <c r="NK22" i="16"/>
  <c r="LK22" i="16"/>
  <c r="JS22" i="16"/>
  <c r="HS22" i="16"/>
  <c r="FR22" i="16"/>
  <c r="DD22" i="16"/>
  <c r="OE17" i="16"/>
  <c r="NQ17" i="16"/>
  <c r="NC17" i="16"/>
  <c r="MO17" i="16"/>
  <c r="MB17" i="16"/>
  <c r="LM17" i="16"/>
  <c r="KX17" i="16"/>
  <c r="KH17" i="16"/>
  <c r="JP17" i="16"/>
  <c r="IW17" i="16"/>
  <c r="IB17" i="16"/>
  <c r="HE17" i="16"/>
  <c r="GI17" i="16"/>
  <c r="FI17" i="16"/>
  <c r="EJ17" i="16"/>
  <c r="DK17" i="16"/>
  <c r="CH17" i="16"/>
  <c r="BG17" i="16"/>
  <c r="KU19" i="16"/>
  <c r="GA19" i="16"/>
  <c r="CI19" i="16"/>
  <c r="NO17" i="16"/>
  <c r="MZ17" i="16"/>
  <c r="MM17" i="16"/>
  <c r="LY17" i="16"/>
  <c r="LK17" i="16"/>
  <c r="KW17" i="16"/>
  <c r="KG17" i="16"/>
  <c r="JO17" i="16"/>
  <c r="IS17" i="16"/>
  <c r="HY17" i="16"/>
  <c r="HD17" i="16"/>
  <c r="GG17" i="16"/>
  <c r="FG17" i="16"/>
  <c r="EE17" i="16"/>
  <c r="DG17" i="16"/>
  <c r="CE17" i="16"/>
  <c r="AY17" i="16"/>
  <c r="U20" i="16"/>
  <c r="OK26" i="16"/>
  <c r="NP26" i="16"/>
  <c r="MW26" i="16"/>
  <c r="MB26" i="16"/>
  <c r="LK26" i="16"/>
  <c r="KN26" i="16"/>
  <c r="JO26" i="16"/>
  <c r="IL26" i="16"/>
  <c r="GZ26" i="16"/>
  <c r="FS26" i="16"/>
  <c r="EN26" i="16"/>
  <c r="CX26" i="16"/>
  <c r="BF26" i="16"/>
  <c r="DA21" i="16"/>
  <c r="CS21" i="16"/>
  <c r="CK21" i="16"/>
  <c r="CC21" i="16"/>
  <c r="BT21" i="16"/>
  <c r="BJ21" i="16"/>
  <c r="AW21" i="16"/>
  <c r="AL21" i="16"/>
  <c r="V21" i="16"/>
  <c r="LK24" i="16"/>
  <c r="EZ24" i="16"/>
  <c r="OL17" i="16"/>
  <c r="NY17" i="16"/>
  <c r="NJ17" i="16"/>
  <c r="MX17" i="16"/>
  <c r="MI17" i="16"/>
  <c r="LU17" i="16"/>
  <c r="LG17" i="16"/>
  <c r="KT17" i="16"/>
  <c r="JZ17" i="16"/>
  <c r="JH17" i="16"/>
  <c r="IQ17" i="16"/>
  <c r="HS17" i="16"/>
  <c r="GV17" i="16"/>
  <c r="FX17" i="16"/>
  <c r="EZ17" i="16"/>
  <c r="DY17" i="16"/>
  <c r="CY17" i="16"/>
  <c r="BW17" i="16"/>
  <c r="AQ17" i="16"/>
  <c r="MW20" i="16"/>
  <c r="MO20" i="16"/>
  <c r="MG20" i="16"/>
  <c r="LY20" i="16"/>
  <c r="LQ20" i="16"/>
  <c r="LI20" i="16"/>
  <c r="LA20" i="16"/>
  <c r="KS20" i="16"/>
  <c r="KK20" i="16"/>
  <c r="KC20" i="16"/>
  <c r="JU20" i="16"/>
  <c r="JM20" i="16"/>
  <c r="JE20" i="16"/>
  <c r="IW20" i="16"/>
  <c r="IO20" i="16"/>
  <c r="IG20" i="16"/>
  <c r="HY20" i="16"/>
  <c r="HQ20" i="16"/>
  <c r="HI20" i="16"/>
  <c r="HA20" i="16"/>
  <c r="GS20" i="16"/>
  <c r="GI20" i="16"/>
  <c r="FV20" i="16"/>
  <c r="FH20" i="16"/>
  <c r="EW20" i="16"/>
  <c r="EI20" i="16"/>
  <c r="DX20" i="16"/>
  <c r="DJ20" i="16"/>
  <c r="CS20" i="16"/>
  <c r="CE20" i="16"/>
  <c r="BM20" i="16"/>
  <c r="AP20" i="16"/>
  <c r="NV19" i="16"/>
  <c r="JC19" i="16"/>
  <c r="EP19" i="16"/>
  <c r="AH19" i="16"/>
  <c r="KM26" i="16"/>
  <c r="JM26" i="16"/>
  <c r="IC26" i="16"/>
  <c r="GW26" i="16"/>
  <c r="FQ26" i="16"/>
  <c r="EE26" i="16"/>
  <c r="CV26" i="16"/>
  <c r="BD26" i="16"/>
  <c r="CB21" i="16"/>
  <c r="BS21" i="16"/>
  <c r="BG21" i="16"/>
  <c r="AV21" i="16"/>
  <c r="AJ21" i="16"/>
  <c r="U21" i="16"/>
  <c r="LI24" i="16"/>
  <c r="EW24" i="16"/>
  <c r="OK17" i="16"/>
  <c r="NX17" i="16"/>
  <c r="NI17" i="16"/>
  <c r="MW17" i="16"/>
  <c r="MH17" i="16"/>
  <c r="LT17" i="16"/>
  <c r="LF17" i="16"/>
  <c r="KO17" i="16"/>
  <c r="JY17" i="16"/>
  <c r="JE17" i="16"/>
  <c r="IK17" i="16"/>
  <c r="HQ17" i="16"/>
  <c r="GU17" i="16"/>
  <c r="FW17" i="16"/>
  <c r="EU17" i="16"/>
  <c r="DW17" i="16"/>
  <c r="CU17" i="16"/>
  <c r="BR17" i="16"/>
  <c r="LH20" i="16"/>
  <c r="KZ20" i="16"/>
  <c r="KR20" i="16"/>
  <c r="KJ20" i="16"/>
  <c r="KB20" i="16"/>
  <c r="JT20" i="16"/>
  <c r="JL20" i="16"/>
  <c r="JD20" i="16"/>
  <c r="IV20" i="16"/>
  <c r="IN20" i="16"/>
  <c r="IF20" i="16"/>
  <c r="HX20" i="16"/>
  <c r="HP20" i="16"/>
  <c r="HH20" i="16"/>
  <c r="GZ20" i="16"/>
  <c r="GR20" i="16"/>
  <c r="GF20" i="16"/>
  <c r="FU20" i="16"/>
  <c r="FG20" i="16"/>
  <c r="EV20" i="16"/>
  <c r="EH20" i="16"/>
  <c r="DT20" i="16"/>
  <c r="DI20" i="16"/>
  <c r="CR20" i="16"/>
  <c r="CD20" i="16"/>
  <c r="BL20" i="16"/>
  <c r="AO20" i="16"/>
  <c r="MQ19" i="16"/>
  <c r="IY19" i="16"/>
  <c r="EE19" i="16"/>
  <c r="KQ24" i="16"/>
  <c r="EE24" i="16"/>
  <c r="OI17" i="16"/>
  <c r="NV17" i="16"/>
  <c r="NH17" i="16"/>
  <c r="MT17" i="16"/>
  <c r="ME17" i="16"/>
  <c r="LS17" i="16"/>
  <c r="LD17" i="16"/>
  <c r="KN17" i="16"/>
  <c r="JW17" i="16"/>
  <c r="JC17" i="16"/>
  <c r="IJ17" i="16"/>
  <c r="HM17" i="16"/>
  <c r="GS17" i="16"/>
  <c r="FU17" i="16"/>
  <c r="ER17" i="16"/>
  <c r="DT17" i="16"/>
  <c r="CS17" i="16"/>
  <c r="BO17" i="16"/>
  <c r="LW20" i="16"/>
  <c r="LO20" i="16"/>
  <c r="LG20" i="16"/>
  <c r="KY20" i="16"/>
  <c r="KQ20" i="16"/>
  <c r="KI20" i="16"/>
  <c r="KA20" i="16"/>
  <c r="JS20" i="16"/>
  <c r="JK20" i="16"/>
  <c r="JC20" i="16"/>
  <c r="IU20" i="16"/>
  <c r="IM20" i="16"/>
  <c r="IE20" i="16"/>
  <c r="HW20" i="16"/>
  <c r="HO20" i="16"/>
  <c r="HG20" i="16"/>
  <c r="GY20" i="16"/>
  <c r="GQ20" i="16"/>
  <c r="GE20" i="16"/>
  <c r="FT20" i="16"/>
  <c r="FF20" i="16"/>
  <c r="ER20" i="16"/>
  <c r="EG20" i="16"/>
  <c r="DS20" i="16"/>
  <c r="DH20" i="16"/>
  <c r="CP20" i="16"/>
  <c r="BX20" i="16"/>
  <c r="BJ20" i="16"/>
  <c r="AN20" i="16"/>
  <c r="MP19" i="16"/>
  <c r="HS19" i="16"/>
  <c r="EA19" i="16"/>
  <c r="OA26" i="16"/>
  <c r="NJ26" i="16"/>
  <c r="MO26" i="16"/>
  <c r="LW26" i="16"/>
  <c r="LC26" i="16"/>
  <c r="KE26" i="16"/>
  <c r="JB26" i="16"/>
  <c r="HX26" i="16"/>
  <c r="GK26" i="16"/>
  <c r="FF26" i="16"/>
  <c r="EB26" i="16"/>
  <c r="CI26" i="16"/>
  <c r="AO26" i="16"/>
  <c r="CP21" i="16"/>
  <c r="CH21" i="16"/>
  <c r="BZ21" i="16"/>
  <c r="BO21" i="16"/>
  <c r="BE21" i="16"/>
  <c r="AT21" i="16"/>
  <c r="AE21" i="16"/>
  <c r="Q21" i="16"/>
  <c r="OJ24" i="16"/>
  <c r="IW24" i="16"/>
  <c r="CK24" i="16"/>
  <c r="OH17" i="16"/>
  <c r="NS17" i="16"/>
  <c r="NG17" i="16"/>
  <c r="MR17" i="16"/>
  <c r="MD17" i="16"/>
  <c r="LQ17" i="16"/>
  <c r="LC17" i="16"/>
  <c r="KM17" i="16"/>
  <c r="JS17" i="16"/>
  <c r="JB17" i="16"/>
  <c r="IG17" i="16"/>
  <c r="HL17" i="16"/>
  <c r="GO17" i="16"/>
  <c r="FP17" i="16"/>
  <c r="EQ17" i="16"/>
  <c r="DN17" i="16"/>
  <c r="CP17" i="16"/>
  <c r="BM17" i="16"/>
  <c r="NJ20" i="16"/>
  <c r="NB20" i="16"/>
  <c r="MT20" i="16"/>
  <c r="ML20" i="16"/>
  <c r="MD20" i="16"/>
  <c r="LV20" i="16"/>
  <c r="LN20" i="16"/>
  <c r="LF20" i="16"/>
  <c r="KX20" i="16"/>
  <c r="KP20" i="16"/>
  <c r="KH20" i="16"/>
  <c r="JZ20" i="16"/>
  <c r="JR20" i="16"/>
  <c r="JJ20" i="16"/>
  <c r="JB20" i="16"/>
  <c r="IT20" i="16"/>
  <c r="IL20" i="16"/>
  <c r="ID20" i="16"/>
  <c r="HV20" i="16"/>
  <c r="HN20" i="16"/>
  <c r="HF20" i="16"/>
  <c r="GX20" i="16"/>
  <c r="GN20" i="16"/>
  <c r="GD20" i="16"/>
  <c r="FP20" i="16"/>
  <c r="FE20" i="16"/>
  <c r="EQ20" i="16"/>
  <c r="EF20" i="16"/>
  <c r="DR20" i="16"/>
  <c r="DD20" i="16"/>
  <c r="CO20" i="16"/>
  <c r="BW20" i="16"/>
  <c r="BD20" i="16"/>
  <c r="Z20" i="16"/>
  <c r="ME19" i="16"/>
  <c r="HR19" i="16"/>
  <c r="CU19" i="16"/>
  <c r="NZ26" i="16"/>
  <c r="NH26" i="16"/>
  <c r="MM26" i="16"/>
  <c r="LV26" i="16"/>
  <c r="LA26" i="16"/>
  <c r="KA26" i="16"/>
  <c r="IZ26" i="16"/>
  <c r="HO26" i="16"/>
  <c r="GI26" i="16"/>
  <c r="FD26" i="16"/>
  <c r="DY26" i="16"/>
  <c r="CO21" i="16"/>
  <c r="CG21" i="16"/>
  <c r="BY21" i="16"/>
  <c r="BN21" i="16"/>
  <c r="BD21" i="16"/>
  <c r="AS21" i="16"/>
  <c r="AD21" i="16"/>
  <c r="NX24" i="16"/>
  <c r="IE24" i="16"/>
  <c r="BR24" i="16"/>
  <c r="OF17" i="16"/>
  <c r="NR17" i="16"/>
  <c r="NE17" i="16"/>
  <c r="MP17" i="16"/>
  <c r="MC17" i="16"/>
  <c r="LN17" i="16"/>
  <c r="LA17" i="16"/>
  <c r="KK17" i="16"/>
  <c r="JQ17" i="16"/>
  <c r="JA17" i="16"/>
  <c r="IC17" i="16"/>
  <c r="HG17" i="16"/>
  <c r="GM17" i="16"/>
  <c r="FK17" i="16"/>
  <c r="EM17" i="16"/>
  <c r="DL17" i="16"/>
  <c r="CN17" i="16"/>
  <c r="BJ17" i="16"/>
  <c r="CE25" i="16"/>
  <c r="MC20" i="16"/>
  <c r="LU20" i="16"/>
  <c r="LM20" i="16"/>
  <c r="LE20" i="16"/>
  <c r="KW20" i="16"/>
  <c r="KO20" i="16"/>
  <c r="KG20" i="16"/>
  <c r="JY20" i="16"/>
  <c r="JQ20" i="16"/>
  <c r="JI20" i="16"/>
  <c r="JA20" i="16"/>
  <c r="IS20" i="16"/>
  <c r="IK20" i="16"/>
  <c r="IC20" i="16"/>
  <c r="HU20" i="16"/>
  <c r="HM20" i="16"/>
  <c r="HE20" i="16"/>
  <c r="GW20" i="16"/>
  <c r="GM20" i="16"/>
  <c r="GC20" i="16"/>
  <c r="FO20" i="16"/>
  <c r="FD20" i="16"/>
  <c r="EP20" i="16"/>
  <c r="EB20" i="16"/>
  <c r="DQ20" i="16"/>
  <c r="DB20" i="16"/>
  <c r="CN20" i="16"/>
  <c r="BV20" i="16"/>
  <c r="BB20" i="16"/>
  <c r="X20" i="16"/>
  <c r="KY19" i="16"/>
  <c r="HG19" i="16"/>
  <c r="CT19" i="16"/>
  <c r="BK23" i="16"/>
  <c r="AZ23" i="16"/>
  <c r="DI23" i="16"/>
  <c r="FC23" i="16"/>
  <c r="GS23" i="16"/>
  <c r="IC23" i="16"/>
  <c r="JF23" i="16"/>
  <c r="KD23" i="16"/>
  <c r="KV23" i="16"/>
  <c r="LO23" i="16"/>
  <c r="MG23" i="16"/>
  <c r="MY23" i="16"/>
  <c r="NQ23" i="16"/>
  <c r="OH23" i="16"/>
  <c r="BG23" i="16"/>
  <c r="DK23" i="16"/>
  <c r="FD23" i="16"/>
  <c r="GT23" i="16"/>
  <c r="IE23" i="16"/>
  <c r="JM23" i="16"/>
  <c r="KE23" i="16"/>
  <c r="KW23" i="16"/>
  <c r="LP23" i="16"/>
  <c r="MH23" i="16"/>
  <c r="MZ23" i="16"/>
  <c r="NS23" i="16"/>
  <c r="OI23" i="16"/>
  <c r="CE23" i="16"/>
  <c r="EG23" i="16"/>
  <c r="FW23" i="16"/>
  <c r="HK23" i="16"/>
  <c r="IV23" i="16"/>
  <c r="JU23" i="16"/>
  <c r="KM23" i="16"/>
  <c r="LE23" i="16"/>
  <c r="LX23" i="16"/>
  <c r="OC23" i="16"/>
  <c r="NI23" i="16"/>
  <c r="MJ23" i="16"/>
  <c r="LH23" i="16"/>
  <c r="KF23" i="16"/>
  <c r="IW23" i="16"/>
  <c r="GR23" i="16"/>
  <c r="EF23" i="16"/>
  <c r="AP23" i="16"/>
  <c r="AE108" i="16"/>
  <c r="BI108" i="16"/>
  <c r="CD108" i="16"/>
  <c r="DB108" i="16"/>
  <c r="DZ108" i="16"/>
  <c r="ES108" i="16"/>
  <c r="FS108" i="16"/>
  <c r="GL108" i="16"/>
  <c r="HJ108" i="16"/>
  <c r="ID108" i="16"/>
  <c r="IU108" i="16"/>
  <c r="JP108" i="16"/>
  <c r="KG108" i="16"/>
  <c r="LB108" i="16"/>
  <c r="LX108" i="16"/>
  <c r="MP108" i="16"/>
  <c r="NJ108" i="16"/>
  <c r="NY108" i="16"/>
  <c r="AH108" i="16"/>
  <c r="BJ108" i="16"/>
  <c r="CH108" i="16"/>
  <c r="DC108" i="16"/>
  <c r="EC108" i="16"/>
  <c r="ET108" i="16"/>
  <c r="FV108" i="16"/>
  <c r="GT108" i="16"/>
  <c r="HK108" i="16"/>
  <c r="IE108" i="16"/>
  <c r="IV108" i="16"/>
  <c r="JQ108" i="16"/>
  <c r="KN108" i="16"/>
  <c r="LE108" i="16"/>
  <c r="LZ108" i="16"/>
  <c r="MQ108" i="16"/>
  <c r="NK108" i="16"/>
  <c r="OC108" i="16"/>
  <c r="AK108" i="16"/>
  <c r="BK108" i="16"/>
  <c r="CM108" i="16"/>
  <c r="DD108" i="16"/>
  <c r="ED108" i="16"/>
  <c r="FB108" i="16"/>
  <c r="FW108" i="16"/>
  <c r="GU108" i="16"/>
  <c r="HL108" i="16"/>
  <c r="IF108" i="16"/>
  <c r="JC108" i="16"/>
  <c r="AL108" i="16"/>
  <c r="BN108" i="16"/>
  <c r="CN108" i="16"/>
  <c r="DL108" i="16"/>
  <c r="EE108" i="16"/>
  <c r="FC108" i="16"/>
  <c r="FX108" i="16"/>
  <c r="GV108" i="16"/>
  <c r="HS108" i="16"/>
  <c r="IJ108" i="16"/>
  <c r="JD108" i="16"/>
  <c r="JV108" i="16"/>
  <c r="KP108" i="16"/>
  <c r="LK108" i="16"/>
  <c r="MB108" i="16"/>
  <c r="MY108" i="16"/>
  <c r="NM108" i="16"/>
  <c r="OG108" i="16"/>
  <c r="S108" i="16"/>
  <c r="AU108" i="16"/>
  <c r="BV108" i="16"/>
  <c r="CO108" i="16"/>
  <c r="DM108" i="16"/>
  <c r="EH108" i="16"/>
  <c r="FF108" i="16"/>
  <c r="GF108" i="16"/>
  <c r="GY108" i="16"/>
  <c r="HT108" i="16"/>
  <c r="IK108" i="16"/>
  <c r="JF108" i="16"/>
  <c r="JZ108" i="16"/>
  <c r="KQ108" i="16"/>
  <c r="LN108" i="16"/>
  <c r="MC108" i="16"/>
  <c r="MZ108" i="16"/>
  <c r="NS108" i="16"/>
  <c r="OH108" i="16"/>
  <c r="V108" i="16"/>
  <c r="AZ108" i="16"/>
  <c r="CA108" i="16"/>
  <c r="CY108" i="16"/>
  <c r="DT108" i="16"/>
  <c r="ER108" i="16"/>
  <c r="FP108" i="16"/>
  <c r="GI108" i="16"/>
  <c r="HH108" i="16"/>
  <c r="HW108" i="16"/>
  <c r="IT108" i="16"/>
  <c r="JO108" i="16"/>
  <c r="OB23" i="16"/>
  <c r="NH23" i="16"/>
  <c r="MI23" i="16"/>
  <c r="LG23" i="16"/>
  <c r="JX23" i="16"/>
  <c r="IU23" i="16"/>
  <c r="GJ23" i="16"/>
  <c r="DX23" i="16"/>
  <c r="U108" i="16"/>
  <c r="OA23" i="16"/>
  <c r="NC23" i="16"/>
  <c r="MA23" i="16"/>
  <c r="KZ23" i="16"/>
  <c r="JW23" i="16"/>
  <c r="IN23" i="16"/>
  <c r="FX23" i="16"/>
  <c r="DB23" i="16"/>
  <c r="OF108" i="16"/>
  <c r="MU108" i="16"/>
  <c r="LF108" i="16"/>
  <c r="JT108" i="16"/>
  <c r="GZ108" i="16"/>
  <c r="DN108" i="16"/>
  <c r="T108" i="16"/>
  <c r="NZ23" i="16"/>
  <c r="NA23" i="16"/>
  <c r="LZ23" i="16"/>
  <c r="KY23" i="16"/>
  <c r="JV23" i="16"/>
  <c r="IB23" i="16"/>
  <c r="FV23" i="16"/>
  <c r="CY23" i="16"/>
  <c r="NX108" i="16"/>
  <c r="ML108" i="16"/>
  <c r="KZ108" i="16"/>
  <c r="JH108" i="16"/>
  <c r="GH108" i="16"/>
  <c r="CX108" i="16"/>
  <c r="NU23" i="16"/>
  <c r="MS23" i="16"/>
  <c r="LY23" i="16"/>
  <c r="KQ23" i="16"/>
  <c r="JO23" i="16"/>
  <c r="HU23" i="16"/>
  <c r="FN23" i="16"/>
  <c r="CF23" i="16"/>
  <c r="NU108" i="16"/>
  <c r="MK108" i="16"/>
  <c r="KY108" i="16"/>
  <c r="JG108" i="16"/>
  <c r="GG108" i="16"/>
  <c r="CP108" i="16"/>
  <c r="G27" i="16"/>
  <c r="BE27" i="16"/>
  <c r="CE27" i="16"/>
  <c r="DB27" i="16"/>
  <c r="DT27" i="16"/>
  <c r="EJ27" i="16"/>
  <c r="EZ27" i="16"/>
  <c r="FP27" i="16"/>
  <c r="GF27" i="16"/>
  <c r="GV27" i="16"/>
  <c r="HL27" i="16"/>
  <c r="IB27" i="16"/>
  <c r="IR27" i="16"/>
  <c r="JH27" i="16"/>
  <c r="JX27" i="16"/>
  <c r="KN27" i="16"/>
  <c r="BF27" i="16"/>
  <c r="CF27" i="16"/>
  <c r="DC27" i="16"/>
  <c r="DY27" i="16"/>
  <c r="EO27" i="16"/>
  <c r="FE27" i="16"/>
  <c r="FU27" i="16"/>
  <c r="GK27" i="16"/>
  <c r="HA27" i="16"/>
  <c r="NT23" i="16"/>
  <c r="MR23" i="16"/>
  <c r="LR23" i="16"/>
  <c r="KO23" i="16"/>
  <c r="JN23" i="16"/>
  <c r="HL23" i="16"/>
  <c r="EZ23" i="16"/>
  <c r="CC23" i="16"/>
  <c r="NT108" i="16"/>
  <c r="MJ108" i="16"/>
  <c r="KR108" i="16"/>
  <c r="IS108" i="16"/>
  <c r="FJ108" i="16"/>
  <c r="BX108" i="16"/>
  <c r="OI22" i="16"/>
  <c r="NX22" i="16"/>
  <c r="NN22" i="16"/>
  <c r="NC22" i="16"/>
  <c r="MR22" i="16"/>
  <c r="MH22" i="16"/>
  <c r="LW22" i="16"/>
  <c r="LL22" i="16"/>
  <c r="LB22" i="16"/>
  <c r="KQ22" i="16"/>
  <c r="KF22" i="16"/>
  <c r="JV22" i="16"/>
  <c r="JK22" i="16"/>
  <c r="IZ22" i="16"/>
  <c r="IP22" i="16"/>
  <c r="IE22" i="16"/>
  <c r="HT22" i="16"/>
  <c r="HJ22" i="16"/>
  <c r="GY22" i="16"/>
  <c r="GN22" i="16"/>
  <c r="GD22" i="16"/>
  <c r="FS22" i="16"/>
  <c r="FH22" i="16"/>
  <c r="EW22" i="16"/>
  <c r="EG22" i="16"/>
  <c r="DS22" i="16"/>
  <c r="DF22" i="16"/>
  <c r="CP22" i="16"/>
  <c r="BW22" i="16"/>
  <c r="AU22" i="16"/>
  <c r="AR22" i="16"/>
  <c r="BM22" i="16"/>
  <c r="CE22" i="16"/>
  <c r="CQ22" i="16"/>
  <c r="DB22" i="16"/>
  <c r="DL22" i="16"/>
  <c r="DW22" i="16"/>
  <c r="EH22" i="16"/>
  <c r="ER22" i="16"/>
  <c r="AT22" i="16"/>
  <c r="BN22" i="16"/>
  <c r="CF22" i="16"/>
  <c r="CS22" i="16"/>
  <c r="DC22" i="16"/>
  <c r="DN22" i="16"/>
  <c r="DY22" i="16"/>
  <c r="EI22" i="16"/>
  <c r="ET22" i="16"/>
  <c r="FE22" i="16"/>
  <c r="NT18" i="16"/>
  <c r="MS18" i="16"/>
  <c r="LS18" i="16"/>
  <c r="JL18" i="16"/>
  <c r="HB18" i="16"/>
  <c r="EM18" i="16"/>
  <c r="BJ18" i="16"/>
  <c r="OE22" i="16"/>
  <c r="NU22" i="16"/>
  <c r="NJ22" i="16"/>
  <c r="MY22" i="16"/>
  <c r="MO22" i="16"/>
  <c r="MD22" i="16"/>
  <c r="LS22" i="16"/>
  <c r="LI22" i="16"/>
  <c r="KX22" i="16"/>
  <c r="KM22" i="16"/>
  <c r="KC22" i="16"/>
  <c r="JR22" i="16"/>
  <c r="JG22" i="16"/>
  <c r="IW22" i="16"/>
  <c r="IL22" i="16"/>
  <c r="IA22" i="16"/>
  <c r="HQ22" i="16"/>
  <c r="HF22" i="16"/>
  <c r="GU22" i="16"/>
  <c r="GK22" i="16"/>
  <c r="FZ22" i="16"/>
  <c r="FO22" i="16"/>
  <c r="FC22" i="16"/>
  <c r="EP22" i="16"/>
  <c r="EB22" i="16"/>
  <c r="DO22" i="16"/>
  <c r="CY22" i="16"/>
  <c r="CK22" i="16"/>
  <c r="BO22" i="16"/>
  <c r="AP22" i="16"/>
  <c r="HA18" i="16"/>
  <c r="EE18" i="16"/>
  <c r="BI18" i="16"/>
  <c r="ON22" i="16"/>
  <c r="OD22" i="16"/>
  <c r="NS22" i="16"/>
  <c r="NH22" i="16"/>
  <c r="MX22" i="16"/>
  <c r="MM22" i="16"/>
  <c r="MB22" i="16"/>
  <c r="LR22" i="16"/>
  <c r="LG22" i="16"/>
  <c r="KV22" i="16"/>
  <c r="KL22" i="16"/>
  <c r="KA22" i="16"/>
  <c r="JP22" i="16"/>
  <c r="JF22" i="16"/>
  <c r="IU22" i="16"/>
  <c r="IJ22" i="16"/>
  <c r="HZ22" i="16"/>
  <c r="HO22" i="16"/>
  <c r="HD22" i="16"/>
  <c r="GT22" i="16"/>
  <c r="GI22" i="16"/>
  <c r="FX22" i="16"/>
  <c r="FN22" i="16"/>
  <c r="FB22" i="16"/>
  <c r="EO22" i="16"/>
  <c r="EA22" i="16"/>
  <c r="DK22" i="16"/>
  <c r="CX22" i="16"/>
  <c r="CI22" i="16"/>
  <c r="BK22" i="16"/>
  <c r="KT54" i="16"/>
  <c r="HR54" i="16"/>
  <c r="OM22" i="16"/>
  <c r="OC22" i="16"/>
  <c r="NR22" i="16"/>
  <c r="NG22" i="16"/>
  <c r="MW22" i="16"/>
  <c r="ML22" i="16"/>
  <c r="MA22" i="16"/>
  <c r="LQ22" i="16"/>
  <c r="LF22" i="16"/>
  <c r="KU22" i="16"/>
  <c r="KK22" i="16"/>
  <c r="JZ22" i="16"/>
  <c r="JO22" i="16"/>
  <c r="JE22" i="16"/>
  <c r="IT22" i="16"/>
  <c r="II22" i="16"/>
  <c r="HY22" i="16"/>
  <c r="HN22" i="16"/>
  <c r="HC22" i="16"/>
  <c r="GS22" i="16"/>
  <c r="GH22" i="16"/>
  <c r="FW22" i="16"/>
  <c r="FM22" i="16"/>
  <c r="EZ22" i="16"/>
  <c r="EM22" i="16"/>
  <c r="DZ22" i="16"/>
  <c r="DJ22" i="16"/>
  <c r="CV22" i="16"/>
  <c r="CH22" i="16"/>
  <c r="BJ22" i="16"/>
  <c r="AW26" i="16"/>
  <c r="BK26" i="16"/>
  <c r="BZ26" i="16"/>
  <c r="CO26" i="16"/>
  <c r="DD26" i="16"/>
  <c r="DR26" i="16"/>
  <c r="EF26" i="16"/>
  <c r="EU26" i="16"/>
  <c r="FJ26" i="16"/>
  <c r="FY26" i="16"/>
  <c r="GN26" i="16"/>
  <c r="HA26" i="16"/>
  <c r="HP26" i="16"/>
  <c r="IE26" i="16"/>
  <c r="IT26" i="16"/>
  <c r="JG26" i="16"/>
  <c r="JS26" i="16"/>
  <c r="KF26" i="16"/>
  <c r="KS26" i="16"/>
  <c r="LF26" i="16"/>
  <c r="LS26" i="16"/>
  <c r="ME26" i="16"/>
  <c r="MR26" i="16"/>
  <c r="NE26" i="16"/>
  <c r="NR26" i="16"/>
  <c r="OE26" i="16"/>
  <c r="AX26" i="16"/>
  <c r="BM26" i="16"/>
  <c r="CB26" i="16"/>
  <c r="CQ26" i="16"/>
  <c r="DE26" i="16"/>
  <c r="DT26" i="16"/>
  <c r="EH26" i="16"/>
  <c r="EW26" i="16"/>
  <c r="FL26" i="16"/>
  <c r="FZ26" i="16"/>
  <c r="GO26" i="16"/>
  <c r="HD26" i="16"/>
  <c r="HR26" i="16"/>
  <c r="IG26" i="16"/>
  <c r="IU26" i="16"/>
  <c r="JH26" i="16"/>
  <c r="JU26" i="16"/>
  <c r="KH26" i="16"/>
  <c r="KU26" i="16"/>
  <c r="LG26" i="16"/>
  <c r="LT26" i="16"/>
  <c r="MG26" i="16"/>
  <c r="MT26" i="16"/>
  <c r="NG26" i="16"/>
  <c r="NS26" i="16"/>
  <c r="OF26" i="16"/>
  <c r="BA26" i="16"/>
  <c r="BP26" i="16"/>
  <c r="CC26" i="16"/>
  <c r="CR26" i="16"/>
  <c r="DG26" i="16"/>
  <c r="DV26" i="16"/>
  <c r="EK26" i="16"/>
  <c r="EX26" i="16"/>
  <c r="FM26" i="16"/>
  <c r="GB26" i="16"/>
  <c r="GQ26" i="16"/>
  <c r="HF26" i="16"/>
  <c r="HT26" i="16"/>
  <c r="IH26" i="16"/>
  <c r="IW26" i="16"/>
  <c r="JJ26" i="16"/>
  <c r="JW26" i="16"/>
  <c r="KI26" i="16"/>
  <c r="KV26" i="16"/>
  <c r="AN26" i="16"/>
  <c r="BB26" i="16"/>
  <c r="BQ26" i="16"/>
  <c r="CF26" i="16"/>
  <c r="CT26" i="16"/>
  <c r="DI26" i="16"/>
  <c r="DW26" i="16"/>
  <c r="EL26" i="16"/>
  <c r="FA26" i="16"/>
  <c r="FP26" i="16"/>
  <c r="GD26" i="16"/>
  <c r="GR26" i="16"/>
  <c r="HG26" i="16"/>
  <c r="HV26" i="16"/>
  <c r="IK26" i="16"/>
  <c r="IY26" i="16"/>
  <c r="JK26" i="16"/>
  <c r="JX26" i="16"/>
  <c r="AR26" i="16"/>
  <c r="AU26" i="16"/>
  <c r="BJ26" i="16"/>
  <c r="BY26" i="16"/>
  <c r="CL26" i="16"/>
  <c r="DA26" i="16"/>
  <c r="DP26" i="16"/>
  <c r="NK53" i="16"/>
  <c r="HI53" i="16"/>
  <c r="OK18" i="16"/>
  <c r="NI18" i="16"/>
  <c r="MI18" i="16"/>
  <c r="LG18" i="16"/>
  <c r="IX18" i="16"/>
  <c r="GL18" i="16"/>
  <c r="DO18" i="16"/>
  <c r="AW18" i="16"/>
  <c r="OB101" i="16"/>
  <c r="LU101" i="16"/>
  <c r="IX101" i="16"/>
  <c r="FT101" i="16"/>
  <c r="DC101" i="16"/>
  <c r="OL22" i="16"/>
  <c r="OA22" i="16"/>
  <c r="NP22" i="16"/>
  <c r="NF22" i="16"/>
  <c r="MU22" i="16"/>
  <c r="MJ22" i="16"/>
  <c r="LZ22" i="16"/>
  <c r="LO22" i="16"/>
  <c r="LD22" i="16"/>
  <c r="KT22" i="16"/>
  <c r="KI22" i="16"/>
  <c r="JX22" i="16"/>
  <c r="JN22" i="16"/>
  <c r="JC22" i="16"/>
  <c r="IR22" i="16"/>
  <c r="IH22" i="16"/>
  <c r="HW22" i="16"/>
  <c r="HL22" i="16"/>
  <c r="HB22" i="16"/>
  <c r="GQ22" i="16"/>
  <c r="GF22" i="16"/>
  <c r="FV22" i="16"/>
  <c r="FK22" i="16"/>
  <c r="EY22" i="16"/>
  <c r="EL22" i="16"/>
  <c r="DV22" i="16"/>
  <c r="DI22" i="16"/>
  <c r="CU22" i="16"/>
  <c r="BZ22" i="16"/>
  <c r="BE22" i="16"/>
  <c r="MN53" i="16"/>
  <c r="GK53" i="16"/>
  <c r="OC18" i="16"/>
  <c r="NG18" i="16"/>
  <c r="MH18" i="16"/>
  <c r="KW18" i="16"/>
  <c r="IK18" i="16"/>
  <c r="FR18" i="16"/>
  <c r="CZ18" i="16"/>
  <c r="NZ101" i="16"/>
  <c r="LD101" i="16"/>
  <c r="IV101" i="16"/>
  <c r="FS101" i="16"/>
  <c r="CD101" i="16"/>
  <c r="OK22" i="16"/>
  <c r="NZ22" i="16"/>
  <c r="NO22" i="16"/>
  <c r="NE22" i="16"/>
  <c r="MT22" i="16"/>
  <c r="MI22" i="16"/>
  <c r="LY22" i="16"/>
  <c r="LN22" i="16"/>
  <c r="LC22" i="16"/>
  <c r="KS22" i="16"/>
  <c r="KH22" i="16"/>
  <c r="JW22" i="16"/>
  <c r="JM22" i="16"/>
  <c r="JB22" i="16"/>
  <c r="IQ22" i="16"/>
  <c r="IG22" i="16"/>
  <c r="HV22" i="16"/>
  <c r="HK22" i="16"/>
  <c r="HA22" i="16"/>
  <c r="GP22" i="16"/>
  <c r="GE22" i="16"/>
  <c r="FU22" i="16"/>
  <c r="FJ22" i="16"/>
  <c r="EX22" i="16"/>
  <c r="EJ22" i="16"/>
  <c r="DT22" i="16"/>
  <c r="DG22" i="16"/>
  <c r="CT22" i="16"/>
  <c r="BX22" i="16"/>
  <c r="BC22" i="16"/>
  <c r="OH26" i="16"/>
  <c r="NO26" i="16"/>
  <c r="MY26" i="16"/>
  <c r="MI26" i="16"/>
  <c r="LO26" i="16"/>
  <c r="KY26" i="16"/>
  <c r="KC26" i="16"/>
  <c r="JC26" i="16"/>
  <c r="IB26" i="16"/>
  <c r="GX26" i="16"/>
  <c r="FU26" i="16"/>
  <c r="ER26" i="16"/>
  <c r="DM26" i="16"/>
  <c r="BV26" i="16"/>
  <c r="NS19" i="16"/>
  <c r="MA19" i="16"/>
  <c r="KI19" i="16"/>
  <c r="IX19" i="16"/>
  <c r="HC19" i="16"/>
  <c r="FK19" i="16"/>
  <c r="DZ19" i="16"/>
  <c r="CE19" i="16"/>
  <c r="R19" i="16"/>
  <c r="AK21" i="16"/>
  <c r="AB21" i="16"/>
  <c r="NC24" i="16"/>
  <c r="KM24" i="16"/>
  <c r="HH24" i="16"/>
  <c r="EC24" i="16"/>
  <c r="AS24" i="16"/>
  <c r="AN25" i="16"/>
  <c r="BH20" i="16"/>
  <c r="AX20" i="16"/>
  <c r="AI20" i="16"/>
  <c r="Q20" i="16"/>
  <c r="OM19" i="16"/>
  <c r="NK19" i="16"/>
  <c r="LZ19" i="16"/>
  <c r="KE19" i="16"/>
  <c r="IM19" i="16"/>
  <c r="HB19" i="16"/>
  <c r="FG19" i="16"/>
  <c r="DO19" i="16"/>
  <c r="CD19" i="16"/>
  <c r="MY24" i="16"/>
  <c r="JU24" i="16"/>
  <c r="GO24" i="16"/>
  <c r="DK24" i="16"/>
  <c r="CC17" i="16"/>
  <c r="BB17" i="16"/>
  <c r="OA25" i="16"/>
  <c r="NG25" i="16"/>
  <c r="MG25" i="16"/>
  <c r="LK25" i="16"/>
  <c r="JZ25" i="16"/>
  <c r="II25" i="16"/>
  <c r="GS25" i="16"/>
  <c r="FB25" i="16"/>
  <c r="DK25" i="16"/>
  <c r="BU25" i="16"/>
  <c r="GA20" i="16"/>
  <c r="FS20" i="16"/>
  <c r="FK20" i="16"/>
  <c r="FC20" i="16"/>
  <c r="EU20" i="16"/>
  <c r="EM20" i="16"/>
  <c r="EE20" i="16"/>
  <c r="DW20" i="16"/>
  <c r="DO20" i="16"/>
  <c r="DG20" i="16"/>
  <c r="CW20" i="16"/>
  <c r="CM20" i="16"/>
  <c r="CC20" i="16"/>
  <c r="BQ20" i="16"/>
  <c r="BG20" i="16"/>
  <c r="AW20" i="16"/>
  <c r="AG20" i="16"/>
  <c r="OL19" i="16"/>
  <c r="NG19" i="16"/>
  <c r="LO19" i="16"/>
  <c r="KD19" i="16"/>
  <c r="II19" i="16"/>
  <c r="GQ19" i="16"/>
  <c r="FF19" i="16"/>
  <c r="DK19" i="16"/>
  <c r="BO19" i="16"/>
  <c r="BQ21" i="16"/>
  <c r="BI21" i="16"/>
  <c r="BA21" i="16"/>
  <c r="AR21" i="16"/>
  <c r="AI21" i="16"/>
  <c r="Y21" i="16"/>
  <c r="P21" i="16"/>
  <c r="OO24" i="16"/>
  <c r="MX24" i="16"/>
  <c r="JT24" i="16"/>
  <c r="GM24" i="16"/>
  <c r="DG24" i="16"/>
  <c r="JX25" i="16"/>
  <c r="IH25" i="16"/>
  <c r="GR25" i="16"/>
  <c r="EZ25" i="16"/>
  <c r="DJ25" i="16"/>
  <c r="BT25" i="16"/>
  <c r="GP20" i="16"/>
  <c r="GH20" i="16"/>
  <c r="FZ20" i="16"/>
  <c r="FR20" i="16"/>
  <c r="FJ20" i="16"/>
  <c r="FB20" i="16"/>
  <c r="ET20" i="16"/>
  <c r="EL20" i="16"/>
  <c r="ED20" i="16"/>
  <c r="DV20" i="16"/>
  <c r="DN20" i="16"/>
  <c r="DF20" i="16"/>
  <c r="CV20" i="16"/>
  <c r="CL20" i="16"/>
  <c r="BZ20" i="16"/>
  <c r="BP20" i="16"/>
  <c r="BF20" i="16"/>
  <c r="AV20" i="16"/>
  <c r="AF20" i="16"/>
  <c r="OK19" i="16"/>
  <c r="NF19" i="16"/>
  <c r="LK19" i="16"/>
  <c r="JS19" i="16"/>
  <c r="IH19" i="16"/>
  <c r="GM19" i="16"/>
  <c r="EU19" i="16"/>
  <c r="DJ19" i="16"/>
  <c r="BN19" i="16"/>
  <c r="BX21" i="16"/>
  <c r="BP21" i="16"/>
  <c r="BH21" i="16"/>
  <c r="AZ21" i="16"/>
  <c r="AQ21" i="16"/>
  <c r="AG21" i="16"/>
  <c r="X21" i="16"/>
  <c r="ON24" i="16"/>
  <c r="MF24" i="16"/>
  <c r="JA24" i="16"/>
  <c r="FU24" i="16"/>
  <c r="CN24" i="16"/>
  <c r="NW25" i="16"/>
  <c r="MY25" i="16"/>
  <c r="MD25" i="16"/>
  <c r="LD25" i="16"/>
  <c r="JO25" i="16"/>
  <c r="HY25" i="16"/>
  <c r="GH25" i="16"/>
  <c r="EQ25" i="16"/>
  <c r="DA25" i="16"/>
  <c r="BJ25" i="16"/>
  <c r="GO20" i="16"/>
  <c r="GG20" i="16"/>
  <c r="FY20" i="16"/>
  <c r="FQ20" i="16"/>
  <c r="FI20" i="16"/>
  <c r="FA20" i="16"/>
  <c r="ES20" i="16"/>
  <c r="EK20" i="16"/>
  <c r="EC20" i="16"/>
  <c r="DU20" i="16"/>
  <c r="DM20" i="16"/>
  <c r="DE20" i="16"/>
  <c r="CU20" i="16"/>
  <c r="CJ20" i="16"/>
  <c r="BY20" i="16"/>
  <c r="BO20" i="16"/>
  <c r="BE20" i="16"/>
  <c r="AT20" i="16"/>
  <c r="AD20" i="16"/>
  <c r="OG19" i="16"/>
  <c r="MU19" i="16"/>
  <c r="LJ19" i="16"/>
  <c r="JO19" i="16"/>
  <c r="HW19" i="16"/>
  <c r="GL19" i="16"/>
  <c r="EQ19" i="16"/>
  <c r="CY19" i="16"/>
  <c r="AY19" i="16"/>
  <c r="MG24" i="16"/>
  <c r="LM24" i="16"/>
  <c r="KS24" i="16"/>
  <c r="JX24" i="16"/>
  <c r="JC24" i="16"/>
  <c r="II24" i="16"/>
  <c r="HL24" i="16"/>
  <c r="GQ24" i="16"/>
  <c r="FW24" i="16"/>
  <c r="FC24" i="16"/>
  <c r="EH24" i="16"/>
  <c r="DL24" i="16"/>
  <c r="CS24" i="16"/>
  <c r="BU24" i="16"/>
  <c r="AV24" i="16"/>
  <c r="LK53" i="16"/>
  <c r="KT53" i="16"/>
  <c r="KT58" i="16" s="1"/>
  <c r="JT53" i="16"/>
  <c r="IY53" i="16"/>
  <c r="IA53" i="16"/>
  <c r="HC53" i="16"/>
  <c r="GJ53" i="16"/>
  <c r="FL53" i="16"/>
  <c r="EQ53" i="16"/>
  <c r="DK53" i="16"/>
  <c r="CA53" i="16"/>
  <c r="AT53" i="16"/>
  <c r="EQ54" i="16"/>
  <c r="OC53" i="16"/>
  <c r="NC53" i="16"/>
  <c r="ML53" i="16"/>
  <c r="LJ53" i="16"/>
  <c r="KQ53" i="16"/>
  <c r="JS53" i="16"/>
  <c r="IU53" i="16"/>
  <c r="HZ53" i="16"/>
  <c r="HB53" i="16"/>
  <c r="GI53" i="16"/>
  <c r="FG53" i="16"/>
  <c r="EH53" i="16"/>
  <c r="DA53" i="16"/>
  <c r="BO53" i="16"/>
  <c r="J130" i="16"/>
  <c r="DJ27" i="16"/>
  <c r="CT27" i="16"/>
  <c r="CD27" i="16"/>
  <c r="BN27" i="16"/>
  <c r="AX27" i="16"/>
  <c r="JL23" i="16"/>
  <c r="IS23" i="16"/>
  <c r="IA23" i="16"/>
  <c r="HI23" i="16"/>
  <c r="GQ23" i="16"/>
  <c r="FU23" i="16"/>
  <c r="EY23" i="16"/>
  <c r="EE23" i="16"/>
  <c r="DA23" i="16"/>
  <c r="BV23" i="16"/>
  <c r="AW23" i="16"/>
  <c r="OB53" i="16"/>
  <c r="NB53" i="16"/>
  <c r="MG53" i="16"/>
  <c r="LI53" i="16"/>
  <c r="KK53" i="16"/>
  <c r="JR53" i="16"/>
  <c r="IT53" i="16"/>
  <c r="HY53" i="16"/>
  <c r="GY53" i="16"/>
  <c r="GA53" i="16"/>
  <c r="FF53" i="16"/>
  <c r="EG53" i="16"/>
  <c r="CU53" i="16"/>
  <c r="BN53" i="16"/>
  <c r="LJ18" i="16"/>
  <c r="KH18" i="16"/>
  <c r="JC18" i="16"/>
  <c r="HZ18" i="16"/>
  <c r="GP18" i="16"/>
  <c r="FG18" i="16"/>
  <c r="EA18" i="16"/>
  <c r="CK18" i="16"/>
  <c r="AY18" i="16"/>
  <c r="J126" i="16"/>
  <c r="NS101" i="16"/>
  <c r="MR101" i="16"/>
  <c r="LS101" i="16"/>
  <c r="KU101" i="16"/>
  <c r="JS101" i="16"/>
  <c r="IU101" i="16"/>
  <c r="HV101" i="16"/>
  <c r="GL101" i="16"/>
  <c r="FI101" i="16"/>
  <c r="EH101" i="16"/>
  <c r="DB101" i="16"/>
  <c r="BX101" i="16"/>
  <c r="AV101" i="16"/>
  <c r="OG24" i="16"/>
  <c r="NP24" i="16"/>
  <c r="MV24" i="16"/>
  <c r="MA24" i="16"/>
  <c r="LE24" i="16"/>
  <c r="KL24" i="16"/>
  <c r="JO24" i="16"/>
  <c r="IS24" i="16"/>
  <c r="HZ24" i="16"/>
  <c r="HE24" i="16"/>
  <c r="GK24" i="16"/>
  <c r="FO24" i="16"/>
  <c r="EV24" i="16"/>
  <c r="DY24" i="16"/>
  <c r="DC24" i="16"/>
  <c r="CJ24" i="16"/>
  <c r="BM24" i="16"/>
  <c r="AP24" i="16"/>
  <c r="NW53" i="16"/>
  <c r="MY53" i="16"/>
  <c r="MA53" i="16"/>
  <c r="LH53" i="16"/>
  <c r="KJ53" i="16"/>
  <c r="JO53" i="16"/>
  <c r="IO53" i="16"/>
  <c r="HQ53" i="16"/>
  <c r="GX53" i="16"/>
  <c r="FZ53" i="16"/>
  <c r="FE53" i="16"/>
  <c r="EA53" i="16"/>
  <c r="CT53" i="16"/>
  <c r="BM53" i="16"/>
  <c r="NO101" i="16"/>
  <c r="MP101" i="16"/>
  <c r="LR101" i="16"/>
  <c r="KL101" i="16"/>
  <c r="JN101" i="16"/>
  <c r="IN101" i="16"/>
  <c r="HL101" i="16"/>
  <c r="GJ101" i="16"/>
  <c r="FH101" i="16"/>
  <c r="EB101" i="16"/>
  <c r="CY101" i="16"/>
  <c r="BW101" i="16"/>
  <c r="AY22" i="16"/>
  <c r="AO22" i="16"/>
  <c r="OF24" i="16"/>
  <c r="NN24" i="16"/>
  <c r="MS24" i="16"/>
  <c r="LX24" i="16"/>
  <c r="LD24" i="16"/>
  <c r="KG24" i="16"/>
  <c r="JL24" i="16"/>
  <c r="IR24" i="16"/>
  <c r="HX24" i="16"/>
  <c r="HC24" i="16"/>
  <c r="GG24" i="16"/>
  <c r="FN24" i="16"/>
  <c r="EQ24" i="16"/>
  <c r="DU24" i="16"/>
  <c r="DB24" i="16"/>
  <c r="CG24" i="16"/>
  <c r="BK24" i="16"/>
  <c r="DD27" i="16"/>
  <c r="CN27" i="16"/>
  <c r="BX27" i="16"/>
  <c r="BH27" i="16"/>
  <c r="AR27" i="16"/>
  <c r="IM23" i="16"/>
  <c r="HT23" i="16"/>
  <c r="HB23" i="16"/>
  <c r="GI23" i="16"/>
  <c r="FM23" i="16"/>
  <c r="EQ23" i="16"/>
  <c r="DW23" i="16"/>
  <c r="CR23" i="16"/>
  <c r="BS23" i="16"/>
  <c r="AO23" i="16"/>
  <c r="NS53" i="16"/>
  <c r="MX53" i="16"/>
  <c r="LZ53" i="16"/>
  <c r="LG53" i="16"/>
  <c r="KE53" i="16"/>
  <c r="JG53" i="16"/>
  <c r="IN53" i="16"/>
  <c r="HP53" i="16"/>
  <c r="GU53" i="16"/>
  <c r="FW53" i="16"/>
  <c r="EW53" i="16"/>
  <c r="DZ53" i="16"/>
  <c r="CS53" i="16"/>
  <c r="BL53" i="16"/>
  <c r="LF18" i="16"/>
  <c r="JZ18" i="16"/>
  <c r="IW18" i="16"/>
  <c r="HM18" i="16"/>
  <c r="GH18" i="16"/>
  <c r="FD18" i="16"/>
  <c r="DN18" i="16"/>
  <c r="CB18" i="16"/>
  <c r="AU18" i="16"/>
  <c r="ON101" i="16"/>
  <c r="NL101" i="16"/>
  <c r="MN101" i="16"/>
  <c r="LP101" i="16"/>
  <c r="KJ101" i="16"/>
  <c r="JK101" i="16"/>
  <c r="IM101" i="16"/>
  <c r="HK101" i="16"/>
  <c r="GI101" i="16"/>
  <c r="FF101" i="16"/>
  <c r="DT101" i="16"/>
  <c r="CR101" i="16"/>
  <c r="BP101" i="16"/>
  <c r="CD22" i="16"/>
  <c r="BS22" i="16"/>
  <c r="BH22" i="16"/>
  <c r="AX22" i="16"/>
  <c r="OD24" i="16"/>
  <c r="NL24" i="16"/>
  <c r="MP24" i="16"/>
  <c r="LW24" i="16"/>
  <c r="KZ24" i="16"/>
  <c r="KD24" i="16"/>
  <c r="JK24" i="16"/>
  <c r="IP24" i="16"/>
  <c r="HU24" i="16"/>
  <c r="GZ24" i="16"/>
  <c r="GF24" i="16"/>
  <c r="FI24" i="16"/>
  <c r="EN24" i="16"/>
  <c r="DT24" i="16"/>
  <c r="CZ24" i="16"/>
  <c r="CE24" i="16"/>
  <c r="BF24" i="16"/>
  <c r="CM27" i="16"/>
  <c r="BW27" i="16"/>
  <c r="BG27" i="16"/>
  <c r="AQ27" i="16"/>
  <c r="IK23" i="16"/>
  <c r="HS23" i="16"/>
  <c r="HA23" i="16"/>
  <c r="GF23" i="16"/>
  <c r="FL23" i="16"/>
  <c r="EP23" i="16"/>
  <c r="DS23" i="16"/>
  <c r="CQ23" i="16"/>
  <c r="BL23" i="16"/>
  <c r="NR53" i="16"/>
  <c r="MW53" i="16"/>
  <c r="LW53" i="16"/>
  <c r="KY53" i="16"/>
  <c r="KD53" i="16"/>
  <c r="JF53" i="16"/>
  <c r="IM53" i="16"/>
  <c r="HO53" i="16"/>
  <c r="GM53" i="16"/>
  <c r="FV53" i="16"/>
  <c r="EV53" i="16"/>
  <c r="DP53" i="16"/>
  <c r="CI53" i="16"/>
  <c r="BB53" i="16"/>
  <c r="KY18" i="16"/>
  <c r="JW18" i="16"/>
  <c r="IM18" i="16"/>
  <c r="HK18" i="16"/>
  <c r="GC18" i="16"/>
  <c r="EO18" i="16"/>
  <c r="DJ18" i="16"/>
  <c r="BZ18" i="16"/>
  <c r="OE101" i="16"/>
  <c r="NG101" i="16"/>
  <c r="MI101" i="16"/>
  <c r="LG101" i="16"/>
  <c r="KH101" i="16"/>
  <c r="JJ101" i="16"/>
  <c r="II101" i="16"/>
  <c r="HJ101" i="16"/>
  <c r="GF101" i="16"/>
  <c r="EU101" i="16"/>
  <c r="DS101" i="16"/>
  <c r="CQ101" i="16"/>
  <c r="BK101" i="16"/>
  <c r="CC22" i="16"/>
  <c r="BR22" i="16"/>
  <c r="BG22" i="16"/>
  <c r="AW22" i="16"/>
  <c r="AX21" i="16"/>
  <c r="AP21" i="16"/>
  <c r="AH21" i="16"/>
  <c r="Z21" i="16"/>
  <c r="R21" i="16"/>
  <c r="OB24" i="16"/>
  <c r="NH24" i="16"/>
  <c r="MO24" i="16"/>
  <c r="LR24" i="16"/>
  <c r="KV24" i="16"/>
  <c r="KC24" i="16"/>
  <c r="JH24" i="16"/>
  <c r="IN24" i="16"/>
  <c r="HR24" i="16"/>
  <c r="GY24" i="16"/>
  <c r="GB24" i="16"/>
  <c r="FF24" i="16"/>
  <c r="EM24" i="16"/>
  <c r="DR24" i="16"/>
  <c r="CW24" i="16"/>
  <c r="CB24" i="16"/>
  <c r="BE24" i="16"/>
  <c r="JC23" i="16"/>
  <c r="IJ23" i="16"/>
  <c r="HR23" i="16"/>
  <c r="GZ23" i="16"/>
  <c r="GE23" i="16"/>
  <c r="FK23" i="16"/>
  <c r="EO23" i="16"/>
  <c r="DL23" i="16"/>
  <c r="CM23" i="16"/>
  <c r="OM53" i="16"/>
  <c r="NM53" i="16"/>
  <c r="MO53" i="16"/>
  <c r="LV53" i="16"/>
  <c r="KX53" i="16"/>
  <c r="KC53" i="16"/>
  <c r="JE53" i="16"/>
  <c r="IE53" i="16"/>
  <c r="HN53" i="16"/>
  <c r="GL53" i="16"/>
  <c r="FS53" i="16"/>
  <c r="EU53" i="16"/>
  <c r="DO53" i="16"/>
  <c r="CH53" i="16"/>
  <c r="KX18" i="16"/>
  <c r="JV18" i="16"/>
  <c r="IL18" i="16"/>
  <c r="HE18" i="16"/>
  <c r="GB18" i="16"/>
  <c r="EN18" i="16"/>
  <c r="DE18" i="16"/>
  <c r="OD101" i="16"/>
  <c r="NF101" i="16"/>
  <c r="MF101" i="16"/>
  <c r="LE101" i="16"/>
  <c r="KG101" i="16"/>
  <c r="JI101" i="16"/>
  <c r="IC101" i="16"/>
  <c r="HB101" i="16"/>
  <c r="FY101" i="16"/>
  <c r="ES101" i="16"/>
  <c r="DR101" i="16"/>
  <c r="CN101" i="16"/>
  <c r="CL22" i="16"/>
  <c r="CA22" i="16"/>
  <c r="BP22" i="16"/>
  <c r="BF22" i="16"/>
  <c r="NQ54" i="16"/>
  <c r="NY24" i="16"/>
  <c r="NG24" i="16"/>
  <c r="MJ24" i="16"/>
  <c r="LO24" i="16"/>
  <c r="KU24" i="16"/>
  <c r="KA24" i="16"/>
  <c r="JF24" i="16"/>
  <c r="IJ24" i="16"/>
  <c r="HQ24" i="16"/>
  <c r="GT24" i="16"/>
  <c r="FX24" i="16"/>
  <c r="FE24" i="16"/>
  <c r="EJ24" i="16"/>
  <c r="DP24" i="16"/>
  <c r="CT24" i="16"/>
  <c r="CA24" i="16"/>
  <c r="BA17" i="16"/>
  <c r="BQ17" i="16"/>
  <c r="CG17" i="16"/>
  <c r="CX17" i="16"/>
  <c r="DM17" i="16"/>
  <c r="ED17" i="16"/>
  <c r="ET17" i="16"/>
  <c r="FJ17" i="16"/>
  <c r="FZ17" i="16"/>
  <c r="GQ17" i="16"/>
  <c r="HF17" i="16"/>
  <c r="HW17" i="16"/>
  <c r="IM17" i="16"/>
  <c r="AO17" i="16"/>
  <c r="BC17" i="16"/>
  <c r="BU17" i="16"/>
  <c r="CM17" i="16"/>
  <c r="DA17" i="16"/>
  <c r="DS17" i="16"/>
  <c r="EI17" i="16"/>
  <c r="EY17" i="16"/>
  <c r="FO17" i="16"/>
  <c r="GF17" i="16"/>
  <c r="AR17" i="16"/>
  <c r="BI17" i="16"/>
  <c r="BY17" i="16"/>
  <c r="CO17" i="16"/>
  <c r="DE17" i="16"/>
  <c r="DV17" i="16"/>
  <c r="EK17" i="16"/>
  <c r="FB17" i="16"/>
  <c r="FS17" i="16"/>
  <c r="GH17" i="16"/>
  <c r="GY17" i="16"/>
  <c r="HO17" i="16"/>
  <c r="IE17" i="16"/>
  <c r="IU17" i="16"/>
  <c r="JM17" i="16"/>
  <c r="KA17" i="16"/>
  <c r="KS17" i="16"/>
  <c r="OK25" i="16"/>
  <c r="OB25" i="16"/>
  <c r="NS25" i="16"/>
  <c r="NJ25" i="16"/>
  <c r="MZ25" i="16"/>
  <c r="MQ25" i="16"/>
  <c r="MH25" i="16"/>
  <c r="LY25" i="16"/>
  <c r="LP25" i="16"/>
  <c r="LG25" i="16"/>
  <c r="KV25" i="16"/>
  <c r="KL25" i="16"/>
  <c r="KB25" i="16"/>
  <c r="JP25" i="16"/>
  <c r="JF25" i="16"/>
  <c r="IV25" i="16"/>
  <c r="IJ25" i="16"/>
  <c r="HZ25" i="16"/>
  <c r="HP25" i="16"/>
  <c r="HD25" i="16"/>
  <c r="GT25" i="16"/>
  <c r="GJ25" i="16"/>
  <c r="FX25" i="16"/>
  <c r="FN25" i="16"/>
  <c r="FD25" i="16"/>
  <c r="ER25" i="16"/>
  <c r="EH25" i="16"/>
  <c r="DX25" i="16"/>
  <c r="DL25" i="16"/>
  <c r="DB25" i="16"/>
  <c r="CR25" i="16"/>
  <c r="CF25" i="16"/>
  <c r="BV25" i="16"/>
  <c r="BL25" i="16"/>
  <c r="AZ25" i="16"/>
  <c r="AP25" i="16"/>
  <c r="BS19" i="16"/>
  <c r="BC19" i="16"/>
  <c r="AM19" i="16"/>
  <c r="W19" i="16"/>
  <c r="OH25" i="16"/>
  <c r="NX25" i="16"/>
  <c r="NO25" i="16"/>
  <c r="NF25" i="16"/>
  <c r="MW25" i="16"/>
  <c r="MN25" i="16"/>
  <c r="ME25" i="16"/>
  <c r="LV25" i="16"/>
  <c r="LL25" i="16"/>
  <c r="LC25" i="16"/>
  <c r="KS25" i="16"/>
  <c r="KH25" i="16"/>
  <c r="JW25" i="16"/>
  <c r="JM25" i="16"/>
  <c r="JB25" i="16"/>
  <c r="IQ25" i="16"/>
  <c r="IG25" i="16"/>
  <c r="HV25" i="16"/>
  <c r="HK25" i="16"/>
  <c r="HA25" i="16"/>
  <c r="GP25" i="16"/>
  <c r="GE25" i="16"/>
  <c r="FU25" i="16"/>
  <c r="FJ25" i="16"/>
  <c r="EY25" i="16"/>
  <c r="EO25" i="16"/>
  <c r="ED25" i="16"/>
  <c r="DS25" i="16"/>
  <c r="DI25" i="16"/>
  <c r="CX25" i="16"/>
  <c r="CM25" i="16"/>
  <c r="CC25" i="16"/>
  <c r="BR25" i="16"/>
  <c r="BG25" i="16"/>
  <c r="AW25" i="16"/>
  <c r="AL20" i="16"/>
  <c r="AB20" i="16"/>
  <c r="T20" i="16"/>
  <c r="OI19" i="16"/>
  <c r="NU19" i="16"/>
  <c r="NE19" i="16"/>
  <c r="MO19" i="16"/>
  <c r="LY19" i="16"/>
  <c r="LI19" i="16"/>
  <c r="KS19" i="16"/>
  <c r="KC19" i="16"/>
  <c r="JM19" i="16"/>
  <c r="IW19" i="16"/>
  <c r="IG19" i="16"/>
  <c r="HQ19" i="16"/>
  <c r="HA19" i="16"/>
  <c r="GK19" i="16"/>
  <c r="FU19" i="16"/>
  <c r="FE19" i="16"/>
  <c r="EO19" i="16"/>
  <c r="DY19" i="16"/>
  <c r="DI19" i="16"/>
  <c r="CS19" i="16"/>
  <c r="CC19" i="16"/>
  <c r="BM19" i="16"/>
  <c r="AW19" i="16"/>
  <c r="AG19" i="16"/>
  <c r="Q19" i="16"/>
  <c r="KR25" i="16"/>
  <c r="KF25" i="16"/>
  <c r="JV25" i="16"/>
  <c r="JL25" i="16"/>
  <c r="IZ25" i="16"/>
  <c r="IP25" i="16"/>
  <c r="IF25" i="16"/>
  <c r="HT25" i="16"/>
  <c r="HJ25" i="16"/>
  <c r="GZ25" i="16"/>
  <c r="GN25" i="16"/>
  <c r="GD25" i="16"/>
  <c r="FT25" i="16"/>
  <c r="FH25" i="16"/>
  <c r="EX25" i="16"/>
  <c r="EN25" i="16"/>
  <c r="EB25" i="16"/>
  <c r="DR25" i="16"/>
  <c r="DH25" i="16"/>
  <c r="CV25" i="16"/>
  <c r="CL25" i="16"/>
  <c r="CB25" i="16"/>
  <c r="BP25" i="16"/>
  <c r="BF25" i="16"/>
  <c r="AV25" i="16"/>
  <c r="AK20" i="16"/>
  <c r="AC20" i="16"/>
  <c r="NC19" i="16"/>
  <c r="MM19" i="16"/>
  <c r="LW19" i="16"/>
  <c r="LG19" i="16"/>
  <c r="KQ19" i="16"/>
  <c r="KA19" i="16"/>
  <c r="JK19" i="16"/>
  <c r="IU19" i="16"/>
  <c r="IE19" i="16"/>
  <c r="HO19" i="16"/>
  <c r="GY19" i="16"/>
  <c r="GI19" i="16"/>
  <c r="FS19" i="16"/>
  <c r="FC19" i="16"/>
  <c r="EM19" i="16"/>
  <c r="DW19" i="16"/>
  <c r="DG19" i="16"/>
  <c r="CQ19" i="16"/>
  <c r="CA19" i="16"/>
  <c r="BK19" i="16"/>
  <c r="AU19" i="16"/>
  <c r="AE19" i="16"/>
  <c r="ON25" i="16"/>
  <c r="OE25" i="16"/>
  <c r="NV25" i="16"/>
  <c r="NM25" i="16"/>
  <c r="ND25" i="16"/>
  <c r="MU25" i="16"/>
  <c r="ML25" i="16"/>
  <c r="MB25" i="16"/>
  <c r="LS25" i="16"/>
  <c r="LJ25" i="16"/>
  <c r="LA25" i="16"/>
  <c r="KP25" i="16"/>
  <c r="KE25" i="16"/>
  <c r="JU25" i="16"/>
  <c r="JJ25" i="16"/>
  <c r="IY25" i="16"/>
  <c r="IO25" i="16"/>
  <c r="ID25" i="16"/>
  <c r="HS25" i="16"/>
  <c r="HI25" i="16"/>
  <c r="GX25" i="16"/>
  <c r="GM25" i="16"/>
  <c r="GC25" i="16"/>
  <c r="FR25" i="16"/>
  <c r="FG25" i="16"/>
  <c r="EW25" i="16"/>
  <c r="EL25" i="16"/>
  <c r="EA25" i="16"/>
  <c r="DQ25" i="16"/>
  <c r="DF25" i="16"/>
  <c r="CU25" i="16"/>
  <c r="CK25" i="16"/>
  <c r="BZ25" i="16"/>
  <c r="BO25" i="16"/>
  <c r="BE25" i="16"/>
  <c r="AT25" i="16"/>
  <c r="AS20" i="16"/>
  <c r="AJ20" i="16"/>
  <c r="AA20" i="16"/>
  <c r="R20" i="16"/>
  <c r="OE19" i="16"/>
  <c r="NO19" i="16"/>
  <c r="MY19" i="16"/>
  <c r="MI19" i="16"/>
  <c r="LS19" i="16"/>
  <c r="LC19" i="16"/>
  <c r="KM19" i="16"/>
  <c r="JW19" i="16"/>
  <c r="JG19" i="16"/>
  <c r="IQ19" i="16"/>
  <c r="IA19" i="16"/>
  <c r="HK19" i="16"/>
  <c r="GU19" i="16"/>
  <c r="GE19" i="16"/>
  <c r="FO19" i="16"/>
  <c r="EY19" i="16"/>
  <c r="EI19" i="16"/>
  <c r="DS19" i="16"/>
  <c r="DC19" i="16"/>
  <c r="CM19" i="16"/>
  <c r="BW19" i="16"/>
  <c r="BG19" i="16"/>
  <c r="AQ19" i="16"/>
  <c r="AA19" i="16"/>
  <c r="NL25" i="16"/>
  <c r="NC25" i="16"/>
  <c r="MT25" i="16"/>
  <c r="MJ25" i="16"/>
  <c r="MA25" i="16"/>
  <c r="LR25" i="16"/>
  <c r="LI25" i="16"/>
  <c r="KZ25" i="16"/>
  <c r="KN25" i="16"/>
  <c r="KD25" i="16"/>
  <c r="JT25" i="16"/>
  <c r="JH25" i="16"/>
  <c r="IX25" i="16"/>
  <c r="IN25" i="16"/>
  <c r="IB25" i="16"/>
  <c r="HR25" i="16"/>
  <c r="HH25" i="16"/>
  <c r="GV25" i="16"/>
  <c r="GL25" i="16"/>
  <c r="GB25" i="16"/>
  <c r="FP25" i="16"/>
  <c r="FF25" i="16"/>
  <c r="EV25" i="16"/>
  <c r="EJ25" i="16"/>
  <c r="DZ25" i="16"/>
  <c r="DP25" i="16"/>
  <c r="DD25" i="16"/>
  <c r="CT25" i="16"/>
  <c r="CJ25" i="16"/>
  <c r="BX25" i="16"/>
  <c r="BN25" i="16"/>
  <c r="BD25" i="16"/>
  <c r="AR25" i="16"/>
  <c r="OD19" i="16"/>
  <c r="NN19" i="16"/>
  <c r="MX19" i="16"/>
  <c r="MH19" i="16"/>
  <c r="LR19" i="16"/>
  <c r="LB19" i="16"/>
  <c r="KL19" i="16"/>
  <c r="JV19" i="16"/>
  <c r="JF19" i="16"/>
  <c r="IP19" i="16"/>
  <c r="HZ19" i="16"/>
  <c r="HJ19" i="16"/>
  <c r="GT19" i="16"/>
  <c r="GD19" i="16"/>
  <c r="FN19" i="16"/>
  <c r="EX19" i="16"/>
  <c r="EH19" i="16"/>
  <c r="DR19" i="16"/>
  <c r="DB19" i="16"/>
  <c r="CL19" i="16"/>
  <c r="BV19" i="16"/>
  <c r="BF19" i="16"/>
  <c r="AP19" i="16"/>
  <c r="Z19" i="16"/>
  <c r="OL25" i="16"/>
  <c r="OC25" i="16"/>
  <c r="NT25" i="16"/>
  <c r="NK25" i="16"/>
  <c r="NB25" i="16"/>
  <c r="MR25" i="16"/>
  <c r="MI25" i="16"/>
  <c r="LZ25" i="16"/>
  <c r="LQ25" i="16"/>
  <c r="LH25" i="16"/>
  <c r="KX25" i="16"/>
  <c r="KM25" i="16"/>
  <c r="KC25" i="16"/>
  <c r="JR25" i="16"/>
  <c r="JG25" i="16"/>
  <c r="IW25" i="16"/>
  <c r="IL25" i="16"/>
  <c r="IA25" i="16"/>
  <c r="HQ25" i="16"/>
  <c r="HF25" i="16"/>
  <c r="GU25" i="16"/>
  <c r="GK25" i="16"/>
  <c r="FZ25" i="16"/>
  <c r="FO25" i="16"/>
  <c r="FE25" i="16"/>
  <c r="ET25" i="16"/>
  <c r="EI25" i="16"/>
  <c r="DY25" i="16"/>
  <c r="DN25" i="16"/>
  <c r="DC25" i="16"/>
  <c r="CS25" i="16"/>
  <c r="CH25" i="16"/>
  <c r="BW25" i="16"/>
  <c r="BM25" i="16"/>
  <c r="BB25" i="16"/>
  <c r="AQ25" i="16"/>
  <c r="DC20" i="16"/>
  <c r="CT20" i="16"/>
  <c r="CK20" i="16"/>
  <c r="CB20" i="16"/>
  <c r="BR20" i="16"/>
  <c r="BI20" i="16"/>
  <c r="AZ20" i="16"/>
  <c r="AQ20" i="16"/>
  <c r="AH20" i="16"/>
  <c r="Y20" i="16"/>
  <c r="P20" i="16"/>
  <c r="OO19" i="16"/>
  <c r="OC19" i="16"/>
  <c r="NM19" i="16"/>
  <c r="MW19" i="16"/>
  <c r="MG19" i="16"/>
  <c r="LQ19" i="16"/>
  <c r="LA19" i="16"/>
  <c r="KK19" i="16"/>
  <c r="JU19" i="16"/>
  <c r="JE19" i="16"/>
  <c r="IO19" i="16"/>
  <c r="HY19" i="16"/>
  <c r="HI19" i="16"/>
  <c r="GS19" i="16"/>
  <c r="GC19" i="16"/>
  <c r="FM19" i="16"/>
  <c r="EW19" i="16"/>
  <c r="EG19" i="16"/>
  <c r="DQ19" i="16"/>
  <c r="DA19" i="16"/>
  <c r="CK19" i="16"/>
  <c r="BU19" i="16"/>
  <c r="BE19" i="16"/>
  <c r="AO19" i="16"/>
  <c r="Y19" i="16"/>
  <c r="Q28" i="16"/>
  <c r="Y28" i="16"/>
  <c r="AG28" i="16"/>
  <c r="R28" i="16"/>
  <c r="Z28" i="16"/>
  <c r="AH28" i="16"/>
  <c r="S28" i="16"/>
  <c r="AA28" i="16"/>
  <c r="AI28" i="16"/>
  <c r="T28" i="16"/>
  <c r="AB28" i="16"/>
  <c r="AJ28" i="16"/>
  <c r="U28" i="16"/>
  <c r="AC28" i="16"/>
  <c r="AK28" i="16"/>
  <c r="V28" i="16"/>
  <c r="AD28" i="16"/>
  <c r="AL28" i="16"/>
  <c r="P28" i="16"/>
  <c r="X28" i="16"/>
  <c r="AF28" i="16"/>
  <c r="AM28" i="16"/>
  <c r="W28" i="16"/>
  <c r="AE28" i="16"/>
  <c r="F79" i="16"/>
  <c r="G79" i="16" s="1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AE79" i="16"/>
  <c r="AF79" i="16"/>
  <c r="AG79" i="16"/>
  <c r="AH79" i="16"/>
  <c r="AI79" i="16"/>
  <c r="AJ79" i="16"/>
  <c r="AK79" i="16"/>
  <c r="AL79" i="16"/>
  <c r="AM79" i="16"/>
  <c r="AN79" i="16"/>
  <c r="AO79" i="16"/>
  <c r="AP79" i="16"/>
  <c r="AQ79" i="16"/>
  <c r="AR79" i="16"/>
  <c r="AS79" i="16"/>
  <c r="F104" i="16"/>
  <c r="G104" i="16" s="1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W104" i="16"/>
  <c r="X104" i="16"/>
  <c r="Y104" i="16"/>
  <c r="Z104" i="16"/>
  <c r="AA104" i="16"/>
  <c r="AC104" i="16"/>
  <c r="AB104" i="16"/>
  <c r="AD104" i="16"/>
  <c r="AE104" i="16"/>
  <c r="AF104" i="16"/>
  <c r="AG104" i="16"/>
  <c r="AH104" i="16"/>
  <c r="AI104" i="16"/>
  <c r="AJ104" i="16"/>
  <c r="AK104" i="16"/>
  <c r="AL104" i="16"/>
  <c r="AM104" i="16"/>
  <c r="AN104" i="16"/>
  <c r="AO104" i="16"/>
  <c r="AP104" i="16"/>
  <c r="AQ104" i="16"/>
  <c r="AR104" i="16"/>
  <c r="AS104" i="16"/>
  <c r="F67" i="16"/>
  <c r="G67" i="16" s="1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F95" i="16"/>
  <c r="G95" i="16" s="1"/>
  <c r="J95" i="16"/>
  <c r="K95" i="16"/>
  <c r="K96" i="16" s="1"/>
  <c r="L95" i="16"/>
  <c r="L96" i="16" s="1"/>
  <c r="M95" i="16"/>
  <c r="M96" i="16" s="1"/>
  <c r="N95" i="16"/>
  <c r="N96" i="16" s="1"/>
  <c r="O95" i="16"/>
  <c r="O96" i="16" s="1"/>
  <c r="P95" i="16"/>
  <c r="Q95" i="16"/>
  <c r="Q96" i="16" s="1"/>
  <c r="R95" i="16"/>
  <c r="R96" i="16" s="1"/>
  <c r="S95" i="16"/>
  <c r="S96" i="16" s="1"/>
  <c r="T95" i="16"/>
  <c r="T96" i="16" s="1"/>
  <c r="U95" i="16"/>
  <c r="U96" i="16" s="1"/>
  <c r="V95" i="16"/>
  <c r="V96" i="16" s="1"/>
  <c r="W95" i="16"/>
  <c r="W96" i="16" s="1"/>
  <c r="X95" i="16"/>
  <c r="X96" i="16" s="1"/>
  <c r="Y95" i="16"/>
  <c r="Y96" i="16" s="1"/>
  <c r="Z95" i="16"/>
  <c r="Z96" i="16" s="1"/>
  <c r="AA95" i="16"/>
  <c r="AA96" i="16" s="1"/>
  <c r="AB95" i="16"/>
  <c r="AC95" i="16"/>
  <c r="AC96" i="16" s="1"/>
  <c r="AD95" i="16"/>
  <c r="AD96" i="16" s="1"/>
  <c r="AE95" i="16"/>
  <c r="AE96" i="16" s="1"/>
  <c r="AF95" i="16"/>
  <c r="AF96" i="16" s="1"/>
  <c r="AG95" i="16"/>
  <c r="AG96" i="16" s="1"/>
  <c r="AH95" i="16"/>
  <c r="AH96" i="16" s="1"/>
  <c r="AI95" i="16"/>
  <c r="AI96" i="16" s="1"/>
  <c r="AJ95" i="16"/>
  <c r="AJ96" i="16" s="1"/>
  <c r="AK95" i="16"/>
  <c r="AK96" i="16" s="1"/>
  <c r="AL95" i="16"/>
  <c r="AL96" i="16" s="1"/>
  <c r="AM95" i="16"/>
  <c r="AM96" i="16" s="1"/>
  <c r="AN95" i="16"/>
  <c r="AN96" i="16" s="1"/>
  <c r="AO95" i="16"/>
  <c r="AO96" i="16" s="1"/>
  <c r="AP95" i="16"/>
  <c r="AP96" i="16" s="1"/>
  <c r="AQ95" i="16"/>
  <c r="AQ96" i="16" s="1"/>
  <c r="AR95" i="16"/>
  <c r="AR96" i="16" s="1"/>
  <c r="AS95" i="16"/>
  <c r="AS96" i="16" s="1"/>
  <c r="F91" i="16"/>
  <c r="G91" i="16" s="1"/>
  <c r="J91" i="16"/>
  <c r="K91" i="16"/>
  <c r="L91" i="16"/>
  <c r="M91" i="16"/>
  <c r="N91" i="16"/>
  <c r="O91" i="16"/>
  <c r="P91" i="16"/>
  <c r="Q91" i="16"/>
  <c r="R91" i="16"/>
  <c r="S91" i="16"/>
  <c r="T91" i="16"/>
  <c r="U91" i="16"/>
  <c r="V91" i="16"/>
  <c r="W91" i="16"/>
  <c r="X91" i="16"/>
  <c r="Y91" i="16"/>
  <c r="Z91" i="16"/>
  <c r="AA91" i="16"/>
  <c r="AC91" i="16"/>
  <c r="AB91" i="16"/>
  <c r="AD91" i="16"/>
  <c r="AE91" i="16"/>
  <c r="AF91" i="16"/>
  <c r="AG91" i="16"/>
  <c r="AH91" i="16"/>
  <c r="AI91" i="16"/>
  <c r="AJ91" i="16"/>
  <c r="AK91" i="16"/>
  <c r="AL91" i="16"/>
  <c r="AM91" i="16"/>
  <c r="AN91" i="16"/>
  <c r="AO91" i="16"/>
  <c r="AP91" i="16"/>
  <c r="AQ91" i="16"/>
  <c r="AR91" i="16"/>
  <c r="AS91" i="16"/>
  <c r="Q25" i="16"/>
  <c r="Y25" i="16"/>
  <c r="AG25" i="16"/>
  <c r="P25" i="16"/>
  <c r="AC25" i="16"/>
  <c r="S25" i="16"/>
  <c r="AF25" i="16"/>
  <c r="Z25" i="16"/>
  <c r="AL25" i="16"/>
  <c r="V25" i="16"/>
  <c r="X25" i="16"/>
  <c r="AD25" i="16"/>
  <c r="AI25" i="16"/>
  <c r="R25" i="16"/>
  <c r="AJ25" i="16"/>
  <c r="AH25" i="16"/>
  <c r="T25" i="16"/>
  <c r="AA25" i="16"/>
  <c r="F90" i="13"/>
  <c r="D27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V70" i="16"/>
  <c r="W70" i="16"/>
  <c r="X70" i="16"/>
  <c r="Y70" i="16"/>
  <c r="Z70" i="16"/>
  <c r="AA70" i="16"/>
  <c r="AB70" i="16"/>
  <c r="AC70" i="16"/>
  <c r="AD70" i="16"/>
  <c r="AE70" i="16"/>
  <c r="AF70" i="16"/>
  <c r="AG70" i="16"/>
  <c r="AH70" i="16"/>
  <c r="AI70" i="16"/>
  <c r="AJ70" i="16"/>
  <c r="AK70" i="16"/>
  <c r="AL70" i="16"/>
  <c r="AM70" i="16"/>
  <c r="AN70" i="16"/>
  <c r="AO70" i="16"/>
  <c r="AP70" i="16"/>
  <c r="AQ70" i="16"/>
  <c r="AR70" i="16"/>
  <c r="AS70" i="16"/>
  <c r="F70" i="16"/>
  <c r="G70" i="16" s="1"/>
  <c r="F77" i="16"/>
  <c r="G77" i="16" s="1"/>
  <c r="J77" i="16"/>
  <c r="K77" i="16"/>
  <c r="L77" i="16"/>
  <c r="M77" i="16"/>
  <c r="N77" i="16"/>
  <c r="O77" i="16"/>
  <c r="P77" i="16"/>
  <c r="Q77" i="16"/>
  <c r="R77" i="16"/>
  <c r="S77" i="16"/>
  <c r="T77" i="16"/>
  <c r="U77" i="16"/>
  <c r="V77" i="16"/>
  <c r="W77" i="16"/>
  <c r="X77" i="16"/>
  <c r="Y77" i="16"/>
  <c r="Z77" i="16"/>
  <c r="AA77" i="16"/>
  <c r="AC77" i="16"/>
  <c r="AB77" i="16"/>
  <c r="AD77" i="16"/>
  <c r="AE77" i="16"/>
  <c r="AF77" i="16"/>
  <c r="AG77" i="16"/>
  <c r="AH77" i="16"/>
  <c r="AI77" i="16"/>
  <c r="AJ77" i="16"/>
  <c r="AK77" i="16"/>
  <c r="AL77" i="16"/>
  <c r="AM77" i="16"/>
  <c r="AN77" i="16"/>
  <c r="AO77" i="16"/>
  <c r="AP77" i="16"/>
  <c r="AQ77" i="16"/>
  <c r="AR77" i="16"/>
  <c r="AS77" i="16"/>
  <c r="F78" i="16"/>
  <c r="J78" i="16"/>
  <c r="K78" i="16"/>
  <c r="L78" i="16"/>
  <c r="M78" i="16"/>
  <c r="N78" i="16"/>
  <c r="O78" i="16"/>
  <c r="P78" i="16"/>
  <c r="Q78" i="16"/>
  <c r="R78" i="16"/>
  <c r="S78" i="16"/>
  <c r="T78" i="16"/>
  <c r="U78" i="16"/>
  <c r="V78" i="16"/>
  <c r="W78" i="16"/>
  <c r="X78" i="16"/>
  <c r="Y78" i="16"/>
  <c r="Z78" i="16"/>
  <c r="AA78" i="16"/>
  <c r="AB78" i="16"/>
  <c r="AC78" i="16"/>
  <c r="AD78" i="16"/>
  <c r="AE78" i="16"/>
  <c r="AF78" i="16"/>
  <c r="AG78" i="16"/>
  <c r="AH78" i="16"/>
  <c r="AI78" i="16"/>
  <c r="AJ78" i="16"/>
  <c r="AK78" i="16"/>
  <c r="AL78" i="16"/>
  <c r="AM78" i="16"/>
  <c r="AN78" i="16"/>
  <c r="AO78" i="16"/>
  <c r="AP78" i="16"/>
  <c r="AQ78" i="16"/>
  <c r="AR78" i="16"/>
  <c r="AS78" i="16"/>
  <c r="J135" i="16"/>
  <c r="DT23" i="16"/>
  <c r="DJ23" i="16"/>
  <c r="CZ23" i="16"/>
  <c r="CN23" i="16"/>
  <c r="CD23" i="16"/>
  <c r="BT23" i="16"/>
  <c r="BH23" i="16"/>
  <c r="AX23" i="16"/>
  <c r="AN23" i="16"/>
  <c r="J131" i="16"/>
  <c r="G108" i="16"/>
  <c r="X108" i="16"/>
  <c r="AF108" i="16"/>
  <c r="AN108" i="16"/>
  <c r="AV108" i="16"/>
  <c r="BD108" i="16"/>
  <c r="BL108" i="16"/>
  <c r="BT108" i="16"/>
  <c r="CB108" i="16"/>
  <c r="CJ108" i="16"/>
  <c r="CR108" i="16"/>
  <c r="CZ108" i="16"/>
  <c r="DH108" i="16"/>
  <c r="DP108" i="16"/>
  <c r="DX108" i="16"/>
  <c r="EF108" i="16"/>
  <c r="EN108" i="16"/>
  <c r="EV108" i="16"/>
  <c r="FD108" i="16"/>
  <c r="FL108" i="16"/>
  <c r="FT108" i="16"/>
  <c r="GB108" i="16"/>
  <c r="GJ108" i="16"/>
  <c r="GR108" i="16"/>
  <c r="Q108" i="16"/>
  <c r="Y108" i="16"/>
  <c r="AG108" i="16"/>
  <c r="AO108" i="16"/>
  <c r="AW108" i="16"/>
  <c r="BE108" i="16"/>
  <c r="BM108" i="16"/>
  <c r="BU108" i="16"/>
  <c r="CC108" i="16"/>
  <c r="CK108" i="16"/>
  <c r="CS108" i="16"/>
  <c r="DA108" i="16"/>
  <c r="DI108" i="16"/>
  <c r="DQ108" i="16"/>
  <c r="DY108" i="16"/>
  <c r="EG108" i="16"/>
  <c r="EO108" i="16"/>
  <c r="EW108" i="16"/>
  <c r="FE108" i="16"/>
  <c r="FM108" i="16"/>
  <c r="FU108" i="16"/>
  <c r="GC108" i="16"/>
  <c r="GK108" i="16"/>
  <c r="GS108" i="16"/>
  <c r="HA108" i="16"/>
  <c r="HI108" i="16"/>
  <c r="HQ108" i="16"/>
  <c r="HY108" i="16"/>
  <c r="IG108" i="16"/>
  <c r="IO108" i="16"/>
  <c r="IW108" i="16"/>
  <c r="JE108" i="16"/>
  <c r="JM108" i="16"/>
  <c r="JU108" i="16"/>
  <c r="KC108" i="16"/>
  <c r="KK108" i="16"/>
  <c r="KS108" i="16"/>
  <c r="LA108" i="16"/>
  <c r="LI108" i="16"/>
  <c r="LQ108" i="16"/>
  <c r="LY108" i="16"/>
  <c r="MG108" i="16"/>
  <c r="MO108" i="16"/>
  <c r="MW108" i="16"/>
  <c r="NE108" i="16"/>
  <c r="W108" i="16"/>
  <c r="AI108" i="16"/>
  <c r="AS108" i="16"/>
  <c r="BC108" i="16"/>
  <c r="BO108" i="16"/>
  <c r="BY108" i="16"/>
  <c r="CI108" i="16"/>
  <c r="CU108" i="16"/>
  <c r="DE108" i="16"/>
  <c r="DO108" i="16"/>
  <c r="EA108" i="16"/>
  <c r="EK108" i="16"/>
  <c r="EU108" i="16"/>
  <c r="FG108" i="16"/>
  <c r="FQ108" i="16"/>
  <c r="GA108" i="16"/>
  <c r="GM108" i="16"/>
  <c r="GW108" i="16"/>
  <c r="HF108" i="16"/>
  <c r="HO108" i="16"/>
  <c r="HX108" i="16"/>
  <c r="IH108" i="16"/>
  <c r="IQ108" i="16"/>
  <c r="IZ108" i="16"/>
  <c r="JI108" i="16"/>
  <c r="JR108" i="16"/>
  <c r="KA108" i="16"/>
  <c r="KJ108" i="16"/>
  <c r="KT108" i="16"/>
  <c r="LC108" i="16"/>
  <c r="LL108" i="16"/>
  <c r="LU108" i="16"/>
  <c r="MD108" i="16"/>
  <c r="MM108" i="16"/>
  <c r="MV108" i="16"/>
  <c r="NF108" i="16"/>
  <c r="NN108" i="16"/>
  <c r="NV108" i="16"/>
  <c r="OD108" i="16"/>
  <c r="OL108" i="16"/>
  <c r="Z108" i="16"/>
  <c r="AJ108" i="16"/>
  <c r="AT108" i="16"/>
  <c r="BF108" i="16"/>
  <c r="BP108" i="16"/>
  <c r="BZ108" i="16"/>
  <c r="CL108" i="16"/>
  <c r="CV108" i="16"/>
  <c r="DF108" i="16"/>
  <c r="DR108" i="16"/>
  <c r="EB108" i="16"/>
  <c r="EL108" i="16"/>
  <c r="EX108" i="16"/>
  <c r="FH108" i="16"/>
  <c r="FR108" i="16"/>
  <c r="GD108" i="16"/>
  <c r="GN108" i="16"/>
  <c r="GX108" i="16"/>
  <c r="HG108" i="16"/>
  <c r="HP108" i="16"/>
  <c r="HZ108" i="16"/>
  <c r="II108" i="16"/>
  <c r="IR108" i="16"/>
  <c r="JA108" i="16"/>
  <c r="JJ108" i="16"/>
  <c r="JS108" i="16"/>
  <c r="KB108" i="16"/>
  <c r="KL108" i="16"/>
  <c r="KU108" i="16"/>
  <c r="LD108" i="16"/>
  <c r="LM108" i="16"/>
  <c r="LV108" i="16"/>
  <c r="ME108" i="16"/>
  <c r="MN108" i="16"/>
  <c r="MX108" i="16"/>
  <c r="NG108" i="16"/>
  <c r="NO108" i="16"/>
  <c r="NW108" i="16"/>
  <c r="OE108" i="16"/>
  <c r="OM108" i="16"/>
  <c r="G53" i="16"/>
  <c r="AZ53" i="16"/>
  <c r="BH53" i="16"/>
  <c r="BP53" i="16"/>
  <c r="BX53" i="16"/>
  <c r="CF53" i="16"/>
  <c r="CN53" i="16"/>
  <c r="CV53" i="16"/>
  <c r="DD53" i="16"/>
  <c r="DL53" i="16"/>
  <c r="DT53" i="16"/>
  <c r="EB53" i="16"/>
  <c r="EJ53" i="16"/>
  <c r="ER53" i="16"/>
  <c r="EZ53" i="16"/>
  <c r="FH53" i="16"/>
  <c r="FP53" i="16"/>
  <c r="FX53" i="16"/>
  <c r="GF53" i="16"/>
  <c r="GN53" i="16"/>
  <c r="GV53" i="16"/>
  <c r="HD53" i="16"/>
  <c r="HL53" i="16"/>
  <c r="HT53" i="16"/>
  <c r="IB53" i="16"/>
  <c r="IJ53" i="16"/>
  <c r="IR53" i="16"/>
  <c r="IZ53" i="16"/>
  <c r="JH53" i="16"/>
  <c r="JP53" i="16"/>
  <c r="JX53" i="16"/>
  <c r="KF53" i="16"/>
  <c r="KN53" i="16"/>
  <c r="KV53" i="16"/>
  <c r="LD53" i="16"/>
  <c r="LL53" i="16"/>
  <c r="LT53" i="16"/>
  <c r="MB53" i="16"/>
  <c r="MJ53" i="16"/>
  <c r="MR53" i="16"/>
  <c r="MZ53" i="16"/>
  <c r="NH53" i="16"/>
  <c r="NP53" i="16"/>
  <c r="NX53" i="16"/>
  <c r="OF53" i="16"/>
  <c r="ON53" i="16"/>
  <c r="BA53" i="16"/>
  <c r="BI53" i="16"/>
  <c r="BQ53" i="16"/>
  <c r="BY53" i="16"/>
  <c r="CG53" i="16"/>
  <c r="CO53" i="16"/>
  <c r="CW53" i="16"/>
  <c r="DE53" i="16"/>
  <c r="DM53" i="16"/>
  <c r="DU53" i="16"/>
  <c r="EC53" i="16"/>
  <c r="EK53" i="16"/>
  <c r="ES53" i="16"/>
  <c r="FA53" i="16"/>
  <c r="FI53" i="16"/>
  <c r="FQ53" i="16"/>
  <c r="FY53" i="16"/>
  <c r="GG53" i="16"/>
  <c r="GO53" i="16"/>
  <c r="GW53" i="16"/>
  <c r="HE53" i="16"/>
  <c r="HM53" i="16"/>
  <c r="HU53" i="16"/>
  <c r="IC53" i="16"/>
  <c r="IK53" i="16"/>
  <c r="IS53" i="16"/>
  <c r="JA53" i="16"/>
  <c r="JI53" i="16"/>
  <c r="JQ53" i="16"/>
  <c r="JY53" i="16"/>
  <c r="KG53" i="16"/>
  <c r="KO53" i="16"/>
  <c r="KW53" i="16"/>
  <c r="LE53" i="16"/>
  <c r="LM53" i="16"/>
  <c r="LU53" i="16"/>
  <c r="MC53" i="16"/>
  <c r="MK53" i="16"/>
  <c r="MS53" i="16"/>
  <c r="NA53" i="16"/>
  <c r="NI53" i="16"/>
  <c r="NQ53" i="16"/>
  <c r="NQ58" i="16" s="1"/>
  <c r="NY53" i="16"/>
  <c r="OG53" i="16"/>
  <c r="OO53" i="16"/>
  <c r="AV53" i="16"/>
  <c r="BF53" i="16"/>
  <c r="BR53" i="16"/>
  <c r="CB53" i="16"/>
  <c r="CL53" i="16"/>
  <c r="CX53" i="16"/>
  <c r="DH53" i="16"/>
  <c r="DR53" i="16"/>
  <c r="ED53" i="16"/>
  <c r="EN53" i="16"/>
  <c r="EX53" i="16"/>
  <c r="FJ53" i="16"/>
  <c r="FT53" i="16"/>
  <c r="GD53" i="16"/>
  <c r="GP53" i="16"/>
  <c r="GZ53" i="16"/>
  <c r="HJ53" i="16"/>
  <c r="HV53" i="16"/>
  <c r="IF53" i="16"/>
  <c r="IP53" i="16"/>
  <c r="JB53" i="16"/>
  <c r="JL53" i="16"/>
  <c r="JV53" i="16"/>
  <c r="KH53" i="16"/>
  <c r="KR53" i="16"/>
  <c r="LB53" i="16"/>
  <c r="LN53" i="16"/>
  <c r="LX53" i="16"/>
  <c r="MH53" i="16"/>
  <c r="MT53" i="16"/>
  <c r="ND53" i="16"/>
  <c r="NN53" i="16"/>
  <c r="NZ53" i="16"/>
  <c r="OJ53" i="16"/>
  <c r="AW53" i="16"/>
  <c r="BG53" i="16"/>
  <c r="BS53" i="16"/>
  <c r="CC53" i="16"/>
  <c r="CM53" i="16"/>
  <c r="CY53" i="16"/>
  <c r="DI53" i="16"/>
  <c r="DS53" i="16"/>
  <c r="EE53" i="16"/>
  <c r="EO53" i="16"/>
  <c r="EY53" i="16"/>
  <c r="FK53" i="16"/>
  <c r="FU53" i="16"/>
  <c r="GE53" i="16"/>
  <c r="GQ53" i="16"/>
  <c r="HA53" i="16"/>
  <c r="HK53" i="16"/>
  <c r="HW53" i="16"/>
  <c r="IG53" i="16"/>
  <c r="IQ53" i="16"/>
  <c r="JC53" i="16"/>
  <c r="JM53" i="16"/>
  <c r="JW53" i="16"/>
  <c r="KI53" i="16"/>
  <c r="KS53" i="16"/>
  <c r="LC53" i="16"/>
  <c r="LO53" i="16"/>
  <c r="LY53" i="16"/>
  <c r="MI53" i="16"/>
  <c r="MU53" i="16"/>
  <c r="NE53" i="16"/>
  <c r="NO53" i="16"/>
  <c r="OA53" i="16"/>
  <c r="OK53" i="16"/>
  <c r="AX53" i="16"/>
  <c r="BJ53" i="16"/>
  <c r="BT53" i="16"/>
  <c r="CD53" i="16"/>
  <c r="CP53" i="16"/>
  <c r="CZ53" i="16"/>
  <c r="DJ53" i="16"/>
  <c r="DV53" i="16"/>
  <c r="EF53" i="16"/>
  <c r="EP53" i="16"/>
  <c r="J209" i="16"/>
  <c r="F76" i="16"/>
  <c r="J76" i="16"/>
  <c r="K76" i="16"/>
  <c r="L76" i="16"/>
  <c r="M76" i="16"/>
  <c r="N76" i="16"/>
  <c r="O76" i="16"/>
  <c r="P76" i="16"/>
  <c r="Q76" i="16"/>
  <c r="R76" i="16"/>
  <c r="S76" i="16"/>
  <c r="T76" i="16"/>
  <c r="U76" i="16"/>
  <c r="V76" i="16"/>
  <c r="W76" i="16"/>
  <c r="X76" i="16"/>
  <c r="Y76" i="16"/>
  <c r="Z76" i="16"/>
  <c r="AA76" i="16"/>
  <c r="AC76" i="16"/>
  <c r="AB76" i="16"/>
  <c r="AD76" i="16"/>
  <c r="AE76" i="16"/>
  <c r="AF76" i="16"/>
  <c r="AG76" i="16"/>
  <c r="AH76" i="16"/>
  <c r="AI76" i="16"/>
  <c r="AJ76" i="16"/>
  <c r="AK76" i="16"/>
  <c r="AL76" i="16"/>
  <c r="AM76" i="16"/>
  <c r="AN76" i="16"/>
  <c r="AO76" i="16"/>
  <c r="AP76" i="16"/>
  <c r="AQ76" i="16"/>
  <c r="AR76" i="16"/>
  <c r="AS76" i="16"/>
  <c r="J69" i="16"/>
  <c r="K69" i="16"/>
  <c r="K85" i="16" s="1"/>
  <c r="L69" i="16"/>
  <c r="L85" i="16" s="1"/>
  <c r="M69" i="16"/>
  <c r="M85" i="16" s="1"/>
  <c r="N69" i="16"/>
  <c r="O69" i="16"/>
  <c r="O85" i="16" s="1"/>
  <c r="P69" i="16"/>
  <c r="Q69" i="16"/>
  <c r="Q85" i="16" s="1"/>
  <c r="R69" i="16"/>
  <c r="S69" i="16"/>
  <c r="S85" i="16" s="1"/>
  <c r="T69" i="16"/>
  <c r="T85" i="16" s="1"/>
  <c r="U69" i="16"/>
  <c r="U85" i="16" s="1"/>
  <c r="V69" i="16"/>
  <c r="W69" i="16"/>
  <c r="W85" i="16" s="1"/>
  <c r="X69" i="16"/>
  <c r="X85" i="16" s="1"/>
  <c r="Y69" i="16"/>
  <c r="Y85" i="16" s="1"/>
  <c r="Z69" i="16"/>
  <c r="AA69" i="16"/>
  <c r="AA85" i="16" s="1"/>
  <c r="AC69" i="16"/>
  <c r="AC85" i="16" s="1"/>
  <c r="AB69" i="16"/>
  <c r="AD69" i="16"/>
  <c r="AE69" i="16"/>
  <c r="AE85" i="16" s="1"/>
  <c r="AF69" i="16"/>
  <c r="AF85" i="16" s="1"/>
  <c r="AG69" i="16"/>
  <c r="AG85" i="16" s="1"/>
  <c r="AH69" i="16"/>
  <c r="AH85" i="16" s="1"/>
  <c r="AI69" i="16"/>
  <c r="AI85" i="16" s="1"/>
  <c r="AJ69" i="16"/>
  <c r="AJ85" i="16" s="1"/>
  <c r="AK69" i="16"/>
  <c r="AK85" i="16" s="1"/>
  <c r="AL69" i="16"/>
  <c r="AM69" i="16"/>
  <c r="AM85" i="16" s="1"/>
  <c r="AN69" i="16"/>
  <c r="AN85" i="16" s="1"/>
  <c r="AO69" i="16"/>
  <c r="AO85" i="16" s="1"/>
  <c r="AP69" i="16"/>
  <c r="AP85" i="16" s="1"/>
  <c r="AQ69" i="16"/>
  <c r="AQ85" i="16" s="1"/>
  <c r="AR69" i="16"/>
  <c r="AR85" i="16" s="1"/>
  <c r="AS69" i="16"/>
  <c r="AS85" i="16" s="1"/>
  <c r="F69" i="16"/>
  <c r="G23" i="16"/>
  <c r="U23" i="16" s="1"/>
  <c r="AS23" i="16"/>
  <c r="BA23" i="16"/>
  <c r="BI23" i="16"/>
  <c r="BQ23" i="16"/>
  <c r="BY23" i="16"/>
  <c r="CG23" i="16"/>
  <c r="CO23" i="16"/>
  <c r="CW23" i="16"/>
  <c r="DE23" i="16"/>
  <c r="DM23" i="16"/>
  <c r="DU23" i="16"/>
  <c r="EC23" i="16"/>
  <c r="EK23" i="16"/>
  <c r="ES23" i="16"/>
  <c r="FA23" i="16"/>
  <c r="FI23" i="16"/>
  <c r="FQ23" i="16"/>
  <c r="FY23" i="16"/>
  <c r="GG23" i="16"/>
  <c r="GO23" i="16"/>
  <c r="AT23" i="16"/>
  <c r="BB23" i="16"/>
  <c r="BJ23" i="16"/>
  <c r="BR23" i="16"/>
  <c r="BZ23" i="16"/>
  <c r="CH23" i="16"/>
  <c r="CP23" i="16"/>
  <c r="CX23" i="16"/>
  <c r="DF23" i="16"/>
  <c r="DN23" i="16"/>
  <c r="DV23" i="16"/>
  <c r="ED23" i="16"/>
  <c r="EL23" i="16"/>
  <c r="ET23" i="16"/>
  <c r="FB23" i="16"/>
  <c r="FJ23" i="16"/>
  <c r="FR23" i="16"/>
  <c r="FZ23" i="16"/>
  <c r="GH23" i="16"/>
  <c r="GP23" i="16"/>
  <c r="GX23" i="16"/>
  <c r="HF23" i="16"/>
  <c r="HN23" i="16"/>
  <c r="HV23" i="16"/>
  <c r="ID23" i="16"/>
  <c r="IL23" i="16"/>
  <c r="IT23" i="16"/>
  <c r="JB23" i="16"/>
  <c r="JJ23" i="16"/>
  <c r="JR23" i="16"/>
  <c r="JZ23" i="16"/>
  <c r="KH23" i="16"/>
  <c r="KP23" i="16"/>
  <c r="KX23" i="16"/>
  <c r="LF23" i="16"/>
  <c r="LN23" i="16"/>
  <c r="LV23" i="16"/>
  <c r="MD23" i="16"/>
  <c r="ML23" i="16"/>
  <c r="MT23" i="16"/>
  <c r="NB23" i="16"/>
  <c r="NJ23" i="16"/>
  <c r="NR23" i="16"/>
  <c r="J217" i="16"/>
  <c r="F75" i="16"/>
  <c r="G75" i="16" s="1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W75" i="16"/>
  <c r="X75" i="16"/>
  <c r="Y75" i="16"/>
  <c r="Z75" i="16"/>
  <c r="AA75" i="16"/>
  <c r="AC75" i="16"/>
  <c r="AB75" i="16"/>
  <c r="AD75" i="16"/>
  <c r="AE75" i="16"/>
  <c r="AF75" i="16"/>
  <c r="AG75" i="16"/>
  <c r="AH75" i="16"/>
  <c r="AI75" i="16"/>
  <c r="AJ75" i="16"/>
  <c r="AK75" i="16"/>
  <c r="AL75" i="16"/>
  <c r="AM75" i="16"/>
  <c r="AN75" i="16"/>
  <c r="AO75" i="16"/>
  <c r="AP75" i="16"/>
  <c r="AQ75" i="16"/>
  <c r="AR75" i="16"/>
  <c r="AS75" i="16"/>
  <c r="OJ27" i="16"/>
  <c r="OB27" i="16"/>
  <c r="NT27" i="16"/>
  <c r="NL27" i="16"/>
  <c r="ND27" i="16"/>
  <c r="MV27" i="16"/>
  <c r="MN27" i="16"/>
  <c r="MF27" i="16"/>
  <c r="LX27" i="16"/>
  <c r="LP27" i="16"/>
  <c r="LH27" i="16"/>
  <c r="KZ27" i="16"/>
  <c r="KR27" i="16"/>
  <c r="KJ27" i="16"/>
  <c r="KB27" i="16"/>
  <c r="JT27" i="16"/>
  <c r="JL27" i="16"/>
  <c r="JD27" i="16"/>
  <c r="IV27" i="16"/>
  <c r="IN27" i="16"/>
  <c r="IF27" i="16"/>
  <c r="HX27" i="16"/>
  <c r="HP27" i="16"/>
  <c r="HH27" i="16"/>
  <c r="GZ27" i="16"/>
  <c r="GR27" i="16"/>
  <c r="GJ27" i="16"/>
  <c r="GB27" i="16"/>
  <c r="FT27" i="16"/>
  <c r="FL27" i="16"/>
  <c r="FD27" i="16"/>
  <c r="EV27" i="16"/>
  <c r="EN27" i="16"/>
  <c r="EF27" i="16"/>
  <c r="DX27" i="16"/>
  <c r="DP27" i="16"/>
  <c r="DH27" i="16"/>
  <c r="CZ27" i="16"/>
  <c r="CR27" i="16"/>
  <c r="CJ27" i="16"/>
  <c r="CB27" i="16"/>
  <c r="BT27" i="16"/>
  <c r="BL27" i="16"/>
  <c r="BD27" i="16"/>
  <c r="AV27" i="16"/>
  <c r="AN27" i="16"/>
  <c r="OO23" i="16"/>
  <c r="OG23" i="16"/>
  <c r="NY23" i="16"/>
  <c r="NP23" i="16"/>
  <c r="NG23" i="16"/>
  <c r="MX23" i="16"/>
  <c r="MO23" i="16"/>
  <c r="MF23" i="16"/>
  <c r="LW23" i="16"/>
  <c r="LM23" i="16"/>
  <c r="LD23" i="16"/>
  <c r="KU23" i="16"/>
  <c r="KL23" i="16"/>
  <c r="KC23" i="16"/>
  <c r="JT23" i="16"/>
  <c r="JK23" i="16"/>
  <c r="JA23" i="16"/>
  <c r="IR23" i="16"/>
  <c r="II23" i="16"/>
  <c r="HZ23" i="16"/>
  <c r="HQ23" i="16"/>
  <c r="HH23" i="16"/>
  <c r="GY23" i="16"/>
  <c r="GN23" i="16"/>
  <c r="GD23" i="16"/>
  <c r="FT23" i="16"/>
  <c r="FH23" i="16"/>
  <c r="EX23" i="16"/>
  <c r="EN23" i="16"/>
  <c r="EB23" i="16"/>
  <c r="DR23" i="16"/>
  <c r="DH23" i="16"/>
  <c r="CV23" i="16"/>
  <c r="CL23" i="16"/>
  <c r="CB23" i="16"/>
  <c r="BP23" i="16"/>
  <c r="BF23" i="16"/>
  <c r="AV23" i="16"/>
  <c r="AJ23" i="16"/>
  <c r="BH108" i="16"/>
  <c r="AR108" i="16"/>
  <c r="AD108" i="16"/>
  <c r="R108" i="16"/>
  <c r="DY53" i="16"/>
  <c r="DG53" i="16"/>
  <c r="CR53" i="16"/>
  <c r="BZ53" i="16"/>
  <c r="BK53" i="16"/>
  <c r="G54" i="16"/>
  <c r="AV54" i="16"/>
  <c r="BD54" i="16"/>
  <c r="BL54" i="16"/>
  <c r="BT54" i="16"/>
  <c r="CB54" i="16"/>
  <c r="CJ54" i="16"/>
  <c r="CR54" i="16"/>
  <c r="CZ54" i="16"/>
  <c r="DH54" i="16"/>
  <c r="DP54" i="16"/>
  <c r="DP58" i="16" s="1"/>
  <c r="DX54" i="16"/>
  <c r="EF54" i="16"/>
  <c r="EN54" i="16"/>
  <c r="EV54" i="16"/>
  <c r="FD54" i="16"/>
  <c r="FL54" i="16"/>
  <c r="FT54" i="16"/>
  <c r="GB54" i="16"/>
  <c r="GJ54" i="16"/>
  <c r="GR54" i="16"/>
  <c r="GZ54" i="16"/>
  <c r="HH54" i="16"/>
  <c r="HP54" i="16"/>
  <c r="HX54" i="16"/>
  <c r="IF54" i="16"/>
  <c r="IN54" i="16"/>
  <c r="IV54" i="16"/>
  <c r="JD54" i="16"/>
  <c r="JD58" i="16" s="1"/>
  <c r="JL54" i="16"/>
  <c r="JT54" i="16"/>
  <c r="KB54" i="16"/>
  <c r="KJ54" i="16"/>
  <c r="KR54" i="16"/>
  <c r="KZ54" i="16"/>
  <c r="LH54" i="16"/>
  <c r="LP54" i="16"/>
  <c r="LX54" i="16"/>
  <c r="MF54" i="16"/>
  <c r="MN54" i="16"/>
  <c r="MV54" i="16"/>
  <c r="ND54" i="16"/>
  <c r="NL54" i="16"/>
  <c r="NT54" i="16"/>
  <c r="OB54" i="16"/>
  <c r="OJ54" i="16"/>
  <c r="BA54" i="16"/>
  <c r="BI54" i="16"/>
  <c r="BC54" i="16"/>
  <c r="BN54" i="16"/>
  <c r="BW54" i="16"/>
  <c r="CF54" i="16"/>
  <c r="CO54" i="16"/>
  <c r="CX54" i="16"/>
  <c r="DG54" i="16"/>
  <c r="DQ54" i="16"/>
  <c r="DZ54" i="16"/>
  <c r="DZ58" i="16" s="1"/>
  <c r="EI54" i="16"/>
  <c r="ER54" i="16"/>
  <c r="FA54" i="16"/>
  <c r="FJ54" i="16"/>
  <c r="FS54" i="16"/>
  <c r="GC54" i="16"/>
  <c r="GL54" i="16"/>
  <c r="GU54" i="16"/>
  <c r="HD54" i="16"/>
  <c r="HM54" i="16"/>
  <c r="HV54" i="16"/>
  <c r="IE54" i="16"/>
  <c r="IE58" i="16" s="1"/>
  <c r="IO54" i="16"/>
  <c r="IX54" i="16"/>
  <c r="JG54" i="16"/>
  <c r="JP54" i="16"/>
  <c r="JY54" i="16"/>
  <c r="KH54" i="16"/>
  <c r="KQ54" i="16"/>
  <c r="LA54" i="16"/>
  <c r="LJ54" i="16"/>
  <c r="LS54" i="16"/>
  <c r="MB54" i="16"/>
  <c r="MK54" i="16"/>
  <c r="MT54" i="16"/>
  <c r="NC54" i="16"/>
  <c r="NM54" i="16"/>
  <c r="NV54" i="16"/>
  <c r="OE54" i="16"/>
  <c r="ON54" i="16"/>
  <c r="AW54" i="16"/>
  <c r="BG54" i="16"/>
  <c r="BQ54" i="16"/>
  <c r="BZ54" i="16"/>
  <c r="CI54" i="16"/>
  <c r="CS54" i="16"/>
  <c r="DB54" i="16"/>
  <c r="DK54" i="16"/>
  <c r="DT54" i="16"/>
  <c r="EC54" i="16"/>
  <c r="EL54" i="16"/>
  <c r="EU54" i="16"/>
  <c r="FE54" i="16"/>
  <c r="FN54" i="16"/>
  <c r="FW54" i="16"/>
  <c r="GF54" i="16"/>
  <c r="GO54" i="16"/>
  <c r="GX54" i="16"/>
  <c r="HG54" i="16"/>
  <c r="HQ54" i="16"/>
  <c r="HQ58" i="16" s="1"/>
  <c r="HZ54" i="16"/>
  <c r="II54" i="16"/>
  <c r="IR54" i="16"/>
  <c r="JA54" i="16"/>
  <c r="JJ54" i="16"/>
  <c r="JS54" i="16"/>
  <c r="JS58" i="16" s="1"/>
  <c r="KC54" i="16"/>
  <c r="KC58" i="16" s="1"/>
  <c r="KL54" i="16"/>
  <c r="KU54" i="16"/>
  <c r="LD54" i="16"/>
  <c r="LM54" i="16"/>
  <c r="LV54" i="16"/>
  <c r="ME54" i="16"/>
  <c r="MO54" i="16"/>
  <c r="MX54" i="16"/>
  <c r="MX58" i="16" s="1"/>
  <c r="NG54" i="16"/>
  <c r="NP54" i="16"/>
  <c r="NY54" i="16"/>
  <c r="OH54" i="16"/>
  <c r="AY54" i="16"/>
  <c r="AY58" i="16" s="1"/>
  <c r="BJ54" i="16"/>
  <c r="BS54" i="16"/>
  <c r="CC54" i="16"/>
  <c r="CL54" i="16"/>
  <c r="CU54" i="16"/>
  <c r="DD54" i="16"/>
  <c r="DM54" i="16"/>
  <c r="DV54" i="16"/>
  <c r="EE54" i="16"/>
  <c r="EO54" i="16"/>
  <c r="EX54" i="16"/>
  <c r="FG54" i="16"/>
  <c r="FG58" i="16" s="1"/>
  <c r="FP54" i="16"/>
  <c r="FY54" i="16"/>
  <c r="GH54" i="16"/>
  <c r="GQ54" i="16"/>
  <c r="HA54" i="16"/>
  <c r="HJ54" i="16"/>
  <c r="HS54" i="16"/>
  <c r="IB54" i="16"/>
  <c r="IK54" i="16"/>
  <c r="IT54" i="16"/>
  <c r="IT58" i="16" s="1"/>
  <c r="JC54" i="16"/>
  <c r="JM54" i="16"/>
  <c r="JV54" i="16"/>
  <c r="KE54" i="16"/>
  <c r="KN54" i="16"/>
  <c r="KW54" i="16"/>
  <c r="LF54" i="16"/>
  <c r="LO54" i="16"/>
  <c r="LY54" i="16"/>
  <c r="MH54" i="16"/>
  <c r="MQ54" i="16"/>
  <c r="MZ54" i="16"/>
  <c r="NI54" i="16"/>
  <c r="NR54" i="16"/>
  <c r="OA54" i="16"/>
  <c r="OK54" i="16"/>
  <c r="AX54" i="16"/>
  <c r="BO54" i="16"/>
  <c r="CD54" i="16"/>
  <c r="CQ54" i="16"/>
  <c r="DF54" i="16"/>
  <c r="DU54" i="16"/>
  <c r="EJ54" i="16"/>
  <c r="EY54" i="16"/>
  <c r="FM54" i="16"/>
  <c r="GA54" i="16"/>
  <c r="GP54" i="16"/>
  <c r="HE54" i="16"/>
  <c r="HT54" i="16"/>
  <c r="IH54" i="16"/>
  <c r="IW54" i="16"/>
  <c r="JK54" i="16"/>
  <c r="JZ54" i="16"/>
  <c r="KO54" i="16"/>
  <c r="LC54" i="16"/>
  <c r="LR54" i="16"/>
  <c r="MG54" i="16"/>
  <c r="MU54" i="16"/>
  <c r="NJ54" i="16"/>
  <c r="NX54" i="16"/>
  <c r="OM54" i="16"/>
  <c r="AZ54" i="16"/>
  <c r="BP54" i="16"/>
  <c r="CE54" i="16"/>
  <c r="CT54" i="16"/>
  <c r="CT58" i="16" s="1"/>
  <c r="DI54" i="16"/>
  <c r="DW54" i="16"/>
  <c r="EK54" i="16"/>
  <c r="EZ54" i="16"/>
  <c r="FO54" i="16"/>
  <c r="GD54" i="16"/>
  <c r="GS54" i="16"/>
  <c r="HF54" i="16"/>
  <c r="HU54" i="16"/>
  <c r="IJ54" i="16"/>
  <c r="IY54" i="16"/>
  <c r="JN54" i="16"/>
  <c r="KA54" i="16"/>
  <c r="KP54" i="16"/>
  <c r="LE54" i="16"/>
  <c r="LT54" i="16"/>
  <c r="MI54" i="16"/>
  <c r="MW54" i="16"/>
  <c r="NK54" i="16"/>
  <c r="NK58" i="16" s="1"/>
  <c r="NZ54" i="16"/>
  <c r="OO54" i="16"/>
  <c r="BB54" i="16"/>
  <c r="BR54" i="16"/>
  <c r="CG54" i="16"/>
  <c r="CV54" i="16"/>
  <c r="DJ54" i="16"/>
  <c r="DY54" i="16"/>
  <c r="EM54" i="16"/>
  <c r="FB54" i="16"/>
  <c r="FQ54" i="16"/>
  <c r="GE54" i="16"/>
  <c r="GT54" i="16"/>
  <c r="HI54" i="16"/>
  <c r="HW54" i="16"/>
  <c r="IL54" i="16"/>
  <c r="IZ54" i="16"/>
  <c r="JO54" i="16"/>
  <c r="KD54" i="16"/>
  <c r="KS54" i="16"/>
  <c r="LG54" i="16"/>
  <c r="LG58" i="16" s="1"/>
  <c r="LU54" i="16"/>
  <c r="MJ54" i="16"/>
  <c r="MY54" i="16"/>
  <c r="NN54" i="16"/>
  <c r="OC54" i="16"/>
  <c r="BH54" i="16"/>
  <c r="BX54" i="16"/>
  <c r="CM54" i="16"/>
  <c r="DA54" i="16"/>
  <c r="DO54" i="16"/>
  <c r="ED54" i="16"/>
  <c r="ES54" i="16"/>
  <c r="FH54" i="16"/>
  <c r="FV54" i="16"/>
  <c r="GK54" i="16"/>
  <c r="GY54" i="16"/>
  <c r="HN54" i="16"/>
  <c r="IC54" i="16"/>
  <c r="IQ54" i="16"/>
  <c r="JF54" i="16"/>
  <c r="JU54" i="16"/>
  <c r="KI54" i="16"/>
  <c r="KX54" i="16"/>
  <c r="LL54" i="16"/>
  <c r="MA54" i="16"/>
  <c r="MP54" i="16"/>
  <c r="NE54" i="16"/>
  <c r="NS54" i="16"/>
  <c r="OG54" i="16"/>
  <c r="AT54" i="16"/>
  <c r="BK54" i="16"/>
  <c r="BY54" i="16"/>
  <c r="CN54" i="16"/>
  <c r="DC54" i="16"/>
  <c r="DR54" i="16"/>
  <c r="EG54" i="16"/>
  <c r="ET54" i="16"/>
  <c r="FI54" i="16"/>
  <c r="FX54" i="16"/>
  <c r="GM54" i="16"/>
  <c r="HB54" i="16"/>
  <c r="HO54" i="16"/>
  <c r="ID54" i="16"/>
  <c r="IS54" i="16"/>
  <c r="JH54" i="16"/>
  <c r="JW54" i="16"/>
  <c r="KK54" i="16"/>
  <c r="KY54" i="16"/>
  <c r="KY58" i="16" s="1"/>
  <c r="LN54" i="16"/>
  <c r="MC54" i="16"/>
  <c r="MR54" i="16"/>
  <c r="NF54" i="16"/>
  <c r="NU54" i="16"/>
  <c r="OI54" i="16"/>
  <c r="BV54" i="16"/>
  <c r="DL54" i="16"/>
  <c r="EW54" i="16"/>
  <c r="GI54" i="16"/>
  <c r="HY54" i="16"/>
  <c r="JI54" i="16"/>
  <c r="KV54" i="16"/>
  <c r="ML54" i="16"/>
  <c r="NW54" i="16"/>
  <c r="CA54" i="16"/>
  <c r="CA58" i="16" s="1"/>
  <c r="DN54" i="16"/>
  <c r="DN58" i="16" s="1"/>
  <c r="FC54" i="16"/>
  <c r="GN54" i="16"/>
  <c r="IA54" i="16"/>
  <c r="JQ54" i="16"/>
  <c r="LB54" i="16"/>
  <c r="MM54" i="16"/>
  <c r="MM58" i="16" s="1"/>
  <c r="OD54" i="16"/>
  <c r="OD58" i="16" s="1"/>
  <c r="CH54" i="16"/>
  <c r="CH58" i="16" s="1"/>
  <c r="DS54" i="16"/>
  <c r="FF54" i="16"/>
  <c r="GV54" i="16"/>
  <c r="IG54" i="16"/>
  <c r="JR54" i="16"/>
  <c r="LI54" i="16"/>
  <c r="MS54" i="16"/>
  <c r="OF54" i="16"/>
  <c r="AU54" i="16"/>
  <c r="CK54" i="16"/>
  <c r="EA54" i="16"/>
  <c r="FK54" i="16"/>
  <c r="GW54" i="16"/>
  <c r="IM54" i="16"/>
  <c r="JX54" i="16"/>
  <c r="LK54" i="16"/>
  <c r="LK58" i="16" s="1"/>
  <c r="NA54" i="16"/>
  <c r="OL54" i="16"/>
  <c r="BF54" i="16"/>
  <c r="CW54" i="16"/>
  <c r="EH54" i="16"/>
  <c r="FU54" i="16"/>
  <c r="HK54" i="16"/>
  <c r="IU54" i="16"/>
  <c r="KG54" i="16"/>
  <c r="LW54" i="16"/>
  <c r="NH54" i="16"/>
  <c r="BM54" i="16"/>
  <c r="CY54" i="16"/>
  <c r="EP54" i="16"/>
  <c r="FZ54" i="16"/>
  <c r="HL54" i="16"/>
  <c r="JB54" i="16"/>
  <c r="KM54" i="16"/>
  <c r="LZ54" i="16"/>
  <c r="NO54" i="16"/>
  <c r="FR54" i="16"/>
  <c r="LQ54" i="16"/>
  <c r="GG54" i="16"/>
  <c r="MD54" i="16"/>
  <c r="BE54" i="16"/>
  <c r="HC54" i="16"/>
  <c r="NB54" i="16"/>
  <c r="CP54" i="16"/>
  <c r="IP54" i="16"/>
  <c r="DE54" i="16"/>
  <c r="JE54" i="16"/>
  <c r="EB54" i="16"/>
  <c r="KF54" i="16"/>
  <c r="F102" i="16"/>
  <c r="G102" i="16" s="1"/>
  <c r="J102" i="16"/>
  <c r="J105" i="16" s="1"/>
  <c r="K102" i="16"/>
  <c r="L102" i="16"/>
  <c r="L105" i="16" s="1"/>
  <c r="M102" i="16"/>
  <c r="M105" i="16" s="1"/>
  <c r="N102" i="16"/>
  <c r="O102" i="16"/>
  <c r="P102" i="16"/>
  <c r="Q102" i="16"/>
  <c r="R102" i="16"/>
  <c r="S102" i="16"/>
  <c r="T102" i="16"/>
  <c r="U102" i="16"/>
  <c r="V102" i="16"/>
  <c r="W102" i="16"/>
  <c r="X102" i="16"/>
  <c r="Y102" i="16"/>
  <c r="Z102" i="16"/>
  <c r="AA102" i="16"/>
  <c r="AB102" i="16"/>
  <c r="AC102" i="16"/>
  <c r="AD102" i="16"/>
  <c r="AE102" i="16"/>
  <c r="AF102" i="16"/>
  <c r="AG102" i="16"/>
  <c r="AH102" i="16"/>
  <c r="AI102" i="16"/>
  <c r="AJ102" i="16"/>
  <c r="AK102" i="16"/>
  <c r="AL102" i="16"/>
  <c r="AM102" i="16"/>
  <c r="AN102" i="16"/>
  <c r="AO102" i="16"/>
  <c r="AP102" i="16"/>
  <c r="AQ102" i="16"/>
  <c r="AR102" i="16"/>
  <c r="AS102" i="16"/>
  <c r="F92" i="16"/>
  <c r="G92" i="16" s="1"/>
  <c r="J92" i="16"/>
  <c r="K92" i="16"/>
  <c r="L92" i="16"/>
  <c r="M92" i="16"/>
  <c r="N92" i="16"/>
  <c r="O92" i="16"/>
  <c r="P92" i="16"/>
  <c r="Q92" i="16"/>
  <c r="R92" i="16"/>
  <c r="S92" i="16"/>
  <c r="T92" i="16"/>
  <c r="U92" i="16"/>
  <c r="U93" i="16" s="1"/>
  <c r="V92" i="16"/>
  <c r="W92" i="16"/>
  <c r="X92" i="16"/>
  <c r="Y92" i="16"/>
  <c r="Z92" i="16"/>
  <c r="AA92" i="16"/>
  <c r="AB92" i="16"/>
  <c r="AC92" i="16"/>
  <c r="AD92" i="16"/>
  <c r="AE92" i="16"/>
  <c r="AF92" i="16"/>
  <c r="AG92" i="16"/>
  <c r="AH92" i="16"/>
  <c r="AI92" i="16"/>
  <c r="AJ92" i="16"/>
  <c r="AK92" i="16"/>
  <c r="AL92" i="16"/>
  <c r="AM92" i="16"/>
  <c r="AN92" i="16"/>
  <c r="AO92" i="16"/>
  <c r="AP92" i="16"/>
  <c r="AQ92" i="16"/>
  <c r="AR92" i="16"/>
  <c r="AS92" i="16"/>
  <c r="OI27" i="16"/>
  <c r="OA27" i="16"/>
  <c r="NS27" i="16"/>
  <c r="NK27" i="16"/>
  <c r="NC27" i="16"/>
  <c r="MU27" i="16"/>
  <c r="MM27" i="16"/>
  <c r="ME27" i="16"/>
  <c r="LW27" i="16"/>
  <c r="LO27" i="16"/>
  <c r="LG27" i="16"/>
  <c r="KY27" i="16"/>
  <c r="KQ27" i="16"/>
  <c r="KI27" i="16"/>
  <c r="KA27" i="16"/>
  <c r="JS27" i="16"/>
  <c r="JK27" i="16"/>
  <c r="JC27" i="16"/>
  <c r="IU27" i="16"/>
  <c r="IM27" i="16"/>
  <c r="IE27" i="16"/>
  <c r="HW27" i="16"/>
  <c r="HO27" i="16"/>
  <c r="HG27" i="16"/>
  <c r="GY27" i="16"/>
  <c r="GQ27" i="16"/>
  <c r="GI27" i="16"/>
  <c r="GA27" i="16"/>
  <c r="FS27" i="16"/>
  <c r="FK27" i="16"/>
  <c r="FC27" i="16"/>
  <c r="EU27" i="16"/>
  <c r="EM27" i="16"/>
  <c r="EE27" i="16"/>
  <c r="DW27" i="16"/>
  <c r="DO27" i="16"/>
  <c r="DG27" i="16"/>
  <c r="CY27" i="16"/>
  <c r="CQ27" i="16"/>
  <c r="CI27" i="16"/>
  <c r="CA27" i="16"/>
  <c r="BS27" i="16"/>
  <c r="BK27" i="16"/>
  <c r="BC27" i="16"/>
  <c r="AU27" i="16"/>
  <c r="ON23" i="16"/>
  <c r="OF23" i="16"/>
  <c r="NX23" i="16"/>
  <c r="NO23" i="16"/>
  <c r="NF23" i="16"/>
  <c r="MW23" i="16"/>
  <c r="MN23" i="16"/>
  <c r="ME23" i="16"/>
  <c r="LU23" i="16"/>
  <c r="LL23" i="16"/>
  <c r="LC23" i="16"/>
  <c r="KT23" i="16"/>
  <c r="KK23" i="16"/>
  <c r="KB23" i="16"/>
  <c r="JS23" i="16"/>
  <c r="JI23" i="16"/>
  <c r="IZ23" i="16"/>
  <c r="IQ23" i="16"/>
  <c r="IH23" i="16"/>
  <c r="HY23" i="16"/>
  <c r="HP23" i="16"/>
  <c r="HG23" i="16"/>
  <c r="GW23" i="16"/>
  <c r="GM23" i="16"/>
  <c r="GC23" i="16"/>
  <c r="FS23" i="16"/>
  <c r="FG23" i="16"/>
  <c r="EW23" i="16"/>
  <c r="EM23" i="16"/>
  <c r="EA23" i="16"/>
  <c r="DQ23" i="16"/>
  <c r="DG23" i="16"/>
  <c r="CU23" i="16"/>
  <c r="CK23" i="16"/>
  <c r="CA23" i="16"/>
  <c r="BO23" i="16"/>
  <c r="BE23" i="16"/>
  <c r="AU23" i="16"/>
  <c r="AI23" i="16"/>
  <c r="Y23" i="16"/>
  <c r="ON108" i="16"/>
  <c r="OB108" i="16"/>
  <c r="NR108" i="16"/>
  <c r="NH108" i="16"/>
  <c r="MT108" i="16"/>
  <c r="MI108" i="16"/>
  <c r="LW108" i="16"/>
  <c r="LJ108" i="16"/>
  <c r="KX108" i="16"/>
  <c r="KM108" i="16"/>
  <c r="JY108" i="16"/>
  <c r="JN108" i="16"/>
  <c r="JB108" i="16"/>
  <c r="IN108" i="16"/>
  <c r="IC108" i="16"/>
  <c r="HR108" i="16"/>
  <c r="HD108" i="16"/>
  <c r="GQ108" i="16"/>
  <c r="GE108" i="16"/>
  <c r="FO108" i="16"/>
  <c r="FA108" i="16"/>
  <c r="EM108" i="16"/>
  <c r="DW108" i="16"/>
  <c r="DK108" i="16"/>
  <c r="CW108" i="16"/>
  <c r="CG108" i="16"/>
  <c r="BS108" i="16"/>
  <c r="BG108" i="16"/>
  <c r="AQ108" i="16"/>
  <c r="AC108" i="16"/>
  <c r="OL53" i="16"/>
  <c r="NV53" i="16"/>
  <c r="NJ53" i="16"/>
  <c r="MV53" i="16"/>
  <c r="MF53" i="16"/>
  <c r="LR53" i="16"/>
  <c r="LF53" i="16"/>
  <c r="KP53" i="16"/>
  <c r="KB53" i="16"/>
  <c r="JN53" i="16"/>
  <c r="IX53" i="16"/>
  <c r="IL53" i="16"/>
  <c r="HX53" i="16"/>
  <c r="HH53" i="16"/>
  <c r="GT53" i="16"/>
  <c r="GH53" i="16"/>
  <c r="FR53" i="16"/>
  <c r="FD53" i="16"/>
  <c r="EM53" i="16"/>
  <c r="DX53" i="16"/>
  <c r="DF53" i="16"/>
  <c r="DF58" i="16" s="1"/>
  <c r="CQ53" i="16"/>
  <c r="BW53" i="16"/>
  <c r="BE53" i="16"/>
  <c r="G18" i="16"/>
  <c r="T18" i="16" s="1"/>
  <c r="AR18" i="16"/>
  <c r="AZ18" i="16"/>
  <c r="BH18" i="16"/>
  <c r="BP18" i="16"/>
  <c r="BX18" i="16"/>
  <c r="CF18" i="16"/>
  <c r="CN18" i="16"/>
  <c r="CV18" i="16"/>
  <c r="DD18" i="16"/>
  <c r="DL18" i="16"/>
  <c r="DT18" i="16"/>
  <c r="EB18" i="16"/>
  <c r="EJ18" i="16"/>
  <c r="ER18" i="16"/>
  <c r="EZ18" i="16"/>
  <c r="FH18" i="16"/>
  <c r="FP18" i="16"/>
  <c r="FX18" i="16"/>
  <c r="GF18" i="16"/>
  <c r="GN18" i="16"/>
  <c r="GV18" i="16"/>
  <c r="HD18" i="16"/>
  <c r="HL18" i="16"/>
  <c r="HT18" i="16"/>
  <c r="IB18" i="16"/>
  <c r="IJ18" i="16"/>
  <c r="IR18" i="16"/>
  <c r="IZ18" i="16"/>
  <c r="JH18" i="16"/>
  <c r="JP18" i="16"/>
  <c r="JX18" i="16"/>
  <c r="KF18" i="16"/>
  <c r="KN18" i="16"/>
  <c r="KV18" i="16"/>
  <c r="LD18" i="16"/>
  <c r="LL18" i="16"/>
  <c r="LT18" i="16"/>
  <c r="MB18" i="16"/>
  <c r="MJ18" i="16"/>
  <c r="MR18" i="16"/>
  <c r="MZ18" i="16"/>
  <c r="NH18" i="16"/>
  <c r="NP18" i="16"/>
  <c r="AV18" i="16"/>
  <c r="BE18" i="16"/>
  <c r="BN18" i="16"/>
  <c r="BW18" i="16"/>
  <c r="CG18" i="16"/>
  <c r="CP18" i="16"/>
  <c r="CY18" i="16"/>
  <c r="DH18" i="16"/>
  <c r="DQ18" i="16"/>
  <c r="DZ18" i="16"/>
  <c r="EI18" i="16"/>
  <c r="ES18" i="16"/>
  <c r="FB18" i="16"/>
  <c r="FK18" i="16"/>
  <c r="AP18" i="16"/>
  <c r="BA18" i="16"/>
  <c r="BK18" i="16"/>
  <c r="BU18" i="16"/>
  <c r="CE18" i="16"/>
  <c r="CQ18" i="16"/>
  <c r="DA18" i="16"/>
  <c r="DK18" i="16"/>
  <c r="DV18" i="16"/>
  <c r="EF18" i="16"/>
  <c r="EP18" i="16"/>
  <c r="FA18" i="16"/>
  <c r="FL18" i="16"/>
  <c r="FU18" i="16"/>
  <c r="GD18" i="16"/>
  <c r="GM18" i="16"/>
  <c r="GW18" i="16"/>
  <c r="HF18" i="16"/>
  <c r="HO18" i="16"/>
  <c r="HX18" i="16"/>
  <c r="IG18" i="16"/>
  <c r="IP18" i="16"/>
  <c r="IY18" i="16"/>
  <c r="JI18" i="16"/>
  <c r="JR18" i="16"/>
  <c r="KA18" i="16"/>
  <c r="KJ18" i="16"/>
  <c r="KS18" i="16"/>
  <c r="LB18" i="16"/>
  <c r="LK18" i="16"/>
  <c r="LU18" i="16"/>
  <c r="MD18" i="16"/>
  <c r="MM18" i="16"/>
  <c r="MV18" i="16"/>
  <c r="NE18" i="16"/>
  <c r="NN18" i="16"/>
  <c r="NW18" i="16"/>
  <c r="OE18" i="16"/>
  <c r="OM18" i="16"/>
  <c r="AQ18" i="16"/>
  <c r="BB18" i="16"/>
  <c r="BL18" i="16"/>
  <c r="BV18" i="16"/>
  <c r="CH18" i="16"/>
  <c r="CR18" i="16"/>
  <c r="DB18" i="16"/>
  <c r="DM18" i="16"/>
  <c r="DW18" i="16"/>
  <c r="EG18" i="16"/>
  <c r="EQ18" i="16"/>
  <c r="FC18" i="16"/>
  <c r="FM18" i="16"/>
  <c r="FV18" i="16"/>
  <c r="GE18" i="16"/>
  <c r="GO18" i="16"/>
  <c r="GX18" i="16"/>
  <c r="HG18" i="16"/>
  <c r="HP18" i="16"/>
  <c r="HY18" i="16"/>
  <c r="IH18" i="16"/>
  <c r="IQ18" i="16"/>
  <c r="JA18" i="16"/>
  <c r="JJ18" i="16"/>
  <c r="JS18" i="16"/>
  <c r="KB18" i="16"/>
  <c r="KK18" i="16"/>
  <c r="KT18" i="16"/>
  <c r="LC18" i="16"/>
  <c r="LM18" i="16"/>
  <c r="LV18" i="16"/>
  <c r="ME18" i="16"/>
  <c r="MN18" i="16"/>
  <c r="MW18" i="16"/>
  <c r="NF18" i="16"/>
  <c r="NO18" i="16"/>
  <c r="NX18" i="16"/>
  <c r="OF18" i="16"/>
  <c r="ON18" i="16"/>
  <c r="AN18" i="16"/>
  <c r="BC18" i="16"/>
  <c r="BQ18" i="16"/>
  <c r="CC18" i="16"/>
  <c r="CS18" i="16"/>
  <c r="DF18" i="16"/>
  <c r="DS18" i="16"/>
  <c r="EH18" i="16"/>
  <c r="EV18" i="16"/>
  <c r="FI18" i="16"/>
  <c r="FW18" i="16"/>
  <c r="GI18" i="16"/>
  <c r="GT18" i="16"/>
  <c r="HH18" i="16"/>
  <c r="HS18" i="16"/>
  <c r="IE18" i="16"/>
  <c r="IS18" i="16"/>
  <c r="JD18" i="16"/>
  <c r="JO18" i="16"/>
  <c r="KC18" i="16"/>
  <c r="KO18" i="16"/>
  <c r="KZ18" i="16"/>
  <c r="LN18" i="16"/>
  <c r="LY18" i="16"/>
  <c r="MK18" i="16"/>
  <c r="MX18" i="16"/>
  <c r="NJ18" i="16"/>
  <c r="NU18" i="16"/>
  <c r="OG18" i="16"/>
  <c r="AO18" i="16"/>
  <c r="BD18" i="16"/>
  <c r="BR18" i="16"/>
  <c r="CD18" i="16"/>
  <c r="CT18" i="16"/>
  <c r="DG18" i="16"/>
  <c r="DU18" i="16"/>
  <c r="EK18" i="16"/>
  <c r="EW18" i="16"/>
  <c r="FJ18" i="16"/>
  <c r="FY18" i="16"/>
  <c r="GJ18" i="16"/>
  <c r="GU18" i="16"/>
  <c r="HI18" i="16"/>
  <c r="HU18" i="16"/>
  <c r="IF18" i="16"/>
  <c r="IT18" i="16"/>
  <c r="JE18" i="16"/>
  <c r="JQ18" i="16"/>
  <c r="KD18" i="16"/>
  <c r="KP18" i="16"/>
  <c r="LA18" i="16"/>
  <c r="LO18" i="16"/>
  <c r="LZ18" i="16"/>
  <c r="ML18" i="16"/>
  <c r="MY18" i="16"/>
  <c r="NK18" i="16"/>
  <c r="NV18" i="16"/>
  <c r="OH18" i="16"/>
  <c r="AS18" i="16"/>
  <c r="BF18" i="16"/>
  <c r="BS18" i="16"/>
  <c r="CI18" i="16"/>
  <c r="CU18" i="16"/>
  <c r="DI18" i="16"/>
  <c r="DX18" i="16"/>
  <c r="EL18" i="16"/>
  <c r="EX18" i="16"/>
  <c r="FN18" i="16"/>
  <c r="FZ18" i="16"/>
  <c r="GK18" i="16"/>
  <c r="GY18" i="16"/>
  <c r="HJ18" i="16"/>
  <c r="HV18" i="16"/>
  <c r="II18" i="16"/>
  <c r="IU18" i="16"/>
  <c r="JF18" i="16"/>
  <c r="JT18" i="16"/>
  <c r="KE18" i="16"/>
  <c r="KQ18" i="16"/>
  <c r="LE18" i="16"/>
  <c r="LP18" i="16"/>
  <c r="MA18" i="16"/>
  <c r="MO18" i="16"/>
  <c r="NA18" i="16"/>
  <c r="NL18" i="16"/>
  <c r="NY18" i="16"/>
  <c r="OI18" i="16"/>
  <c r="AX18" i="16"/>
  <c r="BM18" i="16"/>
  <c r="CA18" i="16"/>
  <c r="CM18" i="16"/>
  <c r="DC18" i="16"/>
  <c r="DP18" i="16"/>
  <c r="ED18" i="16"/>
  <c r="ET18" i="16"/>
  <c r="FF18" i="16"/>
  <c r="FS18" i="16"/>
  <c r="GG18" i="16"/>
  <c r="GR18" i="16"/>
  <c r="HC18" i="16"/>
  <c r="HQ18" i="16"/>
  <c r="IC18" i="16"/>
  <c r="IN18" i="16"/>
  <c r="JB18" i="16"/>
  <c r="JM18" i="16"/>
  <c r="JY18" i="16"/>
  <c r="KL18" i="16"/>
  <c r="BU54" i="16"/>
  <c r="ON76" i="16"/>
  <c r="OF76" i="16"/>
  <c r="NX76" i="16"/>
  <c r="NP76" i="16"/>
  <c r="NH76" i="16"/>
  <c r="MZ76" i="16"/>
  <c r="MR76" i="16"/>
  <c r="MJ76" i="16"/>
  <c r="MB76" i="16"/>
  <c r="LT76" i="16"/>
  <c r="LL76" i="16"/>
  <c r="LD76" i="16"/>
  <c r="KV76" i="16"/>
  <c r="KN76" i="16"/>
  <c r="KF76" i="16"/>
  <c r="JX76" i="16"/>
  <c r="JP76" i="16"/>
  <c r="JH76" i="16"/>
  <c r="IZ76" i="16"/>
  <c r="IR76" i="16"/>
  <c r="IJ76" i="16"/>
  <c r="IB76" i="16"/>
  <c r="HT76" i="16"/>
  <c r="HL76" i="16"/>
  <c r="HD76" i="16"/>
  <c r="GV76" i="16"/>
  <c r="GN76" i="16"/>
  <c r="GF76" i="16"/>
  <c r="FX76" i="16"/>
  <c r="FP76" i="16"/>
  <c r="FH76" i="16"/>
  <c r="EZ76" i="16"/>
  <c r="ER76" i="16"/>
  <c r="EJ76" i="16"/>
  <c r="EB76" i="16"/>
  <c r="DT76" i="16"/>
  <c r="DL76" i="16"/>
  <c r="DD76" i="16"/>
  <c r="CV76" i="16"/>
  <c r="CN76" i="16"/>
  <c r="CF76" i="16"/>
  <c r="BX76" i="16"/>
  <c r="BP76" i="16"/>
  <c r="BH76" i="16"/>
  <c r="AZ76" i="16"/>
  <c r="NY78" i="16"/>
  <c r="LM78" i="16"/>
  <c r="JA78" i="16"/>
  <c r="GO78" i="16"/>
  <c r="EC78" i="16"/>
  <c r="BQ78" i="16"/>
  <c r="J109" i="16"/>
  <c r="F109" i="16"/>
  <c r="G109" i="16" s="1"/>
  <c r="K109" i="16"/>
  <c r="L109" i="16"/>
  <c r="M109" i="16"/>
  <c r="N109" i="16"/>
  <c r="O109" i="16"/>
  <c r="P109" i="16"/>
  <c r="Q109" i="16"/>
  <c r="R109" i="16"/>
  <c r="S109" i="16"/>
  <c r="T109" i="16"/>
  <c r="U109" i="16"/>
  <c r="V109" i="16"/>
  <c r="W109" i="16"/>
  <c r="X109" i="16"/>
  <c r="Y109" i="16"/>
  <c r="Z109" i="16"/>
  <c r="AB109" i="16"/>
  <c r="AA109" i="16"/>
  <c r="AC109" i="16"/>
  <c r="AD109" i="16"/>
  <c r="AE109" i="16"/>
  <c r="AF109" i="16"/>
  <c r="AG109" i="16"/>
  <c r="AH109" i="16"/>
  <c r="AI109" i="16"/>
  <c r="AJ109" i="16"/>
  <c r="AK109" i="16"/>
  <c r="AL109" i="16"/>
  <c r="AM109" i="16"/>
  <c r="AN109" i="16"/>
  <c r="AO109" i="16"/>
  <c r="AP109" i="16"/>
  <c r="AQ109" i="16"/>
  <c r="AR109" i="16"/>
  <c r="AS109" i="16"/>
  <c r="F71" i="16"/>
  <c r="G71" i="16" s="1"/>
  <c r="J71" i="16"/>
  <c r="K71" i="16"/>
  <c r="L71" i="16"/>
  <c r="M71" i="16"/>
  <c r="N71" i="16"/>
  <c r="N87" i="16" s="1"/>
  <c r="O71" i="16"/>
  <c r="O87" i="16" s="1"/>
  <c r="P71" i="16"/>
  <c r="Q71" i="16"/>
  <c r="Q87" i="16" s="1"/>
  <c r="R71" i="16"/>
  <c r="R87" i="16" s="1"/>
  <c r="S71" i="16"/>
  <c r="T71" i="16"/>
  <c r="U71" i="16"/>
  <c r="V71" i="16"/>
  <c r="V87" i="16" s="1"/>
  <c r="W71" i="16"/>
  <c r="W87" i="16" s="1"/>
  <c r="X71" i="16"/>
  <c r="Y71" i="16"/>
  <c r="Y87" i="16" s="1"/>
  <c r="Z71" i="16"/>
  <c r="Z87" i="16" s="1"/>
  <c r="AA71" i="16"/>
  <c r="AB71" i="16"/>
  <c r="AC71" i="16"/>
  <c r="AD71" i="16"/>
  <c r="AD87" i="16" s="1"/>
  <c r="AE71" i="16"/>
  <c r="AE87" i="16" s="1"/>
  <c r="AF71" i="16"/>
  <c r="AG71" i="16"/>
  <c r="AG87" i="16" s="1"/>
  <c r="AH71" i="16"/>
  <c r="AH87" i="16" s="1"/>
  <c r="AI71" i="16"/>
  <c r="AJ71" i="16"/>
  <c r="AK71" i="16"/>
  <c r="AL71" i="16"/>
  <c r="AL87" i="16" s="1"/>
  <c r="AM71" i="16"/>
  <c r="AM87" i="16" s="1"/>
  <c r="AN71" i="16"/>
  <c r="AO71" i="16"/>
  <c r="AO87" i="16" s="1"/>
  <c r="AP71" i="16"/>
  <c r="AP87" i="16" s="1"/>
  <c r="AQ71" i="16"/>
  <c r="AR71" i="16"/>
  <c r="AS71" i="16"/>
  <c r="OH27" i="16"/>
  <c r="NZ27" i="16"/>
  <c r="NR27" i="16"/>
  <c r="NJ27" i="16"/>
  <c r="NB27" i="16"/>
  <c r="MT27" i="16"/>
  <c r="ML27" i="16"/>
  <c r="MD27" i="16"/>
  <c r="LV27" i="16"/>
  <c r="LN27" i="16"/>
  <c r="LF27" i="16"/>
  <c r="KX27" i="16"/>
  <c r="KP27" i="16"/>
  <c r="KH27" i="16"/>
  <c r="JZ27" i="16"/>
  <c r="JR27" i="16"/>
  <c r="JJ27" i="16"/>
  <c r="JB27" i="16"/>
  <c r="IT27" i="16"/>
  <c r="IL27" i="16"/>
  <c r="ID27" i="16"/>
  <c r="HV27" i="16"/>
  <c r="HN27" i="16"/>
  <c r="HF27" i="16"/>
  <c r="GX27" i="16"/>
  <c r="GP27" i="16"/>
  <c r="GH27" i="16"/>
  <c r="FZ27" i="16"/>
  <c r="FR27" i="16"/>
  <c r="FJ27" i="16"/>
  <c r="FB27" i="16"/>
  <c r="ET27" i="16"/>
  <c r="EL27" i="16"/>
  <c r="ED27" i="16"/>
  <c r="DV27" i="16"/>
  <c r="DN27" i="16"/>
  <c r="DF27" i="16"/>
  <c r="CX27" i="16"/>
  <c r="CP27" i="16"/>
  <c r="CH27" i="16"/>
  <c r="BZ27" i="16"/>
  <c r="BR27" i="16"/>
  <c r="BJ27" i="16"/>
  <c r="BB27" i="16"/>
  <c r="AT27" i="16"/>
  <c r="OM23" i="16"/>
  <c r="OE23" i="16"/>
  <c r="NW23" i="16"/>
  <c r="NN23" i="16"/>
  <c r="NE23" i="16"/>
  <c r="MV23" i="16"/>
  <c r="MM23" i="16"/>
  <c r="MC23" i="16"/>
  <c r="LT23" i="16"/>
  <c r="LK23" i="16"/>
  <c r="LB23" i="16"/>
  <c r="KS23" i="16"/>
  <c r="KJ23" i="16"/>
  <c r="KA23" i="16"/>
  <c r="JQ23" i="16"/>
  <c r="JH23" i="16"/>
  <c r="IY23" i="16"/>
  <c r="IP23" i="16"/>
  <c r="IG23" i="16"/>
  <c r="HX23" i="16"/>
  <c r="HO23" i="16"/>
  <c r="HE23" i="16"/>
  <c r="GV23" i="16"/>
  <c r="GL23" i="16"/>
  <c r="GB23" i="16"/>
  <c r="FP23" i="16"/>
  <c r="FF23" i="16"/>
  <c r="EV23" i="16"/>
  <c r="EJ23" i="16"/>
  <c r="DZ23" i="16"/>
  <c r="DP23" i="16"/>
  <c r="DD23" i="16"/>
  <c r="CT23" i="16"/>
  <c r="CJ23" i="16"/>
  <c r="BX23" i="16"/>
  <c r="BN23" i="16"/>
  <c r="BD23" i="16"/>
  <c r="AR23" i="16"/>
  <c r="AH23" i="16"/>
  <c r="X23" i="16"/>
  <c r="OK108" i="16"/>
  <c r="OA108" i="16"/>
  <c r="NQ108" i="16"/>
  <c r="ND108" i="16"/>
  <c r="MS108" i="16"/>
  <c r="MH108" i="16"/>
  <c r="LT108" i="16"/>
  <c r="LH108" i="16"/>
  <c r="KW108" i="16"/>
  <c r="KI108" i="16"/>
  <c r="JX108" i="16"/>
  <c r="JL108" i="16"/>
  <c r="IY108" i="16"/>
  <c r="IM108" i="16"/>
  <c r="IB108" i="16"/>
  <c r="HN108" i="16"/>
  <c r="HC108" i="16"/>
  <c r="GP108" i="16"/>
  <c r="FZ108" i="16"/>
  <c r="FN108" i="16"/>
  <c r="EZ108" i="16"/>
  <c r="EJ108" i="16"/>
  <c r="DV108" i="16"/>
  <c r="DJ108" i="16"/>
  <c r="CT108" i="16"/>
  <c r="CF108" i="16"/>
  <c r="BR108" i="16"/>
  <c r="BB108" i="16"/>
  <c r="AP108" i="16"/>
  <c r="AB108" i="16"/>
  <c r="OI53" i="16"/>
  <c r="NU53" i="16"/>
  <c r="NG53" i="16"/>
  <c r="NG58" i="16" s="1"/>
  <c r="MQ53" i="16"/>
  <c r="ME53" i="16"/>
  <c r="LQ53" i="16"/>
  <c r="LQ58" i="16" s="1"/>
  <c r="LA53" i="16"/>
  <c r="KM53" i="16"/>
  <c r="KA53" i="16"/>
  <c r="JK53" i="16"/>
  <c r="IW53" i="16"/>
  <c r="II53" i="16"/>
  <c r="HS53" i="16"/>
  <c r="HS58" i="16" s="1"/>
  <c r="HG53" i="16"/>
  <c r="HG58" i="16" s="1"/>
  <c r="GS53" i="16"/>
  <c r="GS58" i="16" s="1"/>
  <c r="GC53" i="16"/>
  <c r="FO53" i="16"/>
  <c r="FC53" i="16"/>
  <c r="EL53" i="16"/>
  <c r="EL58" i="16" s="1"/>
  <c r="DW53" i="16"/>
  <c r="DC53" i="16"/>
  <c r="CK53" i="16"/>
  <c r="BV53" i="16"/>
  <c r="BV58" i="16" s="1"/>
  <c r="BD53" i="16"/>
  <c r="OJ18" i="16"/>
  <c r="NR18" i="16"/>
  <c r="MU18" i="16"/>
  <c r="MF18" i="16"/>
  <c r="LI18" i="16"/>
  <c r="KR18" i="16"/>
  <c r="JU18" i="16"/>
  <c r="IV18" i="16"/>
  <c r="HW18" i="16"/>
  <c r="GZ18" i="16"/>
  <c r="GA18" i="16"/>
  <c r="EY18" i="16"/>
  <c r="DY18" i="16"/>
  <c r="CW18" i="16"/>
  <c r="BT18" i="16"/>
  <c r="AT18" i="16"/>
  <c r="OM76" i="16"/>
  <c r="OE76" i="16"/>
  <c r="NW76" i="16"/>
  <c r="NO76" i="16"/>
  <c r="NG76" i="16"/>
  <c r="MY76" i="16"/>
  <c r="MQ76" i="16"/>
  <c r="MI76" i="16"/>
  <c r="MA76" i="16"/>
  <c r="LS76" i="16"/>
  <c r="LK76" i="16"/>
  <c r="LC76" i="16"/>
  <c r="KU76" i="16"/>
  <c r="KM76" i="16"/>
  <c r="KE76" i="16"/>
  <c r="JW76" i="16"/>
  <c r="JO76" i="16"/>
  <c r="JG76" i="16"/>
  <c r="IY76" i="16"/>
  <c r="IQ76" i="16"/>
  <c r="II76" i="16"/>
  <c r="IA76" i="16"/>
  <c r="HS76" i="16"/>
  <c r="HK76" i="16"/>
  <c r="HC76" i="16"/>
  <c r="GU76" i="16"/>
  <c r="GM76" i="16"/>
  <c r="GE76" i="16"/>
  <c r="FW76" i="16"/>
  <c r="FO76" i="16"/>
  <c r="FG76" i="16"/>
  <c r="EY76" i="16"/>
  <c r="EQ76" i="16"/>
  <c r="EI76" i="16"/>
  <c r="EA76" i="16"/>
  <c r="DS76" i="16"/>
  <c r="DK76" i="16"/>
  <c r="DC76" i="16"/>
  <c r="CU76" i="16"/>
  <c r="CM76" i="16"/>
  <c r="CE76" i="16"/>
  <c r="BW76" i="16"/>
  <c r="BO76" i="16"/>
  <c r="BG76" i="16"/>
  <c r="AY76" i="16"/>
  <c r="MJ78" i="16"/>
  <c r="JX78" i="16"/>
  <c r="HL78" i="16"/>
  <c r="EZ78" i="16"/>
  <c r="CN78" i="16"/>
  <c r="J68" i="16"/>
  <c r="K68" i="16"/>
  <c r="L68" i="16"/>
  <c r="L84" i="16" s="1"/>
  <c r="M68" i="16"/>
  <c r="N68" i="16"/>
  <c r="O68" i="16"/>
  <c r="P68" i="16"/>
  <c r="Q68" i="16"/>
  <c r="Q84" i="16" s="1"/>
  <c r="R68" i="16"/>
  <c r="S68" i="16"/>
  <c r="T68" i="16"/>
  <c r="T84" i="16" s="1"/>
  <c r="U68" i="16"/>
  <c r="V68" i="16"/>
  <c r="W68" i="16"/>
  <c r="X68" i="16"/>
  <c r="X84" i="16" s="1"/>
  <c r="Y68" i="16"/>
  <c r="Y84" i="16" s="1"/>
  <c r="Z68" i="16"/>
  <c r="AA68" i="16"/>
  <c r="AB68" i="16"/>
  <c r="AC68" i="16"/>
  <c r="AC84" i="16" s="1"/>
  <c r="AD68" i="16"/>
  <c r="AE68" i="16"/>
  <c r="AF68" i="16"/>
  <c r="AG68" i="16"/>
  <c r="AG84" i="16" s="1"/>
  <c r="AH68" i="16"/>
  <c r="AI68" i="16"/>
  <c r="AJ68" i="16"/>
  <c r="AJ84" i="16" s="1"/>
  <c r="AK68" i="16"/>
  <c r="AL68" i="16"/>
  <c r="AM68" i="16"/>
  <c r="AN68" i="16"/>
  <c r="AO68" i="16"/>
  <c r="AO84" i="16" s="1"/>
  <c r="AP68" i="16"/>
  <c r="AQ68" i="16"/>
  <c r="AR68" i="16"/>
  <c r="AR84" i="16" s="1"/>
  <c r="AS68" i="16"/>
  <c r="F68" i="16"/>
  <c r="G68" i="16" s="1"/>
  <c r="OO27" i="16"/>
  <c r="OG27" i="16"/>
  <c r="NY27" i="16"/>
  <c r="NQ27" i="16"/>
  <c r="NI27" i="16"/>
  <c r="NA27" i="16"/>
  <c r="MS27" i="16"/>
  <c r="MK27" i="16"/>
  <c r="MC27" i="16"/>
  <c r="LU27" i="16"/>
  <c r="LM27" i="16"/>
  <c r="LE27" i="16"/>
  <c r="KW27" i="16"/>
  <c r="KO27" i="16"/>
  <c r="KG27" i="16"/>
  <c r="JY27" i="16"/>
  <c r="JQ27" i="16"/>
  <c r="JI27" i="16"/>
  <c r="JA27" i="16"/>
  <c r="IS27" i="16"/>
  <c r="IK27" i="16"/>
  <c r="IC27" i="16"/>
  <c r="HU27" i="16"/>
  <c r="HM27" i="16"/>
  <c r="HE27" i="16"/>
  <c r="GW27" i="16"/>
  <c r="GO27" i="16"/>
  <c r="GG27" i="16"/>
  <c r="FY27" i="16"/>
  <c r="FQ27" i="16"/>
  <c r="FI27" i="16"/>
  <c r="FA27" i="16"/>
  <c r="ES27" i="16"/>
  <c r="EK27" i="16"/>
  <c r="EC27" i="16"/>
  <c r="DU27" i="16"/>
  <c r="DM27" i="16"/>
  <c r="DE27" i="16"/>
  <c r="CW27" i="16"/>
  <c r="CO27" i="16"/>
  <c r="CG27" i="16"/>
  <c r="BY27" i="16"/>
  <c r="BQ27" i="16"/>
  <c r="BI27" i="16"/>
  <c r="BA27" i="16"/>
  <c r="AS27" i="16"/>
  <c r="OL23" i="16"/>
  <c r="OD23" i="16"/>
  <c r="NV23" i="16"/>
  <c r="NM23" i="16"/>
  <c r="ND23" i="16"/>
  <c r="MU23" i="16"/>
  <c r="MK23" i="16"/>
  <c r="MB23" i="16"/>
  <c r="LS23" i="16"/>
  <c r="LJ23" i="16"/>
  <c r="LA23" i="16"/>
  <c r="KR23" i="16"/>
  <c r="KI23" i="16"/>
  <c r="JY23" i="16"/>
  <c r="JP23" i="16"/>
  <c r="JG23" i="16"/>
  <c r="IX23" i="16"/>
  <c r="IO23" i="16"/>
  <c r="IF23" i="16"/>
  <c r="HW23" i="16"/>
  <c r="HM23" i="16"/>
  <c r="HD23" i="16"/>
  <c r="GU23" i="16"/>
  <c r="GK23" i="16"/>
  <c r="GA23" i="16"/>
  <c r="FO23" i="16"/>
  <c r="FE23" i="16"/>
  <c r="EU23" i="16"/>
  <c r="EI23" i="16"/>
  <c r="DY23" i="16"/>
  <c r="DO23" i="16"/>
  <c r="DC23" i="16"/>
  <c r="CS23" i="16"/>
  <c r="CI23" i="16"/>
  <c r="BW23" i="16"/>
  <c r="BM23" i="16"/>
  <c r="BC23" i="16"/>
  <c r="AQ23" i="16"/>
  <c r="AG23" i="16"/>
  <c r="W23" i="16"/>
  <c r="OJ108" i="16"/>
  <c r="NZ108" i="16"/>
  <c r="NP108" i="16"/>
  <c r="NC108" i="16"/>
  <c r="MR108" i="16"/>
  <c r="MF108" i="16"/>
  <c r="LS108" i="16"/>
  <c r="LG108" i="16"/>
  <c r="KV108" i="16"/>
  <c r="KH108" i="16"/>
  <c r="JW108" i="16"/>
  <c r="JK108" i="16"/>
  <c r="IX108" i="16"/>
  <c r="IL108" i="16"/>
  <c r="IA108" i="16"/>
  <c r="HM108" i="16"/>
  <c r="HB108" i="16"/>
  <c r="GO108" i="16"/>
  <c r="FY108" i="16"/>
  <c r="FK108" i="16"/>
  <c r="EY108" i="16"/>
  <c r="EI108" i="16"/>
  <c r="DU108" i="16"/>
  <c r="DG108" i="16"/>
  <c r="CQ108" i="16"/>
  <c r="CE108" i="16"/>
  <c r="BQ108" i="16"/>
  <c r="BA108" i="16"/>
  <c r="AM108" i="16"/>
  <c r="AA108" i="16"/>
  <c r="OH53" i="16"/>
  <c r="NT53" i="16"/>
  <c r="NF53" i="16"/>
  <c r="MP53" i="16"/>
  <c r="MD53" i="16"/>
  <c r="LP53" i="16"/>
  <c r="KZ53" i="16"/>
  <c r="KL53" i="16"/>
  <c r="JZ53" i="16"/>
  <c r="JJ53" i="16"/>
  <c r="IV53" i="16"/>
  <c r="IH53" i="16"/>
  <c r="IH58" i="16" s="1"/>
  <c r="HR53" i="16"/>
  <c r="HR58" i="16" s="1"/>
  <c r="HF53" i="16"/>
  <c r="HF58" i="16" s="1"/>
  <c r="GR53" i="16"/>
  <c r="GB53" i="16"/>
  <c r="FN53" i="16"/>
  <c r="FB53" i="16"/>
  <c r="EI53" i="16"/>
  <c r="EI58" i="16" s="1"/>
  <c r="DQ53" i="16"/>
  <c r="DB53" i="16"/>
  <c r="CJ53" i="16"/>
  <c r="BU53" i="16"/>
  <c r="BC53" i="16"/>
  <c r="BC58" i="16" s="1"/>
  <c r="OD18" i="16"/>
  <c r="NQ18" i="16"/>
  <c r="MT18" i="16"/>
  <c r="MC18" i="16"/>
  <c r="LH18" i="16"/>
  <c r="KM18" i="16"/>
  <c r="JN18" i="16"/>
  <c r="IO18" i="16"/>
  <c r="HR18" i="16"/>
  <c r="GS18" i="16"/>
  <c r="FT18" i="16"/>
  <c r="EU18" i="16"/>
  <c r="DR18" i="16"/>
  <c r="CO18" i="16"/>
  <c r="BO18" i="16"/>
  <c r="AL18" i="16"/>
  <c r="G101" i="16"/>
  <c r="AW101" i="16"/>
  <c r="BE101" i="16"/>
  <c r="BM101" i="16"/>
  <c r="BU101" i="16"/>
  <c r="CC101" i="16"/>
  <c r="CK101" i="16"/>
  <c r="CS101" i="16"/>
  <c r="DA101" i="16"/>
  <c r="DI101" i="16"/>
  <c r="DQ101" i="16"/>
  <c r="DY101" i="16"/>
  <c r="EG101" i="16"/>
  <c r="EO101" i="16"/>
  <c r="EW101" i="16"/>
  <c r="FE101" i="16"/>
  <c r="FM101" i="16"/>
  <c r="FU101" i="16"/>
  <c r="GC101" i="16"/>
  <c r="GK101" i="16"/>
  <c r="GS101" i="16"/>
  <c r="HA101" i="16"/>
  <c r="HI101" i="16"/>
  <c r="HQ101" i="16"/>
  <c r="HY101" i="16"/>
  <c r="IG101" i="16"/>
  <c r="IO101" i="16"/>
  <c r="IW101" i="16"/>
  <c r="JE101" i="16"/>
  <c r="JM101" i="16"/>
  <c r="JU101" i="16"/>
  <c r="KC101" i="16"/>
  <c r="KK101" i="16"/>
  <c r="KS101" i="16"/>
  <c r="LA101" i="16"/>
  <c r="LI101" i="16"/>
  <c r="LQ101" i="16"/>
  <c r="LY101" i="16"/>
  <c r="MG101" i="16"/>
  <c r="MO101" i="16"/>
  <c r="MW101" i="16"/>
  <c r="NE101" i="16"/>
  <c r="NM101" i="16"/>
  <c r="NU101" i="16"/>
  <c r="OC101" i="16"/>
  <c r="OK101" i="16"/>
  <c r="AT101" i="16"/>
  <c r="BB101" i="16"/>
  <c r="BJ101" i="16"/>
  <c r="BR101" i="16"/>
  <c r="BZ101" i="16"/>
  <c r="CH101" i="16"/>
  <c r="CP101" i="16"/>
  <c r="CX101" i="16"/>
  <c r="DF101" i="16"/>
  <c r="DN101" i="16"/>
  <c r="DV101" i="16"/>
  <c r="ED101" i="16"/>
  <c r="EL101" i="16"/>
  <c r="ET101" i="16"/>
  <c r="FB101" i="16"/>
  <c r="FJ101" i="16"/>
  <c r="FR101" i="16"/>
  <c r="FZ101" i="16"/>
  <c r="GH101" i="16"/>
  <c r="GP101" i="16"/>
  <c r="GX101" i="16"/>
  <c r="HF101" i="16"/>
  <c r="HN101" i="16"/>
  <c r="BD101" i="16"/>
  <c r="BO101" i="16"/>
  <c r="BY101" i="16"/>
  <c r="CJ101" i="16"/>
  <c r="CU101" i="16"/>
  <c r="DE101" i="16"/>
  <c r="DP101" i="16"/>
  <c r="EA101" i="16"/>
  <c r="EK101" i="16"/>
  <c r="EV101" i="16"/>
  <c r="FG101" i="16"/>
  <c r="FQ101" i="16"/>
  <c r="GB101" i="16"/>
  <c r="GM101" i="16"/>
  <c r="GW101" i="16"/>
  <c r="HH101" i="16"/>
  <c r="HS101" i="16"/>
  <c r="IB101" i="16"/>
  <c r="IK101" i="16"/>
  <c r="IT101" i="16"/>
  <c r="JC101" i="16"/>
  <c r="JL101" i="16"/>
  <c r="JV101" i="16"/>
  <c r="KE101" i="16"/>
  <c r="KN101" i="16"/>
  <c r="KW101" i="16"/>
  <c r="LF101" i="16"/>
  <c r="LO101" i="16"/>
  <c r="LX101" i="16"/>
  <c r="MH101" i="16"/>
  <c r="MQ101" i="16"/>
  <c r="MZ101" i="16"/>
  <c r="NI101" i="16"/>
  <c r="NR101" i="16"/>
  <c r="OA101" i="16"/>
  <c r="OJ101" i="16"/>
  <c r="AY101" i="16"/>
  <c r="BI101" i="16"/>
  <c r="BT101" i="16"/>
  <c r="CE101" i="16"/>
  <c r="CO101" i="16"/>
  <c r="CZ101" i="16"/>
  <c r="DK101" i="16"/>
  <c r="DU101" i="16"/>
  <c r="EF101" i="16"/>
  <c r="EQ101" i="16"/>
  <c r="FA101" i="16"/>
  <c r="FL101" i="16"/>
  <c r="FW101" i="16"/>
  <c r="GG101" i="16"/>
  <c r="GR101" i="16"/>
  <c r="HC101" i="16"/>
  <c r="HM101" i="16"/>
  <c r="HW101" i="16"/>
  <c r="IF101" i="16"/>
  <c r="IP101" i="16"/>
  <c r="IY101" i="16"/>
  <c r="JH101" i="16"/>
  <c r="JQ101" i="16"/>
  <c r="JZ101" i="16"/>
  <c r="KI101" i="16"/>
  <c r="KR101" i="16"/>
  <c r="LB101" i="16"/>
  <c r="LK101" i="16"/>
  <c r="LT101" i="16"/>
  <c r="MC101" i="16"/>
  <c r="ML101" i="16"/>
  <c r="MU101" i="16"/>
  <c r="ND101" i="16"/>
  <c r="NN101" i="16"/>
  <c r="NW101" i="16"/>
  <c r="OF101" i="16"/>
  <c r="OO101" i="16"/>
  <c r="BC101" i="16"/>
  <c r="BQ101" i="16"/>
  <c r="CF101" i="16"/>
  <c r="CT101" i="16"/>
  <c r="DH101" i="16"/>
  <c r="DW101" i="16"/>
  <c r="EJ101" i="16"/>
  <c r="EY101" i="16"/>
  <c r="FN101" i="16"/>
  <c r="GA101" i="16"/>
  <c r="GO101" i="16"/>
  <c r="HD101" i="16"/>
  <c r="HR101" i="16"/>
  <c r="ID101" i="16"/>
  <c r="IQ101" i="16"/>
  <c r="JB101" i="16"/>
  <c r="JO101" i="16"/>
  <c r="KA101" i="16"/>
  <c r="KM101" i="16"/>
  <c r="KY101" i="16"/>
  <c r="LL101" i="16"/>
  <c r="LW101" i="16"/>
  <c r="MJ101" i="16"/>
  <c r="MV101" i="16"/>
  <c r="NH101" i="16"/>
  <c r="NT101" i="16"/>
  <c r="OG101" i="16"/>
  <c r="BF101" i="16"/>
  <c r="BS101" i="16"/>
  <c r="CG101" i="16"/>
  <c r="CV101" i="16"/>
  <c r="DJ101" i="16"/>
  <c r="DX101" i="16"/>
  <c r="EM101" i="16"/>
  <c r="EZ101" i="16"/>
  <c r="FO101" i="16"/>
  <c r="GD101" i="16"/>
  <c r="GQ101" i="16"/>
  <c r="HE101" i="16"/>
  <c r="HT101" i="16"/>
  <c r="IE101" i="16"/>
  <c r="IR101" i="16"/>
  <c r="JD101" i="16"/>
  <c r="JP101" i="16"/>
  <c r="KB101" i="16"/>
  <c r="KO101" i="16"/>
  <c r="KZ101" i="16"/>
  <c r="LM101" i="16"/>
  <c r="LZ101" i="16"/>
  <c r="MK101" i="16"/>
  <c r="MX101" i="16"/>
  <c r="NJ101" i="16"/>
  <c r="NV101" i="16"/>
  <c r="OH101" i="16"/>
  <c r="BG101" i="16"/>
  <c r="BV101" i="16"/>
  <c r="CI101" i="16"/>
  <c r="CW101" i="16"/>
  <c r="DL101" i="16"/>
  <c r="DZ101" i="16"/>
  <c r="EN101" i="16"/>
  <c r="FC101" i="16"/>
  <c r="FP101" i="16"/>
  <c r="GE101" i="16"/>
  <c r="GT101" i="16"/>
  <c r="HG101" i="16"/>
  <c r="HU101" i="16"/>
  <c r="IH101" i="16"/>
  <c r="IS101" i="16"/>
  <c r="JF101" i="16"/>
  <c r="JR101" i="16"/>
  <c r="KD101" i="16"/>
  <c r="KP101" i="16"/>
  <c r="LC101" i="16"/>
  <c r="LN101" i="16"/>
  <c r="MA101" i="16"/>
  <c r="MM101" i="16"/>
  <c r="MY101" i="16"/>
  <c r="NK101" i="16"/>
  <c r="NX101" i="16"/>
  <c r="OI101" i="16"/>
  <c r="OM101" i="16"/>
  <c r="NQ101" i="16"/>
  <c r="NA101" i="16"/>
  <c r="ME101" i="16"/>
  <c r="LJ101" i="16"/>
  <c r="KT101" i="16"/>
  <c r="JX101" i="16"/>
  <c r="JG101" i="16"/>
  <c r="IL101" i="16"/>
  <c r="HP101" i="16"/>
  <c r="GV101" i="16"/>
  <c r="FX101" i="16"/>
  <c r="FD101" i="16"/>
  <c r="EE101" i="16"/>
  <c r="DG101" i="16"/>
  <c r="CM101" i="16"/>
  <c r="BN101" i="16"/>
  <c r="AU101" i="16"/>
  <c r="J161" i="16"/>
  <c r="OL101" i="16"/>
  <c r="NP101" i="16"/>
  <c r="MT101" i="16"/>
  <c r="MD101" i="16"/>
  <c r="LH101" i="16"/>
  <c r="KQ101" i="16"/>
  <c r="JW101" i="16"/>
  <c r="JA101" i="16"/>
  <c r="IJ101" i="16"/>
  <c r="HO101" i="16"/>
  <c r="GU101" i="16"/>
  <c r="FV101" i="16"/>
  <c r="EX101" i="16"/>
  <c r="EC101" i="16"/>
  <c r="DD101" i="16"/>
  <c r="CL101" i="16"/>
  <c r="BL101" i="16"/>
  <c r="G12" i="19"/>
  <c r="F11" i="19"/>
  <c r="F15" i="19"/>
  <c r="F16" i="19"/>
  <c r="H22" i="17"/>
  <c r="I23" i="17"/>
  <c r="G22" i="16"/>
  <c r="AN22" i="16"/>
  <c r="AV22" i="16"/>
  <c r="BD22" i="16"/>
  <c r="BL22" i="16"/>
  <c r="BT22" i="16"/>
  <c r="CB22" i="16"/>
  <c r="CJ22" i="16"/>
  <c r="CR22" i="16"/>
  <c r="CZ22" i="16"/>
  <c r="DH22" i="16"/>
  <c r="DP22" i="16"/>
  <c r="DX22" i="16"/>
  <c r="EF22" i="16"/>
  <c r="EN22" i="16"/>
  <c r="EV22" i="16"/>
  <c r="FD22" i="16"/>
  <c r="FL22" i="16"/>
  <c r="FT22" i="16"/>
  <c r="GB22" i="16"/>
  <c r="GJ22" i="16"/>
  <c r="GR22" i="16"/>
  <c r="GZ22" i="16"/>
  <c r="HH22" i="16"/>
  <c r="HP22" i="16"/>
  <c r="HX22" i="16"/>
  <c r="IF22" i="16"/>
  <c r="IN22" i="16"/>
  <c r="IV22" i="16"/>
  <c r="JD22" i="16"/>
  <c r="JL22" i="16"/>
  <c r="JT22" i="16"/>
  <c r="KB22" i="16"/>
  <c r="KJ22" i="16"/>
  <c r="KR22" i="16"/>
  <c r="KZ22" i="16"/>
  <c r="LH22" i="16"/>
  <c r="LP22" i="16"/>
  <c r="LX22" i="16"/>
  <c r="MF22" i="16"/>
  <c r="MN22" i="16"/>
  <c r="MV22" i="16"/>
  <c r="ND22" i="16"/>
  <c r="NL22" i="16"/>
  <c r="NT22" i="16"/>
  <c r="OB22" i="16"/>
  <c r="OJ22" i="16"/>
  <c r="AS22" i="16"/>
  <c r="BA22" i="16"/>
  <c r="BI22" i="16"/>
  <c r="BQ22" i="16"/>
  <c r="BY22" i="16"/>
  <c r="CG22" i="16"/>
  <c r="CO22" i="16"/>
  <c r="CW22" i="16"/>
  <c r="DE22" i="16"/>
  <c r="DM22" i="16"/>
  <c r="DU22" i="16"/>
  <c r="EC22" i="16"/>
  <c r="EK22" i="16"/>
  <c r="ES22" i="16"/>
  <c r="FA22" i="16"/>
  <c r="FI22" i="16"/>
  <c r="FQ22" i="16"/>
  <c r="FY22" i="16"/>
  <c r="GG22" i="16"/>
  <c r="GO22" i="16"/>
  <c r="GW22" i="16"/>
  <c r="HE22" i="16"/>
  <c r="HM22" i="16"/>
  <c r="HU22" i="16"/>
  <c r="IC22" i="16"/>
  <c r="IK22" i="16"/>
  <c r="IS22" i="16"/>
  <c r="JA22" i="16"/>
  <c r="JI22" i="16"/>
  <c r="JQ22" i="16"/>
  <c r="JY22" i="16"/>
  <c r="KG22" i="16"/>
  <c r="KO22" i="16"/>
  <c r="KW22" i="16"/>
  <c r="LE22" i="16"/>
  <c r="LM22" i="16"/>
  <c r="LU22" i="16"/>
  <c r="MC22" i="16"/>
  <c r="MK22" i="16"/>
  <c r="MS22" i="16"/>
  <c r="NA22" i="16"/>
  <c r="NI22" i="16"/>
  <c r="NQ22" i="16"/>
  <c r="NY22" i="16"/>
  <c r="OG22" i="16"/>
  <c r="OO22" i="16"/>
  <c r="G26" i="16"/>
  <c r="AQ26" i="16"/>
  <c r="AY26" i="16"/>
  <c r="BG26" i="16"/>
  <c r="BO26" i="16"/>
  <c r="BW26" i="16"/>
  <c r="CE26" i="16"/>
  <c r="CM26" i="16"/>
  <c r="CU26" i="16"/>
  <c r="DC26" i="16"/>
  <c r="DK26" i="16"/>
  <c r="DS26" i="16"/>
  <c r="EA26" i="16"/>
  <c r="EI26" i="16"/>
  <c r="EQ26" i="16"/>
  <c r="EY26" i="16"/>
  <c r="FG26" i="16"/>
  <c r="FO26" i="16"/>
  <c r="FW26" i="16"/>
  <c r="GE26" i="16"/>
  <c r="GM26" i="16"/>
  <c r="GU26" i="16"/>
  <c r="HC26" i="16"/>
  <c r="HK26" i="16"/>
  <c r="HS26" i="16"/>
  <c r="IA26" i="16"/>
  <c r="II26" i="16"/>
  <c r="IQ26" i="16"/>
  <c r="AP26" i="16"/>
  <c r="AZ26" i="16"/>
  <c r="BI26" i="16"/>
  <c r="BR26" i="16"/>
  <c r="CA26" i="16"/>
  <c r="CJ26" i="16"/>
  <c r="CS26" i="16"/>
  <c r="DB26" i="16"/>
  <c r="DL26" i="16"/>
  <c r="DU26" i="16"/>
  <c r="ED26" i="16"/>
  <c r="EM26" i="16"/>
  <c r="EV26" i="16"/>
  <c r="FE26" i="16"/>
  <c r="FN26" i="16"/>
  <c r="FX26" i="16"/>
  <c r="GG26" i="16"/>
  <c r="GP26" i="16"/>
  <c r="GY26" i="16"/>
  <c r="HH26" i="16"/>
  <c r="HQ26" i="16"/>
  <c r="HZ26" i="16"/>
  <c r="IJ26" i="16"/>
  <c r="IS26" i="16"/>
  <c r="JA26" i="16"/>
  <c r="JI26" i="16"/>
  <c r="JQ26" i="16"/>
  <c r="JY26" i="16"/>
  <c r="KG26" i="16"/>
  <c r="KO26" i="16"/>
  <c r="KW26" i="16"/>
  <c r="LE26" i="16"/>
  <c r="LM26" i="16"/>
  <c r="LU26" i="16"/>
  <c r="MC26" i="16"/>
  <c r="MK26" i="16"/>
  <c r="MS26" i="16"/>
  <c r="NA26" i="16"/>
  <c r="NI26" i="16"/>
  <c r="NQ26" i="16"/>
  <c r="NY26" i="16"/>
  <c r="OG26" i="16"/>
  <c r="OO26" i="16"/>
  <c r="AT26" i="16"/>
  <c r="BC26" i="16"/>
  <c r="BL26" i="16"/>
  <c r="BU26" i="16"/>
  <c r="CD26" i="16"/>
  <c r="CN26" i="16"/>
  <c r="CW26" i="16"/>
  <c r="DF26" i="16"/>
  <c r="DO26" i="16"/>
  <c r="DX26" i="16"/>
  <c r="EG26" i="16"/>
  <c r="EP26" i="16"/>
  <c r="EZ26" i="16"/>
  <c r="FI26" i="16"/>
  <c r="FR26" i="16"/>
  <c r="GA26" i="16"/>
  <c r="GJ26" i="16"/>
  <c r="GS26" i="16"/>
  <c r="HB26" i="16"/>
  <c r="HL26" i="16"/>
  <c r="HU26" i="16"/>
  <c r="ID26" i="16"/>
  <c r="IM26" i="16"/>
  <c r="IV26" i="16"/>
  <c r="JD26" i="16"/>
  <c r="JL26" i="16"/>
  <c r="JT26" i="16"/>
  <c r="KB26" i="16"/>
  <c r="KJ26" i="16"/>
  <c r="KR26" i="16"/>
  <c r="KZ26" i="16"/>
  <c r="LH26" i="16"/>
  <c r="LP26" i="16"/>
  <c r="LX26" i="16"/>
  <c r="MF26" i="16"/>
  <c r="MN26" i="16"/>
  <c r="MV26" i="16"/>
  <c r="ND26" i="16"/>
  <c r="NL26" i="16"/>
  <c r="NT26" i="16"/>
  <c r="OB26" i="16"/>
  <c r="OJ26" i="16"/>
  <c r="AV26" i="16"/>
  <c r="BE26" i="16"/>
  <c r="BN26" i="16"/>
  <c r="BX26" i="16"/>
  <c r="CG26" i="16"/>
  <c r="CP26" i="16"/>
  <c r="CY26" i="16"/>
  <c r="DH26" i="16"/>
  <c r="DQ26" i="16"/>
  <c r="DZ26" i="16"/>
  <c r="EJ26" i="16"/>
  <c r="ES26" i="16"/>
  <c r="FB26" i="16"/>
  <c r="FK26" i="16"/>
  <c r="FT26" i="16"/>
  <c r="GC26" i="16"/>
  <c r="GL26" i="16"/>
  <c r="GV26" i="16"/>
  <c r="HE26" i="16"/>
  <c r="HN26" i="16"/>
  <c r="HW26" i="16"/>
  <c r="IF26" i="16"/>
  <c r="IO26" i="16"/>
  <c r="IX26" i="16"/>
  <c r="JF26" i="16"/>
  <c r="JN26" i="16"/>
  <c r="JV26" i="16"/>
  <c r="KD26" i="16"/>
  <c r="KL26" i="16"/>
  <c r="KT26" i="16"/>
  <c r="LB26" i="16"/>
  <c r="LJ26" i="16"/>
  <c r="LR26" i="16"/>
  <c r="LZ26" i="16"/>
  <c r="MH26" i="16"/>
  <c r="MP26" i="16"/>
  <c r="MX26" i="16"/>
  <c r="NF26" i="16"/>
  <c r="NN26" i="16"/>
  <c r="NV26" i="16"/>
  <c r="OD26" i="16"/>
  <c r="OL26" i="16"/>
  <c r="AN136" i="16"/>
  <c r="AL136" i="16"/>
  <c r="AJ136" i="16"/>
  <c r="AH136" i="16"/>
  <c r="J134" i="16"/>
  <c r="G24" i="16"/>
  <c r="V24" i="16" s="1"/>
  <c r="AQ24" i="16"/>
  <c r="AY24" i="16"/>
  <c r="BG24" i="16"/>
  <c r="BO24" i="16"/>
  <c r="BW24" i="16"/>
  <c r="AO24" i="16"/>
  <c r="AX24" i="16"/>
  <c r="BH24" i="16"/>
  <c r="BQ24" i="16"/>
  <c r="BZ24" i="16"/>
  <c r="CH24" i="16"/>
  <c r="CP24" i="16"/>
  <c r="CX24" i="16"/>
  <c r="DF24" i="16"/>
  <c r="DN24" i="16"/>
  <c r="DV24" i="16"/>
  <c r="ED24" i="16"/>
  <c r="EL24" i="16"/>
  <c r="ET24" i="16"/>
  <c r="FB24" i="16"/>
  <c r="FJ24" i="16"/>
  <c r="FR24" i="16"/>
  <c r="FZ24" i="16"/>
  <c r="GH24" i="16"/>
  <c r="GP24" i="16"/>
  <c r="GX24" i="16"/>
  <c r="HF24" i="16"/>
  <c r="HN24" i="16"/>
  <c r="HV24" i="16"/>
  <c r="ID24" i="16"/>
  <c r="IL24" i="16"/>
  <c r="IT24" i="16"/>
  <c r="JB24" i="16"/>
  <c r="JJ24" i="16"/>
  <c r="JR24" i="16"/>
  <c r="JZ24" i="16"/>
  <c r="KH24" i="16"/>
  <c r="KP24" i="16"/>
  <c r="KX24" i="16"/>
  <c r="LF24" i="16"/>
  <c r="LN24" i="16"/>
  <c r="LV24" i="16"/>
  <c r="MD24" i="16"/>
  <c r="ML24" i="16"/>
  <c r="MT24" i="16"/>
  <c r="NB24" i="16"/>
  <c r="NJ24" i="16"/>
  <c r="AW24" i="16"/>
  <c r="BI24" i="16"/>
  <c r="BS24" i="16"/>
  <c r="CC24" i="16"/>
  <c r="CL24" i="16"/>
  <c r="CU24" i="16"/>
  <c r="DD24" i="16"/>
  <c r="DM24" i="16"/>
  <c r="DW24" i="16"/>
  <c r="EF24" i="16"/>
  <c r="EO24" i="16"/>
  <c r="EX24" i="16"/>
  <c r="FG24" i="16"/>
  <c r="FP24" i="16"/>
  <c r="FY24" i="16"/>
  <c r="GI24" i="16"/>
  <c r="GR24" i="16"/>
  <c r="HA24" i="16"/>
  <c r="HJ24" i="16"/>
  <c r="HS24" i="16"/>
  <c r="IB24" i="16"/>
  <c r="IK24" i="16"/>
  <c r="IU24" i="16"/>
  <c r="JD24" i="16"/>
  <c r="JM24" i="16"/>
  <c r="JV24" i="16"/>
  <c r="KE24" i="16"/>
  <c r="KN24" i="16"/>
  <c r="KW24" i="16"/>
  <c r="LG24" i="16"/>
  <c r="LP24" i="16"/>
  <c r="LY24" i="16"/>
  <c r="MH24" i="16"/>
  <c r="MQ24" i="16"/>
  <c r="MZ24" i="16"/>
  <c r="NI24" i="16"/>
  <c r="NR24" i="16"/>
  <c r="NZ24" i="16"/>
  <c r="OH24" i="16"/>
  <c r="AN24" i="16"/>
  <c r="AZ24" i="16"/>
  <c r="BJ24" i="16"/>
  <c r="BT24" i="16"/>
  <c r="CD24" i="16"/>
  <c r="CM24" i="16"/>
  <c r="CV24" i="16"/>
  <c r="DE24" i="16"/>
  <c r="DO24" i="16"/>
  <c r="DX24" i="16"/>
  <c r="EG24" i="16"/>
  <c r="EP24" i="16"/>
  <c r="EY24" i="16"/>
  <c r="FH24" i="16"/>
  <c r="FQ24" i="16"/>
  <c r="GA24" i="16"/>
  <c r="GJ24" i="16"/>
  <c r="GS24" i="16"/>
  <c r="HB24" i="16"/>
  <c r="HK24" i="16"/>
  <c r="HT24" i="16"/>
  <c r="IC24" i="16"/>
  <c r="IM24" i="16"/>
  <c r="IV24" i="16"/>
  <c r="JE24" i="16"/>
  <c r="JN24" i="16"/>
  <c r="JW24" i="16"/>
  <c r="KF24" i="16"/>
  <c r="KO24" i="16"/>
  <c r="KY24" i="16"/>
  <c r="LH24" i="16"/>
  <c r="LQ24" i="16"/>
  <c r="LZ24" i="16"/>
  <c r="MI24" i="16"/>
  <c r="MR24" i="16"/>
  <c r="NA24" i="16"/>
  <c r="NK24" i="16"/>
  <c r="NS24" i="16"/>
  <c r="OA24" i="16"/>
  <c r="OI24" i="16"/>
  <c r="AR24" i="16"/>
  <c r="BB24" i="16"/>
  <c r="BL24" i="16"/>
  <c r="BV24" i="16"/>
  <c r="CF24" i="16"/>
  <c r="CO24" i="16"/>
  <c r="CY24" i="16"/>
  <c r="DH24" i="16"/>
  <c r="DQ24" i="16"/>
  <c r="DZ24" i="16"/>
  <c r="EI24" i="16"/>
  <c r="ER24" i="16"/>
  <c r="FA24" i="16"/>
  <c r="FK24" i="16"/>
  <c r="FT24" i="16"/>
  <c r="GC24" i="16"/>
  <c r="GL24" i="16"/>
  <c r="GU24" i="16"/>
  <c r="HD24" i="16"/>
  <c r="HM24" i="16"/>
  <c r="HW24" i="16"/>
  <c r="IF24" i="16"/>
  <c r="IO24" i="16"/>
  <c r="IX24" i="16"/>
  <c r="JG24" i="16"/>
  <c r="JP24" i="16"/>
  <c r="JY24" i="16"/>
  <c r="KI24" i="16"/>
  <c r="KR24" i="16"/>
  <c r="LA24" i="16"/>
  <c r="LJ24" i="16"/>
  <c r="LS24" i="16"/>
  <c r="MB24" i="16"/>
  <c r="MK24" i="16"/>
  <c r="MU24" i="16"/>
  <c r="ND24" i="16"/>
  <c r="NM24" i="16"/>
  <c r="NU24" i="16"/>
  <c r="OC24" i="16"/>
  <c r="OK24" i="16"/>
  <c r="AT24" i="16"/>
  <c r="BD24" i="16"/>
  <c r="BN24" i="16"/>
  <c r="BY24" i="16"/>
  <c r="CI24" i="16"/>
  <c r="CR24" i="16"/>
  <c r="DA24" i="16"/>
  <c r="DJ24" i="16"/>
  <c r="DS24" i="16"/>
  <c r="EB24" i="16"/>
  <c r="EK24" i="16"/>
  <c r="EU24" i="16"/>
  <c r="FD24" i="16"/>
  <c r="FM24" i="16"/>
  <c r="FV24" i="16"/>
  <c r="GE24" i="16"/>
  <c r="GN24" i="16"/>
  <c r="GW24" i="16"/>
  <c r="HG24" i="16"/>
  <c r="HP24" i="16"/>
  <c r="HY24" i="16"/>
  <c r="IH24" i="16"/>
  <c r="IQ24" i="16"/>
  <c r="IZ24" i="16"/>
  <c r="JI24" i="16"/>
  <c r="JS24" i="16"/>
  <c r="KB24" i="16"/>
  <c r="KK24" i="16"/>
  <c r="KT24" i="16"/>
  <c r="LC24" i="16"/>
  <c r="LL24" i="16"/>
  <c r="LU24" i="16"/>
  <c r="ME24" i="16"/>
  <c r="MN24" i="16"/>
  <c r="MW24" i="16"/>
  <c r="NF24" i="16"/>
  <c r="NO24" i="16"/>
  <c r="NW24" i="16"/>
  <c r="OE24" i="16"/>
  <c r="OM24" i="16"/>
  <c r="OL24" i="16"/>
  <c r="NV24" i="16"/>
  <c r="NE24" i="16"/>
  <c r="MM24" i="16"/>
  <c r="LT24" i="16"/>
  <c r="LB24" i="16"/>
  <c r="KJ24" i="16"/>
  <c r="JQ24" i="16"/>
  <c r="IY24" i="16"/>
  <c r="IG24" i="16"/>
  <c r="HO24" i="16"/>
  <c r="GV24" i="16"/>
  <c r="GD24" i="16"/>
  <c r="FL24" i="16"/>
  <c r="ES24" i="16"/>
  <c r="EA24" i="16"/>
  <c r="DI24" i="16"/>
  <c r="CQ24" i="16"/>
  <c r="BX24" i="16"/>
  <c r="BC24" i="16"/>
  <c r="G17" i="16"/>
  <c r="P17" i="16" s="1"/>
  <c r="AN17" i="16"/>
  <c r="AV17" i="16"/>
  <c r="BD17" i="16"/>
  <c r="BL17" i="16"/>
  <c r="BT17" i="16"/>
  <c r="CB17" i="16"/>
  <c r="CJ17" i="16"/>
  <c r="CR17" i="16"/>
  <c r="CZ17" i="16"/>
  <c r="DH17" i="16"/>
  <c r="DP17" i="16"/>
  <c r="DX17" i="16"/>
  <c r="EF17" i="16"/>
  <c r="EN17" i="16"/>
  <c r="EV17" i="16"/>
  <c r="FD17" i="16"/>
  <c r="FL17" i="16"/>
  <c r="FT17" i="16"/>
  <c r="GB17" i="16"/>
  <c r="GJ17" i="16"/>
  <c r="GR17" i="16"/>
  <c r="GZ17" i="16"/>
  <c r="HH17" i="16"/>
  <c r="HP17" i="16"/>
  <c r="HX17" i="16"/>
  <c r="IF17" i="16"/>
  <c r="IN17" i="16"/>
  <c r="IV17" i="16"/>
  <c r="JD17" i="16"/>
  <c r="JL17" i="16"/>
  <c r="JT17" i="16"/>
  <c r="KB17" i="16"/>
  <c r="KJ17" i="16"/>
  <c r="KR17" i="16"/>
  <c r="KZ17" i="16"/>
  <c r="LH17" i="16"/>
  <c r="LP17" i="16"/>
  <c r="LX17" i="16"/>
  <c r="MF17" i="16"/>
  <c r="MN17" i="16"/>
  <c r="MV17" i="16"/>
  <c r="ND17" i="16"/>
  <c r="NL17" i="16"/>
  <c r="NT17" i="16"/>
  <c r="OB17" i="16"/>
  <c r="OJ17" i="16"/>
  <c r="AP17" i="16"/>
  <c r="AX17" i="16"/>
  <c r="BF17" i="16"/>
  <c r="BN17" i="16"/>
  <c r="BV17" i="16"/>
  <c r="CD17" i="16"/>
  <c r="CL17" i="16"/>
  <c r="CT17" i="16"/>
  <c r="DB17" i="16"/>
  <c r="DJ17" i="16"/>
  <c r="DR17" i="16"/>
  <c r="DZ17" i="16"/>
  <c r="EH17" i="16"/>
  <c r="EP17" i="16"/>
  <c r="EX17" i="16"/>
  <c r="FF17" i="16"/>
  <c r="FN17" i="16"/>
  <c r="FV17" i="16"/>
  <c r="GD17" i="16"/>
  <c r="GL17" i="16"/>
  <c r="GT17" i="16"/>
  <c r="HB17" i="16"/>
  <c r="HJ17" i="16"/>
  <c r="HR17" i="16"/>
  <c r="HZ17" i="16"/>
  <c r="IH17" i="16"/>
  <c r="IP17" i="16"/>
  <c r="IX17" i="16"/>
  <c r="JF17" i="16"/>
  <c r="JN17" i="16"/>
  <c r="JV17" i="16"/>
  <c r="KD17" i="16"/>
  <c r="KL17" i="16"/>
  <c r="AT17" i="16"/>
  <c r="BE17" i="16"/>
  <c r="BP17" i="16"/>
  <c r="BZ17" i="16"/>
  <c r="CK17" i="16"/>
  <c r="CV17" i="16"/>
  <c r="DF17" i="16"/>
  <c r="DQ17" i="16"/>
  <c r="EB17" i="16"/>
  <c r="EL17" i="16"/>
  <c r="EW17" i="16"/>
  <c r="FH17" i="16"/>
  <c r="FR17" i="16"/>
  <c r="GC17" i="16"/>
  <c r="GN17" i="16"/>
  <c r="GX17" i="16"/>
  <c r="HI17" i="16"/>
  <c r="HT17" i="16"/>
  <c r="ID17" i="16"/>
  <c r="IO17" i="16"/>
  <c r="IZ17" i="16"/>
  <c r="JJ17" i="16"/>
  <c r="JU17" i="16"/>
  <c r="KF17" i="16"/>
  <c r="KP17" i="16"/>
  <c r="KY17" i="16"/>
  <c r="LI17" i="16"/>
  <c r="LR17" i="16"/>
  <c r="MA17" i="16"/>
  <c r="MJ17" i="16"/>
  <c r="MS17" i="16"/>
  <c r="NB17" i="16"/>
  <c r="NK17" i="16"/>
  <c r="NU17" i="16"/>
  <c r="OD17" i="16"/>
  <c r="OM17" i="16"/>
  <c r="NZ17" i="16"/>
  <c r="NP17" i="16"/>
  <c r="NF17" i="16"/>
  <c r="MU17" i="16"/>
  <c r="MK17" i="16"/>
  <c r="LZ17" i="16"/>
  <c r="LO17" i="16"/>
  <c r="LE17" i="16"/>
  <c r="KU17" i="16"/>
  <c r="KI17" i="16"/>
  <c r="JX17" i="16"/>
  <c r="JK17" i="16"/>
  <c r="IY17" i="16"/>
  <c r="IL17" i="16"/>
  <c r="IA17" i="16"/>
  <c r="HN17" i="16"/>
  <c r="HC17" i="16"/>
  <c r="GP17" i="16"/>
  <c r="GE17" i="16"/>
  <c r="FQ17" i="16"/>
  <c r="FE17" i="16"/>
  <c r="ES17" i="16"/>
  <c r="EG17" i="16"/>
  <c r="DU17" i="16"/>
  <c r="DI17" i="16"/>
  <c r="CW17" i="16"/>
  <c r="CI17" i="16"/>
  <c r="BX17" i="16"/>
  <c r="BK17" i="16"/>
  <c r="AZ17" i="16"/>
  <c r="J129" i="16"/>
  <c r="J162" i="16"/>
  <c r="J132" i="16"/>
  <c r="OG17" i="16"/>
  <c r="NW17" i="16"/>
  <c r="NM17" i="16"/>
  <c r="NA17" i="16"/>
  <c r="MQ17" i="16"/>
  <c r="MG17" i="16"/>
  <c r="LV17" i="16"/>
  <c r="LL17" i="16"/>
  <c r="LB17" i="16"/>
  <c r="KQ17" i="16"/>
  <c r="KE17" i="16"/>
  <c r="JR17" i="16"/>
  <c r="JG17" i="16"/>
  <c r="IT17" i="16"/>
  <c r="II17" i="16"/>
  <c r="HV17" i="16"/>
  <c r="HK17" i="16"/>
  <c r="GW17" i="16"/>
  <c r="GK17" i="16"/>
  <c r="FY17" i="16"/>
  <c r="FM17" i="16"/>
  <c r="FA17" i="16"/>
  <c r="EO17" i="16"/>
  <c r="EC17" i="16"/>
  <c r="DO17" i="16"/>
  <c r="DD17" i="16"/>
  <c r="CQ17" i="16"/>
  <c r="CF17" i="16"/>
  <c r="BS17" i="16"/>
  <c r="BH17" i="16"/>
  <c r="AU17" i="16"/>
  <c r="J128" i="16"/>
  <c r="J133" i="16"/>
  <c r="AM136" i="16"/>
  <c r="J127" i="16"/>
  <c r="AA136" i="16"/>
  <c r="W136" i="16"/>
  <c r="U136" i="16"/>
  <c r="OJ19" i="16"/>
  <c r="OB19" i="16"/>
  <c r="NT19" i="16"/>
  <c r="NL19" i="16"/>
  <c r="ND19" i="16"/>
  <c r="MV19" i="16"/>
  <c r="MN19" i="16"/>
  <c r="MF19" i="16"/>
  <c r="LX19" i="16"/>
  <c r="LP19" i="16"/>
  <c r="LH19" i="16"/>
  <c r="KZ19" i="16"/>
  <c r="KR19" i="16"/>
  <c r="KJ19" i="16"/>
  <c r="KB19" i="16"/>
  <c r="JT19" i="16"/>
  <c r="JL19" i="16"/>
  <c r="JD19" i="16"/>
  <c r="IV19" i="16"/>
  <c r="IN19" i="16"/>
  <c r="IF19" i="16"/>
  <c r="HX19" i="16"/>
  <c r="HP19" i="16"/>
  <c r="HH19" i="16"/>
  <c r="GZ19" i="16"/>
  <c r="GR19" i="16"/>
  <c r="GJ19" i="16"/>
  <c r="GB19" i="16"/>
  <c r="FT19" i="16"/>
  <c r="FL19" i="16"/>
  <c r="FD19" i="16"/>
  <c r="EV19" i="16"/>
  <c r="EN19" i="16"/>
  <c r="EF19" i="16"/>
  <c r="DX19" i="16"/>
  <c r="DP19" i="16"/>
  <c r="DH19" i="16"/>
  <c r="CZ19" i="16"/>
  <c r="CR19" i="16"/>
  <c r="CJ19" i="16"/>
  <c r="CB19" i="16"/>
  <c r="BT19" i="16"/>
  <c r="BL19" i="16"/>
  <c r="BD19" i="16"/>
  <c r="AV19" i="16"/>
  <c r="AN19" i="16"/>
  <c r="AF19" i="16"/>
  <c r="X19" i="16"/>
  <c r="P19" i="16"/>
  <c r="AD136" i="16"/>
  <c r="AB136" i="16"/>
  <c r="Z136" i="16"/>
  <c r="J125" i="16"/>
  <c r="KY25" i="16"/>
  <c r="KQ25" i="16"/>
  <c r="KI25" i="16"/>
  <c r="KA25" i="16"/>
  <c r="JS25" i="16"/>
  <c r="JK25" i="16"/>
  <c r="JC25" i="16"/>
  <c r="IU25" i="16"/>
  <c r="IM25" i="16"/>
  <c r="IE25" i="16"/>
  <c r="HW25" i="16"/>
  <c r="HO25" i="16"/>
  <c r="HG25" i="16"/>
  <c r="GY25" i="16"/>
  <c r="GQ25" i="16"/>
  <c r="GI25" i="16"/>
  <c r="GA25" i="16"/>
  <c r="FS25" i="16"/>
  <c r="FK25" i="16"/>
  <c r="FC25" i="16"/>
  <c r="EU25" i="16"/>
  <c r="EM25" i="16"/>
  <c r="EE25" i="16"/>
  <c r="DW25" i="16"/>
  <c r="DO25" i="16"/>
  <c r="DG25" i="16"/>
  <c r="CY25" i="16"/>
  <c r="CQ25" i="16"/>
  <c r="CI25" i="16"/>
  <c r="CA25" i="16"/>
  <c r="BS25" i="16"/>
  <c r="BK25" i="16"/>
  <c r="BC25" i="16"/>
  <c r="AU25" i="16"/>
  <c r="AM25" i="16"/>
  <c r="AE25" i="16"/>
  <c r="W25" i="16"/>
  <c r="OH19" i="16"/>
  <c r="NZ19" i="16"/>
  <c r="NR19" i="16"/>
  <c r="NJ19" i="16"/>
  <c r="NB19" i="16"/>
  <c r="MT19" i="16"/>
  <c r="ML19" i="16"/>
  <c r="MD19" i="16"/>
  <c r="LV19" i="16"/>
  <c r="LN19" i="16"/>
  <c r="LF19" i="16"/>
  <c r="KX19" i="16"/>
  <c r="KP19" i="16"/>
  <c r="KH19" i="16"/>
  <c r="JZ19" i="16"/>
  <c r="JR19" i="16"/>
  <c r="JJ19" i="16"/>
  <c r="JB19" i="16"/>
  <c r="IT19" i="16"/>
  <c r="IL19" i="16"/>
  <c r="ID19" i="16"/>
  <c r="HV19" i="16"/>
  <c r="HN19" i="16"/>
  <c r="HF19" i="16"/>
  <c r="GX19" i="16"/>
  <c r="GP19" i="16"/>
  <c r="GH19" i="16"/>
  <c r="FZ19" i="16"/>
  <c r="FR19" i="16"/>
  <c r="FJ19" i="16"/>
  <c r="FB19" i="16"/>
  <c r="ET19" i="16"/>
  <c r="EL19" i="16"/>
  <c r="ED19" i="16"/>
  <c r="DV19" i="16"/>
  <c r="DN19" i="16"/>
  <c r="DF19" i="16"/>
  <c r="CX19" i="16"/>
  <c r="CP19" i="16"/>
  <c r="CH19" i="16"/>
  <c r="BZ19" i="16"/>
  <c r="BR19" i="16"/>
  <c r="BJ19" i="16"/>
  <c r="BB19" i="16"/>
  <c r="AT19" i="16"/>
  <c r="AL19" i="16"/>
  <c r="AD19" i="16"/>
  <c r="V19" i="16"/>
  <c r="NY19" i="16"/>
  <c r="NQ19" i="16"/>
  <c r="NI19" i="16"/>
  <c r="NA19" i="16"/>
  <c r="MS19" i="16"/>
  <c r="MK19" i="16"/>
  <c r="MC19" i="16"/>
  <c r="LU19" i="16"/>
  <c r="LM19" i="16"/>
  <c r="LE19" i="16"/>
  <c r="KW19" i="16"/>
  <c r="KO19" i="16"/>
  <c r="KG19" i="16"/>
  <c r="JY19" i="16"/>
  <c r="JQ19" i="16"/>
  <c r="JI19" i="16"/>
  <c r="JA19" i="16"/>
  <c r="IS19" i="16"/>
  <c r="IK19" i="16"/>
  <c r="IC19" i="16"/>
  <c r="HU19" i="16"/>
  <c r="HM19" i="16"/>
  <c r="HE19" i="16"/>
  <c r="GW19" i="16"/>
  <c r="GO19" i="16"/>
  <c r="GG19" i="16"/>
  <c r="FY19" i="16"/>
  <c r="FQ19" i="16"/>
  <c r="FI19" i="16"/>
  <c r="FA19" i="16"/>
  <c r="ES19" i="16"/>
  <c r="EK19" i="16"/>
  <c r="EC19" i="16"/>
  <c r="DU19" i="16"/>
  <c r="DM19" i="16"/>
  <c r="DE19" i="16"/>
  <c r="CW19" i="16"/>
  <c r="CO19" i="16"/>
  <c r="CG19" i="16"/>
  <c r="BY19" i="16"/>
  <c r="BQ19" i="16"/>
  <c r="BI19" i="16"/>
  <c r="BA19" i="16"/>
  <c r="AS19" i="16"/>
  <c r="AK19" i="16"/>
  <c r="AB19" i="16"/>
  <c r="U19" i="16"/>
  <c r="J136" i="16"/>
  <c r="OO25" i="16"/>
  <c r="OG25" i="16"/>
  <c r="NY25" i="16"/>
  <c r="NQ25" i="16"/>
  <c r="NI25" i="16"/>
  <c r="NA25" i="16"/>
  <c r="MS25" i="16"/>
  <c r="MK25" i="16"/>
  <c r="MC25" i="16"/>
  <c r="LU25" i="16"/>
  <c r="LM25" i="16"/>
  <c r="LE25" i="16"/>
  <c r="KW25" i="16"/>
  <c r="KO25" i="16"/>
  <c r="KG25" i="16"/>
  <c r="JY25" i="16"/>
  <c r="JQ25" i="16"/>
  <c r="JI25" i="16"/>
  <c r="JA25" i="16"/>
  <c r="IS25" i="16"/>
  <c r="IK25" i="16"/>
  <c r="IC25" i="16"/>
  <c r="HU25" i="16"/>
  <c r="HM25" i="16"/>
  <c r="HE25" i="16"/>
  <c r="GW25" i="16"/>
  <c r="GO25" i="16"/>
  <c r="GG25" i="16"/>
  <c r="FY25" i="16"/>
  <c r="FQ25" i="16"/>
  <c r="FI25" i="16"/>
  <c r="FA25" i="16"/>
  <c r="ES25" i="16"/>
  <c r="EK25" i="16"/>
  <c r="EC25" i="16"/>
  <c r="DU25" i="16"/>
  <c r="DM25" i="16"/>
  <c r="DE25" i="16"/>
  <c r="CW25" i="16"/>
  <c r="CO25" i="16"/>
  <c r="CG25" i="16"/>
  <c r="BY25" i="16"/>
  <c r="BQ25" i="16"/>
  <c r="BI25" i="16"/>
  <c r="BA25" i="16"/>
  <c r="AS25" i="16"/>
  <c r="AK25" i="16"/>
  <c r="AB25" i="16"/>
  <c r="U25" i="16"/>
  <c r="CY20" i="16"/>
  <c r="CQ20" i="16"/>
  <c r="CI20" i="16"/>
  <c r="CA20" i="16"/>
  <c r="BS20" i="16"/>
  <c r="BK20" i="16"/>
  <c r="BC20" i="16"/>
  <c r="AU20" i="16"/>
  <c r="AM20" i="16"/>
  <c r="AE20" i="16"/>
  <c r="W20" i="16"/>
  <c r="ON19" i="16"/>
  <c r="OF19" i="16"/>
  <c r="NX19" i="16"/>
  <c r="NP19" i="16"/>
  <c r="NH19" i="16"/>
  <c r="MZ19" i="16"/>
  <c r="MR19" i="16"/>
  <c r="MJ19" i="16"/>
  <c r="MB19" i="16"/>
  <c r="LT19" i="16"/>
  <c r="LL19" i="16"/>
  <c r="LD19" i="16"/>
  <c r="KV19" i="16"/>
  <c r="KN19" i="16"/>
  <c r="KF19" i="16"/>
  <c r="JX19" i="16"/>
  <c r="JP19" i="16"/>
  <c r="JH19" i="16"/>
  <c r="IZ19" i="16"/>
  <c r="IR19" i="16"/>
  <c r="IJ19" i="16"/>
  <c r="IB19" i="16"/>
  <c r="HT19" i="16"/>
  <c r="HL19" i="16"/>
  <c r="HD19" i="16"/>
  <c r="GV19" i="16"/>
  <c r="GN19" i="16"/>
  <c r="GF19" i="16"/>
  <c r="FX19" i="16"/>
  <c r="FP19" i="16"/>
  <c r="FH19" i="16"/>
  <c r="EZ19" i="16"/>
  <c r="ER19" i="16"/>
  <c r="EJ19" i="16"/>
  <c r="EB19" i="16"/>
  <c r="DT19" i="16"/>
  <c r="DL19" i="16"/>
  <c r="DD19" i="16"/>
  <c r="CV19" i="16"/>
  <c r="CN19" i="16"/>
  <c r="CF19" i="16"/>
  <c r="BX19" i="16"/>
  <c r="BP19" i="16"/>
  <c r="BH19" i="16"/>
  <c r="AZ19" i="16"/>
  <c r="AR19" i="16"/>
  <c r="AJ19" i="16"/>
  <c r="AC19" i="16"/>
  <c r="T19" i="16"/>
  <c r="AT69" i="16"/>
  <c r="AU69" i="16"/>
  <c r="AV69" i="16"/>
  <c r="AW69" i="16"/>
  <c r="AX69" i="16"/>
  <c r="AY69" i="16"/>
  <c r="BA69" i="16"/>
  <c r="BB69" i="16"/>
  <c r="BC69" i="16"/>
  <c r="BD69" i="16"/>
  <c r="BE69" i="16"/>
  <c r="BF69" i="16"/>
  <c r="BG69" i="16"/>
  <c r="BI69" i="16"/>
  <c r="BJ69" i="16"/>
  <c r="BK69" i="16"/>
  <c r="BL69" i="16"/>
  <c r="BM69" i="16"/>
  <c r="BN69" i="16"/>
  <c r="BO69" i="16"/>
  <c r="BQ69" i="16"/>
  <c r="BR69" i="16"/>
  <c r="BS69" i="16"/>
  <c r="BT69" i="16"/>
  <c r="BU69" i="16"/>
  <c r="BV69" i="16"/>
  <c r="BW69" i="16"/>
  <c r="BY69" i="16"/>
  <c r="BZ69" i="16"/>
  <c r="CA69" i="16"/>
  <c r="CB69" i="16"/>
  <c r="CC69" i="16"/>
  <c r="CD69" i="16"/>
  <c r="CE69" i="16"/>
  <c r="CG69" i="16"/>
  <c r="CH69" i="16"/>
  <c r="CI69" i="16"/>
  <c r="CJ69" i="16"/>
  <c r="CK69" i="16"/>
  <c r="CL69" i="16"/>
  <c r="CM69" i="16"/>
  <c r="CO69" i="16"/>
  <c r="CP69" i="16"/>
  <c r="CQ69" i="16"/>
  <c r="CR69" i="16"/>
  <c r="CS69" i="16"/>
  <c r="CT69" i="16"/>
  <c r="CU69" i="16"/>
  <c r="CW69" i="16"/>
  <c r="CX69" i="16"/>
  <c r="CY69" i="16"/>
  <c r="CZ69" i="16"/>
  <c r="DA69" i="16"/>
  <c r="DB69" i="16"/>
  <c r="DC69" i="16"/>
  <c r="DE69" i="16"/>
  <c r="DF69" i="16"/>
  <c r="DG69" i="16"/>
  <c r="DH69" i="16"/>
  <c r="DI69" i="16"/>
  <c r="DJ69" i="16"/>
  <c r="DK69" i="16"/>
  <c r="DM69" i="16"/>
  <c r="DN69" i="16"/>
  <c r="DO69" i="16"/>
  <c r="DP69" i="16"/>
  <c r="DQ69" i="16"/>
  <c r="DR69" i="16"/>
  <c r="DS69" i="16"/>
  <c r="DU69" i="16"/>
  <c r="DV69" i="16"/>
  <c r="DW69" i="16"/>
  <c r="DX69" i="16"/>
  <c r="DY69" i="16"/>
  <c r="DZ69" i="16"/>
  <c r="EA69" i="16"/>
  <c r="EC69" i="16"/>
  <c r="ED69" i="16"/>
  <c r="EE69" i="16"/>
  <c r="EF69" i="16"/>
  <c r="EG69" i="16"/>
  <c r="EH69" i="16"/>
  <c r="EI69" i="16"/>
  <c r="EK69" i="16"/>
  <c r="EL69" i="16"/>
  <c r="EM69" i="16"/>
  <c r="EN69" i="16"/>
  <c r="EO69" i="16"/>
  <c r="EP69" i="16"/>
  <c r="EQ69" i="16"/>
  <c r="ES69" i="16"/>
  <c r="ET69" i="16"/>
  <c r="EU69" i="16"/>
  <c r="EV69" i="16"/>
  <c r="EW69" i="16"/>
  <c r="EX69" i="16"/>
  <c r="EY69" i="16"/>
  <c r="FA69" i="16"/>
  <c r="FB69" i="16"/>
  <c r="FC69" i="16"/>
  <c r="FD69" i="16"/>
  <c r="FE69" i="16"/>
  <c r="FF69" i="16"/>
  <c r="FG69" i="16"/>
  <c r="FI69" i="16"/>
  <c r="FJ69" i="16"/>
  <c r="FK69" i="16"/>
  <c r="FL69" i="16"/>
  <c r="FM69" i="16"/>
  <c r="FN69" i="16"/>
  <c r="FO69" i="16"/>
  <c r="FQ69" i="16"/>
  <c r="FR69" i="16"/>
  <c r="FS69" i="16"/>
  <c r="FT69" i="16"/>
  <c r="FU69" i="16"/>
  <c r="FV69" i="16"/>
  <c r="FW69" i="16"/>
  <c r="FY69" i="16"/>
  <c r="FZ69" i="16"/>
  <c r="GA69" i="16"/>
  <c r="GB69" i="16"/>
  <c r="GC69" i="16"/>
  <c r="GD69" i="16"/>
  <c r="GE69" i="16"/>
  <c r="GG69" i="16"/>
  <c r="GH69" i="16"/>
  <c r="GI69" i="16"/>
  <c r="GJ69" i="16"/>
  <c r="GK69" i="16"/>
  <c r="GL69" i="16"/>
  <c r="GM69" i="16"/>
  <c r="GO69" i="16"/>
  <c r="GP69" i="16"/>
  <c r="GQ69" i="16"/>
  <c r="GR69" i="16"/>
  <c r="GS69" i="16"/>
  <c r="GT69" i="16"/>
  <c r="GU69" i="16"/>
  <c r="GW69" i="16"/>
  <c r="GX69" i="16"/>
  <c r="GY69" i="16"/>
  <c r="GZ69" i="16"/>
  <c r="HA69" i="16"/>
  <c r="HB69" i="16"/>
  <c r="HC69" i="16"/>
  <c r="HE69" i="16"/>
  <c r="HF69" i="16"/>
  <c r="HG69" i="16"/>
  <c r="HH69" i="16"/>
  <c r="HI69" i="16"/>
  <c r="HJ69" i="16"/>
  <c r="HK69" i="16"/>
  <c r="HM69" i="16"/>
  <c r="HN69" i="16"/>
  <c r="HO69" i="16"/>
  <c r="HP69" i="16"/>
  <c r="HQ69" i="16"/>
  <c r="HR69" i="16"/>
  <c r="HS69" i="16"/>
  <c r="HU69" i="16"/>
  <c r="HV69" i="16"/>
  <c r="HW69" i="16"/>
  <c r="HX69" i="16"/>
  <c r="HY69" i="16"/>
  <c r="HZ69" i="16"/>
  <c r="IA69" i="16"/>
  <c r="IC69" i="16"/>
  <c r="ID69" i="16"/>
  <c r="IE69" i="16"/>
  <c r="IF69" i="16"/>
  <c r="IG69" i="16"/>
  <c r="IH69" i="16"/>
  <c r="II69" i="16"/>
  <c r="IK69" i="16"/>
  <c r="IL69" i="16"/>
  <c r="IM69" i="16"/>
  <c r="IN69" i="16"/>
  <c r="IO69" i="16"/>
  <c r="IP69" i="16"/>
  <c r="IQ69" i="16"/>
  <c r="IS69" i="16"/>
  <c r="IT69" i="16"/>
  <c r="IU69" i="16"/>
  <c r="IV69" i="16"/>
  <c r="IW69" i="16"/>
  <c r="IX69" i="16"/>
  <c r="IY69" i="16"/>
  <c r="JA69" i="16"/>
  <c r="JB69" i="16"/>
  <c r="JC69" i="16"/>
  <c r="JD69" i="16"/>
  <c r="JE69" i="16"/>
  <c r="JF69" i="16"/>
  <c r="JG69" i="16"/>
  <c r="JI69" i="16"/>
  <c r="JJ69" i="16"/>
  <c r="JK69" i="16"/>
  <c r="JL69" i="16"/>
  <c r="JM69" i="16"/>
  <c r="JN69" i="16"/>
  <c r="JO69" i="16"/>
  <c r="JQ69" i="16"/>
  <c r="JR69" i="16"/>
  <c r="JS69" i="16"/>
  <c r="JT69" i="16"/>
  <c r="JU69" i="16"/>
  <c r="JV69" i="16"/>
  <c r="JW69" i="16"/>
  <c r="JY69" i="16"/>
  <c r="JZ69" i="16"/>
  <c r="KA69" i="16"/>
  <c r="KB69" i="16"/>
  <c r="KC69" i="16"/>
  <c r="KD69" i="16"/>
  <c r="KE69" i="16"/>
  <c r="KG69" i="16"/>
  <c r="KH69" i="16"/>
  <c r="KI69" i="16"/>
  <c r="KJ69" i="16"/>
  <c r="KK69" i="16"/>
  <c r="KL69" i="16"/>
  <c r="KM69" i="16"/>
  <c r="KO69" i="16"/>
  <c r="KP69" i="16"/>
  <c r="KQ69" i="16"/>
  <c r="KR69" i="16"/>
  <c r="KS69" i="16"/>
  <c r="KT69" i="16"/>
  <c r="KU69" i="16"/>
  <c r="KW69" i="16"/>
  <c r="KX69" i="16"/>
  <c r="KY69" i="16"/>
  <c r="KZ69" i="16"/>
  <c r="LA69" i="16"/>
  <c r="LB69" i="16"/>
  <c r="LC69" i="16"/>
  <c r="LE69" i="16"/>
  <c r="LF69" i="16"/>
  <c r="LG69" i="16"/>
  <c r="LH69" i="16"/>
  <c r="LI69" i="16"/>
  <c r="LJ69" i="16"/>
  <c r="LK69" i="16"/>
  <c r="LL69" i="16"/>
  <c r="LM69" i="16"/>
  <c r="LN69" i="16"/>
  <c r="LO69" i="16"/>
  <c r="LP69" i="16"/>
  <c r="LQ69" i="16"/>
  <c r="LR69" i="16"/>
  <c r="LS69" i="16"/>
  <c r="LT69" i="16"/>
  <c r="LU69" i="16"/>
  <c r="LV69" i="16"/>
  <c r="LW69" i="16"/>
  <c r="LX69" i="16"/>
  <c r="LY69" i="16"/>
  <c r="LZ69" i="16"/>
  <c r="MA69" i="16"/>
  <c r="MB69" i="16"/>
  <c r="MC69" i="16"/>
  <c r="MD69" i="16"/>
  <c r="ME69" i="16"/>
  <c r="MF69" i="16"/>
  <c r="MG69" i="16"/>
  <c r="MH69" i="16"/>
  <c r="MI69" i="16"/>
  <c r="MJ69" i="16"/>
  <c r="MK69" i="16"/>
  <c r="ML69" i="16"/>
  <c r="MM69" i="16"/>
  <c r="MN69" i="16"/>
  <c r="MO69" i="16"/>
  <c r="MP69" i="16"/>
  <c r="MQ69" i="16"/>
  <c r="MR69" i="16"/>
  <c r="MS69" i="16"/>
  <c r="MT69" i="16"/>
  <c r="MU69" i="16"/>
  <c r="MV69" i="16"/>
  <c r="MW69" i="16"/>
  <c r="MX69" i="16"/>
  <c r="MY69" i="16"/>
  <c r="MZ69" i="16"/>
  <c r="NA69" i="16"/>
  <c r="NB69" i="16"/>
  <c r="NC69" i="16"/>
  <c r="ND69" i="16"/>
  <c r="NE69" i="16"/>
  <c r="NF69" i="16"/>
  <c r="NG69" i="16"/>
  <c r="NH69" i="16"/>
  <c r="NI69" i="16"/>
  <c r="NJ69" i="16"/>
  <c r="NK69" i="16"/>
  <c r="NL69" i="16"/>
  <c r="NM69" i="16"/>
  <c r="NN69" i="16"/>
  <c r="NO69" i="16"/>
  <c r="NP69" i="16"/>
  <c r="NQ69" i="16"/>
  <c r="NR69" i="16"/>
  <c r="NS69" i="16"/>
  <c r="NT69" i="16"/>
  <c r="NU69" i="16"/>
  <c r="NV69" i="16"/>
  <c r="NW69" i="16"/>
  <c r="NX69" i="16"/>
  <c r="NY69" i="16"/>
  <c r="NZ69" i="16"/>
  <c r="OA69" i="16"/>
  <c r="OB69" i="16"/>
  <c r="OC69" i="16"/>
  <c r="OD69" i="16"/>
  <c r="OE69" i="16"/>
  <c r="OF69" i="16"/>
  <c r="OG69" i="16"/>
  <c r="OH69" i="16"/>
  <c r="OI69" i="16"/>
  <c r="OJ69" i="16"/>
  <c r="OK69" i="16"/>
  <c r="OL69" i="16"/>
  <c r="OM69" i="16"/>
  <c r="ON69" i="16"/>
  <c r="OO69" i="16"/>
  <c r="BP71" i="16"/>
  <c r="DH71" i="16"/>
  <c r="ET71" i="16"/>
  <c r="FW71" i="16"/>
  <c r="GT71" i="16"/>
  <c r="HN71" i="16"/>
  <c r="II71" i="16"/>
  <c r="JF71" i="16"/>
  <c r="JZ71" i="16"/>
  <c r="KT71" i="16"/>
  <c r="LM71" i="16"/>
  <c r="MJ71" i="16"/>
  <c r="NB71" i="16"/>
  <c r="NT71" i="16"/>
  <c r="OL71" i="16"/>
  <c r="I65" i="2"/>
  <c r="I59" i="2"/>
  <c r="D17" i="6"/>
  <c r="D79" i="16" s="1"/>
  <c r="H13" i="10"/>
  <c r="G20" i="10"/>
  <c r="G27" i="10" s="1"/>
  <c r="I68" i="2"/>
  <c r="I61" i="2"/>
  <c r="I56" i="2"/>
  <c r="I67" i="2"/>
  <c r="D54" i="9"/>
  <c r="I62" i="2"/>
  <c r="I60" i="2"/>
  <c r="I66" i="2"/>
  <c r="F12" i="10"/>
  <c r="F14" i="10"/>
  <c r="H11" i="10"/>
  <c r="G18" i="10"/>
  <c r="G25" i="10" s="1"/>
  <c r="C19" i="2"/>
  <c r="E2" i="7" s="1"/>
  <c r="F102" i="2"/>
  <c r="E55" i="2"/>
  <c r="F46" i="2"/>
  <c r="E73" i="2" s="1"/>
  <c r="F91" i="13"/>
  <c r="G88" i="2"/>
  <c r="H92" i="2"/>
  <c r="D15" i="6"/>
  <c r="D77" i="16" s="1"/>
  <c r="F87" i="13"/>
  <c r="E54" i="2"/>
  <c r="F45" i="2"/>
  <c r="E72" i="2" s="1"/>
  <c r="E63" i="2"/>
  <c r="I58" i="2"/>
  <c r="E69" i="2"/>
  <c r="I64" i="2"/>
  <c r="F89" i="13"/>
  <c r="E52" i="2"/>
  <c r="F43" i="2"/>
  <c r="E70" i="2" s="1"/>
  <c r="E39" i="2"/>
  <c r="E4" i="9"/>
  <c r="F88" i="13"/>
  <c r="C39" i="13"/>
  <c r="E53" i="2"/>
  <c r="F44" i="2"/>
  <c r="E71" i="2" s="1"/>
  <c r="I7" i="10" l="1"/>
  <c r="F4" i="21"/>
  <c r="LI58" i="16"/>
  <c r="KK58" i="16"/>
  <c r="GK58" i="16"/>
  <c r="FL58" i="16"/>
  <c r="EH58" i="16"/>
  <c r="ML58" i="16"/>
  <c r="BB58" i="16"/>
  <c r="BM58" i="16"/>
  <c r="JU58" i="16"/>
  <c r="JO58" i="16"/>
  <c r="BO58" i="16"/>
  <c r="LS58" i="16"/>
  <c r="EV58" i="16"/>
  <c r="KX58" i="16"/>
  <c r="GU58" i="16"/>
  <c r="KJ58" i="16"/>
  <c r="EG58" i="16"/>
  <c r="NS58" i="16"/>
  <c r="JF58" i="16"/>
  <c r="FW58" i="16"/>
  <c r="LJ58" i="16"/>
  <c r="LW58" i="16"/>
  <c r="ID58" i="16"/>
  <c r="DO58" i="16"/>
  <c r="CU58" i="16"/>
  <c r="DQ58" i="16"/>
  <c r="JJ58" i="16"/>
  <c r="ME58" i="16"/>
  <c r="KB58" i="16"/>
  <c r="MQ58" i="16"/>
  <c r="P23" i="16"/>
  <c r="OI58" i="16"/>
  <c r="AF27" i="16"/>
  <c r="AC136" i="16"/>
  <c r="LD71" i="16"/>
  <c r="HX71" i="16"/>
  <c r="FN71" i="16"/>
  <c r="AV71" i="16"/>
  <c r="NX71" i="16"/>
  <c r="MN71" i="16"/>
  <c r="KB71" i="16"/>
  <c r="IP71" i="16"/>
  <c r="DR71" i="16"/>
  <c r="OF71" i="16"/>
  <c r="LK71" i="16"/>
  <c r="MU71" i="16"/>
  <c r="IR71" i="16"/>
  <c r="OO71" i="16"/>
  <c r="NG71" i="16"/>
  <c r="LT71" i="16"/>
  <c r="KY71" i="16"/>
  <c r="JI71" i="16"/>
  <c r="HU71" i="16"/>
  <c r="GX71" i="16"/>
  <c r="GD71" i="16"/>
  <c r="FC71" i="16"/>
  <c r="BY71" i="16"/>
  <c r="OM71" i="16"/>
  <c r="NW71" i="16"/>
  <c r="NF71" i="16"/>
  <c r="ML71" i="16"/>
  <c r="LR71" i="16"/>
  <c r="KU71" i="16"/>
  <c r="KA71" i="16"/>
  <c r="JH71" i="16"/>
  <c r="IM71" i="16"/>
  <c r="HP71" i="16"/>
  <c r="GV71" i="16"/>
  <c r="GA71" i="16"/>
  <c r="FB71" i="16"/>
  <c r="DJ71" i="16"/>
  <c r="BX71" i="16"/>
  <c r="AH129" i="16"/>
  <c r="Y136" i="16"/>
  <c r="AG136" i="16"/>
  <c r="V136" i="16"/>
  <c r="R136" i="16"/>
  <c r="AI136" i="16"/>
  <c r="AP136" i="16"/>
  <c r="AE136" i="16"/>
  <c r="OH71" i="16"/>
  <c r="NP71" i="16"/>
  <c r="NA71" i="16"/>
  <c r="ME71" i="16"/>
  <c r="LL71" i="16"/>
  <c r="KR71" i="16"/>
  <c r="JX71" i="16"/>
  <c r="JA71" i="16"/>
  <c r="IF71" i="16"/>
  <c r="HL71" i="16"/>
  <c r="GO71" i="16"/>
  <c r="FV71" i="16"/>
  <c r="ES71" i="16"/>
  <c r="CZ71" i="16"/>
  <c r="BO71" i="16"/>
  <c r="MX71" i="16"/>
  <c r="KP71" i="16"/>
  <c r="IY71" i="16"/>
  <c r="HG71" i="16"/>
  <c r="CY71" i="16"/>
  <c r="NO71" i="16"/>
  <c r="MD71" i="16"/>
  <c r="JS71" i="16"/>
  <c r="ID71" i="16"/>
  <c r="GN71" i="16"/>
  <c r="FT71" i="16"/>
  <c r="EK71" i="16"/>
  <c r="BF71" i="16"/>
  <c r="OD71" i="16"/>
  <c r="NN71" i="16"/>
  <c r="MV71" i="16"/>
  <c r="MC71" i="16"/>
  <c r="LH71" i="16"/>
  <c r="KL71" i="16"/>
  <c r="JQ71" i="16"/>
  <c r="IV71" i="16"/>
  <c r="HZ71" i="16"/>
  <c r="HF71" i="16"/>
  <c r="GM71" i="16"/>
  <c r="FR71" i="16"/>
  <c r="EJ71" i="16"/>
  <c r="CP71" i="16"/>
  <c r="AX71" i="16"/>
  <c r="NK71" i="16"/>
  <c r="KI71" i="16"/>
  <c r="EA71" i="16"/>
  <c r="OB71" i="16"/>
  <c r="MA71" i="16"/>
  <c r="JO71" i="16"/>
  <c r="HE71" i="16"/>
  <c r="GJ71" i="16"/>
  <c r="CH71" i="16"/>
  <c r="NY71" i="16"/>
  <c r="NJ71" i="16"/>
  <c r="MS71" i="16"/>
  <c r="LV71" i="16"/>
  <c r="LB71" i="16"/>
  <c r="KG71" i="16"/>
  <c r="JJ71" i="16"/>
  <c r="IQ71" i="16"/>
  <c r="HW71" i="16"/>
  <c r="HC71" i="16"/>
  <c r="GF71" i="16"/>
  <c r="FK71" i="16"/>
  <c r="DS71" i="16"/>
  <c r="CG71" i="16"/>
  <c r="MP50" i="16"/>
  <c r="EE50" i="16"/>
  <c r="X27" i="16"/>
  <c r="L129" i="16"/>
  <c r="P129" i="16"/>
  <c r="AC128" i="16"/>
  <c r="AN128" i="16"/>
  <c r="AG128" i="16"/>
  <c r="S128" i="16"/>
  <c r="AE128" i="16"/>
  <c r="V129" i="16"/>
  <c r="X129" i="16"/>
  <c r="P136" i="16"/>
  <c r="M136" i="16"/>
  <c r="S136" i="16"/>
  <c r="X136" i="16"/>
  <c r="KP58" i="16"/>
  <c r="AI128" i="16"/>
  <c r="AJ129" i="16"/>
  <c r="NW50" i="16"/>
  <c r="AP128" i="16"/>
  <c r="AG129" i="16"/>
  <c r="W129" i="16"/>
  <c r="O136" i="16"/>
  <c r="T136" i="16"/>
  <c r="M129" i="16"/>
  <c r="Z128" i="16"/>
  <c r="AJ128" i="16"/>
  <c r="U128" i="16"/>
  <c r="S129" i="16"/>
  <c r="AM129" i="16"/>
  <c r="AL129" i="16"/>
  <c r="AE129" i="16"/>
  <c r="AQ129" i="16"/>
  <c r="AP217" i="16"/>
  <c r="AU58" i="16"/>
  <c r="KU58" i="16"/>
  <c r="CK58" i="16"/>
  <c r="K128" i="16"/>
  <c r="LI50" i="16"/>
  <c r="LI62" i="16" s="1"/>
  <c r="IJ50" i="16"/>
  <c r="IU58" i="16"/>
  <c r="HN58" i="16"/>
  <c r="HI58" i="16"/>
  <c r="IM58" i="16"/>
  <c r="NW58" i="16"/>
  <c r="NW62" i="16" s="1"/>
  <c r="KE58" i="16"/>
  <c r="GX58" i="16"/>
  <c r="AT58" i="16"/>
  <c r="ET58" i="16"/>
  <c r="OM58" i="16"/>
  <c r="FM58" i="16"/>
  <c r="OE58" i="16"/>
  <c r="HY58" i="16"/>
  <c r="IY58" i="16"/>
  <c r="CS58" i="16"/>
  <c r="NR50" i="16"/>
  <c r="AB128" i="16"/>
  <c r="AQ128" i="16"/>
  <c r="T129" i="16"/>
  <c r="AD129" i="16"/>
  <c r="AR50" i="16"/>
  <c r="IB50" i="16"/>
  <c r="KN50" i="16"/>
  <c r="OG71" i="16"/>
  <c r="NS71" i="16"/>
  <c r="ND71" i="16"/>
  <c r="MM71" i="16"/>
  <c r="LU71" i="16"/>
  <c r="LC71" i="16"/>
  <c r="KJ71" i="16"/>
  <c r="JR71" i="16"/>
  <c r="IZ71" i="16"/>
  <c r="IH71" i="16"/>
  <c r="HO71" i="16"/>
  <c r="GW71" i="16"/>
  <c r="GE71" i="16"/>
  <c r="FL71" i="16"/>
  <c r="EB71" i="16"/>
  <c r="CQ71" i="16"/>
  <c r="BG71" i="16"/>
  <c r="GC58" i="16"/>
  <c r="DG50" i="16"/>
  <c r="NU58" i="16"/>
  <c r="HH58" i="16"/>
  <c r="FO58" i="16"/>
  <c r="KA58" i="16"/>
  <c r="MF58" i="16"/>
  <c r="EQ50" i="16"/>
  <c r="AD128" i="16"/>
  <c r="AF128" i="16"/>
  <c r="AO128" i="16"/>
  <c r="AI129" i="16"/>
  <c r="LW50" i="16"/>
  <c r="LW62" i="16" s="1"/>
  <c r="AC129" i="16"/>
  <c r="V17" i="16"/>
  <c r="FB58" i="16"/>
  <c r="AK27" i="16"/>
  <c r="AE27" i="16"/>
  <c r="FF58" i="16"/>
  <c r="CC50" i="16"/>
  <c r="JZ58" i="16"/>
  <c r="OH58" i="16"/>
  <c r="AM27" i="16"/>
  <c r="GI58" i="16"/>
  <c r="MW58" i="16"/>
  <c r="FE58" i="16"/>
  <c r="LH58" i="16"/>
  <c r="GJ58" i="16"/>
  <c r="GH58" i="16"/>
  <c r="ON71" i="16"/>
  <c r="OE71" i="16"/>
  <c r="NV71" i="16"/>
  <c r="NL71" i="16"/>
  <c r="NC71" i="16"/>
  <c r="MT71" i="16"/>
  <c r="MK71" i="16"/>
  <c r="MB71" i="16"/>
  <c r="LS71" i="16"/>
  <c r="LJ71" i="16"/>
  <c r="KZ71" i="16"/>
  <c r="KQ71" i="16"/>
  <c r="KH71" i="16"/>
  <c r="JY71" i="16"/>
  <c r="JP71" i="16"/>
  <c r="JG71" i="16"/>
  <c r="IX71" i="16"/>
  <c r="IN71" i="16"/>
  <c r="IE71" i="16"/>
  <c r="HV71" i="16"/>
  <c r="HM71" i="16"/>
  <c r="HD71" i="16"/>
  <c r="GU71" i="16"/>
  <c r="GL71" i="16"/>
  <c r="GB71" i="16"/>
  <c r="FS71" i="16"/>
  <c r="FJ71" i="16"/>
  <c r="FA71" i="16"/>
  <c r="ER71" i="16"/>
  <c r="EI71" i="16"/>
  <c r="DZ71" i="16"/>
  <c r="DP71" i="16"/>
  <c r="DG71" i="16"/>
  <c r="CX71" i="16"/>
  <c r="CO71" i="16"/>
  <c r="CF71" i="16"/>
  <c r="BW71" i="16"/>
  <c r="BN71" i="16"/>
  <c r="BD71" i="16"/>
  <c r="AU71" i="16"/>
  <c r="JF50" i="16"/>
  <c r="JF62" i="16" s="1"/>
  <c r="NV50" i="16"/>
  <c r="MY109" i="16"/>
  <c r="GT58" i="16"/>
  <c r="HB58" i="16"/>
  <c r="MA58" i="16"/>
  <c r="NR58" i="16"/>
  <c r="NR62" i="16" s="1"/>
  <c r="EU58" i="16"/>
  <c r="NC58" i="16"/>
  <c r="IN58" i="16"/>
  <c r="N105" i="16"/>
  <c r="DS50" i="16"/>
  <c r="FI71" i="16"/>
  <c r="EZ71" i="16"/>
  <c r="EQ71" i="16"/>
  <c r="EH71" i="16"/>
  <c r="DX71" i="16"/>
  <c r="DO71" i="16"/>
  <c r="DF71" i="16"/>
  <c r="CW71" i="16"/>
  <c r="CN71" i="16"/>
  <c r="CE71" i="16"/>
  <c r="BV71" i="16"/>
  <c r="BL71" i="16"/>
  <c r="BC71" i="16"/>
  <c r="AT71" i="16"/>
  <c r="EZ50" i="16"/>
  <c r="HL50" i="16"/>
  <c r="FS50" i="16"/>
  <c r="IE50" i="16"/>
  <c r="IE62" i="16" s="1"/>
  <c r="IX50" i="16"/>
  <c r="DW58" i="16"/>
  <c r="MN109" i="16"/>
  <c r="KS50" i="16"/>
  <c r="MG58" i="16"/>
  <c r="MI71" i="16"/>
  <c r="LP71" i="16"/>
  <c r="KX71" i="16"/>
  <c r="KF71" i="16"/>
  <c r="JN71" i="16"/>
  <c r="IU71" i="16"/>
  <c r="IC71" i="16"/>
  <c r="HK71" i="16"/>
  <c r="GR71" i="16"/>
  <c r="FZ71" i="16"/>
  <c r="FQ71" i="16"/>
  <c r="EY71" i="16"/>
  <c r="EP71" i="16"/>
  <c r="EF71" i="16"/>
  <c r="DW71" i="16"/>
  <c r="DN71" i="16"/>
  <c r="DE71" i="16"/>
  <c r="CV71" i="16"/>
  <c r="CM71" i="16"/>
  <c r="CD71" i="16"/>
  <c r="BT71" i="16"/>
  <c r="BK71" i="16"/>
  <c r="BB71" i="16"/>
  <c r="MR50" i="16"/>
  <c r="IP50" i="16"/>
  <c r="BF50" i="16"/>
  <c r="FM109" i="16"/>
  <c r="MR71" i="16"/>
  <c r="LZ71" i="16"/>
  <c r="LG71" i="16"/>
  <c r="KO71" i="16"/>
  <c r="JW71" i="16"/>
  <c r="JD71" i="16"/>
  <c r="IL71" i="16"/>
  <c r="HT71" i="16"/>
  <c r="HB71" i="16"/>
  <c r="GI71" i="16"/>
  <c r="FH71" i="16"/>
  <c r="OJ71" i="16"/>
  <c r="OA71" i="16"/>
  <c r="NR71" i="16"/>
  <c r="NI71" i="16"/>
  <c r="MZ71" i="16"/>
  <c r="MQ71" i="16"/>
  <c r="MH71" i="16"/>
  <c r="LX71" i="16"/>
  <c r="LO71" i="16"/>
  <c r="LF71" i="16"/>
  <c r="KW71" i="16"/>
  <c r="KN71" i="16"/>
  <c r="KE71" i="16"/>
  <c r="JV71" i="16"/>
  <c r="JL71" i="16"/>
  <c r="JC71" i="16"/>
  <c r="IT71" i="16"/>
  <c r="IK71" i="16"/>
  <c r="IB71" i="16"/>
  <c r="HS71" i="16"/>
  <c r="HJ71" i="16"/>
  <c r="GZ71" i="16"/>
  <c r="GQ71" i="16"/>
  <c r="GH71" i="16"/>
  <c r="FY71" i="16"/>
  <c r="FP71" i="16"/>
  <c r="FG71" i="16"/>
  <c r="EX71" i="16"/>
  <c r="EN71" i="16"/>
  <c r="EE71" i="16"/>
  <c r="DV71" i="16"/>
  <c r="DM71" i="16"/>
  <c r="DD71" i="16"/>
  <c r="CU71" i="16"/>
  <c r="CL71" i="16"/>
  <c r="CB71" i="16"/>
  <c r="BS71" i="16"/>
  <c r="BJ71" i="16"/>
  <c r="BA71" i="16"/>
  <c r="AK133" i="16"/>
  <c r="V27" i="16"/>
  <c r="AS87" i="16"/>
  <c r="AK87" i="16"/>
  <c r="AC87" i="16"/>
  <c r="U87" i="16"/>
  <c r="M87" i="16"/>
  <c r="FV58" i="16"/>
  <c r="HP58" i="16"/>
  <c r="OI71" i="16"/>
  <c r="NZ71" i="16"/>
  <c r="NQ71" i="16"/>
  <c r="NH71" i="16"/>
  <c r="MY71" i="16"/>
  <c r="MP71" i="16"/>
  <c r="MF71" i="16"/>
  <c r="LW71" i="16"/>
  <c r="LN71" i="16"/>
  <c r="LE71" i="16"/>
  <c r="KV71" i="16"/>
  <c r="KM71" i="16"/>
  <c r="KD71" i="16"/>
  <c r="JT71" i="16"/>
  <c r="JK71" i="16"/>
  <c r="JB71" i="16"/>
  <c r="IS71" i="16"/>
  <c r="IJ71" i="16"/>
  <c r="IA71" i="16"/>
  <c r="HR71" i="16"/>
  <c r="HH71" i="16"/>
  <c r="GY71" i="16"/>
  <c r="GP71" i="16"/>
  <c r="GG71" i="16"/>
  <c r="FX71" i="16"/>
  <c r="FO71" i="16"/>
  <c r="FF71" i="16"/>
  <c r="EV71" i="16"/>
  <c r="EM71" i="16"/>
  <c r="ED71" i="16"/>
  <c r="DU71" i="16"/>
  <c r="DL71" i="16"/>
  <c r="DC71" i="16"/>
  <c r="CT71" i="16"/>
  <c r="CJ71" i="16"/>
  <c r="CA71" i="16"/>
  <c r="BR71" i="16"/>
  <c r="BI71" i="16"/>
  <c r="AZ71" i="16"/>
  <c r="U27" i="16"/>
  <c r="AM84" i="16"/>
  <c r="AE84" i="16"/>
  <c r="W84" i="16"/>
  <c r="O84" i="16"/>
  <c r="Q18" i="16"/>
  <c r="AD27" i="16"/>
  <c r="LV58" i="16"/>
  <c r="P27" i="16"/>
  <c r="FD71" i="16"/>
  <c r="EU71" i="16"/>
  <c r="EL71" i="16"/>
  <c r="EC71" i="16"/>
  <c r="DT71" i="16"/>
  <c r="DK71" i="16"/>
  <c r="DB71" i="16"/>
  <c r="CR71" i="16"/>
  <c r="CI71" i="16"/>
  <c r="BZ71" i="16"/>
  <c r="BQ71" i="16"/>
  <c r="BH71" i="16"/>
  <c r="AY71" i="16"/>
  <c r="BG50" i="16"/>
  <c r="AC27" i="16"/>
  <c r="AL27" i="16"/>
  <c r="W27" i="16"/>
  <c r="EA58" i="16"/>
  <c r="T128" i="16"/>
  <c r="AA128" i="16"/>
  <c r="LY50" i="16"/>
  <c r="AM128" i="16"/>
  <c r="R129" i="16"/>
  <c r="AB129" i="16"/>
  <c r="Y129" i="16"/>
  <c r="AO129" i="16"/>
  <c r="AK129" i="16"/>
  <c r="AP129" i="16"/>
  <c r="Q129" i="16"/>
  <c r="Z129" i="16"/>
  <c r="LK50" i="16"/>
  <c r="LK62" i="16" s="1"/>
  <c r="KC50" i="16"/>
  <c r="KC62" i="16" s="1"/>
  <c r="Y128" i="16"/>
  <c r="X128" i="16"/>
  <c r="K129" i="16"/>
  <c r="AH128" i="16"/>
  <c r="AK128" i="16"/>
  <c r="AA129" i="16"/>
  <c r="AF129" i="16"/>
  <c r="DY50" i="16"/>
  <c r="KM50" i="16"/>
  <c r="AN129" i="16"/>
  <c r="KU50" i="16"/>
  <c r="NO50" i="16"/>
  <c r="MD58" i="16"/>
  <c r="HO58" i="16"/>
  <c r="HZ58" i="16"/>
  <c r="NM58" i="16"/>
  <c r="BL58" i="16"/>
  <c r="DL50" i="16"/>
  <c r="NH50" i="16"/>
  <c r="M128" i="16"/>
  <c r="BJ50" i="16"/>
  <c r="DV50" i="16"/>
  <c r="GH50" i="16"/>
  <c r="LF50" i="16"/>
  <c r="GI50" i="16"/>
  <c r="IU50" i="16"/>
  <c r="LO50" i="16"/>
  <c r="HI50" i="16"/>
  <c r="JW50" i="16"/>
  <c r="CE50" i="16"/>
  <c r="FC58" i="16"/>
  <c r="FZ58" i="16"/>
  <c r="GM58" i="16"/>
  <c r="GY58" i="16"/>
  <c r="GF50" i="16"/>
  <c r="IR50" i="16"/>
  <c r="ED50" i="16"/>
  <c r="JB50" i="16"/>
  <c r="LN50" i="16"/>
  <c r="GQ50" i="16"/>
  <c r="JC50" i="16"/>
  <c r="DB50" i="16"/>
  <c r="JM50" i="16"/>
  <c r="NT58" i="16"/>
  <c r="AR87" i="16"/>
  <c r="AJ87" i="16"/>
  <c r="T87" i="16"/>
  <c r="L87" i="16"/>
  <c r="CE58" i="16"/>
  <c r="MO58" i="16"/>
  <c r="NX50" i="16"/>
  <c r="AM133" i="16"/>
  <c r="FE50" i="16"/>
  <c r="FF50" i="16"/>
  <c r="ME50" i="16"/>
  <c r="ME62" i="16" s="1"/>
  <c r="GM50" i="16"/>
  <c r="AL84" i="16"/>
  <c r="AD84" i="16"/>
  <c r="V84" i="16"/>
  <c r="N84" i="16"/>
  <c r="BD58" i="16"/>
  <c r="AQ87" i="16"/>
  <c r="AI87" i="16"/>
  <c r="AA87" i="16"/>
  <c r="K87" i="16"/>
  <c r="JG58" i="16"/>
  <c r="GL58" i="16"/>
  <c r="IW50" i="16"/>
  <c r="W128" i="16"/>
  <c r="EJ50" i="16"/>
  <c r="LT50" i="16"/>
  <c r="OF50" i="16"/>
  <c r="O128" i="16"/>
  <c r="GC50" i="16"/>
  <c r="LQ50" i="16"/>
  <c r="LQ62" i="16" s="1"/>
  <c r="AO50" i="16"/>
  <c r="AS84" i="16"/>
  <c r="AK84" i="16"/>
  <c r="U84" i="16"/>
  <c r="M84" i="16"/>
  <c r="OC58" i="16"/>
  <c r="GA58" i="16"/>
  <c r="EQ58" i="16"/>
  <c r="EQ62" i="16" s="1"/>
  <c r="HD50" i="16"/>
  <c r="JP50" i="16"/>
  <c r="CP50" i="16"/>
  <c r="FB50" i="16"/>
  <c r="JZ50" i="16"/>
  <c r="ML50" i="16"/>
  <c r="ML62" i="16" s="1"/>
  <c r="FC50" i="16"/>
  <c r="HO50" i="16"/>
  <c r="MQ50" i="16"/>
  <c r="MQ62" i="16" s="1"/>
  <c r="GE50" i="16"/>
  <c r="CD50" i="16"/>
  <c r="IQ50" i="16"/>
  <c r="LJ50" i="16"/>
  <c r="LJ62" i="16" s="1"/>
  <c r="LG50" i="16"/>
  <c r="LG62" i="16" s="1"/>
  <c r="BU50" i="16"/>
  <c r="CS50" i="16"/>
  <c r="KZ58" i="16"/>
  <c r="NB58" i="16"/>
  <c r="IA58" i="16"/>
  <c r="FS58" i="16"/>
  <c r="AO133" i="16"/>
  <c r="LR50" i="16"/>
  <c r="GT50" i="16"/>
  <c r="MM50" i="16"/>
  <c r="MM62" i="16" s="1"/>
  <c r="LC50" i="16"/>
  <c r="LA50" i="16"/>
  <c r="MY50" i="16"/>
  <c r="O105" i="16"/>
  <c r="HC58" i="16"/>
  <c r="MY58" i="16"/>
  <c r="OB58" i="16"/>
  <c r="T217" i="16"/>
  <c r="IP68" i="16"/>
  <c r="ND109" i="16"/>
  <c r="IZ109" i="16"/>
  <c r="EU50" i="16"/>
  <c r="NE68" i="16"/>
  <c r="IO109" i="16"/>
  <c r="OM50" i="16"/>
  <c r="MF109" i="16"/>
  <c r="EW109" i="16"/>
  <c r="AA23" i="16"/>
  <c r="LD109" i="16"/>
  <c r="DQ109" i="16"/>
  <c r="OM109" i="16"/>
  <c r="KR109" i="16"/>
  <c r="BU109" i="16"/>
  <c r="OO50" i="16"/>
  <c r="HK50" i="16"/>
  <c r="LB50" i="16"/>
  <c r="NQ109" i="16"/>
  <c r="KA109" i="16"/>
  <c r="BA109" i="16"/>
  <c r="BR50" i="16"/>
  <c r="NM109" i="16"/>
  <c r="JR109" i="16"/>
  <c r="X18" i="16"/>
  <c r="Z18" i="16"/>
  <c r="AG18" i="16"/>
  <c r="AA133" i="16"/>
  <c r="AX50" i="16"/>
  <c r="LU68" i="16"/>
  <c r="U86" i="16"/>
  <c r="MV58" i="16"/>
  <c r="GL50" i="16"/>
  <c r="NC68" i="16"/>
  <c r="NY109" i="16"/>
  <c r="LM109" i="16"/>
  <c r="GS109" i="16"/>
  <c r="GD50" i="16"/>
  <c r="NA68" i="16"/>
  <c r="Z17" i="16"/>
  <c r="MJ68" i="16"/>
  <c r="OE109" i="16"/>
  <c r="LU109" i="16"/>
  <c r="HI109" i="16"/>
  <c r="CG50" i="16"/>
  <c r="EB68" i="16"/>
  <c r="JX68" i="16"/>
  <c r="JX84" i="16" s="1"/>
  <c r="IX68" i="16"/>
  <c r="JV68" i="16"/>
  <c r="JG68" i="16"/>
  <c r="HS68" i="16"/>
  <c r="HS84" i="16" s="1"/>
  <c r="CZ68" i="16"/>
  <c r="AR80" i="16"/>
  <c r="AJ80" i="16"/>
  <c r="T80" i="16"/>
  <c r="L80" i="16"/>
  <c r="CF68" i="16"/>
  <c r="IK68" i="16"/>
  <c r="HK68" i="16"/>
  <c r="HK84" i="16" s="1"/>
  <c r="II68" i="16"/>
  <c r="HT68" i="16"/>
  <c r="CK68" i="16"/>
  <c r="HO68" i="16"/>
  <c r="AD18" i="16"/>
  <c r="LG68" i="16"/>
  <c r="FU68" i="16"/>
  <c r="EK68" i="16"/>
  <c r="FP68" i="16"/>
  <c r="FP84" i="16" s="1"/>
  <c r="EI68" i="16"/>
  <c r="LT68" i="16"/>
  <c r="LT84" i="16" s="1"/>
  <c r="CA68" i="16"/>
  <c r="CL50" i="16"/>
  <c r="NW68" i="16"/>
  <c r="GM68" i="16"/>
  <c r="DY68" i="16"/>
  <c r="CO68" i="16"/>
  <c r="DT68" i="16"/>
  <c r="DT84" i="16" s="1"/>
  <c r="CM68" i="16"/>
  <c r="CM84" i="16" s="1"/>
  <c r="KD68" i="16"/>
  <c r="JJ68" i="16"/>
  <c r="MC68" i="16"/>
  <c r="CU68" i="16"/>
  <c r="AW68" i="16"/>
  <c r="KL68" i="16"/>
  <c r="NN68" i="16"/>
  <c r="IO68" i="16"/>
  <c r="HD68" i="16"/>
  <c r="HD84" i="16" s="1"/>
  <c r="KW68" i="16"/>
  <c r="AY68" i="16"/>
  <c r="OB68" i="16"/>
  <c r="FG68" i="16"/>
  <c r="FG84" i="16" s="1"/>
  <c r="IA68" i="16"/>
  <c r="NY68" i="16"/>
  <c r="EC68" i="16"/>
  <c r="HC68" i="16"/>
  <c r="HC84" i="16" s="1"/>
  <c r="MA68" i="16"/>
  <c r="LD68" i="16"/>
  <c r="LD84" i="16" s="1"/>
  <c r="LY68" i="16"/>
  <c r="LW68" i="16"/>
  <c r="KE68" i="16"/>
  <c r="KE84" i="16" s="1"/>
  <c r="BF68" i="16"/>
  <c r="AY50" i="16"/>
  <c r="AY62" i="16" s="1"/>
  <c r="IW58" i="16"/>
  <c r="LF58" i="16"/>
  <c r="BO70" i="16"/>
  <c r="AQ80" i="16"/>
  <c r="AI80" i="16"/>
  <c r="AA80" i="16"/>
  <c r="S80" i="16"/>
  <c r="K80" i="16"/>
  <c r="IH50" i="16"/>
  <c r="IH62" i="16" s="1"/>
  <c r="DF68" i="16"/>
  <c r="K105" i="16"/>
  <c r="N129" i="16"/>
  <c r="V128" i="16"/>
  <c r="O129" i="16"/>
  <c r="FM68" i="16"/>
  <c r="FV68" i="16"/>
  <c r="CW109" i="16"/>
  <c r="NG70" i="16"/>
  <c r="AB217" i="16"/>
  <c r="HS50" i="16"/>
  <c r="HS62" i="16" s="1"/>
  <c r="MB70" i="16"/>
  <c r="NX68" i="16"/>
  <c r="NX84" i="16" s="1"/>
  <c r="HP68" i="16"/>
  <c r="DC58" i="16"/>
  <c r="DE70" i="16"/>
  <c r="EB70" i="16"/>
  <c r="Z135" i="16"/>
  <c r="AP135" i="16"/>
  <c r="MX68" i="16"/>
  <c r="JO68" i="16"/>
  <c r="FH68" i="16"/>
  <c r="OD68" i="16"/>
  <c r="EA68" i="16"/>
  <c r="EA84" i="16" s="1"/>
  <c r="NU68" i="16"/>
  <c r="KU68" i="16"/>
  <c r="HA68" i="16"/>
  <c r="CC68" i="16"/>
  <c r="ND68" i="16"/>
  <c r="JW68" i="16"/>
  <c r="FQ68" i="16"/>
  <c r="NV68" i="16"/>
  <c r="NS68" i="16"/>
  <c r="KS68" i="16"/>
  <c r="GV68" i="16"/>
  <c r="BX68" i="16"/>
  <c r="BX84" i="16" s="1"/>
  <c r="NR68" i="16"/>
  <c r="KQ68" i="16"/>
  <c r="FO68" i="16"/>
  <c r="FO84" i="16" s="1"/>
  <c r="MM68" i="16"/>
  <c r="MQ68" i="16"/>
  <c r="MQ84" i="16" s="1"/>
  <c r="IR68" i="16"/>
  <c r="DQ68" i="16"/>
  <c r="MY68" i="16"/>
  <c r="MY84" i="16" s="1"/>
  <c r="IC68" i="16"/>
  <c r="CG68" i="16"/>
  <c r="EX68" i="16"/>
  <c r="KR68" i="16"/>
  <c r="GB68" i="16"/>
  <c r="BD68" i="16"/>
  <c r="FC68" i="16"/>
  <c r="MT68" i="16"/>
  <c r="HN68" i="16"/>
  <c r="AT68" i="16"/>
  <c r="AE126" i="16"/>
  <c r="OG109" i="16"/>
  <c r="NU109" i="16"/>
  <c r="NG109" i="16"/>
  <c r="MR109" i="16"/>
  <c r="LY109" i="16"/>
  <c r="LH109" i="16"/>
  <c r="KJ109" i="16"/>
  <c r="JI109" i="16"/>
  <c r="HU109" i="16"/>
  <c r="FY109" i="16"/>
  <c r="EC109" i="16"/>
  <c r="CG109" i="16"/>
  <c r="BW58" i="16"/>
  <c r="MO50" i="16"/>
  <c r="AS80" i="16"/>
  <c r="AK80" i="16"/>
  <c r="M80" i="16"/>
  <c r="KG70" i="16"/>
  <c r="JI70" i="16"/>
  <c r="FQ70" i="16"/>
  <c r="IJ70" i="16"/>
  <c r="GM70" i="16"/>
  <c r="DB70" i="16"/>
  <c r="LW70" i="16"/>
  <c r="AB17" i="16"/>
  <c r="AL134" i="16"/>
  <c r="AF130" i="16"/>
  <c r="AQ217" i="16"/>
  <c r="AQ131" i="16"/>
  <c r="MO68" i="16"/>
  <c r="JA68" i="16"/>
  <c r="ER68" i="16"/>
  <c r="ER84" i="16" s="1"/>
  <c r="MW68" i="16"/>
  <c r="DK68" i="16"/>
  <c r="DK84" i="16" s="1"/>
  <c r="NM68" i="16"/>
  <c r="KK68" i="16"/>
  <c r="GK68" i="16"/>
  <c r="BM68" i="16"/>
  <c r="MU68" i="16"/>
  <c r="JI68" i="16"/>
  <c r="FA68" i="16"/>
  <c r="MB68" i="16"/>
  <c r="MB84" i="16" s="1"/>
  <c r="NK68" i="16"/>
  <c r="KG68" i="16"/>
  <c r="GF68" i="16"/>
  <c r="GF84" i="16" s="1"/>
  <c r="BH68" i="16"/>
  <c r="NJ68" i="16"/>
  <c r="JU68" i="16"/>
  <c r="EY68" i="16"/>
  <c r="EY84" i="16" s="1"/>
  <c r="KV68" i="16"/>
  <c r="MG68" i="16"/>
  <c r="IG68" i="16"/>
  <c r="DA68" i="16"/>
  <c r="ME68" i="16"/>
  <c r="HR68" i="16"/>
  <c r="BQ68" i="16"/>
  <c r="DB68" i="16"/>
  <c r="KJ68" i="16"/>
  <c r="FL68" i="16"/>
  <c r="JS68" i="16"/>
  <c r="EU68" i="16"/>
  <c r="ML68" i="16"/>
  <c r="FR68" i="16"/>
  <c r="OF109" i="16"/>
  <c r="NT109" i="16"/>
  <c r="NE109" i="16"/>
  <c r="MO109" i="16"/>
  <c r="LX109" i="16"/>
  <c r="LE109" i="16"/>
  <c r="KG109" i="16"/>
  <c r="JD109" i="16"/>
  <c r="HO109" i="16"/>
  <c r="FS109" i="16"/>
  <c r="DW109" i="16"/>
  <c r="CA109" i="16"/>
  <c r="AC80" i="16"/>
  <c r="NY70" i="16"/>
  <c r="NY86" i="16" s="1"/>
  <c r="OK70" i="16"/>
  <c r="FI70" i="16"/>
  <c r="GV70" i="16"/>
  <c r="CM70" i="16"/>
  <c r="CT70" i="16"/>
  <c r="AJ17" i="16"/>
  <c r="CT68" i="16"/>
  <c r="KB68" i="16"/>
  <c r="FD68" i="16"/>
  <c r="JK68" i="16"/>
  <c r="EM68" i="16"/>
  <c r="MD68" i="16"/>
  <c r="FJ68" i="16"/>
  <c r="NN50" i="16"/>
  <c r="FO50" i="16"/>
  <c r="FG50" i="16"/>
  <c r="FG62" i="16" s="1"/>
  <c r="OK50" i="16"/>
  <c r="HQ50" i="16"/>
  <c r="HQ62" i="16" s="1"/>
  <c r="FU50" i="16"/>
  <c r="AW50" i="16"/>
  <c r="MH50" i="16"/>
  <c r="DK50" i="16"/>
  <c r="CY50" i="16"/>
  <c r="U133" i="16"/>
  <c r="IM50" i="16"/>
  <c r="IY50" i="16"/>
  <c r="Y17" i="16"/>
  <c r="JE50" i="16"/>
  <c r="BO50" i="16"/>
  <c r="BO62" i="16" s="1"/>
  <c r="T130" i="16"/>
  <c r="AB135" i="16"/>
  <c r="OM68" i="16"/>
  <c r="LS68" i="16"/>
  <c r="IB68" i="16"/>
  <c r="IB84" i="16" s="1"/>
  <c r="DL68" i="16"/>
  <c r="DL84" i="16" s="1"/>
  <c r="JN68" i="16"/>
  <c r="CE68" i="16"/>
  <c r="MV68" i="16"/>
  <c r="JM68" i="16"/>
  <c r="FE68" i="16"/>
  <c r="NF68" i="16"/>
  <c r="LZ68" i="16"/>
  <c r="IJ68" i="16"/>
  <c r="IJ84" i="16" s="1"/>
  <c r="DU68" i="16"/>
  <c r="IZ68" i="16"/>
  <c r="MS68" i="16"/>
  <c r="JH68" i="16"/>
  <c r="JH84" i="16" s="1"/>
  <c r="EZ68" i="16"/>
  <c r="LR68" i="16"/>
  <c r="MR68" i="16"/>
  <c r="IS68" i="16"/>
  <c r="DS68" i="16"/>
  <c r="OO68" i="16"/>
  <c r="LK68" i="16"/>
  <c r="HE68" i="16"/>
  <c r="BE68" i="16"/>
  <c r="LJ68" i="16"/>
  <c r="FY68" i="16"/>
  <c r="GL68" i="16"/>
  <c r="CL68" i="16"/>
  <c r="JT68" i="16"/>
  <c r="DP68" i="16"/>
  <c r="IE68" i="16"/>
  <c r="EE68" i="16"/>
  <c r="JZ68" i="16"/>
  <c r="ET68" i="16"/>
  <c r="OO109" i="16"/>
  <c r="OC109" i="16"/>
  <c r="NP109" i="16"/>
  <c r="NA109" i="16"/>
  <c r="MK109" i="16"/>
  <c r="LT109" i="16"/>
  <c r="KW109" i="16"/>
  <c r="JX109" i="16"/>
  <c r="IV109" i="16"/>
  <c r="HE109" i="16"/>
  <c r="FI109" i="16"/>
  <c r="DM109" i="16"/>
  <c r="BQ109" i="16"/>
  <c r="NX70" i="16"/>
  <c r="JA70" i="16"/>
  <c r="CW70" i="16"/>
  <c r="DL70" i="16"/>
  <c r="NV70" i="16"/>
  <c r="NU70" i="16"/>
  <c r="V133" i="16"/>
  <c r="AL133" i="16"/>
  <c r="GO50" i="16"/>
  <c r="JA50" i="16"/>
  <c r="LM50" i="16"/>
  <c r="NY50" i="16"/>
  <c r="KL50" i="16"/>
  <c r="AF17" i="16"/>
  <c r="OI50" i="16"/>
  <c r="KL58" i="16"/>
  <c r="KL62" i="16" s="1"/>
  <c r="OE68" i="16"/>
  <c r="LI68" i="16"/>
  <c r="HQ68" i="16"/>
  <c r="CV68" i="16"/>
  <c r="CV84" i="16" s="1"/>
  <c r="HM68" i="16"/>
  <c r="BO68" i="16"/>
  <c r="BO84" i="16" s="1"/>
  <c r="MK68" i="16"/>
  <c r="IY68" i="16"/>
  <c r="IY84" i="16" s="1"/>
  <c r="EO68" i="16"/>
  <c r="OJ68" i="16"/>
  <c r="LO68" i="16"/>
  <c r="HY68" i="16"/>
  <c r="DE68" i="16"/>
  <c r="HB68" i="16"/>
  <c r="MI68" i="16"/>
  <c r="IW68" i="16"/>
  <c r="EJ68" i="16"/>
  <c r="JY68" i="16"/>
  <c r="MH68" i="16"/>
  <c r="IH68" i="16"/>
  <c r="DC68" i="16"/>
  <c r="OG68" i="16"/>
  <c r="LA68" i="16"/>
  <c r="GC68" i="16"/>
  <c r="ON68" i="16"/>
  <c r="KN68" i="16"/>
  <c r="FI68" i="16"/>
  <c r="GD68" i="16"/>
  <c r="BN68" i="16"/>
  <c r="IN68" i="16"/>
  <c r="DH68" i="16"/>
  <c r="HW68" i="16"/>
  <c r="DG68" i="16"/>
  <c r="JR68" i="16"/>
  <c r="EL68" i="16"/>
  <c r="ON109" i="16"/>
  <c r="OB109" i="16"/>
  <c r="NO109" i="16"/>
  <c r="MZ109" i="16"/>
  <c r="MJ109" i="16"/>
  <c r="LP109" i="16"/>
  <c r="KV109" i="16"/>
  <c r="JW109" i="16"/>
  <c r="IU109" i="16"/>
  <c r="GY109" i="16"/>
  <c r="FC109" i="16"/>
  <c r="DG109" i="16"/>
  <c r="BE109" i="16"/>
  <c r="NO70" i="16"/>
  <c r="NA70" i="16"/>
  <c r="NI70" i="16"/>
  <c r="CG70" i="16"/>
  <c r="BX70" i="16"/>
  <c r="MX70" i="16"/>
  <c r="IW70" i="16"/>
  <c r="LU70" i="16"/>
  <c r="MI70" i="16"/>
  <c r="IS70" i="16"/>
  <c r="LT70" i="16"/>
  <c r="BP70" i="16"/>
  <c r="KD70" i="16"/>
  <c r="HQ70" i="16"/>
  <c r="AI17" i="16"/>
  <c r="AQ130" i="16"/>
  <c r="NO68" i="16"/>
  <c r="KM68" i="16"/>
  <c r="GN68" i="16"/>
  <c r="GN84" i="16" s="1"/>
  <c r="BP68" i="16"/>
  <c r="BP84" i="16" s="1"/>
  <c r="FW68" i="16"/>
  <c r="OK68" i="16"/>
  <c r="LQ68" i="16"/>
  <c r="HZ68" i="16"/>
  <c r="DI68" i="16"/>
  <c r="NT68" i="16"/>
  <c r="KT68" i="16"/>
  <c r="GW68" i="16"/>
  <c r="BY68" i="16"/>
  <c r="OI68" i="16"/>
  <c r="LM68" i="16"/>
  <c r="HU68" i="16"/>
  <c r="DD68" i="16"/>
  <c r="OH68" i="16"/>
  <c r="LL68" i="16"/>
  <c r="LL84" i="16" s="1"/>
  <c r="HI68" i="16"/>
  <c r="BW68" i="16"/>
  <c r="NI68" i="16"/>
  <c r="JQ68" i="16"/>
  <c r="EW68" i="16"/>
  <c r="NP68" i="16"/>
  <c r="JP68" i="16"/>
  <c r="DM68" i="16"/>
  <c r="FN68" i="16"/>
  <c r="AX68" i="16"/>
  <c r="HH68" i="16"/>
  <c r="CJ68" i="16"/>
  <c r="HG68" i="16"/>
  <c r="BS68" i="16"/>
  <c r="IL68" i="16"/>
  <c r="CX68" i="16"/>
  <c r="OK109" i="16"/>
  <c r="NX109" i="16"/>
  <c r="NL109" i="16"/>
  <c r="MV109" i="16"/>
  <c r="MC109" i="16"/>
  <c r="LL109" i="16"/>
  <c r="KO109" i="16"/>
  <c r="JO109" i="16"/>
  <c r="IK109" i="16"/>
  <c r="GO109" i="16"/>
  <c r="EM109" i="16"/>
  <c r="CQ109" i="16"/>
  <c r="AU109" i="16"/>
  <c r="AM80" i="16"/>
  <c r="AE80" i="16"/>
  <c r="O80" i="16"/>
  <c r="NH70" i="16"/>
  <c r="KM70" i="16"/>
  <c r="HM70" i="16"/>
  <c r="LL70" i="16"/>
  <c r="IQ70" i="16"/>
  <c r="IX70" i="16"/>
  <c r="DY70" i="16"/>
  <c r="GV50" i="16"/>
  <c r="AN133" i="16"/>
  <c r="II50" i="16"/>
  <c r="JN50" i="16"/>
  <c r="NG68" i="16"/>
  <c r="KC68" i="16"/>
  <c r="FX68" i="16"/>
  <c r="AZ68" i="16"/>
  <c r="AZ84" i="16" s="1"/>
  <c r="EQ68" i="16"/>
  <c r="EQ84" i="16" s="1"/>
  <c r="OC68" i="16"/>
  <c r="LE68" i="16"/>
  <c r="HL68" i="16"/>
  <c r="HL84" i="16" s="1"/>
  <c r="CS68" i="16"/>
  <c r="NL68" i="16"/>
  <c r="KI68" i="16"/>
  <c r="GG68" i="16"/>
  <c r="BI68" i="16"/>
  <c r="OA68" i="16"/>
  <c r="LC68" i="16"/>
  <c r="HJ68" i="16"/>
  <c r="CN68" i="16"/>
  <c r="NZ68" i="16"/>
  <c r="LB68" i="16"/>
  <c r="GU68" i="16"/>
  <c r="OL68" i="16"/>
  <c r="MZ68" i="16"/>
  <c r="JF68" i="16"/>
  <c r="EG68" i="16"/>
  <c r="NH68" i="16"/>
  <c r="IQ68" i="16"/>
  <c r="IQ84" i="16" s="1"/>
  <c r="CW68" i="16"/>
  <c r="FF68" i="16"/>
  <c r="KZ68" i="16"/>
  <c r="GZ68" i="16"/>
  <c r="CB68" i="16"/>
  <c r="FS68" i="16"/>
  <c r="NB68" i="16"/>
  <c r="HV68" i="16"/>
  <c r="BB68" i="16"/>
  <c r="AQ126" i="16"/>
  <c r="OJ109" i="16"/>
  <c r="NW109" i="16"/>
  <c r="NH109" i="16"/>
  <c r="MS109" i="16"/>
  <c r="MB109" i="16"/>
  <c r="LI109" i="16"/>
  <c r="KN109" i="16"/>
  <c r="JM109" i="16"/>
  <c r="IE109" i="16"/>
  <c r="GC109" i="16"/>
  <c r="EG109" i="16"/>
  <c r="CK109" i="16"/>
  <c r="MK70" i="16"/>
  <c r="MZ70" i="16"/>
  <c r="HE70" i="16"/>
  <c r="IZ70" i="16"/>
  <c r="IA70" i="16"/>
  <c r="HR70" i="16"/>
  <c r="FL70" i="16"/>
  <c r="BM50" i="16"/>
  <c r="NC50" i="16"/>
  <c r="OK71" i="16"/>
  <c r="OC71" i="16"/>
  <c r="NU71" i="16"/>
  <c r="NM71" i="16"/>
  <c r="NE71" i="16"/>
  <c r="MW71" i="16"/>
  <c r="MO71" i="16"/>
  <c r="MG71" i="16"/>
  <c r="LY71" i="16"/>
  <c r="LQ71" i="16"/>
  <c r="LI71" i="16"/>
  <c r="LA71" i="16"/>
  <c r="KS71" i="16"/>
  <c r="KK71" i="16"/>
  <c r="KC71" i="16"/>
  <c r="JU71" i="16"/>
  <c r="JM71" i="16"/>
  <c r="JE71" i="16"/>
  <c r="IW71" i="16"/>
  <c r="IO71" i="16"/>
  <c r="IG71" i="16"/>
  <c r="HY71" i="16"/>
  <c r="HQ71" i="16"/>
  <c r="HI71" i="16"/>
  <c r="HA71" i="16"/>
  <c r="GS71" i="16"/>
  <c r="GK71" i="16"/>
  <c r="GC71" i="16"/>
  <c r="FU71" i="16"/>
  <c r="FM71" i="16"/>
  <c r="FE71" i="16"/>
  <c r="EW71" i="16"/>
  <c r="EO71" i="16"/>
  <c r="EG71" i="16"/>
  <c r="DY71" i="16"/>
  <c r="DQ71" i="16"/>
  <c r="DI71" i="16"/>
  <c r="DA71" i="16"/>
  <c r="CS71" i="16"/>
  <c r="CK71" i="16"/>
  <c r="CC71" i="16"/>
  <c r="BU71" i="16"/>
  <c r="BM71" i="16"/>
  <c r="BE71" i="16"/>
  <c r="AW71" i="16"/>
  <c r="M179" i="16" s="1"/>
  <c r="W133" i="16"/>
  <c r="N130" i="16"/>
  <c r="M133" i="16"/>
  <c r="R133" i="16"/>
  <c r="X133" i="16"/>
  <c r="AC133" i="16"/>
  <c r="EW50" i="16"/>
  <c r="EY50" i="16"/>
  <c r="G69" i="16"/>
  <c r="AZ69" i="16"/>
  <c r="BH69" i="16"/>
  <c r="BP69" i="16"/>
  <c r="O177" i="16" s="1"/>
  <c r="BX69" i="16"/>
  <c r="CF69" i="16"/>
  <c r="CN69" i="16"/>
  <c r="Q177" i="16" s="1"/>
  <c r="CV69" i="16"/>
  <c r="DD69" i="16"/>
  <c r="DL69" i="16"/>
  <c r="DT69" i="16"/>
  <c r="EB69" i="16"/>
  <c r="EJ69" i="16"/>
  <c r="ER69" i="16"/>
  <c r="EZ69" i="16"/>
  <c r="FH69" i="16"/>
  <c r="W177" i="16" s="1"/>
  <c r="FP69" i="16"/>
  <c r="FX69" i="16"/>
  <c r="GF69" i="16"/>
  <c r="GN69" i="16"/>
  <c r="GV69" i="16"/>
  <c r="HD69" i="16"/>
  <c r="AA177" i="16" s="1"/>
  <c r="HL69" i="16"/>
  <c r="HT69" i="16"/>
  <c r="IB69" i="16"/>
  <c r="IJ69" i="16"/>
  <c r="IR69" i="16"/>
  <c r="IZ69" i="16"/>
  <c r="JH69" i="16"/>
  <c r="JP69" i="16"/>
  <c r="JX69" i="16"/>
  <c r="AG177" i="16" s="1"/>
  <c r="KF69" i="16"/>
  <c r="KN69" i="16"/>
  <c r="KV69" i="16"/>
  <c r="LD69" i="16"/>
  <c r="NQ78" i="16"/>
  <c r="LE78" i="16"/>
  <c r="IS78" i="16"/>
  <c r="IS86" i="16" s="1"/>
  <c r="GG78" i="16"/>
  <c r="DU78" i="16"/>
  <c r="BI78" i="16"/>
  <c r="ON78" i="16"/>
  <c r="MB78" i="16"/>
  <c r="JP78" i="16"/>
  <c r="HD78" i="16"/>
  <c r="ER78" i="16"/>
  <c r="CF78" i="16"/>
  <c r="NI78" i="16"/>
  <c r="KW78" i="16"/>
  <c r="IK78" i="16"/>
  <c r="FY78" i="16"/>
  <c r="DM78" i="16"/>
  <c r="BA78" i="16"/>
  <c r="OF78" i="16"/>
  <c r="LT78" i="16"/>
  <c r="LT86" i="16" s="1"/>
  <c r="JH78" i="16"/>
  <c r="GV78" i="16"/>
  <c r="EJ78" i="16"/>
  <c r="BX78" i="16"/>
  <c r="NA78" i="16"/>
  <c r="NA86" i="16" s="1"/>
  <c r="KO78" i="16"/>
  <c r="IC78" i="16"/>
  <c r="FQ78" i="16"/>
  <c r="FQ86" i="16" s="1"/>
  <c r="DE78" i="16"/>
  <c r="NX78" i="16"/>
  <c r="LL78" i="16"/>
  <c r="IZ78" i="16"/>
  <c r="IZ86" i="16" s="1"/>
  <c r="GN78" i="16"/>
  <c r="EB78" i="16"/>
  <c r="BP78" i="16"/>
  <c r="MS78" i="16"/>
  <c r="KG78" i="16"/>
  <c r="HU78" i="16"/>
  <c r="FI78" i="16"/>
  <c r="CW78" i="16"/>
  <c r="NP78" i="16"/>
  <c r="LD78" i="16"/>
  <c r="IR78" i="16"/>
  <c r="GF78" i="16"/>
  <c r="DT78" i="16"/>
  <c r="BH78" i="16"/>
  <c r="MK78" i="16"/>
  <c r="JY78" i="16"/>
  <c r="HM78" i="16"/>
  <c r="FA78" i="16"/>
  <c r="CO78" i="16"/>
  <c r="NH78" i="16"/>
  <c r="KV78" i="16"/>
  <c r="IJ78" i="16"/>
  <c r="FX78" i="16"/>
  <c r="DL78" i="16"/>
  <c r="AZ78" i="16"/>
  <c r="OO78" i="16"/>
  <c r="MC78" i="16"/>
  <c r="JQ78" i="16"/>
  <c r="HE78" i="16"/>
  <c r="ES78" i="16"/>
  <c r="CG78" i="16"/>
  <c r="MZ78" i="16"/>
  <c r="KN78" i="16"/>
  <c r="IB78" i="16"/>
  <c r="FP78" i="16"/>
  <c r="DD78" i="16"/>
  <c r="OG78" i="16"/>
  <c r="LU78" i="16"/>
  <c r="JI78" i="16"/>
  <c r="GW78" i="16"/>
  <c r="EK78" i="16"/>
  <c r="BY78" i="16"/>
  <c r="MR78" i="16"/>
  <c r="KF78" i="16"/>
  <c r="HT78" i="16"/>
  <c r="FH78" i="16"/>
  <c r="CV78" i="16"/>
  <c r="CN50" i="16"/>
  <c r="FM50" i="16"/>
  <c r="JG50" i="16"/>
  <c r="NK50" i="16"/>
  <c r="NK62" i="16" s="1"/>
  <c r="BI50" i="16"/>
  <c r="BB50" i="16"/>
  <c r="DN50" i="16"/>
  <c r="DN62" i="16" s="1"/>
  <c r="FZ50" i="16"/>
  <c r="KX50" i="16"/>
  <c r="KX62" i="16" s="1"/>
  <c r="NJ50" i="16"/>
  <c r="MU50" i="16"/>
  <c r="DQ50" i="16"/>
  <c r="DQ62" i="16" s="1"/>
  <c r="DR50" i="16"/>
  <c r="AA134" i="16"/>
  <c r="V134" i="16"/>
  <c r="FN58" i="16"/>
  <c r="AN87" i="16"/>
  <c r="AF87" i="16"/>
  <c r="X87" i="16"/>
  <c r="CI58" i="16"/>
  <c r="KQ58" i="16"/>
  <c r="GK50" i="16"/>
  <c r="GK62" i="16" s="1"/>
  <c r="NM50" i="16"/>
  <c r="JU50" i="16"/>
  <c r="JU62" i="16" s="1"/>
  <c r="DJ50" i="16"/>
  <c r="AN130" i="16"/>
  <c r="X130" i="16"/>
  <c r="AG130" i="16"/>
  <c r="V130" i="16"/>
  <c r="Q130" i="16"/>
  <c r="AP84" i="16"/>
  <c r="AH84" i="16"/>
  <c r="Z84" i="16"/>
  <c r="R84" i="16"/>
  <c r="II58" i="16"/>
  <c r="II62" i="16" s="1"/>
  <c r="W18" i="16"/>
  <c r="V18" i="16"/>
  <c r="AB162" i="16"/>
  <c r="EW58" i="16"/>
  <c r="DA58" i="16"/>
  <c r="NG50" i="16"/>
  <c r="NG62" i="16" s="1"/>
  <c r="HZ50" i="16"/>
  <c r="FN50" i="16"/>
  <c r="AP50" i="16"/>
  <c r="MI50" i="16"/>
  <c r="DC50" i="16"/>
  <c r="AB130" i="16"/>
  <c r="AO209" i="16"/>
  <c r="BU58" i="16"/>
  <c r="BU62" i="16" s="1"/>
  <c r="GR58" i="16"/>
  <c r="X135" i="16"/>
  <c r="AN135" i="16"/>
  <c r="OF68" i="16"/>
  <c r="OF84" i="16" s="1"/>
  <c r="KY68" i="16"/>
  <c r="GO68" i="16"/>
  <c r="BA68" i="16"/>
  <c r="DZ68" i="16"/>
  <c r="MF68" i="16"/>
  <c r="IF68" i="16"/>
  <c r="EV68" i="16"/>
  <c r="AV68" i="16"/>
  <c r="GY68" i="16"/>
  <c r="CY68" i="16"/>
  <c r="KX68" i="16"/>
  <c r="GX68" i="16"/>
  <c r="CP68" i="16"/>
  <c r="AA18" i="16"/>
  <c r="DX58" i="16"/>
  <c r="JE58" i="16"/>
  <c r="JE62" i="16" s="1"/>
  <c r="BN58" i="16"/>
  <c r="AP80" i="16"/>
  <c r="AH80" i="16"/>
  <c r="Z80" i="16"/>
  <c r="R80" i="16"/>
  <c r="OH50" i="16"/>
  <c r="EM50" i="16"/>
  <c r="GY50" i="16"/>
  <c r="AP125" i="16"/>
  <c r="HC50" i="16"/>
  <c r="MA50" i="16"/>
  <c r="CK50" i="16"/>
  <c r="NE50" i="16"/>
  <c r="N217" i="16"/>
  <c r="AN217" i="16"/>
  <c r="DJ68" i="16"/>
  <c r="LX68" i="16"/>
  <c r="HX68" i="16"/>
  <c r="EN68" i="16"/>
  <c r="KA68" i="16"/>
  <c r="GQ68" i="16"/>
  <c r="CQ68" i="16"/>
  <c r="KP68" i="16"/>
  <c r="FZ68" i="16"/>
  <c r="CH68" i="16"/>
  <c r="JK58" i="16"/>
  <c r="W126" i="16"/>
  <c r="AC18" i="16"/>
  <c r="IX58" i="16"/>
  <c r="IX62" i="16" s="1"/>
  <c r="NJ58" i="16"/>
  <c r="GN70" i="16"/>
  <c r="GE70" i="16"/>
  <c r="GL70" i="16"/>
  <c r="HX70" i="16"/>
  <c r="ON50" i="16"/>
  <c r="CA50" i="16"/>
  <c r="CA62" i="16" s="1"/>
  <c r="CH50" i="16"/>
  <c r="CH62" i="16" s="1"/>
  <c r="ET50" i="16"/>
  <c r="HF50" i="16"/>
  <c r="HF62" i="16" s="1"/>
  <c r="MD50" i="16"/>
  <c r="JS50" i="16"/>
  <c r="JS62" i="16" s="1"/>
  <c r="IO50" i="16"/>
  <c r="JV50" i="16"/>
  <c r="HJ50" i="16"/>
  <c r="EX50" i="16"/>
  <c r="IG50" i="16"/>
  <c r="LS50" i="16"/>
  <c r="LS62" i="16" s="1"/>
  <c r="Y134" i="16"/>
  <c r="AJ130" i="16"/>
  <c r="X217" i="16"/>
  <c r="NI109" i="16"/>
  <c r="MW109" i="16"/>
  <c r="MG109" i="16"/>
  <c r="LQ109" i="16"/>
  <c r="KZ109" i="16"/>
  <c r="KF109" i="16"/>
  <c r="JE109" i="16"/>
  <c r="HY109" i="16"/>
  <c r="GI109" i="16"/>
  <c r="ES109" i="16"/>
  <c r="DA109" i="16"/>
  <c r="BK109" i="16"/>
  <c r="AK18" i="16"/>
  <c r="P18" i="16"/>
  <c r="AB18" i="16"/>
  <c r="NV58" i="16"/>
  <c r="NV62" i="16" s="1"/>
  <c r="JR58" i="16"/>
  <c r="KD58" i="16"/>
  <c r="OE50" i="16"/>
  <c r="DA50" i="16"/>
  <c r="OA50" i="16"/>
  <c r="CU50" i="16"/>
  <c r="CU62" i="16" s="1"/>
  <c r="AH217" i="16"/>
  <c r="AD131" i="16"/>
  <c r="CU84" i="16"/>
  <c r="KM58" i="16"/>
  <c r="KM62" i="16" s="1"/>
  <c r="JO50" i="16"/>
  <c r="JO62" i="16" s="1"/>
  <c r="DK58" i="16"/>
  <c r="DK62" i="16" s="1"/>
  <c r="Q128" i="16"/>
  <c r="O133" i="16"/>
  <c r="AE133" i="16"/>
  <c r="IK50" i="16"/>
  <c r="CX50" i="16"/>
  <c r="FJ50" i="16"/>
  <c r="KH50" i="16"/>
  <c r="MT50" i="16"/>
  <c r="HW50" i="16"/>
  <c r="MG50" i="16"/>
  <c r="BE50" i="16"/>
  <c r="EH50" i="16"/>
  <c r="EH62" i="16" s="1"/>
  <c r="BV50" i="16"/>
  <c r="BV62" i="16" s="1"/>
  <c r="EA50" i="16"/>
  <c r="NS50" i="16"/>
  <c r="NS62" i="16" s="1"/>
  <c r="CM50" i="16"/>
  <c r="MX50" i="16"/>
  <c r="MX62" i="16" s="1"/>
  <c r="AK131" i="16"/>
  <c r="LA58" i="16"/>
  <c r="LA62" i="16" s="1"/>
  <c r="BE58" i="16"/>
  <c r="LZ58" i="16"/>
  <c r="IO58" i="16"/>
  <c r="IO62" i="16" s="1"/>
  <c r="AL80" i="16"/>
  <c r="L128" i="16"/>
  <c r="Z133" i="16"/>
  <c r="AP133" i="16"/>
  <c r="BN50" i="16"/>
  <c r="AD24" i="16"/>
  <c r="S24" i="16"/>
  <c r="R128" i="16"/>
  <c r="AJ132" i="16"/>
  <c r="FV50" i="16"/>
  <c r="KZ50" i="16"/>
  <c r="IN50" i="16"/>
  <c r="W24" i="16"/>
  <c r="T127" i="16"/>
  <c r="BC50" i="16"/>
  <c r="BC62" i="16" s="1"/>
  <c r="L133" i="16"/>
  <c r="Q133" i="16"/>
  <c r="AB133" i="16"/>
  <c r="AG133" i="16"/>
  <c r="BY50" i="16"/>
  <c r="EK50" i="16"/>
  <c r="JI50" i="16"/>
  <c r="LU50" i="16"/>
  <c r="EO50" i="16"/>
  <c r="JJ50" i="16"/>
  <c r="JJ62" i="16" s="1"/>
  <c r="KT50" i="16"/>
  <c r="KT62" i="16" s="1"/>
  <c r="W132" i="16"/>
  <c r="Q132" i="16"/>
  <c r="X26" i="16"/>
  <c r="AG26" i="16"/>
  <c r="AH133" i="16"/>
  <c r="MC50" i="16"/>
  <c r="IT50" i="16"/>
  <c r="IT62" i="16" s="1"/>
  <c r="AH17" i="16"/>
  <c r="AL127" i="16"/>
  <c r="N133" i="16"/>
  <c r="S133" i="16"/>
  <c r="AD133" i="16"/>
  <c r="AI133" i="16"/>
  <c r="FI50" i="16"/>
  <c r="HU50" i="16"/>
  <c r="KG50" i="16"/>
  <c r="AM17" i="16"/>
  <c r="EG50" i="16"/>
  <c r="EG62" i="16" s="1"/>
  <c r="IA50" i="16"/>
  <c r="HB50" i="16"/>
  <c r="EP50" i="16"/>
  <c r="R17" i="16"/>
  <c r="X17" i="16"/>
  <c r="N209" i="16"/>
  <c r="T133" i="16"/>
  <c r="Y133" i="16"/>
  <c r="AJ133" i="16"/>
  <c r="KO50" i="16"/>
  <c r="KE50" i="16"/>
  <c r="NU50" i="16"/>
  <c r="AF132" i="16"/>
  <c r="AJ134" i="16"/>
  <c r="P130" i="16"/>
  <c r="IL109" i="16"/>
  <c r="IA109" i="16"/>
  <c r="HP109" i="16"/>
  <c r="HF109" i="16"/>
  <c r="GU109" i="16"/>
  <c r="GJ109" i="16"/>
  <c r="FZ109" i="16"/>
  <c r="FO109" i="16"/>
  <c r="FD109" i="16"/>
  <c r="ET109" i="16"/>
  <c r="EI109" i="16"/>
  <c r="DX109" i="16"/>
  <c r="DN109" i="16"/>
  <c r="DC109" i="16"/>
  <c r="CR109" i="16"/>
  <c r="CH109" i="16"/>
  <c r="BW109" i="16"/>
  <c r="BL109" i="16"/>
  <c r="BB109" i="16"/>
  <c r="Y126" i="16"/>
  <c r="AD126" i="16"/>
  <c r="N126" i="16"/>
  <c r="IL58" i="16"/>
  <c r="JH70" i="16"/>
  <c r="EJ70" i="16"/>
  <c r="IY70" i="16"/>
  <c r="DS70" i="16"/>
  <c r="KL70" i="16"/>
  <c r="DZ70" i="16"/>
  <c r="KC70" i="16"/>
  <c r="KJ70" i="16"/>
  <c r="J212" i="16"/>
  <c r="AN134" i="16"/>
  <c r="W134" i="16"/>
  <c r="AP130" i="16"/>
  <c r="Z130" i="16"/>
  <c r="AI130" i="16"/>
  <c r="S130" i="16"/>
  <c r="M135" i="16"/>
  <c r="AC135" i="16"/>
  <c r="J185" i="16"/>
  <c r="AA132" i="16"/>
  <c r="U132" i="16"/>
  <c r="HA50" i="16"/>
  <c r="AC134" i="16"/>
  <c r="AD130" i="16"/>
  <c r="MQ109" i="16"/>
  <c r="MI109" i="16"/>
  <c r="MA109" i="16"/>
  <c r="LS109" i="16"/>
  <c r="LK109" i="16"/>
  <c r="LC109" i="16"/>
  <c r="KU109" i="16"/>
  <c r="KM109" i="16"/>
  <c r="KE109" i="16"/>
  <c r="JU109" i="16"/>
  <c r="JL109" i="16"/>
  <c r="JC109" i="16"/>
  <c r="IT109" i="16"/>
  <c r="II109" i="16"/>
  <c r="HX109" i="16"/>
  <c r="HN109" i="16"/>
  <c r="HC109" i="16"/>
  <c r="GR109" i="16"/>
  <c r="GH109" i="16"/>
  <c r="FW109" i="16"/>
  <c r="FL109" i="16"/>
  <c r="FB109" i="16"/>
  <c r="EQ109" i="16"/>
  <c r="EF109" i="16"/>
  <c r="DV109" i="16"/>
  <c r="DK109" i="16"/>
  <c r="CZ109" i="16"/>
  <c r="CP109" i="16"/>
  <c r="CE109" i="16"/>
  <c r="BT109" i="16"/>
  <c r="BJ109" i="16"/>
  <c r="AY109" i="16"/>
  <c r="AK126" i="16"/>
  <c r="Y132" i="16"/>
  <c r="M132" i="16"/>
  <c r="AQ50" i="16"/>
  <c r="AQ134" i="16"/>
  <c r="AH134" i="16"/>
  <c r="DR68" i="16"/>
  <c r="MN68" i="16"/>
  <c r="JL68" i="16"/>
  <c r="FT68" i="16"/>
  <c r="CR68" i="16"/>
  <c r="JC68" i="16"/>
  <c r="FK68" i="16"/>
  <c r="CI68" i="16"/>
  <c r="LV68" i="16"/>
  <c r="ID68" i="16"/>
  <c r="FB68" i="16"/>
  <c r="BZ68" i="16"/>
  <c r="OL109" i="16"/>
  <c r="OD109" i="16"/>
  <c r="NV109" i="16"/>
  <c r="NN109" i="16"/>
  <c r="NF109" i="16"/>
  <c r="MX109" i="16"/>
  <c r="MP109" i="16"/>
  <c r="MH109" i="16"/>
  <c r="LZ109" i="16"/>
  <c r="LR109" i="16"/>
  <c r="LJ109" i="16"/>
  <c r="LB109" i="16"/>
  <c r="KT109" i="16"/>
  <c r="KL109" i="16"/>
  <c r="KC109" i="16"/>
  <c r="JT109" i="16"/>
  <c r="JK109" i="16"/>
  <c r="JB109" i="16"/>
  <c r="IS109" i="16"/>
  <c r="IG109" i="16"/>
  <c r="HW109" i="16"/>
  <c r="HM109" i="16"/>
  <c r="HA109" i="16"/>
  <c r="GQ109" i="16"/>
  <c r="GG109" i="16"/>
  <c r="FU109" i="16"/>
  <c r="FK109" i="16"/>
  <c r="FA109" i="16"/>
  <c r="EO109" i="16"/>
  <c r="EE109" i="16"/>
  <c r="DU109" i="16"/>
  <c r="DI109" i="16"/>
  <c r="CY109" i="16"/>
  <c r="CO109" i="16"/>
  <c r="CC109" i="16"/>
  <c r="BS109" i="16"/>
  <c r="BI109" i="16"/>
  <c r="AW109" i="16"/>
  <c r="FW50" i="16"/>
  <c r="FW62" i="16" s="1"/>
  <c r="FR58" i="16"/>
  <c r="OL58" i="16"/>
  <c r="BZ58" i="16"/>
  <c r="AO80" i="16"/>
  <c r="AG80" i="16"/>
  <c r="Q80" i="16"/>
  <c r="AD23" i="16"/>
  <c r="AL85" i="16"/>
  <c r="AD85" i="16"/>
  <c r="N85" i="16"/>
  <c r="OF70" i="16"/>
  <c r="OO70" i="16"/>
  <c r="OO86" i="16" s="1"/>
  <c r="LE70" i="16"/>
  <c r="LE86" i="16" s="1"/>
  <c r="KW70" i="16"/>
  <c r="KW86" i="16" s="1"/>
  <c r="GO70" i="16"/>
  <c r="GO86" i="16" s="1"/>
  <c r="BQ70" i="16"/>
  <c r="BQ86" i="16" s="1"/>
  <c r="HT70" i="16"/>
  <c r="CV70" i="16"/>
  <c r="HK70" i="16"/>
  <c r="BG70" i="16"/>
  <c r="HZ70" i="16"/>
  <c r="BN70" i="16"/>
  <c r="GK70" i="16"/>
  <c r="CZ70" i="16"/>
  <c r="AG209" i="16"/>
  <c r="W131" i="16"/>
  <c r="T135" i="16"/>
  <c r="AJ135" i="16"/>
  <c r="LA109" i="16"/>
  <c r="KS109" i="16"/>
  <c r="KK109" i="16"/>
  <c r="KB109" i="16"/>
  <c r="JS109" i="16"/>
  <c r="JJ109" i="16"/>
  <c r="JA109" i="16"/>
  <c r="IQ109" i="16"/>
  <c r="IF109" i="16"/>
  <c r="HV109" i="16"/>
  <c r="HK109" i="16"/>
  <c r="GZ109" i="16"/>
  <c r="GP109" i="16"/>
  <c r="GE109" i="16"/>
  <c r="FT109" i="16"/>
  <c r="FJ109" i="16"/>
  <c r="EY109" i="16"/>
  <c r="EN109" i="16"/>
  <c r="ED109" i="16"/>
  <c r="DS109" i="16"/>
  <c r="DH109" i="16"/>
  <c r="CX109" i="16"/>
  <c r="CM109" i="16"/>
  <c r="CB109" i="16"/>
  <c r="BR109" i="16"/>
  <c r="BG109" i="16"/>
  <c r="AV109" i="16"/>
  <c r="CF84" i="16"/>
  <c r="JP84" i="16"/>
  <c r="MW50" i="16"/>
  <c r="AA162" i="16"/>
  <c r="CR58" i="16"/>
  <c r="AN80" i="16"/>
  <c r="AF80" i="16"/>
  <c r="V23" i="16"/>
  <c r="FE70" i="16"/>
  <c r="OI70" i="16"/>
  <c r="AM86" i="16"/>
  <c r="AE86" i="16"/>
  <c r="W86" i="16"/>
  <c r="O86" i="16"/>
  <c r="L217" i="16"/>
  <c r="X209" i="16"/>
  <c r="R209" i="16"/>
  <c r="AU68" i="16"/>
  <c r="KH68" i="16"/>
  <c r="HF68" i="16"/>
  <c r="DN68" i="16"/>
  <c r="OI109" i="16"/>
  <c r="OA109" i="16"/>
  <c r="NS109" i="16"/>
  <c r="NK109" i="16"/>
  <c r="NC109" i="16"/>
  <c r="MU109" i="16"/>
  <c r="MM109" i="16"/>
  <c r="ME109" i="16"/>
  <c r="LW109" i="16"/>
  <c r="LO109" i="16"/>
  <c r="LG109" i="16"/>
  <c r="KY109" i="16"/>
  <c r="KQ109" i="16"/>
  <c r="KI109" i="16"/>
  <c r="JZ109" i="16"/>
  <c r="JQ109" i="16"/>
  <c r="JH109" i="16"/>
  <c r="IY109" i="16"/>
  <c r="IN109" i="16"/>
  <c r="ID109" i="16"/>
  <c r="HS109" i="16"/>
  <c r="HH109" i="16"/>
  <c r="GX109" i="16"/>
  <c r="GM109" i="16"/>
  <c r="GB109" i="16"/>
  <c r="FR109" i="16"/>
  <c r="FG109" i="16"/>
  <c r="EV109" i="16"/>
  <c r="EL109" i="16"/>
  <c r="EA109" i="16"/>
  <c r="DP109" i="16"/>
  <c r="DF109" i="16"/>
  <c r="CU109" i="16"/>
  <c r="CJ109" i="16"/>
  <c r="BZ109" i="16"/>
  <c r="BO109" i="16"/>
  <c r="BD109" i="16"/>
  <c r="Q126" i="16"/>
  <c r="CQ58" i="16"/>
  <c r="LR58" i="16"/>
  <c r="LR62" i="16" s="1"/>
  <c r="AD80" i="16"/>
  <c r="V80" i="16"/>
  <c r="N80" i="16"/>
  <c r="OE70" i="16"/>
  <c r="MJ70" i="16"/>
  <c r="MJ86" i="16" s="1"/>
  <c r="MC70" i="16"/>
  <c r="NP70" i="16"/>
  <c r="ES70" i="16"/>
  <c r="KV70" i="16"/>
  <c r="FX70" i="16"/>
  <c r="AZ70" i="16"/>
  <c r="EY70" i="16"/>
  <c r="MP70" i="16"/>
  <c r="FN70" i="16"/>
  <c r="MO70" i="16"/>
  <c r="BM70" i="16"/>
  <c r="W209" i="16"/>
  <c r="AK209" i="16"/>
  <c r="OH109" i="16"/>
  <c r="NZ109" i="16"/>
  <c r="NR109" i="16"/>
  <c r="NJ109" i="16"/>
  <c r="NB109" i="16"/>
  <c r="MT109" i="16"/>
  <c r="ML109" i="16"/>
  <c r="MD109" i="16"/>
  <c r="LV109" i="16"/>
  <c r="LN109" i="16"/>
  <c r="LF109" i="16"/>
  <c r="KX109" i="16"/>
  <c r="KP109" i="16"/>
  <c r="KH109" i="16"/>
  <c r="JY109" i="16"/>
  <c r="JP109" i="16"/>
  <c r="JG109" i="16"/>
  <c r="IW109" i="16"/>
  <c r="IM109" i="16"/>
  <c r="IC109" i="16"/>
  <c r="HQ109" i="16"/>
  <c r="HG109" i="16"/>
  <c r="GW109" i="16"/>
  <c r="GK109" i="16"/>
  <c r="GA109" i="16"/>
  <c r="FQ109" i="16"/>
  <c r="FE109" i="16"/>
  <c r="EU109" i="16"/>
  <c r="EK109" i="16"/>
  <c r="DY109" i="16"/>
  <c r="DO109" i="16"/>
  <c r="DE109" i="16"/>
  <c r="CS109" i="16"/>
  <c r="CI109" i="16"/>
  <c r="BY109" i="16"/>
  <c r="BM109" i="16"/>
  <c r="BC109" i="16"/>
  <c r="R85" i="16"/>
  <c r="LO58" i="16"/>
  <c r="LO62" i="16" s="1"/>
  <c r="IG58" i="16"/>
  <c r="IG62" i="16" s="1"/>
  <c r="EY58" i="16"/>
  <c r="EY62" i="16" s="1"/>
  <c r="BS58" i="16"/>
  <c r="MH58" i="16"/>
  <c r="MH62" i="16" s="1"/>
  <c r="JB58" i="16"/>
  <c r="JB62" i="16" s="1"/>
  <c r="FT58" i="16"/>
  <c r="CL58" i="16"/>
  <c r="CL62" i="16" s="1"/>
  <c r="LE58" i="16"/>
  <c r="GG58" i="16"/>
  <c r="DU58" i="16"/>
  <c r="BI58" i="16"/>
  <c r="BI62" i="16" s="1"/>
  <c r="MR58" i="16"/>
  <c r="MR62" i="16" s="1"/>
  <c r="HT58" i="16"/>
  <c r="FH58" i="16"/>
  <c r="OC70" i="16"/>
  <c r="JY70" i="16"/>
  <c r="JY86" i="16" s="1"/>
  <c r="LC70" i="16"/>
  <c r="KU70" i="16"/>
  <c r="EC70" i="16"/>
  <c r="KF70" i="16"/>
  <c r="FH70" i="16"/>
  <c r="FH86" i="16" s="1"/>
  <c r="JW70" i="16"/>
  <c r="EA70" i="16"/>
  <c r="LJ70" i="16"/>
  <c r="FF70" i="16"/>
  <c r="LI70" i="16"/>
  <c r="MV70" i="16"/>
  <c r="C22" i="4"/>
  <c r="C25" i="4" s="1"/>
  <c r="D18" i="7"/>
  <c r="D10" i="7"/>
  <c r="Z127" i="16"/>
  <c r="AP127" i="16"/>
  <c r="HE50" i="16"/>
  <c r="JQ50" i="16"/>
  <c r="W127" i="16"/>
  <c r="AM127" i="16"/>
  <c r="P128" i="16"/>
  <c r="CF50" i="16"/>
  <c r="FY50" i="16"/>
  <c r="JR50" i="16"/>
  <c r="NA50" i="16"/>
  <c r="AN125" i="16"/>
  <c r="V125" i="16"/>
  <c r="MB50" i="16"/>
  <c r="EI50" i="16"/>
  <c r="EI62" i="16" s="1"/>
  <c r="U134" i="16"/>
  <c r="V209" i="16"/>
  <c r="AE209" i="16"/>
  <c r="P127" i="16"/>
  <c r="AF127" i="16"/>
  <c r="JH50" i="16"/>
  <c r="L127" i="16"/>
  <c r="CO50" i="16"/>
  <c r="HM50" i="16"/>
  <c r="JY50" i="16"/>
  <c r="M127" i="16"/>
  <c r="AC127" i="16"/>
  <c r="CQ50" i="16"/>
  <c r="BK50" i="16"/>
  <c r="MK50" i="16"/>
  <c r="FH50" i="16"/>
  <c r="BZ50" i="16"/>
  <c r="MN50" i="16"/>
  <c r="AM125" i="16"/>
  <c r="KB50" i="16"/>
  <c r="KB62" i="16" s="1"/>
  <c r="HP50" i="16"/>
  <c r="GS50" i="16"/>
  <c r="GS62" i="16" s="1"/>
  <c r="Z134" i="16"/>
  <c r="KV50" i="16"/>
  <c r="FX50" i="16"/>
  <c r="V127" i="16"/>
  <c r="ER50" i="16"/>
  <c r="S127" i="16"/>
  <c r="AI127" i="16"/>
  <c r="AQ133" i="16"/>
  <c r="DD50" i="16"/>
  <c r="GW50" i="16"/>
  <c r="KQ50" i="16"/>
  <c r="AD125" i="16"/>
  <c r="BX50" i="16"/>
  <c r="P125" i="16"/>
  <c r="FQ50" i="16"/>
  <c r="X125" i="16"/>
  <c r="JK50" i="16"/>
  <c r="OL50" i="16"/>
  <c r="AQ132" i="16"/>
  <c r="AG132" i="16"/>
  <c r="AK134" i="16"/>
  <c r="AB209" i="16"/>
  <c r="AA131" i="16"/>
  <c r="AB127" i="16"/>
  <c r="AS50" i="16"/>
  <c r="DE50" i="16"/>
  <c r="Y127" i="16"/>
  <c r="AO127" i="16"/>
  <c r="DO50" i="16"/>
  <c r="KY50" i="16"/>
  <c r="KY62" i="16" s="1"/>
  <c r="HT50" i="16"/>
  <c r="EL50" i="16"/>
  <c r="EL62" i="16" s="1"/>
  <c r="DW50" i="16"/>
  <c r="DT50" i="16"/>
  <c r="AB26" i="16"/>
  <c r="T26" i="16"/>
  <c r="P26" i="16"/>
  <c r="Z26" i="16"/>
  <c r="AE26" i="16"/>
  <c r="AH26" i="16"/>
  <c r="Q26" i="16"/>
  <c r="AJ26" i="16"/>
  <c r="AF26" i="16"/>
  <c r="V26" i="16"/>
  <c r="W26" i="16"/>
  <c r="AL26" i="16"/>
  <c r="Y26" i="16"/>
  <c r="S26" i="16"/>
  <c r="U26" i="16"/>
  <c r="AA26" i="16"/>
  <c r="AD26" i="16"/>
  <c r="AI26" i="16"/>
  <c r="AM26" i="16"/>
  <c r="R26" i="16"/>
  <c r="AC26" i="16"/>
  <c r="AK26" i="16"/>
  <c r="AH130" i="16"/>
  <c r="R130" i="16"/>
  <c r="AA130" i="16"/>
  <c r="Z209" i="16"/>
  <c r="T209" i="16"/>
  <c r="AC209" i="16"/>
  <c r="BW50" i="16"/>
  <c r="R127" i="16"/>
  <c r="AH127" i="16"/>
  <c r="BA50" i="16"/>
  <c r="DM50" i="16"/>
  <c r="KW50" i="16"/>
  <c r="NI50" i="16"/>
  <c r="O127" i="16"/>
  <c r="AE127" i="16"/>
  <c r="EC50" i="16"/>
  <c r="HV50" i="16"/>
  <c r="LL50" i="16"/>
  <c r="CW50" i="16"/>
  <c r="GP50" i="16"/>
  <c r="KI50" i="16"/>
  <c r="NP50" i="16"/>
  <c r="OC50" i="16"/>
  <c r="AP132" i="16"/>
  <c r="AE132" i="16"/>
  <c r="GA50" i="16"/>
  <c r="AD132" i="16"/>
  <c r="X134" i="16"/>
  <c r="R134" i="16"/>
  <c r="AF134" i="16"/>
  <c r="T134" i="16"/>
  <c r="P209" i="16"/>
  <c r="AM209" i="16"/>
  <c r="IC50" i="16"/>
  <c r="GU50" i="16"/>
  <c r="BQ50" i="16"/>
  <c r="KK50" i="16"/>
  <c r="KK62" i="16" s="1"/>
  <c r="X127" i="16"/>
  <c r="FP50" i="16"/>
  <c r="AN127" i="16"/>
  <c r="MZ50" i="16"/>
  <c r="P133" i="16"/>
  <c r="AF133" i="16"/>
  <c r="GG50" i="16"/>
  <c r="IS50" i="16"/>
  <c r="NQ50" i="16"/>
  <c r="NQ62" i="16" s="1"/>
  <c r="U127" i="16"/>
  <c r="AK127" i="16"/>
  <c r="AU50" i="16"/>
  <c r="LV50" i="16"/>
  <c r="AF125" i="16"/>
  <c r="FK50" i="16"/>
  <c r="AB24" i="16"/>
  <c r="X24" i="16"/>
  <c r="P24" i="16"/>
  <c r="AE24" i="16"/>
  <c r="AK24" i="16"/>
  <c r="Q24" i="16"/>
  <c r="AL24" i="16"/>
  <c r="U24" i="16"/>
  <c r="Z24" i="16"/>
  <c r="AA24" i="16"/>
  <c r="AF24" i="16"/>
  <c r="AG24" i="16"/>
  <c r="AI24" i="16"/>
  <c r="Y24" i="16"/>
  <c r="AJ24" i="16"/>
  <c r="R24" i="16"/>
  <c r="AH24" i="16"/>
  <c r="AC24" i="16"/>
  <c r="AM24" i="16"/>
  <c r="T24" i="16"/>
  <c r="P134" i="16"/>
  <c r="AP134" i="16"/>
  <c r="M134" i="16"/>
  <c r="AL130" i="16"/>
  <c r="HG50" i="16"/>
  <c r="HG62" i="16" s="1"/>
  <c r="N127" i="16"/>
  <c r="AD127" i="16"/>
  <c r="K127" i="16"/>
  <c r="AA127" i="16"/>
  <c r="AQ127" i="16"/>
  <c r="BH50" i="16"/>
  <c r="FA50" i="16"/>
  <c r="DU50" i="16"/>
  <c r="T125" i="16"/>
  <c r="HN50" i="16"/>
  <c r="AB125" i="16"/>
  <c r="LE50" i="16"/>
  <c r="MS50" i="16"/>
  <c r="GN50" i="16"/>
  <c r="Z125" i="16"/>
  <c r="DF50" i="16"/>
  <c r="DF62" i="16" s="1"/>
  <c r="NL50" i="16"/>
  <c r="AO125" i="16"/>
  <c r="GB50" i="16"/>
  <c r="Y125" i="16"/>
  <c r="DP50" i="16"/>
  <c r="DP62" i="16" s="1"/>
  <c r="BD50" i="16"/>
  <c r="HY50" i="16"/>
  <c r="AC132" i="16"/>
  <c r="AO132" i="16"/>
  <c r="AJ125" i="16"/>
  <c r="KA50" i="16"/>
  <c r="AJ127" i="16"/>
  <c r="LD50" i="16"/>
  <c r="Q127" i="16"/>
  <c r="AG127" i="16"/>
  <c r="N128" i="16"/>
  <c r="BS50" i="16"/>
  <c r="MJ50" i="16"/>
  <c r="CV50" i="16"/>
  <c r="R125" i="16"/>
  <c r="ND50" i="16"/>
  <c r="KR50" i="16"/>
  <c r="AI125" i="16"/>
  <c r="IF50" i="16"/>
  <c r="FT50" i="16"/>
  <c r="DH50" i="16"/>
  <c r="S125" i="16"/>
  <c r="AV50" i="16"/>
  <c r="AL125" i="16"/>
  <c r="AB132" i="16"/>
  <c r="T132" i="16"/>
  <c r="AD134" i="16"/>
  <c r="AN209" i="16"/>
  <c r="AL131" i="16"/>
  <c r="V135" i="16"/>
  <c r="AL135" i="16"/>
  <c r="JW84" i="16"/>
  <c r="MI84" i="16"/>
  <c r="AB87" i="16"/>
  <c r="L179" i="16"/>
  <c r="K218" i="16"/>
  <c r="EJ84" i="16"/>
  <c r="GV84" i="16"/>
  <c r="AJ126" i="16"/>
  <c r="T126" i="16"/>
  <c r="AM131" i="16"/>
  <c r="L200" i="16"/>
  <c r="AF162" i="16"/>
  <c r="N162" i="16"/>
  <c r="AG162" i="16"/>
  <c r="JT58" i="16"/>
  <c r="Q162" i="16"/>
  <c r="BK58" i="16"/>
  <c r="BK62" i="16" s="1"/>
  <c r="W135" i="16"/>
  <c r="AM135" i="16"/>
  <c r="O161" i="16"/>
  <c r="P85" i="16"/>
  <c r="K177" i="16"/>
  <c r="EP58" i="16"/>
  <c r="EP62" i="16" s="1"/>
  <c r="BJ58" i="16"/>
  <c r="BJ62" i="16" s="1"/>
  <c r="LY58" i="16"/>
  <c r="LY62" i="16" s="1"/>
  <c r="IQ58" i="16"/>
  <c r="IQ62" i="16" s="1"/>
  <c r="FK58" i="16"/>
  <c r="FK62" i="16" s="1"/>
  <c r="CC58" i="16"/>
  <c r="CC62" i="16" s="1"/>
  <c r="MT58" i="16"/>
  <c r="MT62" i="16" s="1"/>
  <c r="JL58" i="16"/>
  <c r="GD58" i="16"/>
  <c r="GD62" i="16" s="1"/>
  <c r="CX58" i="16"/>
  <c r="CX62" i="16" s="1"/>
  <c r="NY58" i="16"/>
  <c r="NY62" i="16" s="1"/>
  <c r="LM58" i="16"/>
  <c r="LM62" i="16" s="1"/>
  <c r="JA58" i="16"/>
  <c r="JA62" i="16" s="1"/>
  <c r="GO58" i="16"/>
  <c r="GO62" i="16" s="1"/>
  <c r="EC58" i="16"/>
  <c r="EC62" i="16" s="1"/>
  <c r="BQ58" i="16"/>
  <c r="BQ62" i="16" s="1"/>
  <c r="MZ58" i="16"/>
  <c r="AN161" i="16"/>
  <c r="KN58" i="16"/>
  <c r="KN62" i="16" s="1"/>
  <c r="IB58" i="16"/>
  <c r="IB62" i="16" s="1"/>
  <c r="FP58" i="16"/>
  <c r="FP62" i="16" s="1"/>
  <c r="X161" i="16"/>
  <c r="DD58" i="16"/>
  <c r="DD62" i="16" s="1"/>
  <c r="R217" i="16"/>
  <c r="AI217" i="16"/>
  <c r="S217" i="16"/>
  <c r="EC86" i="16"/>
  <c r="ON84" i="16"/>
  <c r="O126" i="16"/>
  <c r="AC126" i="16"/>
  <c r="K210" i="16"/>
  <c r="AQ162" i="16"/>
  <c r="EF58" i="16"/>
  <c r="U161" i="16"/>
  <c r="AX58" i="16"/>
  <c r="AX62" i="16" s="1"/>
  <c r="IS58" i="16"/>
  <c r="KF58" i="16"/>
  <c r="AH161" i="16"/>
  <c r="CV58" i="16"/>
  <c r="CV62" i="16" s="1"/>
  <c r="R161" i="16"/>
  <c r="CI50" i="16"/>
  <c r="JX50" i="16"/>
  <c r="NF50" i="16"/>
  <c r="IZ50" i="16"/>
  <c r="FR50" i="16"/>
  <c r="KD50" i="16"/>
  <c r="HR50" i="16"/>
  <c r="HR62" i="16" s="1"/>
  <c r="CT50" i="16"/>
  <c r="CT62" i="16" s="1"/>
  <c r="MV50" i="16"/>
  <c r="KJ50" i="16"/>
  <c r="KJ62" i="16" s="1"/>
  <c r="HX50" i="16"/>
  <c r="AC125" i="16"/>
  <c r="FL50" i="16"/>
  <c r="FL62" i="16" s="1"/>
  <c r="CZ50" i="16"/>
  <c r="AN50" i="16"/>
  <c r="M125" i="16"/>
  <c r="AI132" i="16"/>
  <c r="R132" i="16"/>
  <c r="AE134" i="16"/>
  <c r="Q134" i="16"/>
  <c r="AK130" i="16"/>
  <c r="U130" i="16"/>
  <c r="J23" i="17"/>
  <c r="I22" i="17"/>
  <c r="O209" i="16"/>
  <c r="AD209" i="16"/>
  <c r="S209" i="16"/>
  <c r="AI209" i="16"/>
  <c r="GB58" i="16"/>
  <c r="Y161" i="16"/>
  <c r="AD217" i="16"/>
  <c r="R135" i="16"/>
  <c r="AH135" i="16"/>
  <c r="DC84" i="16"/>
  <c r="IA84" i="16"/>
  <c r="KM84" i="16"/>
  <c r="J87" i="16"/>
  <c r="J179" i="16"/>
  <c r="CN84" i="16"/>
  <c r="EZ84" i="16"/>
  <c r="MJ84" i="16"/>
  <c r="AN126" i="16"/>
  <c r="X126" i="16"/>
  <c r="J200" i="16"/>
  <c r="Z162" i="16"/>
  <c r="AP162" i="16"/>
  <c r="AJ162" i="16"/>
  <c r="AK162" i="16"/>
  <c r="U162" i="16"/>
  <c r="S135" i="16"/>
  <c r="AI135" i="16"/>
  <c r="J80" i="16"/>
  <c r="J183" i="16"/>
  <c r="N131" i="16"/>
  <c r="J184" i="16"/>
  <c r="DV58" i="16"/>
  <c r="DV62" i="16" s="1"/>
  <c r="OK58" i="16"/>
  <c r="OK62" i="16" s="1"/>
  <c r="LC58" i="16"/>
  <c r="LC62" i="16" s="1"/>
  <c r="HW58" i="16"/>
  <c r="HW62" i="16" s="1"/>
  <c r="EO58" i="16"/>
  <c r="EO62" i="16" s="1"/>
  <c r="BG58" i="16"/>
  <c r="BG62" i="16" s="1"/>
  <c r="AJ217" i="16"/>
  <c r="P217" i="16"/>
  <c r="W217" i="16"/>
  <c r="FD50" i="16"/>
  <c r="W125" i="16"/>
  <c r="CR50" i="16"/>
  <c r="AM132" i="16"/>
  <c r="V132" i="16"/>
  <c r="AK132" i="16"/>
  <c r="AO134" i="16"/>
  <c r="AE130" i="16"/>
  <c r="O130" i="16"/>
  <c r="AH209" i="16"/>
  <c r="U209" i="16"/>
  <c r="Y209" i="16"/>
  <c r="U131" i="16"/>
  <c r="AB131" i="16"/>
  <c r="AB84" i="16"/>
  <c r="L176" i="16"/>
  <c r="AY84" i="16"/>
  <c r="FW84" i="16"/>
  <c r="II84" i="16"/>
  <c r="KU84" i="16"/>
  <c r="NG84" i="16"/>
  <c r="AI126" i="16"/>
  <c r="AC131" i="16"/>
  <c r="FH84" i="16"/>
  <c r="HT84" i="16"/>
  <c r="MR84" i="16"/>
  <c r="M126" i="16"/>
  <c r="AM126" i="16"/>
  <c r="U126" i="16"/>
  <c r="AH126" i="16"/>
  <c r="R126" i="16"/>
  <c r="AJ18" i="16"/>
  <c r="AH162" i="16"/>
  <c r="AD162" i="16"/>
  <c r="X162" i="16"/>
  <c r="AE162" i="16"/>
  <c r="O162" i="16"/>
  <c r="DG58" i="16"/>
  <c r="DG62" i="16" s="1"/>
  <c r="AJ131" i="16"/>
  <c r="Y135" i="16"/>
  <c r="AO135" i="16"/>
  <c r="Y83" i="16"/>
  <c r="Y80" i="16"/>
  <c r="L177" i="16"/>
  <c r="G76" i="16"/>
  <c r="AW76" i="16"/>
  <c r="BI76" i="16"/>
  <c r="BI84" i="16" s="1"/>
  <c r="BS76" i="16"/>
  <c r="BS84" i="16" s="1"/>
  <c r="CC76" i="16"/>
  <c r="CO76" i="16"/>
  <c r="CO84" i="16" s="1"/>
  <c r="CY76" i="16"/>
  <c r="CY84" i="16" s="1"/>
  <c r="DI76" i="16"/>
  <c r="DI84" i="16" s="1"/>
  <c r="DU76" i="16"/>
  <c r="EE76" i="16"/>
  <c r="EE84" i="16" s="1"/>
  <c r="EO76" i="16"/>
  <c r="EO84" i="16" s="1"/>
  <c r="FA76" i="16"/>
  <c r="FK76" i="16"/>
  <c r="FU76" i="16"/>
  <c r="FU84" i="16" s="1"/>
  <c r="GG76" i="16"/>
  <c r="GG84" i="16" s="1"/>
  <c r="GQ76" i="16"/>
  <c r="HA76" i="16"/>
  <c r="HA84" i="16" s="1"/>
  <c r="HM76" i="16"/>
  <c r="HW76" i="16"/>
  <c r="IG76" i="16"/>
  <c r="IG84" i="16" s="1"/>
  <c r="IS76" i="16"/>
  <c r="JC76" i="16"/>
  <c r="JM76" i="16"/>
  <c r="JY76" i="16"/>
  <c r="JY84" i="16" s="1"/>
  <c r="KI76" i="16"/>
  <c r="KI84" i="16" s="1"/>
  <c r="KS76" i="16"/>
  <c r="KS84" i="16" s="1"/>
  <c r="LE76" i="16"/>
  <c r="LO76" i="16"/>
  <c r="LY76" i="16"/>
  <c r="LY84" i="16" s="1"/>
  <c r="MK76" i="16"/>
  <c r="MK84" i="16" s="1"/>
  <c r="MU76" i="16"/>
  <c r="MU84" i="16" s="1"/>
  <c r="NE76" i="16"/>
  <c r="NE84" i="16" s="1"/>
  <c r="NQ76" i="16"/>
  <c r="OA76" i="16"/>
  <c r="OK76" i="16"/>
  <c r="BJ76" i="16"/>
  <c r="CD76" i="16"/>
  <c r="CZ76" i="16"/>
  <c r="CZ84" i="16" s="1"/>
  <c r="EF76" i="16"/>
  <c r="FL76" i="16"/>
  <c r="FL84" i="16" s="1"/>
  <c r="GH76" i="16"/>
  <c r="HB76" i="16"/>
  <c r="HX76" i="16"/>
  <c r="IT76" i="16"/>
  <c r="JN76" i="16"/>
  <c r="JN84" i="16" s="1"/>
  <c r="KJ76" i="16"/>
  <c r="LF76" i="16"/>
  <c r="LZ76" i="16"/>
  <c r="AX76" i="16"/>
  <c r="AX84" i="16" s="1"/>
  <c r="BT76" i="16"/>
  <c r="CP76" i="16"/>
  <c r="DJ76" i="16"/>
  <c r="DV76" i="16"/>
  <c r="EP76" i="16"/>
  <c r="FB76" i="16"/>
  <c r="FV76" i="16"/>
  <c r="GR76" i="16"/>
  <c r="HN76" i="16"/>
  <c r="HN84" i="16" s="1"/>
  <c r="IH76" i="16"/>
  <c r="JD76" i="16"/>
  <c r="JZ76" i="16"/>
  <c r="JZ84" i="16" s="1"/>
  <c r="KT76" i="16"/>
  <c r="LP76" i="16"/>
  <c r="BA76" i="16"/>
  <c r="BK76" i="16"/>
  <c r="BU76" i="16"/>
  <c r="CG76" i="16"/>
  <c r="CG84" i="16" s="1"/>
  <c r="CQ76" i="16"/>
  <c r="CQ84" i="16" s="1"/>
  <c r="DA76" i="16"/>
  <c r="DM76" i="16"/>
  <c r="DW76" i="16"/>
  <c r="EG76" i="16"/>
  <c r="ES76" i="16"/>
  <c r="FC76" i="16"/>
  <c r="FC84" i="16" s="1"/>
  <c r="FM76" i="16"/>
  <c r="FM84" i="16" s="1"/>
  <c r="FY76" i="16"/>
  <c r="GI76" i="16"/>
  <c r="GS76" i="16"/>
  <c r="HE76" i="16"/>
  <c r="HO76" i="16"/>
  <c r="HY76" i="16"/>
  <c r="IK76" i="16"/>
  <c r="IU76" i="16"/>
  <c r="JE76" i="16"/>
  <c r="JQ76" i="16"/>
  <c r="JQ84" i="16" s="1"/>
  <c r="KA76" i="16"/>
  <c r="KA84" i="16" s="1"/>
  <c r="KK76" i="16"/>
  <c r="KK84" i="16" s="1"/>
  <c r="KW76" i="16"/>
  <c r="LG76" i="16"/>
  <c r="LG84" i="16" s="1"/>
  <c r="LQ76" i="16"/>
  <c r="LQ84" i="16" s="1"/>
  <c r="MC76" i="16"/>
  <c r="MM76" i="16"/>
  <c r="MW76" i="16"/>
  <c r="NI76" i="16"/>
  <c r="NS76" i="16"/>
  <c r="OC76" i="16"/>
  <c r="OO76" i="16"/>
  <c r="ME76" i="16"/>
  <c r="ME84" i="16" s="1"/>
  <c r="BB76" i="16"/>
  <c r="BB84" i="16" s="1"/>
  <c r="BL76" i="16"/>
  <c r="BV76" i="16"/>
  <c r="CH76" i="16"/>
  <c r="CR76" i="16"/>
  <c r="DB76" i="16"/>
  <c r="DN76" i="16"/>
  <c r="DX76" i="16"/>
  <c r="EH76" i="16"/>
  <c r="ET76" i="16"/>
  <c r="FD76" i="16"/>
  <c r="FN76" i="16"/>
  <c r="FZ76" i="16"/>
  <c r="GJ76" i="16"/>
  <c r="GT76" i="16"/>
  <c r="HF76" i="16"/>
  <c r="HF84" i="16" s="1"/>
  <c r="HP76" i="16"/>
  <c r="HP84" i="16" s="1"/>
  <c r="HZ76" i="16"/>
  <c r="IL76" i="16"/>
  <c r="IL84" i="16" s="1"/>
  <c r="IV76" i="16"/>
  <c r="JF76" i="16"/>
  <c r="JF84" i="16" s="1"/>
  <c r="JR76" i="16"/>
  <c r="JR84" i="16" s="1"/>
  <c r="KB76" i="16"/>
  <c r="KB84" i="16" s="1"/>
  <c r="KL76" i="16"/>
  <c r="KL84" i="16" s="1"/>
  <c r="KX76" i="16"/>
  <c r="LH76" i="16"/>
  <c r="LR76" i="16"/>
  <c r="LR84" i="16" s="1"/>
  <c r="MD76" i="16"/>
  <c r="MD84" i="16" s="1"/>
  <c r="MN76" i="16"/>
  <c r="MX76" i="16"/>
  <c r="NJ76" i="16"/>
  <c r="NJ84" i="16" s="1"/>
  <c r="NT76" i="16"/>
  <c r="NT84" i="16" s="1"/>
  <c r="OD76" i="16"/>
  <c r="OD84" i="16" s="1"/>
  <c r="MO76" i="16"/>
  <c r="MO84" i="16" s="1"/>
  <c r="BC76" i="16"/>
  <c r="BM76" i="16"/>
  <c r="BM84" i="16" s="1"/>
  <c r="BY76" i="16"/>
  <c r="CI76" i="16"/>
  <c r="CI84" i="16" s="1"/>
  <c r="CS76" i="16"/>
  <c r="CS84" i="16" s="1"/>
  <c r="DE76" i="16"/>
  <c r="DE84" i="16" s="1"/>
  <c r="DO76" i="16"/>
  <c r="DY76" i="16"/>
  <c r="DY84" i="16" s="1"/>
  <c r="EK76" i="16"/>
  <c r="EU76" i="16"/>
  <c r="FE76" i="16"/>
  <c r="FE84" i="16" s="1"/>
  <c r="FQ76" i="16"/>
  <c r="GA76" i="16"/>
  <c r="GK76" i="16"/>
  <c r="GW76" i="16"/>
  <c r="HG76" i="16"/>
  <c r="HQ76" i="16"/>
  <c r="IC76" i="16"/>
  <c r="IC84" i="16" s="1"/>
  <c r="IM76" i="16"/>
  <c r="IW76" i="16"/>
  <c r="JI76" i="16"/>
  <c r="JS76" i="16"/>
  <c r="JS84" i="16" s="1"/>
  <c r="KC76" i="16"/>
  <c r="KO76" i="16"/>
  <c r="KY76" i="16"/>
  <c r="LI76" i="16"/>
  <c r="LI84" i="16" s="1"/>
  <c r="LU76" i="16"/>
  <c r="NA76" i="16"/>
  <c r="NK76" i="16"/>
  <c r="NK84" i="16" s="1"/>
  <c r="NU76" i="16"/>
  <c r="OG76" i="16"/>
  <c r="AT76" i="16"/>
  <c r="BD76" i="16"/>
  <c r="BD84" i="16" s="1"/>
  <c r="BN76" i="16"/>
  <c r="BN84" i="16" s="1"/>
  <c r="BZ76" i="16"/>
  <c r="BZ84" i="16" s="1"/>
  <c r="CJ76" i="16"/>
  <c r="CT76" i="16"/>
  <c r="DF76" i="16"/>
  <c r="DP76" i="16"/>
  <c r="DP84" i="16" s="1"/>
  <c r="DZ76" i="16"/>
  <c r="DZ84" i="16" s="1"/>
  <c r="EL76" i="16"/>
  <c r="EV76" i="16"/>
  <c r="FF76" i="16"/>
  <c r="FF84" i="16" s="1"/>
  <c r="FR76" i="16"/>
  <c r="FR84" i="16" s="1"/>
  <c r="GB76" i="16"/>
  <c r="GL76" i="16"/>
  <c r="GX76" i="16"/>
  <c r="GX84" i="16" s="1"/>
  <c r="HH76" i="16"/>
  <c r="HH84" i="16" s="1"/>
  <c r="HR76" i="16"/>
  <c r="HR84" i="16" s="1"/>
  <c r="ID76" i="16"/>
  <c r="IN76" i="16"/>
  <c r="IX76" i="16"/>
  <c r="JJ76" i="16"/>
  <c r="JT76" i="16"/>
  <c r="KD76" i="16"/>
  <c r="KP76" i="16"/>
  <c r="KZ76" i="16"/>
  <c r="LJ76" i="16"/>
  <c r="LJ84" i="16" s="1"/>
  <c r="LV76" i="16"/>
  <c r="MF76" i="16"/>
  <c r="MP76" i="16"/>
  <c r="NB76" i="16"/>
  <c r="NB84" i="16" s="1"/>
  <c r="NL76" i="16"/>
  <c r="NV76" i="16"/>
  <c r="OH76" i="16"/>
  <c r="OH84" i="16" s="1"/>
  <c r="AU76" i="16"/>
  <c r="AU84" i="16" s="1"/>
  <c r="BE76" i="16"/>
  <c r="BE84" i="16" s="1"/>
  <c r="BQ76" i="16"/>
  <c r="CA76" i="16"/>
  <c r="CK76" i="16"/>
  <c r="CK84" i="16" s="1"/>
  <c r="CW76" i="16"/>
  <c r="DG76" i="16"/>
  <c r="DG84" i="16" s="1"/>
  <c r="DQ76" i="16"/>
  <c r="DQ84" i="16" s="1"/>
  <c r="EC76" i="16"/>
  <c r="EM76" i="16"/>
  <c r="EW76" i="16"/>
  <c r="FI76" i="16"/>
  <c r="FS76" i="16"/>
  <c r="GC76" i="16"/>
  <c r="GO76" i="16"/>
  <c r="GY76" i="16"/>
  <c r="HI76" i="16"/>
  <c r="HU76" i="16"/>
  <c r="IE76" i="16"/>
  <c r="IO76" i="16"/>
  <c r="JA76" i="16"/>
  <c r="JA84" i="16" s="1"/>
  <c r="JK76" i="16"/>
  <c r="JK84" i="16" s="1"/>
  <c r="JU76" i="16"/>
  <c r="KG76" i="16"/>
  <c r="KQ76" i="16"/>
  <c r="KQ84" i="16" s="1"/>
  <c r="LA76" i="16"/>
  <c r="LA84" i="16" s="1"/>
  <c r="LM76" i="16"/>
  <c r="LM84" i="16" s="1"/>
  <c r="LW76" i="16"/>
  <c r="MG76" i="16"/>
  <c r="MG84" i="16" s="1"/>
  <c r="MS76" i="16"/>
  <c r="MS84" i="16" s="1"/>
  <c r="NC76" i="16"/>
  <c r="NC84" i="16" s="1"/>
  <c r="NM76" i="16"/>
  <c r="NM84" i="16" s="1"/>
  <c r="NY76" i="16"/>
  <c r="OI76" i="16"/>
  <c r="AV76" i="16"/>
  <c r="ED76" i="16"/>
  <c r="HJ76" i="16"/>
  <c r="KR76" i="16"/>
  <c r="ND76" i="16"/>
  <c r="ND84" i="16" s="1"/>
  <c r="ML76" i="16"/>
  <c r="ML84" i="16" s="1"/>
  <c r="BF76" i="16"/>
  <c r="BF84" i="16" s="1"/>
  <c r="EN76" i="16"/>
  <c r="HV76" i="16"/>
  <c r="LB76" i="16"/>
  <c r="LB84" i="16" s="1"/>
  <c r="NF76" i="16"/>
  <c r="NF84" i="16" s="1"/>
  <c r="NR76" i="16"/>
  <c r="NR84" i="16" s="1"/>
  <c r="GD76" i="16"/>
  <c r="MV76" i="16"/>
  <c r="MV84" i="16" s="1"/>
  <c r="BR76" i="16"/>
  <c r="EX76" i="16"/>
  <c r="IF76" i="16"/>
  <c r="IF84" i="16" s="1"/>
  <c r="LN76" i="16"/>
  <c r="NN76" i="16"/>
  <c r="NN84" i="16" s="1"/>
  <c r="CB76" i="16"/>
  <c r="CB84" i="16" s="1"/>
  <c r="IP76" i="16"/>
  <c r="IP84" i="16" s="1"/>
  <c r="CX76" i="16"/>
  <c r="JL76" i="16"/>
  <c r="OB76" i="16"/>
  <c r="OB84" i="16" s="1"/>
  <c r="GZ76" i="16"/>
  <c r="KH76" i="16"/>
  <c r="FJ76" i="16"/>
  <c r="LX76" i="16"/>
  <c r="DR76" i="16"/>
  <c r="OL76" i="16"/>
  <c r="CL76" i="16"/>
  <c r="CL84" i="16" s="1"/>
  <c r="FT76" i="16"/>
  <c r="FT84" i="16" s="1"/>
  <c r="JB76" i="16"/>
  <c r="MH76" i="16"/>
  <c r="NZ76" i="16"/>
  <c r="DH76" i="16"/>
  <c r="GP76" i="16"/>
  <c r="JV76" i="16"/>
  <c r="JV84" i="16" s="1"/>
  <c r="MT76" i="16"/>
  <c r="OJ76" i="16"/>
  <c r="DJ58" i="16"/>
  <c r="DJ62" i="16" s="1"/>
  <c r="OA58" i="16"/>
  <c r="OA62" i="16" s="1"/>
  <c r="KS58" i="16"/>
  <c r="KS62" i="16" s="1"/>
  <c r="HK58" i="16"/>
  <c r="HK62" i="16" s="1"/>
  <c r="EE58" i="16"/>
  <c r="EE62" i="16" s="1"/>
  <c r="AW58" i="16"/>
  <c r="AW62" i="16" s="1"/>
  <c r="LN58" i="16"/>
  <c r="LN62" i="16" s="1"/>
  <c r="IF58" i="16"/>
  <c r="EX58" i="16"/>
  <c r="EX62" i="16" s="1"/>
  <c r="BR58" i="16"/>
  <c r="BR62" i="16" s="1"/>
  <c r="NA58" i="16"/>
  <c r="NA62" i="16" s="1"/>
  <c r="KO58" i="16"/>
  <c r="KO62" i="16" s="1"/>
  <c r="IC58" i="16"/>
  <c r="IC62" i="16" s="1"/>
  <c r="FQ58" i="16"/>
  <c r="FQ62" i="16" s="1"/>
  <c r="DE58" i="16"/>
  <c r="DE62" i="16" s="1"/>
  <c r="ON58" i="16"/>
  <c r="ON62" i="16" s="1"/>
  <c r="MB58" i="16"/>
  <c r="MB62" i="16" s="1"/>
  <c r="AL161" i="16"/>
  <c r="JP58" i="16"/>
  <c r="JP62" i="16" s="1"/>
  <c r="HD58" i="16"/>
  <c r="HD62" i="16" s="1"/>
  <c r="ER58" i="16"/>
  <c r="ER62" i="16" s="1"/>
  <c r="V161" i="16"/>
  <c r="CF58" i="16"/>
  <c r="CF62" i="16" s="1"/>
  <c r="V217" i="16"/>
  <c r="AO217" i="16"/>
  <c r="AG217" i="16"/>
  <c r="L186" i="16"/>
  <c r="DI50" i="16"/>
  <c r="NZ50" i="16"/>
  <c r="OD50" i="16"/>
  <c r="OD62" i="16" s="1"/>
  <c r="ID50" i="16"/>
  <c r="ID62" i="16" s="1"/>
  <c r="BP50" i="16"/>
  <c r="MF50" i="16"/>
  <c r="JT50" i="16"/>
  <c r="AG125" i="16"/>
  <c r="HH50" i="16"/>
  <c r="EV50" i="16"/>
  <c r="EV62" i="16" s="1"/>
  <c r="CJ50" i="16"/>
  <c r="Q125" i="16"/>
  <c r="Z132" i="16"/>
  <c r="O132" i="16"/>
  <c r="X132" i="16"/>
  <c r="AI134" i="16"/>
  <c r="AO130" i="16"/>
  <c r="Y130" i="16"/>
  <c r="AQ209" i="16"/>
  <c r="Q209" i="16"/>
  <c r="CJ58" i="16"/>
  <c r="Q161" i="16"/>
  <c r="LP58" i="16"/>
  <c r="AK161" i="16"/>
  <c r="O131" i="16"/>
  <c r="AI131" i="16"/>
  <c r="AO131" i="16"/>
  <c r="N135" i="16"/>
  <c r="AD135" i="16"/>
  <c r="AQ84" i="16"/>
  <c r="AI84" i="16"/>
  <c r="AA84" i="16"/>
  <c r="S84" i="16"/>
  <c r="K84" i="16"/>
  <c r="DS84" i="16"/>
  <c r="LC84" i="16"/>
  <c r="NO84" i="16"/>
  <c r="P131" i="16"/>
  <c r="P87" i="16"/>
  <c r="K179" i="16"/>
  <c r="DD84" i="16"/>
  <c r="KN84" i="16"/>
  <c r="AO126" i="16"/>
  <c r="AG126" i="16"/>
  <c r="AB126" i="16"/>
  <c r="HX58" i="16"/>
  <c r="HX62" i="16" s="1"/>
  <c r="AC161" i="16"/>
  <c r="AP131" i="16"/>
  <c r="K200" i="16"/>
  <c r="R162" i="16"/>
  <c r="V162" i="16"/>
  <c r="AO162" i="16"/>
  <c r="Y162" i="16"/>
  <c r="DY58" i="16"/>
  <c r="DY62" i="16" s="1"/>
  <c r="O135" i="16"/>
  <c r="AE135" i="16"/>
  <c r="X83" i="16"/>
  <c r="X80" i="16"/>
  <c r="P80" i="16"/>
  <c r="K183" i="16"/>
  <c r="AN131" i="16"/>
  <c r="AK23" i="16"/>
  <c r="AF84" i="16"/>
  <c r="K184" i="16"/>
  <c r="CZ58" i="16"/>
  <c r="CZ62" i="16" s="1"/>
  <c r="NO58" i="16"/>
  <c r="NO62" i="16" s="1"/>
  <c r="KI58" i="16"/>
  <c r="KI62" i="16" s="1"/>
  <c r="HA58" i="16"/>
  <c r="HA62" i="16" s="1"/>
  <c r="DS58" i="16"/>
  <c r="DS62" i="16" s="1"/>
  <c r="OJ58" i="16"/>
  <c r="AQ161" i="16"/>
  <c r="LB58" i="16"/>
  <c r="LB62" i="16" s="1"/>
  <c r="AA217" i="16"/>
  <c r="OJ50" i="16"/>
  <c r="AQ125" i="16"/>
  <c r="LX50" i="16"/>
  <c r="JL50" i="16"/>
  <c r="GZ50" i="16"/>
  <c r="AA125" i="16"/>
  <c r="EN50" i="16"/>
  <c r="CB50" i="16"/>
  <c r="AH132" i="16"/>
  <c r="S134" i="16"/>
  <c r="AJ209" i="16"/>
  <c r="DB58" i="16"/>
  <c r="DB62" i="16" s="1"/>
  <c r="J84" i="16"/>
  <c r="J176" i="16"/>
  <c r="GM84" i="16"/>
  <c r="LK84" i="16"/>
  <c r="NW84" i="16"/>
  <c r="Q131" i="16"/>
  <c r="X131" i="16"/>
  <c r="IR109" i="16"/>
  <c r="IJ109" i="16"/>
  <c r="IB109" i="16"/>
  <c r="HT109" i="16"/>
  <c r="HL109" i="16"/>
  <c r="HD109" i="16"/>
  <c r="GV109" i="16"/>
  <c r="GN109" i="16"/>
  <c r="GF109" i="16"/>
  <c r="FX109" i="16"/>
  <c r="FP109" i="16"/>
  <c r="FH109" i="16"/>
  <c r="EZ109" i="16"/>
  <c r="ER109" i="16"/>
  <c r="EJ109" i="16"/>
  <c r="EB109" i="16"/>
  <c r="DT109" i="16"/>
  <c r="DL109" i="16"/>
  <c r="DD109" i="16"/>
  <c r="CV109" i="16"/>
  <c r="CN109" i="16"/>
  <c r="CF109" i="16"/>
  <c r="BX109" i="16"/>
  <c r="BP109" i="16"/>
  <c r="BH109" i="16"/>
  <c r="AZ109" i="16"/>
  <c r="L218" i="16"/>
  <c r="FX84" i="16"/>
  <c r="KV84" i="16"/>
  <c r="NH84" i="16"/>
  <c r="AF18" i="16"/>
  <c r="S126" i="16"/>
  <c r="AM18" i="16"/>
  <c r="AL126" i="16"/>
  <c r="V126" i="16"/>
  <c r="L210" i="16"/>
  <c r="AI162" i="16"/>
  <c r="S162" i="16"/>
  <c r="R131" i="16"/>
  <c r="U135" i="16"/>
  <c r="AK135" i="16"/>
  <c r="W83" i="16"/>
  <c r="W80" i="16"/>
  <c r="AH131" i="16"/>
  <c r="AL23" i="16"/>
  <c r="AB23" i="16"/>
  <c r="CP58" i="16"/>
  <c r="CP62" i="16" s="1"/>
  <c r="NE58" i="16"/>
  <c r="NE62" i="16" s="1"/>
  <c r="JW58" i="16"/>
  <c r="JW62" i="16" s="1"/>
  <c r="GQ58" i="16"/>
  <c r="GQ62" i="16" s="1"/>
  <c r="DI58" i="16"/>
  <c r="DI62" i="16" s="1"/>
  <c r="NZ58" i="16"/>
  <c r="NZ62" i="16" s="1"/>
  <c r="KR58" i="16"/>
  <c r="KR62" i="16" s="1"/>
  <c r="AI161" i="16"/>
  <c r="HJ58" i="16"/>
  <c r="HJ62" i="16" s="1"/>
  <c r="ED58" i="16"/>
  <c r="ED62" i="16" s="1"/>
  <c r="AV58" i="16"/>
  <c r="AV62" i="16" s="1"/>
  <c r="MK58" i="16"/>
  <c r="MK62" i="16" s="1"/>
  <c r="JY58" i="16"/>
  <c r="JY62" i="16" s="1"/>
  <c r="HM58" i="16"/>
  <c r="HM62" i="16" s="1"/>
  <c r="FA58" i="16"/>
  <c r="FA62" i="16" s="1"/>
  <c r="CO58" i="16"/>
  <c r="CO62" i="16" s="1"/>
  <c r="NX58" i="16"/>
  <c r="NX62" i="16" s="1"/>
  <c r="AP161" i="16"/>
  <c r="LL58" i="16"/>
  <c r="LL62" i="16" s="1"/>
  <c r="IZ58" i="16"/>
  <c r="IZ62" i="16" s="1"/>
  <c r="GN58" i="16"/>
  <c r="GN62" i="16" s="1"/>
  <c r="Z161" i="16"/>
  <c r="EB58" i="16"/>
  <c r="EB62" i="16" s="1"/>
  <c r="BP58" i="16"/>
  <c r="BP62" i="16" s="1"/>
  <c r="AK217" i="16"/>
  <c r="OG50" i="16"/>
  <c r="KP50" i="16"/>
  <c r="EB50" i="16"/>
  <c r="AT50" i="16"/>
  <c r="DZ50" i="16"/>
  <c r="DZ62" i="16" s="1"/>
  <c r="OB50" i="16"/>
  <c r="LP50" i="16"/>
  <c r="AK125" i="16"/>
  <c r="JD50" i="16"/>
  <c r="JD62" i="16" s="1"/>
  <c r="GR50" i="16"/>
  <c r="EF50" i="16"/>
  <c r="U125" i="16"/>
  <c r="BT50" i="16"/>
  <c r="W17" i="16"/>
  <c r="AK17" i="16"/>
  <c r="S17" i="16"/>
  <c r="AD17" i="16"/>
  <c r="T17" i="16"/>
  <c r="AE17" i="16"/>
  <c r="AA17" i="16"/>
  <c r="AC17" i="16"/>
  <c r="AG17" i="16"/>
  <c r="AL17" i="16"/>
  <c r="Q17" i="16"/>
  <c r="U17" i="16"/>
  <c r="P132" i="16"/>
  <c r="AL132" i="16"/>
  <c r="AM134" i="16"/>
  <c r="AB134" i="16"/>
  <c r="N134" i="16"/>
  <c r="AC130" i="16"/>
  <c r="M130" i="16"/>
  <c r="G11" i="19"/>
  <c r="H12" i="19"/>
  <c r="G16" i="19"/>
  <c r="G15" i="19"/>
  <c r="AL209" i="16"/>
  <c r="AF209" i="16"/>
  <c r="MP58" i="16"/>
  <c r="MP62" i="16" s="1"/>
  <c r="AM161" i="16"/>
  <c r="EP68" i="16"/>
  <c r="CD68" i="16"/>
  <c r="LP68" i="16"/>
  <c r="JD68" i="16"/>
  <c r="GR68" i="16"/>
  <c r="EF68" i="16"/>
  <c r="BT68" i="16"/>
  <c r="IU68" i="16"/>
  <c r="GI68" i="16"/>
  <c r="DW68" i="16"/>
  <c r="BK68" i="16"/>
  <c r="LN68" i="16"/>
  <c r="JB68" i="16"/>
  <c r="GP68" i="16"/>
  <c r="ED68" i="16"/>
  <c r="BR68" i="16"/>
  <c r="BW84" i="16"/>
  <c r="EI84" i="16"/>
  <c r="GU84" i="16"/>
  <c r="JG84" i="16"/>
  <c r="LS84" i="16"/>
  <c r="OE84" i="16"/>
  <c r="Y131" i="16"/>
  <c r="BH84" i="16"/>
  <c r="IR84" i="16"/>
  <c r="NP84" i="16"/>
  <c r="AF126" i="16"/>
  <c r="P126" i="16"/>
  <c r="R18" i="16"/>
  <c r="S18" i="16"/>
  <c r="Y18" i="16"/>
  <c r="AE18" i="16"/>
  <c r="AH18" i="16"/>
  <c r="AI18" i="16"/>
  <c r="EM58" i="16"/>
  <c r="EM62" i="16" s="1"/>
  <c r="P162" i="16"/>
  <c r="AN162" i="16"/>
  <c r="AC162" i="16"/>
  <c r="S131" i="16"/>
  <c r="Z131" i="16"/>
  <c r="AA135" i="16"/>
  <c r="AQ135" i="16"/>
  <c r="AO161" i="16"/>
  <c r="V131" i="16"/>
  <c r="Z72" i="16"/>
  <c r="Z85" i="16"/>
  <c r="J85" i="16"/>
  <c r="J177" i="16"/>
  <c r="CD58" i="16"/>
  <c r="CD62" i="16" s="1"/>
  <c r="MU58" i="16"/>
  <c r="MU62" i="16" s="1"/>
  <c r="JM58" i="16"/>
  <c r="JM62" i="16" s="1"/>
  <c r="GE58" i="16"/>
  <c r="GE62" i="16" s="1"/>
  <c r="CY58" i="16"/>
  <c r="CY62" i="16" s="1"/>
  <c r="NN58" i="16"/>
  <c r="NN62" i="16" s="1"/>
  <c r="AE217" i="16"/>
  <c r="LU86" i="16"/>
  <c r="AZ50" i="16"/>
  <c r="N125" i="16"/>
  <c r="ES50" i="16"/>
  <c r="IL50" i="16"/>
  <c r="LZ50" i="16"/>
  <c r="NB50" i="16"/>
  <c r="KF50" i="16"/>
  <c r="AH125" i="16"/>
  <c r="GX50" i="16"/>
  <c r="NT50" i="16"/>
  <c r="LH50" i="16"/>
  <c r="IV50" i="16"/>
  <c r="AE125" i="16"/>
  <c r="GJ50" i="16"/>
  <c r="DX50" i="16"/>
  <c r="BL50" i="16"/>
  <c r="O125" i="16"/>
  <c r="S132" i="16"/>
  <c r="N132" i="16"/>
  <c r="AN132" i="16"/>
  <c r="AG134" i="16"/>
  <c r="O134" i="16"/>
  <c r="AM130" i="16"/>
  <c r="W130" i="16"/>
  <c r="AP209" i="16"/>
  <c r="AA209" i="16"/>
  <c r="IV58" i="16"/>
  <c r="AE161" i="16"/>
  <c r="NF58" i="16"/>
  <c r="NF62" i="16" s="1"/>
  <c r="AE131" i="16"/>
  <c r="P135" i="16"/>
  <c r="AF135" i="16"/>
  <c r="KF68" i="16"/>
  <c r="GE68" i="16"/>
  <c r="GE84" i="16" s="1"/>
  <c r="BG68" i="16"/>
  <c r="BG84" i="16" s="1"/>
  <c r="NQ68" i="16"/>
  <c r="KO68" i="16"/>
  <c r="GS68" i="16"/>
  <c r="BU68" i="16"/>
  <c r="MP68" i="16"/>
  <c r="JE68" i="16"/>
  <c r="ES68" i="16"/>
  <c r="GT68" i="16"/>
  <c r="EH68" i="16"/>
  <c r="BV68" i="16"/>
  <c r="LH68" i="16"/>
  <c r="IV68" i="16"/>
  <c r="GJ68" i="16"/>
  <c r="DX68" i="16"/>
  <c r="BL68" i="16"/>
  <c r="IM68" i="16"/>
  <c r="GA68" i="16"/>
  <c r="X176" i="16" s="1"/>
  <c r="DO68" i="16"/>
  <c r="BC68" i="16"/>
  <c r="LF68" i="16"/>
  <c r="IT68" i="16"/>
  <c r="GH68" i="16"/>
  <c r="DV68" i="16"/>
  <c r="BJ68" i="16"/>
  <c r="AN84" i="16"/>
  <c r="P84" i="16"/>
  <c r="K176" i="16"/>
  <c r="CE84" i="16"/>
  <c r="JO84" i="16"/>
  <c r="MA84" i="16"/>
  <c r="OM84" i="16"/>
  <c r="AA126" i="16"/>
  <c r="AF131" i="16"/>
  <c r="KD109" i="16"/>
  <c r="JV109" i="16"/>
  <c r="JN109" i="16"/>
  <c r="JF109" i="16"/>
  <c r="IX109" i="16"/>
  <c r="IP109" i="16"/>
  <c r="IH109" i="16"/>
  <c r="HZ109" i="16"/>
  <c r="HR109" i="16"/>
  <c r="HJ109" i="16"/>
  <c r="HB109" i="16"/>
  <c r="GT109" i="16"/>
  <c r="GL109" i="16"/>
  <c r="GD109" i="16"/>
  <c r="FV109" i="16"/>
  <c r="FN109" i="16"/>
  <c r="FF109" i="16"/>
  <c r="EX109" i="16"/>
  <c r="EP109" i="16"/>
  <c r="EH109" i="16"/>
  <c r="DZ109" i="16"/>
  <c r="DR109" i="16"/>
  <c r="DJ109" i="16"/>
  <c r="DB109" i="16"/>
  <c r="CT109" i="16"/>
  <c r="CL109" i="16"/>
  <c r="CD109" i="16"/>
  <c r="BV109" i="16"/>
  <c r="BN109" i="16"/>
  <c r="BF109" i="16"/>
  <c r="AX109" i="16"/>
  <c r="J218" i="16"/>
  <c r="J219" i="16" s="1"/>
  <c r="EB84" i="16"/>
  <c r="IZ84" i="16"/>
  <c r="AP126" i="16"/>
  <c r="U18" i="16"/>
  <c r="Z126" i="16"/>
  <c r="FD58" i="16"/>
  <c r="FD62" i="16" s="1"/>
  <c r="W161" i="16"/>
  <c r="JN58" i="16"/>
  <c r="JN62" i="16" s="1"/>
  <c r="J210" i="16"/>
  <c r="J214" i="16" s="1"/>
  <c r="T162" i="16"/>
  <c r="AL162" i="16"/>
  <c r="AM162" i="16"/>
  <c r="MN58" i="16"/>
  <c r="MN62" i="16" s="1"/>
  <c r="W162" i="16"/>
  <c r="AG131" i="16"/>
  <c r="Q135" i="16"/>
  <c r="AG135" i="16"/>
  <c r="AB80" i="16"/>
  <c r="L183" i="16"/>
  <c r="U83" i="16"/>
  <c r="U80" i="16"/>
  <c r="NL58" i="16"/>
  <c r="NL62" i="16" s="1"/>
  <c r="Q23" i="16"/>
  <c r="Z23" i="16"/>
  <c r="AM23" i="16"/>
  <c r="T23" i="16"/>
  <c r="AE23" i="16"/>
  <c r="AF23" i="16"/>
  <c r="S23" i="16"/>
  <c r="AC23" i="16"/>
  <c r="R23" i="16"/>
  <c r="L184" i="16"/>
  <c r="BT58" i="16"/>
  <c r="BT62" i="16" s="1"/>
  <c r="MI58" i="16"/>
  <c r="MI62" i="16" s="1"/>
  <c r="JC58" i="16"/>
  <c r="JC62" i="16" s="1"/>
  <c r="FU58" i="16"/>
  <c r="FU62" i="16" s="1"/>
  <c r="CM58" i="16"/>
  <c r="CM62" i="16" s="1"/>
  <c r="ND58" i="16"/>
  <c r="ND62" i="16" s="1"/>
  <c r="JV58" i="16"/>
  <c r="JV62" i="16" s="1"/>
  <c r="AG161" i="16"/>
  <c r="GP58" i="16"/>
  <c r="GP62" i="16" s="1"/>
  <c r="DH58" i="16"/>
  <c r="DH62" i="16" s="1"/>
  <c r="S161" i="16"/>
  <c r="OG58" i="16"/>
  <c r="LU58" i="16"/>
  <c r="LU62" i="16" s="1"/>
  <c r="JI58" i="16"/>
  <c r="JI62" i="16" s="1"/>
  <c r="GW58" i="16"/>
  <c r="GW62" i="16" s="1"/>
  <c r="EK58" i="16"/>
  <c r="EK62" i="16" s="1"/>
  <c r="BY58" i="16"/>
  <c r="BY62" i="16" s="1"/>
  <c r="NH58" i="16"/>
  <c r="NH62" i="16" s="1"/>
  <c r="KV58" i="16"/>
  <c r="KV62" i="16" s="1"/>
  <c r="IJ58" i="16"/>
  <c r="IJ62" i="16" s="1"/>
  <c r="AD161" i="16"/>
  <c r="FX58" i="16"/>
  <c r="FX62" i="16" s="1"/>
  <c r="DL58" i="16"/>
  <c r="DL62" i="16" s="1"/>
  <c r="AZ58" i="16"/>
  <c r="AZ62" i="16" s="1"/>
  <c r="N161" i="16"/>
  <c r="Z217" i="16"/>
  <c r="AL217" i="16"/>
  <c r="AF217" i="16"/>
  <c r="Y217" i="16"/>
  <c r="M131" i="16"/>
  <c r="K186" i="16"/>
  <c r="AB85" i="16"/>
  <c r="L185" i="16"/>
  <c r="AM217" i="16"/>
  <c r="O217" i="16"/>
  <c r="IK70" i="16"/>
  <c r="IK86" i="16" s="1"/>
  <c r="LS70" i="16"/>
  <c r="ON70" i="16"/>
  <c r="ON86" i="16" s="1"/>
  <c r="NW70" i="16"/>
  <c r="MY70" i="16"/>
  <c r="MA70" i="16"/>
  <c r="FY70" i="16"/>
  <c r="FY86" i="16" s="1"/>
  <c r="DM70" i="16"/>
  <c r="BA70" i="16"/>
  <c r="BA86" i="16" s="1"/>
  <c r="JP70" i="16"/>
  <c r="JP86" i="16" s="1"/>
  <c r="HD70" i="16"/>
  <c r="HD86" i="16" s="1"/>
  <c r="ER70" i="16"/>
  <c r="CF70" i="16"/>
  <c r="JG70" i="16"/>
  <c r="GU70" i="16"/>
  <c r="EI70" i="16"/>
  <c r="BW70" i="16"/>
  <c r="NF70" i="16"/>
  <c r="KT70" i="16"/>
  <c r="IH70" i="16"/>
  <c r="FV70" i="16"/>
  <c r="DJ70" i="16"/>
  <c r="AX70" i="16"/>
  <c r="LY70" i="16"/>
  <c r="JM70" i="16"/>
  <c r="HA70" i="16"/>
  <c r="EO70" i="16"/>
  <c r="CC70" i="16"/>
  <c r="NL70" i="16"/>
  <c r="KZ70" i="16"/>
  <c r="IN70" i="16"/>
  <c r="GB70" i="16"/>
  <c r="DP70" i="16"/>
  <c r="BD70" i="16"/>
  <c r="MM70" i="16"/>
  <c r="KA70" i="16"/>
  <c r="HO70" i="16"/>
  <c r="FC70" i="16"/>
  <c r="CQ70" i="16"/>
  <c r="NZ70" i="16"/>
  <c r="LN70" i="16"/>
  <c r="JB70" i="16"/>
  <c r="GP70" i="16"/>
  <c r="ED70" i="16"/>
  <c r="BR70" i="16"/>
  <c r="AO86" i="16"/>
  <c r="AG86" i="16"/>
  <c r="Y72" i="16"/>
  <c r="Y86" i="16"/>
  <c r="Q86" i="16"/>
  <c r="AP93" i="16"/>
  <c r="AH93" i="16"/>
  <c r="Z93" i="16"/>
  <c r="R93" i="16"/>
  <c r="J93" i="16"/>
  <c r="J199" i="16"/>
  <c r="AR83" i="16"/>
  <c r="AR72" i="16"/>
  <c r="AJ83" i="16"/>
  <c r="AJ72" i="16"/>
  <c r="AB72" i="16"/>
  <c r="AB83" i="16"/>
  <c r="L175" i="16"/>
  <c r="T72" i="16"/>
  <c r="T83" i="16"/>
  <c r="L72" i="16"/>
  <c r="L83" i="16"/>
  <c r="K212" i="16"/>
  <c r="LQ70" i="16"/>
  <c r="JE70" i="16"/>
  <c r="GS70" i="16"/>
  <c r="EG70" i="16"/>
  <c r="BU70" i="16"/>
  <c r="ND70" i="16"/>
  <c r="KR70" i="16"/>
  <c r="IF70" i="16"/>
  <c r="FT70" i="16"/>
  <c r="DH70" i="16"/>
  <c r="AV70" i="16"/>
  <c r="ME70" i="16"/>
  <c r="JS70" i="16"/>
  <c r="HG70" i="16"/>
  <c r="EU70" i="16"/>
  <c r="CI70" i="16"/>
  <c r="NR70" i="16"/>
  <c r="LF70" i="16"/>
  <c r="IT70" i="16"/>
  <c r="GH70" i="16"/>
  <c r="DV70" i="16"/>
  <c r="BJ70" i="16"/>
  <c r="AN86" i="16"/>
  <c r="AF86" i="16"/>
  <c r="X86" i="16"/>
  <c r="P86" i="16"/>
  <c r="K178" i="16"/>
  <c r="AO93" i="16"/>
  <c r="AG93" i="16"/>
  <c r="Y93" i="16"/>
  <c r="Q93" i="16"/>
  <c r="AQ83" i="16"/>
  <c r="AQ72" i="16"/>
  <c r="AI72" i="16"/>
  <c r="AI83" i="16"/>
  <c r="AA72" i="16"/>
  <c r="AA83" i="16"/>
  <c r="S83" i="16"/>
  <c r="S72" i="16"/>
  <c r="K83" i="16"/>
  <c r="K72" i="16"/>
  <c r="L187" i="16"/>
  <c r="JK70" i="16"/>
  <c r="GY70" i="16"/>
  <c r="EM70" i="16"/>
  <c r="CA70" i="16"/>
  <c r="NJ70" i="16"/>
  <c r="KX70" i="16"/>
  <c r="IL70" i="16"/>
  <c r="FZ70" i="16"/>
  <c r="DN70" i="16"/>
  <c r="BB70" i="16"/>
  <c r="AN93" i="16"/>
  <c r="AF93" i="16"/>
  <c r="X93" i="16"/>
  <c r="P93" i="16"/>
  <c r="K199" i="16"/>
  <c r="AP83" i="16"/>
  <c r="AP72" i="16"/>
  <c r="AH72" i="16"/>
  <c r="AH83" i="16"/>
  <c r="Z83" i="16"/>
  <c r="R72" i="16"/>
  <c r="R83" i="16"/>
  <c r="J72" i="16"/>
  <c r="J83" i="16"/>
  <c r="J175" i="16"/>
  <c r="S87" i="16"/>
  <c r="LX58" i="16"/>
  <c r="LX62" i="16" s="1"/>
  <c r="IP58" i="16"/>
  <c r="IP62" i="16" s="1"/>
  <c r="FJ58" i="16"/>
  <c r="FJ62" i="16" s="1"/>
  <c r="CB58" i="16"/>
  <c r="CB62" i="16" s="1"/>
  <c r="NI58" i="16"/>
  <c r="NI62" i="16" s="1"/>
  <c r="KW58" i="16"/>
  <c r="KW62" i="16" s="1"/>
  <c r="IK58" i="16"/>
  <c r="IK62" i="16" s="1"/>
  <c r="FY58" i="16"/>
  <c r="FY62" i="16" s="1"/>
  <c r="DM58" i="16"/>
  <c r="DM62" i="16" s="1"/>
  <c r="BA58" i="16"/>
  <c r="BA62" i="16" s="1"/>
  <c r="MJ58" i="16"/>
  <c r="MJ62" i="16" s="1"/>
  <c r="JX58" i="16"/>
  <c r="JX62" i="16" s="1"/>
  <c r="HL58" i="16"/>
  <c r="HL62" i="16" s="1"/>
  <c r="AB161" i="16"/>
  <c r="EZ58" i="16"/>
  <c r="EZ62" i="16" s="1"/>
  <c r="CN58" i="16"/>
  <c r="CN62" i="16" s="1"/>
  <c r="M217" i="16"/>
  <c r="K185" i="16"/>
  <c r="JA86" i="16"/>
  <c r="FA70" i="16"/>
  <c r="FA86" i="16" s="1"/>
  <c r="CO70" i="16"/>
  <c r="LD70" i="16"/>
  <c r="IR70" i="16"/>
  <c r="GF70" i="16"/>
  <c r="GF86" i="16" s="1"/>
  <c r="DT70" i="16"/>
  <c r="BH70" i="16"/>
  <c r="BH86" i="16" s="1"/>
  <c r="II70" i="16"/>
  <c r="FW70" i="16"/>
  <c r="DK70" i="16"/>
  <c r="AY70" i="16"/>
  <c r="MH70" i="16"/>
  <c r="JV70" i="16"/>
  <c r="HJ70" i="16"/>
  <c r="EX70" i="16"/>
  <c r="CL70" i="16"/>
  <c r="NM70" i="16"/>
  <c r="LA70" i="16"/>
  <c r="IO70" i="16"/>
  <c r="GC70" i="16"/>
  <c r="DQ70" i="16"/>
  <c r="BE70" i="16"/>
  <c r="MN70" i="16"/>
  <c r="KB70" i="16"/>
  <c r="HP70" i="16"/>
  <c r="FD70" i="16"/>
  <c r="CR70" i="16"/>
  <c r="OA70" i="16"/>
  <c r="LO70" i="16"/>
  <c r="JC70" i="16"/>
  <c r="GQ70" i="16"/>
  <c r="EE70" i="16"/>
  <c r="BS70" i="16"/>
  <c r="NB70" i="16"/>
  <c r="KP70" i="16"/>
  <c r="ID70" i="16"/>
  <c r="FR70" i="16"/>
  <c r="DF70" i="16"/>
  <c r="AT70" i="16"/>
  <c r="AL86" i="16"/>
  <c r="AD86" i="16"/>
  <c r="V86" i="16"/>
  <c r="N86" i="16"/>
  <c r="Q27" i="16"/>
  <c r="Y27" i="16"/>
  <c r="AG27" i="16"/>
  <c r="R27" i="16"/>
  <c r="Z27" i="16"/>
  <c r="AH27" i="16"/>
  <c r="S27" i="16"/>
  <c r="T27" i="16"/>
  <c r="AA27" i="16"/>
  <c r="AB27" i="16"/>
  <c r="AI27" i="16"/>
  <c r="AJ27" i="16"/>
  <c r="AM93" i="16"/>
  <c r="AE93" i="16"/>
  <c r="W93" i="16"/>
  <c r="O93" i="16"/>
  <c r="AB96" i="16"/>
  <c r="L204" i="16" s="1"/>
  <c r="L203" i="16"/>
  <c r="AO83" i="16"/>
  <c r="AO72" i="16"/>
  <c r="AG83" i="16"/>
  <c r="AG72" i="16"/>
  <c r="Q83" i="16"/>
  <c r="Q72" i="16"/>
  <c r="L212" i="16"/>
  <c r="J187" i="16"/>
  <c r="T131" i="16"/>
  <c r="J186" i="16"/>
  <c r="JI86" i="16"/>
  <c r="FO70" i="16"/>
  <c r="DC70" i="16"/>
  <c r="OL70" i="16"/>
  <c r="LZ70" i="16"/>
  <c r="JN70" i="16"/>
  <c r="HB70" i="16"/>
  <c r="EP70" i="16"/>
  <c r="CD70" i="16"/>
  <c r="NE70" i="16"/>
  <c r="KS70" i="16"/>
  <c r="IG70" i="16"/>
  <c r="FU70" i="16"/>
  <c r="DI70" i="16"/>
  <c r="AW70" i="16"/>
  <c r="MF70" i="16"/>
  <c r="JT70" i="16"/>
  <c r="HH70" i="16"/>
  <c r="EV70" i="16"/>
  <c r="CJ70" i="16"/>
  <c r="NS70" i="16"/>
  <c r="LG70" i="16"/>
  <c r="IU70" i="16"/>
  <c r="GI70" i="16"/>
  <c r="DW70" i="16"/>
  <c r="BK70" i="16"/>
  <c r="MT70" i="16"/>
  <c r="KH70" i="16"/>
  <c r="HV70" i="16"/>
  <c r="FJ70" i="16"/>
  <c r="CX70" i="16"/>
  <c r="AS86" i="16"/>
  <c r="AK86" i="16"/>
  <c r="AC86" i="16"/>
  <c r="M86" i="16"/>
  <c r="K133" i="16"/>
  <c r="AL93" i="16"/>
  <c r="AD93" i="16"/>
  <c r="V93" i="16"/>
  <c r="N93" i="16"/>
  <c r="AN83" i="16"/>
  <c r="AN72" i="16"/>
  <c r="AF72" i="16"/>
  <c r="AF83" i="16"/>
  <c r="X72" i="16"/>
  <c r="P83" i="16"/>
  <c r="P72" i="16"/>
  <c r="K175" i="16"/>
  <c r="HV58" i="16"/>
  <c r="HV62" i="16" s="1"/>
  <c r="EN58" i="16"/>
  <c r="BF58" i="16"/>
  <c r="BF62" i="16" s="1"/>
  <c r="MS58" i="16"/>
  <c r="MS62" i="16" s="1"/>
  <c r="KG58" i="16"/>
  <c r="KG62" i="16" s="1"/>
  <c r="HU58" i="16"/>
  <c r="HU62" i="16" s="1"/>
  <c r="FI58" i="16"/>
  <c r="FI62" i="16" s="1"/>
  <c r="CW58" i="16"/>
  <c r="CW62" i="16" s="1"/>
  <c r="OF58" i="16"/>
  <c r="OF62" i="16" s="1"/>
  <c r="LT58" i="16"/>
  <c r="LT62" i="16" s="1"/>
  <c r="JH58" i="16"/>
  <c r="JH62" i="16" s="1"/>
  <c r="AF161" i="16"/>
  <c r="GV58" i="16"/>
  <c r="GV62" i="16" s="1"/>
  <c r="EJ58" i="16"/>
  <c r="EJ62" i="16" s="1"/>
  <c r="BX58" i="16"/>
  <c r="BX62" i="16" s="1"/>
  <c r="P161" i="16"/>
  <c r="AC217" i="16"/>
  <c r="Q217" i="16"/>
  <c r="G78" i="16"/>
  <c r="BB78" i="16"/>
  <c r="FB78" i="16"/>
  <c r="FZ78" i="16"/>
  <c r="GP78" i="16"/>
  <c r="AT78" i="16"/>
  <c r="BJ78" i="16"/>
  <c r="BR78" i="16"/>
  <c r="BZ78" i="16"/>
  <c r="CH78" i="16"/>
  <c r="CP78" i="16"/>
  <c r="CX78" i="16"/>
  <c r="DF78" i="16"/>
  <c r="DN78" i="16"/>
  <c r="DV78" i="16"/>
  <c r="ED78" i="16"/>
  <c r="EL78" i="16"/>
  <c r="ET78" i="16"/>
  <c r="FJ78" i="16"/>
  <c r="FR78" i="16"/>
  <c r="GH78" i="16"/>
  <c r="BD78" i="16"/>
  <c r="BO78" i="16"/>
  <c r="BO86" i="16" s="1"/>
  <c r="CC78" i="16"/>
  <c r="CQ78" i="16"/>
  <c r="DB78" i="16"/>
  <c r="DB86" i="16" s="1"/>
  <c r="DP78" i="16"/>
  <c r="EA78" i="16"/>
  <c r="EA86" i="16" s="1"/>
  <c r="EO78" i="16"/>
  <c r="FC78" i="16"/>
  <c r="FN78" i="16"/>
  <c r="GB78" i="16"/>
  <c r="GM78" i="16"/>
  <c r="GM86" i="16" s="1"/>
  <c r="GZ78" i="16"/>
  <c r="HJ78" i="16"/>
  <c r="HV78" i="16"/>
  <c r="IF78" i="16"/>
  <c r="IP78" i="16"/>
  <c r="JB78" i="16"/>
  <c r="JL78" i="16"/>
  <c r="JV78" i="16"/>
  <c r="KH78" i="16"/>
  <c r="KR78" i="16"/>
  <c r="LB78" i="16"/>
  <c r="LN78" i="16"/>
  <c r="LX78" i="16"/>
  <c r="MH78" i="16"/>
  <c r="MT78" i="16"/>
  <c r="ND78" i="16"/>
  <c r="NN78" i="16"/>
  <c r="NZ78" i="16"/>
  <c r="OJ78" i="16"/>
  <c r="LO78" i="16"/>
  <c r="NE78" i="16"/>
  <c r="OK78" i="16"/>
  <c r="OK86" i="16" s="1"/>
  <c r="BE78" i="16"/>
  <c r="BS78" i="16"/>
  <c r="CD78" i="16"/>
  <c r="CR78" i="16"/>
  <c r="DC78" i="16"/>
  <c r="DQ78" i="16"/>
  <c r="EE78" i="16"/>
  <c r="EP78" i="16"/>
  <c r="FD78" i="16"/>
  <c r="FO78" i="16"/>
  <c r="GC78" i="16"/>
  <c r="GQ78" i="16"/>
  <c r="HA78" i="16"/>
  <c r="HK78" i="16"/>
  <c r="HW78" i="16"/>
  <c r="IG78" i="16"/>
  <c r="IQ78" i="16"/>
  <c r="JC78" i="16"/>
  <c r="JM78" i="16"/>
  <c r="JW78" i="16"/>
  <c r="KI78" i="16"/>
  <c r="KS78" i="16"/>
  <c r="LC78" i="16"/>
  <c r="LY78" i="16"/>
  <c r="MI78" i="16"/>
  <c r="MI86" i="16" s="1"/>
  <c r="MU78" i="16"/>
  <c r="NO78" i="16"/>
  <c r="NO86" i="16" s="1"/>
  <c r="OA78" i="16"/>
  <c r="AU78" i="16"/>
  <c r="BF78" i="16"/>
  <c r="BT78" i="16"/>
  <c r="CE78" i="16"/>
  <c r="CS78" i="16"/>
  <c r="DG78" i="16"/>
  <c r="DR78" i="16"/>
  <c r="EF78" i="16"/>
  <c r="EQ78" i="16"/>
  <c r="FE78" i="16"/>
  <c r="FS78" i="16"/>
  <c r="GD78" i="16"/>
  <c r="GR78" i="16"/>
  <c r="HB78" i="16"/>
  <c r="HN78" i="16"/>
  <c r="HX78" i="16"/>
  <c r="IH78" i="16"/>
  <c r="IT78" i="16"/>
  <c r="JD78" i="16"/>
  <c r="JN78" i="16"/>
  <c r="JZ78" i="16"/>
  <c r="KJ78" i="16"/>
  <c r="KT78" i="16"/>
  <c r="LF78" i="16"/>
  <c r="LP78" i="16"/>
  <c r="LZ78" i="16"/>
  <c r="ML78" i="16"/>
  <c r="MV78" i="16"/>
  <c r="MV86" i="16" s="1"/>
  <c r="NF78" i="16"/>
  <c r="NR78" i="16"/>
  <c r="OB78" i="16"/>
  <c r="OL78" i="16"/>
  <c r="AV78" i="16"/>
  <c r="BG78" i="16"/>
  <c r="BU78" i="16"/>
  <c r="CI78" i="16"/>
  <c r="CT78" i="16"/>
  <c r="CT86" i="16" s="1"/>
  <c r="DH78" i="16"/>
  <c r="DS78" i="16"/>
  <c r="EG78" i="16"/>
  <c r="EU78" i="16"/>
  <c r="FF78" i="16"/>
  <c r="FT78" i="16"/>
  <c r="GE78" i="16"/>
  <c r="GS78" i="16"/>
  <c r="HC78" i="16"/>
  <c r="HO78" i="16"/>
  <c r="HY78" i="16"/>
  <c r="II78" i="16"/>
  <c r="IU78" i="16"/>
  <c r="IU86" i="16" s="1"/>
  <c r="JE78" i="16"/>
  <c r="JO78" i="16"/>
  <c r="KA78" i="16"/>
  <c r="KK78" i="16"/>
  <c r="KU78" i="16"/>
  <c r="KU86" i="16" s="1"/>
  <c r="LG78" i="16"/>
  <c r="LQ78" i="16"/>
  <c r="MA78" i="16"/>
  <c r="MM78" i="16"/>
  <c r="MW78" i="16"/>
  <c r="NG78" i="16"/>
  <c r="NG86" i="16" s="1"/>
  <c r="NS78" i="16"/>
  <c r="OC78" i="16"/>
  <c r="OC86" i="16" s="1"/>
  <c r="OM78" i="16"/>
  <c r="AW78" i="16"/>
  <c r="BK78" i="16"/>
  <c r="BV78" i="16"/>
  <c r="CJ78" i="16"/>
  <c r="CU78" i="16"/>
  <c r="DI78" i="16"/>
  <c r="DW78" i="16"/>
  <c r="EH78" i="16"/>
  <c r="EV78" i="16"/>
  <c r="FG78" i="16"/>
  <c r="FU78" i="16"/>
  <c r="GI78" i="16"/>
  <c r="GT78" i="16"/>
  <c r="HF78" i="16"/>
  <c r="HP78" i="16"/>
  <c r="HZ78" i="16"/>
  <c r="HZ86" i="16" s="1"/>
  <c r="IL78" i="16"/>
  <c r="IV78" i="16"/>
  <c r="JF78" i="16"/>
  <c r="JR78" i="16"/>
  <c r="KB78" i="16"/>
  <c r="KL78" i="16"/>
  <c r="KL86" i="16" s="1"/>
  <c r="KX78" i="16"/>
  <c r="LH78" i="16"/>
  <c r="LR78" i="16"/>
  <c r="MD78" i="16"/>
  <c r="MN78" i="16"/>
  <c r="MX78" i="16"/>
  <c r="MX86" i="16" s="1"/>
  <c r="NJ78" i="16"/>
  <c r="NT78" i="16"/>
  <c r="OD78" i="16"/>
  <c r="AX78" i="16"/>
  <c r="BL78" i="16"/>
  <c r="BW78" i="16"/>
  <c r="CK78" i="16"/>
  <c r="CY78" i="16"/>
  <c r="DJ78" i="16"/>
  <c r="DX78" i="16"/>
  <c r="EI78" i="16"/>
  <c r="EW78" i="16"/>
  <c r="FK78" i="16"/>
  <c r="FV78" i="16"/>
  <c r="GJ78" i="16"/>
  <c r="GU78" i="16"/>
  <c r="HG78" i="16"/>
  <c r="HQ78" i="16"/>
  <c r="HQ86" i="16" s="1"/>
  <c r="IA78" i="16"/>
  <c r="IA86" i="16" s="1"/>
  <c r="IM78" i="16"/>
  <c r="IW78" i="16"/>
  <c r="IW86" i="16" s="1"/>
  <c r="JG78" i="16"/>
  <c r="JS78" i="16"/>
  <c r="KC78" i="16"/>
  <c r="KC86" i="16" s="1"/>
  <c r="KM78" i="16"/>
  <c r="KM86" i="16" s="1"/>
  <c r="KY78" i="16"/>
  <c r="LI78" i="16"/>
  <c r="LI86" i="16" s="1"/>
  <c r="LS78" i="16"/>
  <c r="ME78" i="16"/>
  <c r="MO78" i="16"/>
  <c r="MO86" i="16" s="1"/>
  <c r="MY78" i="16"/>
  <c r="NK78" i="16"/>
  <c r="NU78" i="16"/>
  <c r="NU86" i="16" s="1"/>
  <c r="OE78" i="16"/>
  <c r="OE86" i="16" s="1"/>
  <c r="AY78" i="16"/>
  <c r="BM78" i="16"/>
  <c r="CA78" i="16"/>
  <c r="CL78" i="16"/>
  <c r="CZ78" i="16"/>
  <c r="DK78" i="16"/>
  <c r="DY78" i="16"/>
  <c r="DY86" i="16" s="1"/>
  <c r="EM78" i="16"/>
  <c r="EX78" i="16"/>
  <c r="FL78" i="16"/>
  <c r="FL86" i="16" s="1"/>
  <c r="FW78" i="16"/>
  <c r="GK78" i="16"/>
  <c r="GX78" i="16"/>
  <c r="HH78" i="16"/>
  <c r="HR78" i="16"/>
  <c r="ID78" i="16"/>
  <c r="IN78" i="16"/>
  <c r="IX78" i="16"/>
  <c r="IX86" i="16" s="1"/>
  <c r="JJ78" i="16"/>
  <c r="JT78" i="16"/>
  <c r="KD78" i="16"/>
  <c r="KD86" i="16" s="1"/>
  <c r="KP78" i="16"/>
  <c r="KZ78" i="16"/>
  <c r="LJ78" i="16"/>
  <c r="LJ86" i="16" s="1"/>
  <c r="LV78" i="16"/>
  <c r="MF78" i="16"/>
  <c r="MP78" i="16"/>
  <c r="MP86" i="16" s="1"/>
  <c r="NB78" i="16"/>
  <c r="NL78" i="16"/>
  <c r="NV78" i="16"/>
  <c r="NV86" i="16" s="1"/>
  <c r="OH78" i="16"/>
  <c r="EN78" i="16"/>
  <c r="IE78" i="16"/>
  <c r="LK78" i="16"/>
  <c r="DA78" i="16"/>
  <c r="BC78" i="16"/>
  <c r="EY78" i="16"/>
  <c r="EY86" i="16" s="1"/>
  <c r="IO78" i="16"/>
  <c r="LW78" i="16"/>
  <c r="KE78" i="16"/>
  <c r="NM78" i="16"/>
  <c r="OI78" i="16"/>
  <c r="OI86" i="16" s="1"/>
  <c r="BN78" i="16"/>
  <c r="BN86" i="16" s="1"/>
  <c r="FM78" i="16"/>
  <c r="IY78" i="16"/>
  <c r="IY86" i="16" s="1"/>
  <c r="MG78" i="16"/>
  <c r="GA78" i="16"/>
  <c r="GY78" i="16"/>
  <c r="HS78" i="16"/>
  <c r="CB78" i="16"/>
  <c r="JK78" i="16"/>
  <c r="MQ78" i="16"/>
  <c r="DZ78" i="16"/>
  <c r="LA78" i="16"/>
  <c r="CM78" i="16"/>
  <c r="CM86" i="16" s="1"/>
  <c r="GL78" i="16"/>
  <c r="JU78" i="16"/>
  <c r="NC78" i="16"/>
  <c r="DO78" i="16"/>
  <c r="HI78" i="16"/>
  <c r="KQ78" i="16"/>
  <c r="NW78" i="16"/>
  <c r="V85" i="16"/>
  <c r="MR70" i="16"/>
  <c r="LM70" i="16"/>
  <c r="LM86" i="16" s="1"/>
  <c r="LK70" i="16"/>
  <c r="JQ70" i="16"/>
  <c r="JQ86" i="16" s="1"/>
  <c r="IC70" i="16"/>
  <c r="OG70" i="16"/>
  <c r="GW70" i="16"/>
  <c r="GW86" i="16" s="1"/>
  <c r="EK70" i="16"/>
  <c r="BY70" i="16"/>
  <c r="BY86" i="16" s="1"/>
  <c r="KN70" i="16"/>
  <c r="IB70" i="16"/>
  <c r="IB86" i="16" s="1"/>
  <c r="FP70" i="16"/>
  <c r="DD70" i="16"/>
  <c r="KE70" i="16"/>
  <c r="HS70" i="16"/>
  <c r="FG70" i="16"/>
  <c r="CU70" i="16"/>
  <c r="OD70" i="16"/>
  <c r="LR70" i="16"/>
  <c r="JF70" i="16"/>
  <c r="GT70" i="16"/>
  <c r="EH70" i="16"/>
  <c r="BV70" i="16"/>
  <c r="MW70" i="16"/>
  <c r="KK70" i="16"/>
  <c r="HY70" i="16"/>
  <c r="FM70" i="16"/>
  <c r="DA70" i="16"/>
  <c r="OJ70" i="16"/>
  <c r="LX70" i="16"/>
  <c r="JL70" i="16"/>
  <c r="GZ70" i="16"/>
  <c r="EN70" i="16"/>
  <c r="CB70" i="16"/>
  <c r="NK70" i="16"/>
  <c r="KY70" i="16"/>
  <c r="IM70" i="16"/>
  <c r="GA70" i="16"/>
  <c r="DO70" i="16"/>
  <c r="BC70" i="16"/>
  <c r="ML70" i="16"/>
  <c r="JZ70" i="16"/>
  <c r="HN70" i="16"/>
  <c r="FB70" i="16"/>
  <c r="CP70" i="16"/>
  <c r="AR86" i="16"/>
  <c r="AJ86" i="16"/>
  <c r="AB86" i="16"/>
  <c r="L178" i="16"/>
  <c r="T86" i="16"/>
  <c r="L86" i="16"/>
  <c r="AS93" i="16"/>
  <c r="AK93" i="16"/>
  <c r="AB93" i="16"/>
  <c r="L199" i="16"/>
  <c r="M93" i="16"/>
  <c r="J96" i="16"/>
  <c r="J204" i="16" s="1"/>
  <c r="J203" i="16"/>
  <c r="AM72" i="16"/>
  <c r="AM83" i="16"/>
  <c r="AE83" i="16"/>
  <c r="AE72" i="16"/>
  <c r="W72" i="16"/>
  <c r="O83" i="16"/>
  <c r="O88" i="16" s="1"/>
  <c r="O98" i="16" s="1"/>
  <c r="O72" i="16"/>
  <c r="K187" i="16"/>
  <c r="K136" i="16"/>
  <c r="L136" i="16"/>
  <c r="CS70" i="16"/>
  <c r="OB70" i="16"/>
  <c r="LP70" i="16"/>
  <c r="JD70" i="16"/>
  <c r="GR70" i="16"/>
  <c r="EF70" i="16"/>
  <c r="BT70" i="16"/>
  <c r="NC70" i="16"/>
  <c r="KQ70" i="16"/>
  <c r="IE70" i="16"/>
  <c r="FS70" i="16"/>
  <c r="DG70" i="16"/>
  <c r="AU70" i="16"/>
  <c r="MD70" i="16"/>
  <c r="JR70" i="16"/>
  <c r="HF70" i="16"/>
  <c r="ET70" i="16"/>
  <c r="CH70" i="16"/>
  <c r="AQ86" i="16"/>
  <c r="AI86" i="16"/>
  <c r="AA86" i="16"/>
  <c r="S86" i="16"/>
  <c r="K86" i="16"/>
  <c r="AR93" i="16"/>
  <c r="AJ93" i="16"/>
  <c r="AC93" i="16"/>
  <c r="T93" i="16"/>
  <c r="L93" i="16"/>
  <c r="AL83" i="16"/>
  <c r="AL72" i="16"/>
  <c r="AD72" i="16"/>
  <c r="AD83" i="16"/>
  <c r="V83" i="16"/>
  <c r="V72" i="16"/>
  <c r="N83" i="16"/>
  <c r="N72" i="16"/>
  <c r="KH58" i="16"/>
  <c r="KH62" i="16" s="1"/>
  <c r="GZ58" i="16"/>
  <c r="GZ62" i="16" s="1"/>
  <c r="AA161" i="16"/>
  <c r="DR58" i="16"/>
  <c r="DR62" i="16" s="1"/>
  <c r="OO58" i="16"/>
  <c r="OO62" i="16" s="1"/>
  <c r="MC58" i="16"/>
  <c r="MC62" i="16" s="1"/>
  <c r="JQ58" i="16"/>
  <c r="JQ62" i="16" s="1"/>
  <c r="HE58" i="16"/>
  <c r="HE62" i="16" s="1"/>
  <c r="ES58" i="16"/>
  <c r="ES62" i="16" s="1"/>
  <c r="CG58" i="16"/>
  <c r="CG62" i="16" s="1"/>
  <c r="NP58" i="16"/>
  <c r="NP62" i="16" s="1"/>
  <c r="LD58" i="16"/>
  <c r="LD62" i="16" s="1"/>
  <c r="AJ161" i="16"/>
  <c r="IR58" i="16"/>
  <c r="IR62" i="16" s="1"/>
  <c r="GF58" i="16"/>
  <c r="GF62" i="16" s="1"/>
  <c r="DT58" i="16"/>
  <c r="DT62" i="16" s="1"/>
  <c r="T161" i="16"/>
  <c r="BH58" i="16"/>
  <c r="BH62" i="16" s="1"/>
  <c r="U217" i="16"/>
  <c r="KO70" i="16"/>
  <c r="KO86" i="16" s="1"/>
  <c r="HU70" i="16"/>
  <c r="HU86" i="16" s="1"/>
  <c r="MQ70" i="16"/>
  <c r="OM70" i="16"/>
  <c r="NQ70" i="16"/>
  <c r="MS70" i="16"/>
  <c r="MS86" i="16" s="1"/>
  <c r="GG70" i="16"/>
  <c r="GG86" i="16" s="1"/>
  <c r="DU70" i="16"/>
  <c r="BI70" i="16"/>
  <c r="BI86" i="16" s="1"/>
  <c r="JX70" i="16"/>
  <c r="JX86" i="16" s="1"/>
  <c r="HL70" i="16"/>
  <c r="EZ70" i="16"/>
  <c r="EZ86" i="16" s="1"/>
  <c r="CN70" i="16"/>
  <c r="CN86" i="16" s="1"/>
  <c r="JO70" i="16"/>
  <c r="HC70" i="16"/>
  <c r="EQ70" i="16"/>
  <c r="CE70" i="16"/>
  <c r="NN70" i="16"/>
  <c r="LB70" i="16"/>
  <c r="IP70" i="16"/>
  <c r="GD70" i="16"/>
  <c r="DR70" i="16"/>
  <c r="BF70" i="16"/>
  <c r="MG70" i="16"/>
  <c r="JU70" i="16"/>
  <c r="HI70" i="16"/>
  <c r="EW70" i="16"/>
  <c r="CK70" i="16"/>
  <c r="NT70" i="16"/>
  <c r="LH70" i="16"/>
  <c r="IV70" i="16"/>
  <c r="GJ70" i="16"/>
  <c r="DX70" i="16"/>
  <c r="BL70" i="16"/>
  <c r="MU70" i="16"/>
  <c r="KI70" i="16"/>
  <c r="HW70" i="16"/>
  <c r="FK70" i="16"/>
  <c r="CY70" i="16"/>
  <c r="OH70" i="16"/>
  <c r="LV70" i="16"/>
  <c r="JJ70" i="16"/>
  <c r="GX70" i="16"/>
  <c r="EL70" i="16"/>
  <c r="BZ70" i="16"/>
  <c r="AP86" i="16"/>
  <c r="AH86" i="16"/>
  <c r="Z86" i="16"/>
  <c r="R86" i="16"/>
  <c r="J86" i="16"/>
  <c r="J178" i="16"/>
  <c r="AQ93" i="16"/>
  <c r="AI93" i="16"/>
  <c r="AA93" i="16"/>
  <c r="S93" i="16"/>
  <c r="K93" i="16"/>
  <c r="P96" i="16"/>
  <c r="K204" i="16" s="1"/>
  <c r="K203" i="16"/>
  <c r="AS72" i="16"/>
  <c r="AS83" i="16"/>
  <c r="AK72" i="16"/>
  <c r="AK83" i="16"/>
  <c r="AC72" i="16"/>
  <c r="AC83" i="16"/>
  <c r="U72" i="16"/>
  <c r="M72" i="16"/>
  <c r="M83" i="16"/>
  <c r="AC179" i="16"/>
  <c r="AQ177" i="16"/>
  <c r="AM179" i="16"/>
  <c r="U179" i="16"/>
  <c r="W179" i="16"/>
  <c r="AO177" i="16"/>
  <c r="AM177" i="16"/>
  <c r="AK177" i="16"/>
  <c r="AI177" i="16"/>
  <c r="AE177" i="16"/>
  <c r="AC177" i="16"/>
  <c r="Y177" i="16"/>
  <c r="U177" i="16"/>
  <c r="O179" i="16"/>
  <c r="S177" i="16"/>
  <c r="M177" i="16"/>
  <c r="AN179" i="16"/>
  <c r="AH179" i="16"/>
  <c r="AJ177" i="16"/>
  <c r="AD177" i="16"/>
  <c r="X177" i="16"/>
  <c r="N177" i="16"/>
  <c r="AL179" i="16"/>
  <c r="Z179" i="16"/>
  <c r="AL177" i="16"/>
  <c r="AB179" i="16"/>
  <c r="AP177" i="16"/>
  <c r="AN177" i="16"/>
  <c r="AT77" i="16"/>
  <c r="AT85" i="16" s="1"/>
  <c r="AU77" i="16"/>
  <c r="AU85" i="16" s="1"/>
  <c r="AV77" i="16"/>
  <c r="AV85" i="16" s="1"/>
  <c r="AW77" i="16"/>
  <c r="AW85" i="16" s="1"/>
  <c r="AX77" i="16"/>
  <c r="AX85" i="16" s="1"/>
  <c r="AY77" i="16"/>
  <c r="AY85" i="16" s="1"/>
  <c r="AZ77" i="16"/>
  <c r="AZ85" i="16" s="1"/>
  <c r="BA77" i="16"/>
  <c r="BA85" i="16" s="1"/>
  <c r="BB77" i="16"/>
  <c r="BB85" i="16" s="1"/>
  <c r="BC77" i="16"/>
  <c r="BC85" i="16" s="1"/>
  <c r="BD77" i="16"/>
  <c r="BD85" i="16" s="1"/>
  <c r="BE77" i="16"/>
  <c r="BE85" i="16" s="1"/>
  <c r="BF77" i="16"/>
  <c r="BF85" i="16" s="1"/>
  <c r="BG77" i="16"/>
  <c r="BG85" i="16" s="1"/>
  <c r="BH77" i="16"/>
  <c r="BH85" i="16" s="1"/>
  <c r="BI77" i="16"/>
  <c r="BI85" i="16" s="1"/>
  <c r="BJ77" i="16"/>
  <c r="BJ85" i="16" s="1"/>
  <c r="BK77" i="16"/>
  <c r="BK85" i="16" s="1"/>
  <c r="BL77" i="16"/>
  <c r="BL85" i="16" s="1"/>
  <c r="BM77" i="16"/>
  <c r="BM85" i="16" s="1"/>
  <c r="BN77" i="16"/>
  <c r="BN85" i="16" s="1"/>
  <c r="BO77" i="16"/>
  <c r="BO85" i="16" s="1"/>
  <c r="BP77" i="16"/>
  <c r="BQ77" i="16"/>
  <c r="BQ85" i="16" s="1"/>
  <c r="BR77" i="16"/>
  <c r="BR85" i="16" s="1"/>
  <c r="BS77" i="16"/>
  <c r="BS85" i="16" s="1"/>
  <c r="BT77" i="16"/>
  <c r="BT85" i="16" s="1"/>
  <c r="BU77" i="16"/>
  <c r="BU85" i="16" s="1"/>
  <c r="BV77" i="16"/>
  <c r="BV85" i="16" s="1"/>
  <c r="BW77" i="16"/>
  <c r="BW85" i="16" s="1"/>
  <c r="BX77" i="16"/>
  <c r="BX85" i="16" s="1"/>
  <c r="BY77" i="16"/>
  <c r="BY85" i="16" s="1"/>
  <c r="BZ77" i="16"/>
  <c r="BZ85" i="16" s="1"/>
  <c r="CA77" i="16"/>
  <c r="CA85" i="16" s="1"/>
  <c r="CB77" i="16"/>
  <c r="CB85" i="16" s="1"/>
  <c r="CC77" i="16"/>
  <c r="CC85" i="16" s="1"/>
  <c r="CD77" i="16"/>
  <c r="CD85" i="16" s="1"/>
  <c r="CE77" i="16"/>
  <c r="CE85" i="16" s="1"/>
  <c r="CF77" i="16"/>
  <c r="CF85" i="16" s="1"/>
  <c r="CG77" i="16"/>
  <c r="CG85" i="16" s="1"/>
  <c r="CH77" i="16"/>
  <c r="CH85" i="16" s="1"/>
  <c r="CI77" i="16"/>
  <c r="CI85" i="16" s="1"/>
  <c r="CJ77" i="16"/>
  <c r="CJ85" i="16" s="1"/>
  <c r="CK77" i="16"/>
  <c r="CK85" i="16" s="1"/>
  <c r="CL77" i="16"/>
  <c r="CL85" i="16" s="1"/>
  <c r="CM77" i="16"/>
  <c r="CM85" i="16" s="1"/>
  <c r="CN77" i="16"/>
  <c r="CO77" i="16"/>
  <c r="CO85" i="16" s="1"/>
  <c r="CP77" i="16"/>
  <c r="CP85" i="16" s="1"/>
  <c r="CQ77" i="16"/>
  <c r="CQ85" i="16" s="1"/>
  <c r="CR77" i="16"/>
  <c r="CR85" i="16" s="1"/>
  <c r="CS77" i="16"/>
  <c r="CS85" i="16" s="1"/>
  <c r="CT77" i="16"/>
  <c r="CT85" i="16" s="1"/>
  <c r="CU77" i="16"/>
  <c r="CU85" i="16" s="1"/>
  <c r="CV77" i="16"/>
  <c r="CW77" i="16"/>
  <c r="CW85" i="16" s="1"/>
  <c r="CX77" i="16"/>
  <c r="CX85" i="16" s="1"/>
  <c r="CY77" i="16"/>
  <c r="CY85" i="16" s="1"/>
  <c r="CZ77" i="16"/>
  <c r="CZ85" i="16" s="1"/>
  <c r="DA77" i="16"/>
  <c r="DA85" i="16" s="1"/>
  <c r="DB77" i="16"/>
  <c r="DB85" i="16" s="1"/>
  <c r="DC77" i="16"/>
  <c r="DC85" i="16" s="1"/>
  <c r="DD77" i="16"/>
  <c r="DD85" i="16" s="1"/>
  <c r="DE77" i="16"/>
  <c r="DE85" i="16" s="1"/>
  <c r="DF77" i="16"/>
  <c r="DF85" i="16" s="1"/>
  <c r="DG77" i="16"/>
  <c r="DG85" i="16" s="1"/>
  <c r="DH77" i="16"/>
  <c r="DH85" i="16" s="1"/>
  <c r="DI77" i="16"/>
  <c r="DI85" i="16" s="1"/>
  <c r="DJ77" i="16"/>
  <c r="DJ85" i="16" s="1"/>
  <c r="DK77" i="16"/>
  <c r="DK85" i="16" s="1"/>
  <c r="DL77" i="16"/>
  <c r="DL85" i="16" s="1"/>
  <c r="DM77" i="16"/>
  <c r="DM85" i="16" s="1"/>
  <c r="DN77" i="16"/>
  <c r="DN85" i="16" s="1"/>
  <c r="DO77" i="16"/>
  <c r="DO85" i="16" s="1"/>
  <c r="DP77" i="16"/>
  <c r="DP85" i="16" s="1"/>
  <c r="DQ77" i="16"/>
  <c r="DQ85" i="16" s="1"/>
  <c r="DR77" i="16"/>
  <c r="DR85" i="16" s="1"/>
  <c r="DS77" i="16"/>
  <c r="DS85" i="16" s="1"/>
  <c r="DT77" i="16"/>
  <c r="DT85" i="16" s="1"/>
  <c r="DU77" i="16"/>
  <c r="DU85" i="16" s="1"/>
  <c r="DV77" i="16"/>
  <c r="DV85" i="16" s="1"/>
  <c r="DW77" i="16"/>
  <c r="DW85" i="16" s="1"/>
  <c r="DX77" i="16"/>
  <c r="DX85" i="16" s="1"/>
  <c r="DY77" i="16"/>
  <c r="DY85" i="16" s="1"/>
  <c r="DZ77" i="16"/>
  <c r="DZ85" i="16" s="1"/>
  <c r="EA77" i="16"/>
  <c r="EA85" i="16" s="1"/>
  <c r="EB77" i="16"/>
  <c r="EC77" i="16"/>
  <c r="EC85" i="16" s="1"/>
  <c r="ED77" i="16"/>
  <c r="ED85" i="16" s="1"/>
  <c r="EE77" i="16"/>
  <c r="EE85" i="16" s="1"/>
  <c r="EF77" i="16"/>
  <c r="EF85" i="16" s="1"/>
  <c r="EG77" i="16"/>
  <c r="EG85" i="16" s="1"/>
  <c r="EH77" i="16"/>
  <c r="EH85" i="16" s="1"/>
  <c r="EI77" i="16"/>
  <c r="EI85" i="16" s="1"/>
  <c r="EJ77" i="16"/>
  <c r="EJ85" i="16" s="1"/>
  <c r="EK77" i="16"/>
  <c r="EK85" i="16" s="1"/>
  <c r="EL77" i="16"/>
  <c r="EL85" i="16" s="1"/>
  <c r="EM77" i="16"/>
  <c r="EM85" i="16" s="1"/>
  <c r="EN77" i="16"/>
  <c r="EN85" i="16" s="1"/>
  <c r="EO77" i="16"/>
  <c r="EO85" i="16" s="1"/>
  <c r="EP77" i="16"/>
  <c r="EP85" i="16" s="1"/>
  <c r="EQ77" i="16"/>
  <c r="EQ85" i="16" s="1"/>
  <c r="ER77" i="16"/>
  <c r="ER85" i="16" s="1"/>
  <c r="ES77" i="16"/>
  <c r="ES85" i="16" s="1"/>
  <c r="ET77" i="16"/>
  <c r="ET85" i="16" s="1"/>
  <c r="EU77" i="16"/>
  <c r="EU85" i="16" s="1"/>
  <c r="EV77" i="16"/>
  <c r="EV85" i="16" s="1"/>
  <c r="EW77" i="16"/>
  <c r="EW85" i="16" s="1"/>
  <c r="EX77" i="16"/>
  <c r="EX85" i="16" s="1"/>
  <c r="EY77" i="16"/>
  <c r="EY85" i="16" s="1"/>
  <c r="EZ77" i="16"/>
  <c r="FA77" i="16"/>
  <c r="FA85" i="16" s="1"/>
  <c r="FB77" i="16"/>
  <c r="FB85" i="16" s="1"/>
  <c r="FC77" i="16"/>
  <c r="FC85" i="16" s="1"/>
  <c r="FD77" i="16"/>
  <c r="FD85" i="16" s="1"/>
  <c r="FE77" i="16"/>
  <c r="FE85" i="16" s="1"/>
  <c r="FF77" i="16"/>
  <c r="FF85" i="16" s="1"/>
  <c r="FG77" i="16"/>
  <c r="FG85" i="16" s="1"/>
  <c r="FH77" i="16"/>
  <c r="FI77" i="16"/>
  <c r="FI85" i="16" s="1"/>
  <c r="FJ77" i="16"/>
  <c r="FJ85" i="16" s="1"/>
  <c r="FK77" i="16"/>
  <c r="FK85" i="16" s="1"/>
  <c r="FL77" i="16"/>
  <c r="FL85" i="16" s="1"/>
  <c r="FM77" i="16"/>
  <c r="FM85" i="16" s="1"/>
  <c r="FN77" i="16"/>
  <c r="FN85" i="16" s="1"/>
  <c r="FO77" i="16"/>
  <c r="FO85" i="16" s="1"/>
  <c r="FP77" i="16"/>
  <c r="FP85" i="16" s="1"/>
  <c r="FQ77" i="16"/>
  <c r="FQ85" i="16" s="1"/>
  <c r="FR77" i="16"/>
  <c r="FR85" i="16" s="1"/>
  <c r="FS77" i="16"/>
  <c r="FS85" i="16" s="1"/>
  <c r="FT77" i="16"/>
  <c r="FT85" i="16" s="1"/>
  <c r="FU77" i="16"/>
  <c r="FU85" i="16" s="1"/>
  <c r="FV77" i="16"/>
  <c r="FV85" i="16" s="1"/>
  <c r="FW77" i="16"/>
  <c r="FW85" i="16" s="1"/>
  <c r="FX77" i="16"/>
  <c r="FX85" i="16" s="1"/>
  <c r="FY77" i="16"/>
  <c r="FY85" i="16" s="1"/>
  <c r="FZ77" i="16"/>
  <c r="FZ85" i="16" s="1"/>
  <c r="GA77" i="16"/>
  <c r="GA85" i="16" s="1"/>
  <c r="GB77" i="16"/>
  <c r="GB85" i="16" s="1"/>
  <c r="GC77" i="16"/>
  <c r="GC85" i="16" s="1"/>
  <c r="GD77" i="16"/>
  <c r="GD85" i="16" s="1"/>
  <c r="GE77" i="16"/>
  <c r="GE85" i="16" s="1"/>
  <c r="GF77" i="16"/>
  <c r="GF85" i="16" s="1"/>
  <c r="GG77" i="16"/>
  <c r="GG85" i="16" s="1"/>
  <c r="GH77" i="16"/>
  <c r="GH85" i="16" s="1"/>
  <c r="GI77" i="16"/>
  <c r="GI85" i="16" s="1"/>
  <c r="GJ77" i="16"/>
  <c r="GJ85" i="16" s="1"/>
  <c r="GK77" i="16"/>
  <c r="GK85" i="16" s="1"/>
  <c r="GL77" i="16"/>
  <c r="GL85" i="16" s="1"/>
  <c r="GM77" i="16"/>
  <c r="GM85" i="16" s="1"/>
  <c r="GN77" i="16"/>
  <c r="GO77" i="16"/>
  <c r="GO85" i="16" s="1"/>
  <c r="GP77" i="16"/>
  <c r="GP85" i="16" s="1"/>
  <c r="GQ77" i="16"/>
  <c r="GQ85" i="16" s="1"/>
  <c r="GR77" i="16"/>
  <c r="GR85" i="16" s="1"/>
  <c r="GS77" i="16"/>
  <c r="GS85" i="16" s="1"/>
  <c r="GT77" i="16"/>
  <c r="GT85" i="16" s="1"/>
  <c r="GU77" i="16"/>
  <c r="GU85" i="16" s="1"/>
  <c r="GV77" i="16"/>
  <c r="GV85" i="16" s="1"/>
  <c r="GW77" i="16"/>
  <c r="GW85" i="16" s="1"/>
  <c r="GX77" i="16"/>
  <c r="GX85" i="16" s="1"/>
  <c r="GY77" i="16"/>
  <c r="GY85" i="16" s="1"/>
  <c r="GZ77" i="16"/>
  <c r="GZ85" i="16" s="1"/>
  <c r="HA77" i="16"/>
  <c r="HA85" i="16" s="1"/>
  <c r="HB77" i="16"/>
  <c r="HB85" i="16" s="1"/>
  <c r="HC77" i="16"/>
  <c r="HC85" i="16" s="1"/>
  <c r="HD77" i="16"/>
  <c r="HD85" i="16" s="1"/>
  <c r="HE77" i="16"/>
  <c r="HE85" i="16" s="1"/>
  <c r="HF77" i="16"/>
  <c r="HF85" i="16" s="1"/>
  <c r="HG77" i="16"/>
  <c r="HG85" i="16" s="1"/>
  <c r="HH77" i="16"/>
  <c r="HH85" i="16" s="1"/>
  <c r="HI77" i="16"/>
  <c r="HI85" i="16" s="1"/>
  <c r="HJ77" i="16"/>
  <c r="HJ85" i="16" s="1"/>
  <c r="HK77" i="16"/>
  <c r="HK85" i="16" s="1"/>
  <c r="HL77" i="16"/>
  <c r="HM77" i="16"/>
  <c r="HM85" i="16" s="1"/>
  <c r="HN77" i="16"/>
  <c r="HN85" i="16" s="1"/>
  <c r="HO77" i="16"/>
  <c r="HO85" i="16" s="1"/>
  <c r="HP77" i="16"/>
  <c r="HP85" i="16" s="1"/>
  <c r="HQ77" i="16"/>
  <c r="HQ85" i="16" s="1"/>
  <c r="HR77" i="16"/>
  <c r="HR85" i="16" s="1"/>
  <c r="HS77" i="16"/>
  <c r="HS85" i="16" s="1"/>
  <c r="HT77" i="16"/>
  <c r="HU77" i="16"/>
  <c r="HU85" i="16" s="1"/>
  <c r="HV77" i="16"/>
  <c r="HV85" i="16" s="1"/>
  <c r="HW77" i="16"/>
  <c r="HW85" i="16" s="1"/>
  <c r="HX77" i="16"/>
  <c r="HX85" i="16" s="1"/>
  <c r="HY77" i="16"/>
  <c r="HY85" i="16" s="1"/>
  <c r="HZ77" i="16"/>
  <c r="HZ85" i="16" s="1"/>
  <c r="IA77" i="16"/>
  <c r="IA85" i="16" s="1"/>
  <c r="IB77" i="16"/>
  <c r="IB85" i="16" s="1"/>
  <c r="IC77" i="16"/>
  <c r="IC85" i="16" s="1"/>
  <c r="ID77" i="16"/>
  <c r="ID85" i="16" s="1"/>
  <c r="IE77" i="16"/>
  <c r="IE85" i="16" s="1"/>
  <c r="IF77" i="16"/>
  <c r="IF85" i="16" s="1"/>
  <c r="IG77" i="16"/>
  <c r="IG85" i="16" s="1"/>
  <c r="IH77" i="16"/>
  <c r="IH85" i="16" s="1"/>
  <c r="II77" i="16"/>
  <c r="II85" i="16" s="1"/>
  <c r="IJ77" i="16"/>
  <c r="IK77" i="16"/>
  <c r="IK85" i="16" s="1"/>
  <c r="IL77" i="16"/>
  <c r="IL85" i="16" s="1"/>
  <c r="IM77" i="16"/>
  <c r="IM85" i="16" s="1"/>
  <c r="IN77" i="16"/>
  <c r="IN85" i="16" s="1"/>
  <c r="IO77" i="16"/>
  <c r="IO85" i="16" s="1"/>
  <c r="IP77" i="16"/>
  <c r="IP85" i="16" s="1"/>
  <c r="IQ77" i="16"/>
  <c r="IQ85" i="16" s="1"/>
  <c r="IR77" i="16"/>
  <c r="IR85" i="16" s="1"/>
  <c r="IS77" i="16"/>
  <c r="IS85" i="16" s="1"/>
  <c r="IT77" i="16"/>
  <c r="IT85" i="16" s="1"/>
  <c r="IU77" i="16"/>
  <c r="IU85" i="16" s="1"/>
  <c r="IV77" i="16"/>
  <c r="IV85" i="16" s="1"/>
  <c r="IW77" i="16"/>
  <c r="IW85" i="16" s="1"/>
  <c r="IX77" i="16"/>
  <c r="IX85" i="16" s="1"/>
  <c r="IY77" i="16"/>
  <c r="IY85" i="16" s="1"/>
  <c r="IZ77" i="16"/>
  <c r="JA77" i="16"/>
  <c r="JA85" i="16" s="1"/>
  <c r="JB77" i="16"/>
  <c r="JB85" i="16" s="1"/>
  <c r="JC77" i="16"/>
  <c r="JC85" i="16" s="1"/>
  <c r="JD77" i="16"/>
  <c r="JD85" i="16" s="1"/>
  <c r="JE77" i="16"/>
  <c r="JE85" i="16" s="1"/>
  <c r="JF77" i="16"/>
  <c r="JF85" i="16" s="1"/>
  <c r="JG77" i="16"/>
  <c r="JG85" i="16" s="1"/>
  <c r="JH77" i="16"/>
  <c r="JI77" i="16"/>
  <c r="JI85" i="16" s="1"/>
  <c r="JJ77" i="16"/>
  <c r="JJ85" i="16" s="1"/>
  <c r="JK77" i="16"/>
  <c r="JK85" i="16" s="1"/>
  <c r="JL77" i="16"/>
  <c r="JL85" i="16" s="1"/>
  <c r="JM77" i="16"/>
  <c r="JM85" i="16" s="1"/>
  <c r="JN77" i="16"/>
  <c r="JN85" i="16" s="1"/>
  <c r="JO77" i="16"/>
  <c r="JO85" i="16" s="1"/>
  <c r="JP77" i="16"/>
  <c r="JP85" i="16" s="1"/>
  <c r="JQ77" i="16"/>
  <c r="JQ85" i="16" s="1"/>
  <c r="JR77" i="16"/>
  <c r="JR85" i="16" s="1"/>
  <c r="JS77" i="16"/>
  <c r="JS85" i="16" s="1"/>
  <c r="JT77" i="16"/>
  <c r="JT85" i="16" s="1"/>
  <c r="JU77" i="16"/>
  <c r="JU85" i="16" s="1"/>
  <c r="JV77" i="16"/>
  <c r="JV85" i="16" s="1"/>
  <c r="JW77" i="16"/>
  <c r="JW85" i="16" s="1"/>
  <c r="JX77" i="16"/>
  <c r="JY77" i="16"/>
  <c r="JY85" i="16" s="1"/>
  <c r="JZ77" i="16"/>
  <c r="JZ85" i="16" s="1"/>
  <c r="KA77" i="16"/>
  <c r="KA85" i="16" s="1"/>
  <c r="KB77" i="16"/>
  <c r="KB85" i="16" s="1"/>
  <c r="KC77" i="16"/>
  <c r="KC85" i="16" s="1"/>
  <c r="KD77" i="16"/>
  <c r="KD85" i="16" s="1"/>
  <c r="KE77" i="16"/>
  <c r="KE85" i="16" s="1"/>
  <c r="KF77" i="16"/>
  <c r="KG77" i="16"/>
  <c r="KG85" i="16" s="1"/>
  <c r="KH77" i="16"/>
  <c r="KH85" i="16" s="1"/>
  <c r="KI77" i="16"/>
  <c r="KI85" i="16" s="1"/>
  <c r="KJ77" i="16"/>
  <c r="KJ85" i="16" s="1"/>
  <c r="KK77" i="16"/>
  <c r="KK85" i="16" s="1"/>
  <c r="KL77" i="16"/>
  <c r="KL85" i="16" s="1"/>
  <c r="KM77" i="16"/>
  <c r="KM85" i="16" s="1"/>
  <c r="KN77" i="16"/>
  <c r="KN85" i="16" s="1"/>
  <c r="KO77" i="16"/>
  <c r="KO85" i="16" s="1"/>
  <c r="KP77" i="16"/>
  <c r="KP85" i="16" s="1"/>
  <c r="KQ77" i="16"/>
  <c r="KQ85" i="16" s="1"/>
  <c r="KR77" i="16"/>
  <c r="KR85" i="16" s="1"/>
  <c r="KS77" i="16"/>
  <c r="KS85" i="16" s="1"/>
  <c r="KT77" i="16"/>
  <c r="KT85" i="16" s="1"/>
  <c r="KU77" i="16"/>
  <c r="KU85" i="16" s="1"/>
  <c r="KV77" i="16"/>
  <c r="KV85" i="16" s="1"/>
  <c r="KW77" i="16"/>
  <c r="KW85" i="16" s="1"/>
  <c r="KX77" i="16"/>
  <c r="KX85" i="16" s="1"/>
  <c r="KY77" i="16"/>
  <c r="KY85" i="16" s="1"/>
  <c r="KZ77" i="16"/>
  <c r="KZ85" i="16" s="1"/>
  <c r="LA77" i="16"/>
  <c r="LA85" i="16" s="1"/>
  <c r="LB77" i="16"/>
  <c r="LB85" i="16" s="1"/>
  <c r="LC77" i="16"/>
  <c r="LC85" i="16" s="1"/>
  <c r="LD77" i="16"/>
  <c r="LE77" i="16"/>
  <c r="LE85" i="16" s="1"/>
  <c r="LF77" i="16"/>
  <c r="LF85" i="16" s="1"/>
  <c r="LG77" i="16"/>
  <c r="LG85" i="16" s="1"/>
  <c r="LH77" i="16"/>
  <c r="LH85" i="16" s="1"/>
  <c r="LI77" i="16"/>
  <c r="LI85" i="16" s="1"/>
  <c r="LJ77" i="16"/>
  <c r="LJ85" i="16" s="1"/>
  <c r="LK77" i="16"/>
  <c r="LK85" i="16" s="1"/>
  <c r="LL77" i="16"/>
  <c r="LL85" i="16" s="1"/>
  <c r="LM77" i="16"/>
  <c r="LM85" i="16" s="1"/>
  <c r="LN77" i="16"/>
  <c r="LN85" i="16" s="1"/>
  <c r="LO77" i="16"/>
  <c r="LO85" i="16" s="1"/>
  <c r="LP77" i="16"/>
  <c r="LP85" i="16" s="1"/>
  <c r="LQ77" i="16"/>
  <c r="LQ85" i="16" s="1"/>
  <c r="LR77" i="16"/>
  <c r="LR85" i="16" s="1"/>
  <c r="LS77" i="16"/>
  <c r="LS85" i="16" s="1"/>
  <c r="LT77" i="16"/>
  <c r="LT85" i="16" s="1"/>
  <c r="LU77" i="16"/>
  <c r="LU85" i="16" s="1"/>
  <c r="LV77" i="16"/>
  <c r="LV85" i="16" s="1"/>
  <c r="LW77" i="16"/>
  <c r="LW85" i="16" s="1"/>
  <c r="LX77" i="16"/>
  <c r="LX85" i="16" s="1"/>
  <c r="LY77" i="16"/>
  <c r="LY85" i="16" s="1"/>
  <c r="LZ77" i="16"/>
  <c r="LZ85" i="16" s="1"/>
  <c r="MA77" i="16"/>
  <c r="MA85" i="16" s="1"/>
  <c r="MB77" i="16"/>
  <c r="MC77" i="16"/>
  <c r="MC85" i="16" s="1"/>
  <c r="MD77" i="16"/>
  <c r="MD85" i="16" s="1"/>
  <c r="ME77" i="16"/>
  <c r="ME85" i="16" s="1"/>
  <c r="MF77" i="16"/>
  <c r="MF85" i="16" s="1"/>
  <c r="MG77" i="16"/>
  <c r="MG85" i="16" s="1"/>
  <c r="MH77" i="16"/>
  <c r="MH85" i="16" s="1"/>
  <c r="MI77" i="16"/>
  <c r="MI85" i="16" s="1"/>
  <c r="MJ77" i="16"/>
  <c r="MJ85" i="16" s="1"/>
  <c r="MK77" i="16"/>
  <c r="MK85" i="16" s="1"/>
  <c r="ML77" i="16"/>
  <c r="ML85" i="16" s="1"/>
  <c r="MM77" i="16"/>
  <c r="MM85" i="16" s="1"/>
  <c r="MN77" i="16"/>
  <c r="MN85" i="16" s="1"/>
  <c r="MO77" i="16"/>
  <c r="MO85" i="16" s="1"/>
  <c r="MP77" i="16"/>
  <c r="MP85" i="16" s="1"/>
  <c r="MQ77" i="16"/>
  <c r="MQ85" i="16" s="1"/>
  <c r="MR77" i="16"/>
  <c r="MR85" i="16" s="1"/>
  <c r="MS77" i="16"/>
  <c r="MS85" i="16" s="1"/>
  <c r="MT77" i="16"/>
  <c r="MT85" i="16" s="1"/>
  <c r="MU77" i="16"/>
  <c r="MU85" i="16" s="1"/>
  <c r="MV77" i="16"/>
  <c r="MV85" i="16" s="1"/>
  <c r="MW77" i="16"/>
  <c r="MW85" i="16" s="1"/>
  <c r="MX77" i="16"/>
  <c r="MX85" i="16" s="1"/>
  <c r="MY77" i="16"/>
  <c r="MY85" i="16" s="1"/>
  <c r="MZ77" i="16"/>
  <c r="MZ85" i="16" s="1"/>
  <c r="NA77" i="16"/>
  <c r="NA85" i="16" s="1"/>
  <c r="NB77" i="16"/>
  <c r="NB85" i="16" s="1"/>
  <c r="NC77" i="16"/>
  <c r="NC85" i="16" s="1"/>
  <c r="ND77" i="16"/>
  <c r="ND85" i="16" s="1"/>
  <c r="NE77" i="16"/>
  <c r="NE85" i="16" s="1"/>
  <c r="NF77" i="16"/>
  <c r="NF85" i="16" s="1"/>
  <c r="NG77" i="16"/>
  <c r="NG85" i="16" s="1"/>
  <c r="NH77" i="16"/>
  <c r="NH85" i="16" s="1"/>
  <c r="NI77" i="16"/>
  <c r="NI85" i="16" s="1"/>
  <c r="NJ77" i="16"/>
  <c r="NJ85" i="16" s="1"/>
  <c r="NK77" i="16"/>
  <c r="NK85" i="16" s="1"/>
  <c r="NL77" i="16"/>
  <c r="NM77" i="16"/>
  <c r="NM85" i="16" s="1"/>
  <c r="NN77" i="16"/>
  <c r="NN85" i="16" s="1"/>
  <c r="NO77" i="16"/>
  <c r="NO85" i="16" s="1"/>
  <c r="NP77" i="16"/>
  <c r="NP85" i="16" s="1"/>
  <c r="NQ77" i="16"/>
  <c r="NQ85" i="16" s="1"/>
  <c r="NR77" i="16"/>
  <c r="NR85" i="16" s="1"/>
  <c r="NS77" i="16"/>
  <c r="NS85" i="16" s="1"/>
  <c r="NT77" i="16"/>
  <c r="NT85" i="16" s="1"/>
  <c r="NU77" i="16"/>
  <c r="NU85" i="16" s="1"/>
  <c r="NV77" i="16"/>
  <c r="NV85" i="16" s="1"/>
  <c r="NW77" i="16"/>
  <c r="NW85" i="16" s="1"/>
  <c r="NX77" i="16"/>
  <c r="NY77" i="16"/>
  <c r="NY85" i="16" s="1"/>
  <c r="NZ77" i="16"/>
  <c r="NZ85" i="16" s="1"/>
  <c r="OA77" i="16"/>
  <c r="OA85" i="16" s="1"/>
  <c r="OB77" i="16"/>
  <c r="OB85" i="16" s="1"/>
  <c r="OC77" i="16"/>
  <c r="OC85" i="16" s="1"/>
  <c r="OD77" i="16"/>
  <c r="OD85" i="16" s="1"/>
  <c r="OE77" i="16"/>
  <c r="OE85" i="16" s="1"/>
  <c r="OF77" i="16"/>
  <c r="OF85" i="16" s="1"/>
  <c r="OG77" i="16"/>
  <c r="OG85" i="16" s="1"/>
  <c r="OH77" i="16"/>
  <c r="OH85" i="16" s="1"/>
  <c r="OI77" i="16"/>
  <c r="OI85" i="16" s="1"/>
  <c r="OJ77" i="16"/>
  <c r="OJ85" i="16" s="1"/>
  <c r="OK77" i="16"/>
  <c r="OK85" i="16" s="1"/>
  <c r="OL77" i="16"/>
  <c r="OL85" i="16" s="1"/>
  <c r="OM77" i="16"/>
  <c r="OM85" i="16" s="1"/>
  <c r="ON77" i="16"/>
  <c r="ON85" i="16" s="1"/>
  <c r="OO77" i="16"/>
  <c r="OO85" i="16" s="1"/>
  <c r="AT79" i="16"/>
  <c r="AT87" i="16" s="1"/>
  <c r="AU79" i="16"/>
  <c r="AU87" i="16" s="1"/>
  <c r="AV79" i="16"/>
  <c r="AV87" i="16" s="1"/>
  <c r="AW79" i="16"/>
  <c r="AX79" i="16"/>
  <c r="AX87" i="16" s="1"/>
  <c r="AY79" i="16"/>
  <c r="AY87" i="16" s="1"/>
  <c r="AZ79" i="16"/>
  <c r="BA79" i="16"/>
  <c r="BA87" i="16" s="1"/>
  <c r="BB79" i="16"/>
  <c r="BB87" i="16" s="1"/>
  <c r="BC79" i="16"/>
  <c r="BC87" i="16" s="1"/>
  <c r="BD79" i="16"/>
  <c r="BD87" i="16" s="1"/>
  <c r="BE79" i="16"/>
  <c r="BE87" i="16" s="1"/>
  <c r="BF79" i="16"/>
  <c r="BF87" i="16" s="1"/>
  <c r="BG79" i="16"/>
  <c r="BH79" i="16"/>
  <c r="BH87" i="16" s="1"/>
  <c r="BI79" i="16"/>
  <c r="BI87" i="16" s="1"/>
  <c r="BJ79" i="16"/>
  <c r="BJ87" i="16" s="1"/>
  <c r="BK79" i="16"/>
  <c r="BK87" i="16" s="1"/>
  <c r="BL79" i="16"/>
  <c r="BL87" i="16" s="1"/>
  <c r="BM79" i="16"/>
  <c r="BM87" i="16" s="1"/>
  <c r="BN79" i="16"/>
  <c r="BN87" i="16" s="1"/>
  <c r="BO79" i="16"/>
  <c r="BO87" i="16" s="1"/>
  <c r="BP79" i="16"/>
  <c r="BP87" i="16" s="1"/>
  <c r="BQ79" i="16"/>
  <c r="BQ87" i="16" s="1"/>
  <c r="BR79" i="16"/>
  <c r="BR87" i="16" s="1"/>
  <c r="BS79" i="16"/>
  <c r="BS87" i="16" s="1"/>
  <c r="BT79" i="16"/>
  <c r="BT87" i="16" s="1"/>
  <c r="BU79" i="16"/>
  <c r="BU87" i="16" s="1"/>
  <c r="BV79" i="16"/>
  <c r="BV87" i="16" s="1"/>
  <c r="BW79" i="16"/>
  <c r="BW87" i="16" s="1"/>
  <c r="BX79" i="16"/>
  <c r="BY79" i="16"/>
  <c r="BY87" i="16" s="1"/>
  <c r="BZ79" i="16"/>
  <c r="CA79" i="16"/>
  <c r="CA87" i="16" s="1"/>
  <c r="CB79" i="16"/>
  <c r="CB87" i="16" s="1"/>
  <c r="CC79" i="16"/>
  <c r="CD79" i="16"/>
  <c r="CD87" i="16" s="1"/>
  <c r="CE79" i="16"/>
  <c r="CE87" i="16" s="1"/>
  <c r="CF79" i="16"/>
  <c r="CF87" i="16" s="1"/>
  <c r="CG79" i="16"/>
  <c r="CG87" i="16" s="1"/>
  <c r="CH79" i="16"/>
  <c r="CH87" i="16" s="1"/>
  <c r="CI79" i="16"/>
  <c r="CI87" i="16" s="1"/>
  <c r="CJ79" i="16"/>
  <c r="CJ87" i="16" s="1"/>
  <c r="CK79" i="16"/>
  <c r="CK87" i="16" s="1"/>
  <c r="CL79" i="16"/>
  <c r="CL87" i="16" s="1"/>
  <c r="CM79" i="16"/>
  <c r="CM87" i="16" s="1"/>
  <c r="CN79" i="16"/>
  <c r="CN87" i="16" s="1"/>
  <c r="CO79" i="16"/>
  <c r="CP79" i="16"/>
  <c r="CP87" i="16" s="1"/>
  <c r="CQ79" i="16"/>
  <c r="CQ87" i="16" s="1"/>
  <c r="CR79" i="16"/>
  <c r="CR87" i="16" s="1"/>
  <c r="CS79" i="16"/>
  <c r="CS87" i="16" s="1"/>
  <c r="CT79" i="16"/>
  <c r="CU79" i="16"/>
  <c r="CV79" i="16"/>
  <c r="CW79" i="16"/>
  <c r="CW87" i="16" s="1"/>
  <c r="CX79" i="16"/>
  <c r="CX87" i="16" s="1"/>
  <c r="CY79" i="16"/>
  <c r="CY87" i="16" s="1"/>
  <c r="CZ79" i="16"/>
  <c r="CZ87" i="16" s="1"/>
  <c r="DA79" i="16"/>
  <c r="DA87" i="16" s="1"/>
  <c r="DB79" i="16"/>
  <c r="DB87" i="16" s="1"/>
  <c r="DC79" i="16"/>
  <c r="DC87" i="16" s="1"/>
  <c r="DD79" i="16"/>
  <c r="DD87" i="16" s="1"/>
  <c r="DE79" i="16"/>
  <c r="DE87" i="16" s="1"/>
  <c r="DF79" i="16"/>
  <c r="DG79" i="16"/>
  <c r="DG87" i="16" s="1"/>
  <c r="DH79" i="16"/>
  <c r="DI79" i="16"/>
  <c r="DJ79" i="16"/>
  <c r="DJ87" i="16" s="1"/>
  <c r="DK79" i="16"/>
  <c r="DK87" i="16" s="1"/>
  <c r="DL79" i="16"/>
  <c r="DL87" i="16" s="1"/>
  <c r="DM79" i="16"/>
  <c r="DM87" i="16" s="1"/>
  <c r="DN79" i="16"/>
  <c r="DO79" i="16"/>
  <c r="DO87" i="16" s="1"/>
  <c r="DP79" i="16"/>
  <c r="DP87" i="16" s="1"/>
  <c r="DQ79" i="16"/>
  <c r="DQ87" i="16" s="1"/>
  <c r="DR79" i="16"/>
  <c r="DR87" i="16" s="1"/>
  <c r="DS79" i="16"/>
  <c r="DS87" i="16" s="1"/>
  <c r="DT79" i="16"/>
  <c r="DU79" i="16"/>
  <c r="DU87" i="16" s="1"/>
  <c r="DV79" i="16"/>
  <c r="DV87" i="16" s="1"/>
  <c r="DW79" i="16"/>
  <c r="DW87" i="16" s="1"/>
  <c r="DX79" i="16"/>
  <c r="DX87" i="16" s="1"/>
  <c r="DY79" i="16"/>
  <c r="DY87" i="16" s="1"/>
  <c r="DZ79" i="16"/>
  <c r="DZ87" i="16" s="1"/>
  <c r="EA79" i="16"/>
  <c r="EA87" i="16" s="1"/>
  <c r="EB79" i="16"/>
  <c r="EB87" i="16" s="1"/>
  <c r="EC79" i="16"/>
  <c r="EC87" i="16" s="1"/>
  <c r="ED79" i="16"/>
  <c r="ED87" i="16" s="1"/>
  <c r="EE79" i="16"/>
  <c r="EE87" i="16" s="1"/>
  <c r="EF79" i="16"/>
  <c r="EF87" i="16" s="1"/>
  <c r="EG79" i="16"/>
  <c r="EG87" i="16" s="1"/>
  <c r="EH79" i="16"/>
  <c r="EH87" i="16" s="1"/>
  <c r="EI79" i="16"/>
  <c r="EI87" i="16" s="1"/>
  <c r="EJ79" i="16"/>
  <c r="EJ87" i="16" s="1"/>
  <c r="EK79" i="16"/>
  <c r="EK87" i="16" s="1"/>
  <c r="EL79" i="16"/>
  <c r="EL87" i="16" s="1"/>
  <c r="EM79" i="16"/>
  <c r="EM87" i="16" s="1"/>
  <c r="EN79" i="16"/>
  <c r="EN87" i="16" s="1"/>
  <c r="EO79" i="16"/>
  <c r="EP79" i="16"/>
  <c r="EP87" i="16" s="1"/>
  <c r="EQ79" i="16"/>
  <c r="EQ87" i="16" s="1"/>
  <c r="ER79" i="16"/>
  <c r="ES79" i="16"/>
  <c r="ES87" i="16" s="1"/>
  <c r="ET79" i="16"/>
  <c r="ET87" i="16" s="1"/>
  <c r="EU79" i="16"/>
  <c r="EU87" i="16" s="1"/>
  <c r="EV79" i="16"/>
  <c r="EV87" i="16" s="1"/>
  <c r="EW79" i="16"/>
  <c r="EW87" i="16" s="1"/>
  <c r="EX79" i="16"/>
  <c r="EX87" i="16" s="1"/>
  <c r="EY79" i="16"/>
  <c r="EY87" i="16" s="1"/>
  <c r="EZ79" i="16"/>
  <c r="EZ87" i="16" s="1"/>
  <c r="FA79" i="16"/>
  <c r="FA87" i="16" s="1"/>
  <c r="FB79" i="16"/>
  <c r="FB87" i="16" s="1"/>
  <c r="FC79" i="16"/>
  <c r="FC87" i="16" s="1"/>
  <c r="FD79" i="16"/>
  <c r="FD87" i="16" s="1"/>
  <c r="FE79" i="16"/>
  <c r="FE87" i="16" s="1"/>
  <c r="FF79" i="16"/>
  <c r="FF87" i="16" s="1"/>
  <c r="FG79" i="16"/>
  <c r="FG87" i="16" s="1"/>
  <c r="FH79" i="16"/>
  <c r="FH87" i="16" s="1"/>
  <c r="FI79" i="16"/>
  <c r="FI87" i="16" s="1"/>
  <c r="FJ79" i="16"/>
  <c r="FK79" i="16"/>
  <c r="FK87" i="16" s="1"/>
  <c r="FL79" i="16"/>
  <c r="FL87" i="16" s="1"/>
  <c r="FM79" i="16"/>
  <c r="FM87" i="16" s="1"/>
  <c r="FN79" i="16"/>
  <c r="FN87" i="16" s="1"/>
  <c r="FO79" i="16"/>
  <c r="FP79" i="16"/>
  <c r="FQ79" i="16"/>
  <c r="FQ87" i="16" s="1"/>
  <c r="FR79" i="16"/>
  <c r="FR87" i="16" s="1"/>
  <c r="FS79" i="16"/>
  <c r="FS87" i="16" s="1"/>
  <c r="FT79" i="16"/>
  <c r="FT87" i="16" s="1"/>
  <c r="FU79" i="16"/>
  <c r="FV79" i="16"/>
  <c r="FV87" i="16" s="1"/>
  <c r="FW79" i="16"/>
  <c r="FW87" i="16" s="1"/>
  <c r="FX79" i="16"/>
  <c r="FX87" i="16" s="1"/>
  <c r="FY79" i="16"/>
  <c r="FY87" i="16" s="1"/>
  <c r="FZ79" i="16"/>
  <c r="FZ87" i="16" s="1"/>
  <c r="GA79" i="16"/>
  <c r="GA87" i="16" s="1"/>
  <c r="GB79" i="16"/>
  <c r="GB87" i="16" s="1"/>
  <c r="GC79" i="16"/>
  <c r="GC87" i="16" s="1"/>
  <c r="GD79" i="16"/>
  <c r="GD87" i="16" s="1"/>
  <c r="GE79" i="16"/>
  <c r="GE87" i="16" s="1"/>
  <c r="GF79" i="16"/>
  <c r="GF87" i="16" s="1"/>
  <c r="GG79" i="16"/>
  <c r="GG87" i="16" s="1"/>
  <c r="GH79" i="16"/>
  <c r="GH87" i="16" s="1"/>
  <c r="GI79" i="16"/>
  <c r="GI87" i="16" s="1"/>
  <c r="GJ79" i="16"/>
  <c r="GJ87" i="16" s="1"/>
  <c r="GK79" i="16"/>
  <c r="GK87" i="16" s="1"/>
  <c r="GL79" i="16"/>
  <c r="GL87" i="16" s="1"/>
  <c r="GM79" i="16"/>
  <c r="GM87" i="16" s="1"/>
  <c r="GN79" i="16"/>
  <c r="GO79" i="16"/>
  <c r="GO87" i="16" s="1"/>
  <c r="GP79" i="16"/>
  <c r="GP87" i="16" s="1"/>
  <c r="GQ79" i="16"/>
  <c r="GQ87" i="16" s="1"/>
  <c r="GR79" i="16"/>
  <c r="GR87" i="16" s="1"/>
  <c r="GS79" i="16"/>
  <c r="GS87" i="16" s="1"/>
  <c r="GT79" i="16"/>
  <c r="GT87" i="16" s="1"/>
  <c r="GU79" i="16"/>
  <c r="GU87" i="16" s="1"/>
  <c r="GV79" i="16"/>
  <c r="GV87" i="16" s="1"/>
  <c r="GW79" i="16"/>
  <c r="GW87" i="16" s="1"/>
  <c r="GX79" i="16"/>
  <c r="GX87" i="16" s="1"/>
  <c r="GY79" i="16"/>
  <c r="GY87" i="16" s="1"/>
  <c r="GZ79" i="16"/>
  <c r="GZ87" i="16" s="1"/>
  <c r="HA79" i="16"/>
  <c r="HB79" i="16"/>
  <c r="HB87" i="16" s="1"/>
  <c r="HC79" i="16"/>
  <c r="HC87" i="16" s="1"/>
  <c r="HD79" i="16"/>
  <c r="HD87" i="16" s="1"/>
  <c r="HE79" i="16"/>
  <c r="HE87" i="16" s="1"/>
  <c r="HF79" i="16"/>
  <c r="HF87" i="16" s="1"/>
  <c r="HG79" i="16"/>
  <c r="HG87" i="16" s="1"/>
  <c r="HH79" i="16"/>
  <c r="HH87" i="16" s="1"/>
  <c r="HI79" i="16"/>
  <c r="HI87" i="16" s="1"/>
  <c r="HJ79" i="16"/>
  <c r="HJ87" i="16" s="1"/>
  <c r="HK79" i="16"/>
  <c r="HL79" i="16"/>
  <c r="HM79" i="16"/>
  <c r="HM87" i="16" s="1"/>
  <c r="HN79" i="16"/>
  <c r="HN87" i="16" s="1"/>
  <c r="HO79" i="16"/>
  <c r="HO87" i="16" s="1"/>
  <c r="HP79" i="16"/>
  <c r="HP87" i="16" s="1"/>
  <c r="HQ79" i="16"/>
  <c r="HQ87" i="16" s="1"/>
  <c r="HR79" i="16"/>
  <c r="HR87" i="16" s="1"/>
  <c r="HS79" i="16"/>
  <c r="HS87" i="16" s="1"/>
  <c r="HT79" i="16"/>
  <c r="HT87" i="16" s="1"/>
  <c r="HU79" i="16"/>
  <c r="HU87" i="16" s="1"/>
  <c r="HV79" i="16"/>
  <c r="HV87" i="16" s="1"/>
  <c r="HW79" i="16"/>
  <c r="HW87" i="16" s="1"/>
  <c r="HX79" i="16"/>
  <c r="HY79" i="16"/>
  <c r="HY87" i="16" s="1"/>
  <c r="HZ79" i="16"/>
  <c r="HZ87" i="16" s="1"/>
  <c r="IA79" i="16"/>
  <c r="IA87" i="16" s="1"/>
  <c r="IB79" i="16"/>
  <c r="IB87" i="16" s="1"/>
  <c r="IC79" i="16"/>
  <c r="IC87" i="16" s="1"/>
  <c r="ID79" i="16"/>
  <c r="ID87" i="16" s="1"/>
  <c r="IE79" i="16"/>
  <c r="IE87" i="16" s="1"/>
  <c r="IF79" i="16"/>
  <c r="IF87" i="16" s="1"/>
  <c r="IG79" i="16"/>
  <c r="IH79" i="16"/>
  <c r="IH87" i="16" s="1"/>
  <c r="II79" i="16"/>
  <c r="II87" i="16" s="1"/>
  <c r="IJ79" i="16"/>
  <c r="IK79" i="16"/>
  <c r="IL79" i="16"/>
  <c r="IL87" i="16" s="1"/>
  <c r="IM79" i="16"/>
  <c r="IM87" i="16" s="1"/>
  <c r="IN79" i="16"/>
  <c r="IN87" i="16" s="1"/>
  <c r="IO79" i="16"/>
  <c r="IO87" i="16" s="1"/>
  <c r="IP79" i="16"/>
  <c r="IP87" i="16" s="1"/>
  <c r="IQ79" i="16"/>
  <c r="IQ87" i="16" s="1"/>
  <c r="IR79" i="16"/>
  <c r="IR87" i="16" s="1"/>
  <c r="IS79" i="16"/>
  <c r="IS87" i="16" s="1"/>
  <c r="IT79" i="16"/>
  <c r="IT87" i="16" s="1"/>
  <c r="IU79" i="16"/>
  <c r="IU87" i="16" s="1"/>
  <c r="IV79" i="16"/>
  <c r="IW79" i="16"/>
  <c r="IW87" i="16" s="1"/>
  <c r="IX79" i="16"/>
  <c r="IX87" i="16" s="1"/>
  <c r="IY79" i="16"/>
  <c r="IY87" i="16" s="1"/>
  <c r="IZ79" i="16"/>
  <c r="JA79" i="16"/>
  <c r="JA87" i="16" s="1"/>
  <c r="JB79" i="16"/>
  <c r="JB87" i="16" s="1"/>
  <c r="JC79" i="16"/>
  <c r="JC87" i="16" s="1"/>
  <c r="JD79" i="16"/>
  <c r="JD87" i="16" s="1"/>
  <c r="JE79" i="16"/>
  <c r="JE87" i="16" s="1"/>
  <c r="JF79" i="16"/>
  <c r="JF87" i="16" s="1"/>
  <c r="JG79" i="16"/>
  <c r="JG87" i="16" s="1"/>
  <c r="JH79" i="16"/>
  <c r="JI79" i="16"/>
  <c r="JI87" i="16" s="1"/>
  <c r="JJ79" i="16"/>
  <c r="JJ87" i="16" s="1"/>
  <c r="JK79" i="16"/>
  <c r="JK87" i="16" s="1"/>
  <c r="JL79" i="16"/>
  <c r="JL87" i="16" s="1"/>
  <c r="JM79" i="16"/>
  <c r="JN79" i="16"/>
  <c r="JN87" i="16" s="1"/>
  <c r="JO79" i="16"/>
  <c r="JO87" i="16" s="1"/>
  <c r="JP79" i="16"/>
  <c r="JP87" i="16" s="1"/>
  <c r="JQ79" i="16"/>
  <c r="JQ87" i="16" s="1"/>
  <c r="JR79" i="16"/>
  <c r="JR87" i="16" s="1"/>
  <c r="JS79" i="16"/>
  <c r="JS87" i="16" s="1"/>
  <c r="JT79" i="16"/>
  <c r="JU79" i="16"/>
  <c r="JU87" i="16" s="1"/>
  <c r="JV79" i="16"/>
  <c r="JV87" i="16" s="1"/>
  <c r="JW79" i="16"/>
  <c r="JX79" i="16"/>
  <c r="JX87" i="16" s="1"/>
  <c r="JY79" i="16"/>
  <c r="JY87" i="16" s="1"/>
  <c r="JZ79" i="16"/>
  <c r="JZ87" i="16" s="1"/>
  <c r="KA79" i="16"/>
  <c r="KA87" i="16" s="1"/>
  <c r="KB79" i="16"/>
  <c r="KB87" i="16" s="1"/>
  <c r="KC79" i="16"/>
  <c r="KC87" i="16" s="1"/>
  <c r="KD79" i="16"/>
  <c r="KD87" i="16" s="1"/>
  <c r="KE79" i="16"/>
  <c r="KE87" i="16" s="1"/>
  <c r="KF79" i="16"/>
  <c r="KG79" i="16"/>
  <c r="KG87" i="16" s="1"/>
  <c r="KH79" i="16"/>
  <c r="KH87" i="16" s="1"/>
  <c r="KI79" i="16"/>
  <c r="KI87" i="16" s="1"/>
  <c r="KJ79" i="16"/>
  <c r="KJ87" i="16" s="1"/>
  <c r="KK79" i="16"/>
  <c r="KK87" i="16" s="1"/>
  <c r="KL79" i="16"/>
  <c r="KL87" i="16" s="1"/>
  <c r="KM79" i="16"/>
  <c r="KM87" i="16" s="1"/>
  <c r="KN79" i="16"/>
  <c r="KN87" i="16" s="1"/>
  <c r="KO79" i="16"/>
  <c r="KO87" i="16" s="1"/>
  <c r="KP79" i="16"/>
  <c r="KP87" i="16" s="1"/>
  <c r="KQ79" i="16"/>
  <c r="KQ87" i="16" s="1"/>
  <c r="KR79" i="16"/>
  <c r="KS79" i="16"/>
  <c r="KT79" i="16"/>
  <c r="KT87" i="16" s="1"/>
  <c r="KU79" i="16"/>
  <c r="KU87" i="16" s="1"/>
  <c r="KV79" i="16"/>
  <c r="KV87" i="16" s="1"/>
  <c r="KW79" i="16"/>
  <c r="KW87" i="16" s="1"/>
  <c r="KX79" i="16"/>
  <c r="KX87" i="16" s="1"/>
  <c r="KY79" i="16"/>
  <c r="KY87" i="16" s="1"/>
  <c r="KZ79" i="16"/>
  <c r="LA79" i="16"/>
  <c r="LA87" i="16" s="1"/>
  <c r="LB79" i="16"/>
  <c r="LB87" i="16" s="1"/>
  <c r="LC79" i="16"/>
  <c r="LC87" i="16" s="1"/>
  <c r="LD79" i="16"/>
  <c r="LE79" i="16"/>
  <c r="LF79" i="16"/>
  <c r="LG79" i="16"/>
  <c r="LG87" i="16" s="1"/>
  <c r="LH79" i="16"/>
  <c r="LH87" i="16" s="1"/>
  <c r="LI79" i="16"/>
  <c r="LI87" i="16" s="1"/>
  <c r="LJ79" i="16"/>
  <c r="LJ87" i="16" s="1"/>
  <c r="LK79" i="16"/>
  <c r="LK87" i="16" s="1"/>
  <c r="LL79" i="16"/>
  <c r="LL87" i="16" s="1"/>
  <c r="LM79" i="16"/>
  <c r="LM87" i="16" s="1"/>
  <c r="LN79" i="16"/>
  <c r="LN87" i="16" s="1"/>
  <c r="LO79" i="16"/>
  <c r="LO87" i="16" s="1"/>
  <c r="LP79" i="16"/>
  <c r="LQ79" i="16"/>
  <c r="LQ87" i="16" s="1"/>
  <c r="LR79" i="16"/>
  <c r="LR87" i="16" s="1"/>
  <c r="LS79" i="16"/>
  <c r="LS87" i="16" s="1"/>
  <c r="LT79" i="16"/>
  <c r="LT87" i="16" s="1"/>
  <c r="LU79" i="16"/>
  <c r="LU87" i="16" s="1"/>
  <c r="LV79" i="16"/>
  <c r="LV87" i="16" s="1"/>
  <c r="LW79" i="16"/>
  <c r="LW87" i="16" s="1"/>
  <c r="LX79" i="16"/>
  <c r="LX87" i="16" s="1"/>
  <c r="LY79" i="16"/>
  <c r="LZ79" i="16"/>
  <c r="LZ87" i="16" s="1"/>
  <c r="MA79" i="16"/>
  <c r="MA87" i="16" s="1"/>
  <c r="MB79" i="16"/>
  <c r="MC79" i="16"/>
  <c r="MC87" i="16" s="1"/>
  <c r="MD79" i="16"/>
  <c r="MD87" i="16" s="1"/>
  <c r="ME79" i="16"/>
  <c r="ME87" i="16" s="1"/>
  <c r="MF79" i="16"/>
  <c r="MF87" i="16" s="1"/>
  <c r="MG79" i="16"/>
  <c r="MG87" i="16" s="1"/>
  <c r="MH79" i="16"/>
  <c r="MH87" i="16" s="1"/>
  <c r="MI79" i="16"/>
  <c r="MI87" i="16" s="1"/>
  <c r="MJ79" i="16"/>
  <c r="MJ87" i="16" s="1"/>
  <c r="MK79" i="16"/>
  <c r="MK87" i="16" s="1"/>
  <c r="ML79" i="16"/>
  <c r="ML87" i="16" s="1"/>
  <c r="MM79" i="16"/>
  <c r="MM87" i="16" s="1"/>
  <c r="MN79" i="16"/>
  <c r="MO79" i="16"/>
  <c r="MO87" i="16" s="1"/>
  <c r="MP79" i="16"/>
  <c r="MP87" i="16" s="1"/>
  <c r="MQ79" i="16"/>
  <c r="MQ87" i="16" s="1"/>
  <c r="MR79" i="16"/>
  <c r="MR87" i="16" s="1"/>
  <c r="MS79" i="16"/>
  <c r="MS87" i="16" s="1"/>
  <c r="MT79" i="16"/>
  <c r="MT87" i="16" s="1"/>
  <c r="MU79" i="16"/>
  <c r="MU87" i="16" s="1"/>
  <c r="MV79" i="16"/>
  <c r="MV87" i="16" s="1"/>
  <c r="MW79" i="16"/>
  <c r="MW87" i="16" s="1"/>
  <c r="MX79" i="16"/>
  <c r="MX87" i="16" s="1"/>
  <c r="MY79" i="16"/>
  <c r="MY87" i="16" s="1"/>
  <c r="MZ79" i="16"/>
  <c r="NA79" i="16"/>
  <c r="NA87" i="16" s="1"/>
  <c r="NB79" i="16"/>
  <c r="NB87" i="16" s="1"/>
  <c r="NC79" i="16"/>
  <c r="NC87" i="16" s="1"/>
  <c r="ND79" i="16"/>
  <c r="ND87" i="16" s="1"/>
  <c r="NE79" i="16"/>
  <c r="NF79" i="16"/>
  <c r="NF87" i="16" s="1"/>
  <c r="NG79" i="16"/>
  <c r="NG87" i="16" s="1"/>
  <c r="NH79" i="16"/>
  <c r="NH87" i="16" s="1"/>
  <c r="NI79" i="16"/>
  <c r="NI87" i="16" s="1"/>
  <c r="NJ79" i="16"/>
  <c r="NJ87" i="16" s="1"/>
  <c r="NK79" i="16"/>
  <c r="NK87" i="16" s="1"/>
  <c r="NL79" i="16"/>
  <c r="NM79" i="16"/>
  <c r="NM87" i="16" s="1"/>
  <c r="NN79" i="16"/>
  <c r="NN87" i="16" s="1"/>
  <c r="NO79" i="16"/>
  <c r="NO87" i="16" s="1"/>
  <c r="NP79" i="16"/>
  <c r="NP87" i="16" s="1"/>
  <c r="NQ79" i="16"/>
  <c r="NQ87" i="16" s="1"/>
  <c r="NR79" i="16"/>
  <c r="NR87" i="16" s="1"/>
  <c r="NS79" i="16"/>
  <c r="NS87" i="16" s="1"/>
  <c r="NT79" i="16"/>
  <c r="NT87" i="16" s="1"/>
  <c r="NU79" i="16"/>
  <c r="NU87" i="16" s="1"/>
  <c r="NV79" i="16"/>
  <c r="NW79" i="16"/>
  <c r="NW87" i="16" s="1"/>
  <c r="NX79" i="16"/>
  <c r="NY79" i="16"/>
  <c r="NY87" i="16" s="1"/>
  <c r="NZ79" i="16"/>
  <c r="OA79" i="16"/>
  <c r="OA87" i="16" s="1"/>
  <c r="OB79" i="16"/>
  <c r="OB87" i="16" s="1"/>
  <c r="OC79" i="16"/>
  <c r="OC87" i="16" s="1"/>
  <c r="OD79" i="16"/>
  <c r="OD87" i="16" s="1"/>
  <c r="OE79" i="16"/>
  <c r="OE87" i="16" s="1"/>
  <c r="OF79" i="16"/>
  <c r="OF87" i="16" s="1"/>
  <c r="OG79" i="16"/>
  <c r="OH79" i="16"/>
  <c r="OH87" i="16" s="1"/>
  <c r="OI79" i="16"/>
  <c r="OI87" i="16" s="1"/>
  <c r="OJ79" i="16"/>
  <c r="OK79" i="16"/>
  <c r="OL79" i="16"/>
  <c r="OL87" i="16" s="1"/>
  <c r="OM79" i="16"/>
  <c r="OM87" i="16" s="1"/>
  <c r="ON79" i="16"/>
  <c r="ON87" i="16" s="1"/>
  <c r="OO79" i="16"/>
  <c r="OO87" i="16" s="1"/>
  <c r="D19" i="6"/>
  <c r="D85" i="16"/>
  <c r="D87" i="16"/>
  <c r="E3" i="9"/>
  <c r="D8" i="9" s="1"/>
  <c r="G3" i="2"/>
  <c r="I53" i="2"/>
  <c r="I13" i="10"/>
  <c r="H20" i="10"/>
  <c r="H27" i="10" s="1"/>
  <c r="I71" i="2"/>
  <c r="I52" i="2"/>
  <c r="I54" i="2"/>
  <c r="I73" i="2"/>
  <c r="I55" i="2"/>
  <c r="G12" i="10"/>
  <c r="F19" i="10"/>
  <c r="F26" i="10" s="1"/>
  <c r="I72" i="2"/>
  <c r="F21" i="10"/>
  <c r="F28" i="10" s="1"/>
  <c r="G14" i="10"/>
  <c r="I11" i="10"/>
  <c r="H18" i="10"/>
  <c r="H25" i="10" s="1"/>
  <c r="E13" i="9"/>
  <c r="E12" i="9"/>
  <c r="E19" i="9"/>
  <c r="E8" i="9"/>
  <c r="F24" i="9"/>
  <c r="F22" i="9"/>
  <c r="E29" i="9"/>
  <c r="F23" i="9"/>
  <c r="F27" i="9"/>
  <c r="I70" i="2"/>
  <c r="E75" i="2"/>
  <c r="H83" i="2"/>
  <c r="H82" i="2"/>
  <c r="B81" i="2" s="1"/>
  <c r="E57" i="2"/>
  <c r="J7" i="10" l="1"/>
  <c r="G4" i="21"/>
  <c r="OI62" i="16"/>
  <c r="DO62" i="16"/>
  <c r="BM62" i="16"/>
  <c r="GU62" i="16"/>
  <c r="BB62" i="16"/>
  <c r="MZ62" i="16"/>
  <c r="LF62" i="16"/>
  <c r="EW62" i="16"/>
  <c r="GB62" i="16"/>
  <c r="EN62" i="16"/>
  <c r="OJ62" i="16"/>
  <c r="IS62" i="16"/>
  <c r="IF62" i="16"/>
  <c r="OG62" i="16"/>
  <c r="NJ62" i="16"/>
  <c r="FE62" i="16"/>
  <c r="LP62" i="16"/>
  <c r="KF62" i="16"/>
  <c r="CR62" i="16"/>
  <c r="BE62" i="16"/>
  <c r="JK62" i="16"/>
  <c r="IW62" i="16"/>
  <c r="OB62" i="16"/>
  <c r="GA62" i="16"/>
  <c r="JG62" i="16"/>
  <c r="MO62" i="16"/>
  <c r="GY62" i="16"/>
  <c r="EA62" i="16"/>
  <c r="MG62" i="16"/>
  <c r="GI62" i="16"/>
  <c r="FB62" i="16"/>
  <c r="AT62" i="16"/>
  <c r="KP62" i="16"/>
  <c r="IV62" i="16"/>
  <c r="FH62" i="16"/>
  <c r="FT62" i="16"/>
  <c r="CQ62" i="16"/>
  <c r="BZ62" i="16"/>
  <c r="BN62" i="16"/>
  <c r="DC62" i="16"/>
  <c r="MY62" i="16"/>
  <c r="OC62" i="16"/>
  <c r="CE62" i="16"/>
  <c r="GM62" i="16"/>
  <c r="BL62" i="16"/>
  <c r="IN62" i="16"/>
  <c r="MF62" i="16"/>
  <c r="CS62" i="16"/>
  <c r="GX62" i="16"/>
  <c r="CJ62" i="16"/>
  <c r="HT62" i="16"/>
  <c r="OL62" i="16"/>
  <c r="KQ62" i="16"/>
  <c r="HC62" i="16"/>
  <c r="FZ62" i="16"/>
  <c r="NM62" i="16"/>
  <c r="HP62" i="16"/>
  <c r="NC62" i="16"/>
  <c r="OH62" i="16"/>
  <c r="KA62" i="16"/>
  <c r="IY62" i="16"/>
  <c r="KE62" i="16"/>
  <c r="FR62" i="16"/>
  <c r="DX62" i="16"/>
  <c r="CI62" i="16"/>
  <c r="FS62" i="16"/>
  <c r="FC62" i="16"/>
  <c r="HZ62" i="16"/>
  <c r="LV62" i="16"/>
  <c r="FV62" i="16"/>
  <c r="DW62" i="16"/>
  <c r="EU62" i="16"/>
  <c r="GH62" i="16"/>
  <c r="JZ62" i="16"/>
  <c r="FO62" i="16"/>
  <c r="HY62" i="16"/>
  <c r="CK62" i="16"/>
  <c r="EF62" i="16"/>
  <c r="JT62" i="16"/>
  <c r="BS62" i="16"/>
  <c r="IL62" i="16"/>
  <c r="BW62" i="16"/>
  <c r="IA62" i="16"/>
  <c r="HO62" i="16"/>
  <c r="GJ62" i="16"/>
  <c r="HH62" i="16"/>
  <c r="OE62" i="16"/>
  <c r="IM62" i="16"/>
  <c r="KU62" i="16"/>
  <c r="CA86" i="16"/>
  <c r="JL62" i="16"/>
  <c r="DU62" i="16"/>
  <c r="GR62" i="16"/>
  <c r="NB62" i="16"/>
  <c r="BD62" i="16"/>
  <c r="MD62" i="16"/>
  <c r="MA62" i="16"/>
  <c r="LH62" i="16"/>
  <c r="FF62" i="16"/>
  <c r="NU62" i="16"/>
  <c r="FM62" i="16"/>
  <c r="HI62" i="16"/>
  <c r="AU62" i="16"/>
  <c r="GG62" i="16"/>
  <c r="KD62" i="16"/>
  <c r="KZ62" i="16"/>
  <c r="NT62" i="16"/>
  <c r="HB62" i="16"/>
  <c r="OM62" i="16"/>
  <c r="HN62" i="16"/>
  <c r="LE62" i="16"/>
  <c r="LZ62" i="16"/>
  <c r="JR62" i="16"/>
  <c r="DA62" i="16"/>
  <c r="FN62" i="16"/>
  <c r="MV62" i="16"/>
  <c r="GL62" i="16"/>
  <c r="GT62" i="16"/>
  <c r="MW62" i="16"/>
  <c r="GC62" i="16"/>
  <c r="ET62" i="16"/>
  <c r="IU62" i="16"/>
  <c r="AF177" i="16"/>
  <c r="Z177" i="16"/>
  <c r="EB86" i="16"/>
  <c r="NX86" i="16"/>
  <c r="DS86" i="16"/>
  <c r="FJ84" i="16"/>
  <c r="HJ84" i="16"/>
  <c r="FS84" i="16"/>
  <c r="DF84" i="16"/>
  <c r="NU84" i="16"/>
  <c r="HB84" i="16"/>
  <c r="EJ86" i="16"/>
  <c r="AH177" i="16"/>
  <c r="R177" i="16"/>
  <c r="JJ84" i="16"/>
  <c r="OO84" i="16"/>
  <c r="IX84" i="16"/>
  <c r="KW84" i="16"/>
  <c r="EG84" i="16"/>
  <c r="FX86" i="16"/>
  <c r="EN84" i="16"/>
  <c r="OI84" i="16"/>
  <c r="IN84" i="16"/>
  <c r="NS84" i="16"/>
  <c r="NI84" i="16"/>
  <c r="KJ84" i="16"/>
  <c r="JC84" i="16"/>
  <c r="OG84" i="16"/>
  <c r="KX84" i="16"/>
  <c r="OK84" i="16"/>
  <c r="CV86" i="16"/>
  <c r="Y179" i="16"/>
  <c r="AO179" i="16"/>
  <c r="MC86" i="16"/>
  <c r="T177" i="16"/>
  <c r="AK179" i="16"/>
  <c r="AB177" i="16"/>
  <c r="LY86" i="16"/>
  <c r="S179" i="16"/>
  <c r="AI179" i="16"/>
  <c r="JH86" i="16"/>
  <c r="HJ86" i="16"/>
  <c r="CG86" i="16"/>
  <c r="DE86" i="16"/>
  <c r="V179" i="16"/>
  <c r="AD179" i="16"/>
  <c r="AJ179" i="16"/>
  <c r="AP179" i="16"/>
  <c r="X179" i="16"/>
  <c r="AG179" i="16"/>
  <c r="R179" i="16"/>
  <c r="Q179" i="16"/>
  <c r="N179" i="16"/>
  <c r="AE179" i="16"/>
  <c r="M176" i="16"/>
  <c r="AQ176" i="16"/>
  <c r="CW86" i="16"/>
  <c r="FI86" i="16"/>
  <c r="T179" i="16"/>
  <c r="LA86" i="16"/>
  <c r="DK86" i="16"/>
  <c r="JG86" i="16"/>
  <c r="MA86" i="16"/>
  <c r="LF87" i="16"/>
  <c r="DF87" i="16"/>
  <c r="J195" i="16"/>
  <c r="LE87" i="16"/>
  <c r="LW86" i="16"/>
  <c r="HR86" i="16"/>
  <c r="U88" i="16"/>
  <c r="U98" i="16" s="1"/>
  <c r="MH84" i="16"/>
  <c r="IO84" i="16"/>
  <c r="FI84" i="16"/>
  <c r="CA84" i="16"/>
  <c r="HY84" i="16"/>
  <c r="V177" i="16"/>
  <c r="NZ87" i="16"/>
  <c r="FJ87" i="16"/>
  <c r="BZ87" i="16"/>
  <c r="OG87" i="16"/>
  <c r="IK87" i="16"/>
  <c r="CO87" i="16"/>
  <c r="IZ87" i="16"/>
  <c r="KF85" i="16"/>
  <c r="JX85" i="16"/>
  <c r="HT85" i="16"/>
  <c r="HL85" i="16"/>
  <c r="FH85" i="16"/>
  <c r="EZ85" i="16"/>
  <c r="CV85" i="16"/>
  <c r="CN85" i="16"/>
  <c r="Q193" i="16" s="1"/>
  <c r="GE86" i="16"/>
  <c r="AV84" i="16"/>
  <c r="BQ84" i="16"/>
  <c r="FV84" i="16"/>
  <c r="LZ84" i="16"/>
  <c r="JW87" i="16"/>
  <c r="HK87" i="16"/>
  <c r="FO87" i="16"/>
  <c r="CU87" i="16"/>
  <c r="BG87" i="16"/>
  <c r="OG86" i="16"/>
  <c r="CZ86" i="16"/>
  <c r="LC86" i="16"/>
  <c r="EX84" i="16"/>
  <c r="LU84" i="16"/>
  <c r="FZ84" i="16"/>
  <c r="FB84" i="16"/>
  <c r="P179" i="16"/>
  <c r="AF179" i="16"/>
  <c r="AQ179" i="16"/>
  <c r="DD86" i="16"/>
  <c r="GK86" i="16"/>
  <c r="FF86" i="16"/>
  <c r="JL84" i="16"/>
  <c r="EC84" i="16"/>
  <c r="ID84" i="16"/>
  <c r="DM84" i="16"/>
  <c r="KT84" i="16"/>
  <c r="KF86" i="16"/>
  <c r="GL86" i="16"/>
  <c r="NV87" i="16"/>
  <c r="CT87" i="16"/>
  <c r="KS87" i="16"/>
  <c r="IG87" i="16"/>
  <c r="FU87" i="16"/>
  <c r="CF86" i="16"/>
  <c r="AQ158" i="16"/>
  <c r="OL84" i="16"/>
  <c r="CX84" i="16"/>
  <c r="KZ84" i="16"/>
  <c r="EL84" i="16"/>
  <c r="HQ84" i="16"/>
  <c r="DN87" i="16"/>
  <c r="NE87" i="16"/>
  <c r="DI87" i="16"/>
  <c r="AW87" i="16"/>
  <c r="KZ87" i="16"/>
  <c r="DU86" i="16"/>
  <c r="JU84" i="16"/>
  <c r="ET84" i="16"/>
  <c r="FY84" i="16"/>
  <c r="DJ84" i="16"/>
  <c r="LO84" i="16"/>
  <c r="AQ218" i="16"/>
  <c r="AQ219" i="16" s="1"/>
  <c r="GN85" i="16"/>
  <c r="EB85" i="16"/>
  <c r="BP85" i="16"/>
  <c r="DZ86" i="16"/>
  <c r="L188" i="16"/>
  <c r="HG84" i="16"/>
  <c r="HZ84" i="16"/>
  <c r="IZ85" i="16"/>
  <c r="AE88" i="16"/>
  <c r="AE98" i="16" s="1"/>
  <c r="HK86" i="16"/>
  <c r="OK87" i="16"/>
  <c r="LY87" i="16"/>
  <c r="JM87" i="16"/>
  <c r="HA87" i="16"/>
  <c r="EO87" i="16"/>
  <c r="CC87" i="16"/>
  <c r="KN86" i="16"/>
  <c r="NQ86" i="16"/>
  <c r="EK86" i="16"/>
  <c r="IQ86" i="16"/>
  <c r="FK84" i="16"/>
  <c r="P177" i="16"/>
  <c r="C23" i="4"/>
  <c r="C24" i="4"/>
  <c r="FN86" i="16"/>
  <c r="CO86" i="16"/>
  <c r="W88" i="16"/>
  <c r="W98" i="16" s="1"/>
  <c r="IC86" i="16"/>
  <c r="BG86" i="16"/>
  <c r="EV84" i="16"/>
  <c r="HE86" i="16"/>
  <c r="KP84" i="16"/>
  <c r="MR86" i="16"/>
  <c r="KJ86" i="16"/>
  <c r="IR86" i="16"/>
  <c r="OF86" i="16"/>
  <c r="KH84" i="16"/>
  <c r="Q176" i="16"/>
  <c r="AA179" i="16"/>
  <c r="AJ218" i="16"/>
  <c r="AJ219" i="16" s="1"/>
  <c r="AG176" i="16"/>
  <c r="I129" i="16"/>
  <c r="AM218" i="16"/>
  <c r="AM219" i="16" s="1"/>
  <c r="L219" i="16"/>
  <c r="GC84" i="16"/>
  <c r="KC84" i="16"/>
  <c r="CP84" i="16"/>
  <c r="HW84" i="16"/>
  <c r="NP86" i="16"/>
  <c r="MB86" i="16"/>
  <c r="NZ84" i="16"/>
  <c r="GK84" i="16"/>
  <c r="AW84" i="16"/>
  <c r="L195" i="16"/>
  <c r="DM86" i="16"/>
  <c r="LW84" i="16"/>
  <c r="CT84" i="16"/>
  <c r="DN84" i="16"/>
  <c r="AF176" i="16"/>
  <c r="IJ86" i="16"/>
  <c r="HV84" i="16"/>
  <c r="IE84" i="16"/>
  <c r="EW84" i="16"/>
  <c r="MF84" i="16"/>
  <c r="IW84" i="16"/>
  <c r="MX84" i="16"/>
  <c r="GQ84" i="16"/>
  <c r="FE86" i="16"/>
  <c r="V176" i="16"/>
  <c r="HU84" i="16"/>
  <c r="CR84" i="16"/>
  <c r="HE84" i="16"/>
  <c r="JM84" i="16"/>
  <c r="AZ86" i="16"/>
  <c r="L193" i="16"/>
  <c r="MT84" i="16"/>
  <c r="EU84" i="16"/>
  <c r="JW86" i="16"/>
  <c r="EK84" i="16"/>
  <c r="DA84" i="16"/>
  <c r="CC84" i="16"/>
  <c r="AC88" i="16"/>
  <c r="AC98" i="16" s="1"/>
  <c r="AK218" i="16"/>
  <c r="AK219" i="16" s="1"/>
  <c r="AI218" i="16"/>
  <c r="AI219" i="16" s="1"/>
  <c r="KG86" i="16"/>
  <c r="ES86" i="16"/>
  <c r="IO86" i="16"/>
  <c r="KP86" i="16"/>
  <c r="HH86" i="16"/>
  <c r="HM86" i="16"/>
  <c r="BW86" i="16"/>
  <c r="BX86" i="16"/>
  <c r="AN176" i="16"/>
  <c r="AL218" i="16"/>
  <c r="AL219" i="16" s="1"/>
  <c r="AH218" i="16"/>
  <c r="AH219" i="16" s="1"/>
  <c r="AN218" i="16"/>
  <c r="AN219" i="16" s="1"/>
  <c r="NI86" i="16"/>
  <c r="AA176" i="16"/>
  <c r="AP176" i="16"/>
  <c r="W176" i="16"/>
  <c r="AC176" i="16"/>
  <c r="AP218" i="16"/>
  <c r="AP219" i="16" s="1"/>
  <c r="AI176" i="16"/>
  <c r="AL176" i="16"/>
  <c r="AB176" i="16"/>
  <c r="AO218" i="16"/>
  <c r="AO219" i="16" s="1"/>
  <c r="AM88" i="16"/>
  <c r="AM98" i="16" s="1"/>
  <c r="DB84" i="16"/>
  <c r="OC84" i="16"/>
  <c r="HO84" i="16"/>
  <c r="I128" i="16"/>
  <c r="NH86" i="16"/>
  <c r="BM86" i="16"/>
  <c r="EM84" i="16"/>
  <c r="LV84" i="16"/>
  <c r="GN86" i="16"/>
  <c r="BP86" i="16"/>
  <c r="AM176" i="16"/>
  <c r="HI84" i="16"/>
  <c r="FN84" i="16"/>
  <c r="CH84" i="16"/>
  <c r="HT86" i="16"/>
  <c r="MZ84" i="16"/>
  <c r="GY84" i="16"/>
  <c r="KY84" i="16"/>
  <c r="MW84" i="16"/>
  <c r="IS84" i="16"/>
  <c r="R176" i="16"/>
  <c r="DR84" i="16"/>
  <c r="GD84" i="16"/>
  <c r="NV84" i="16"/>
  <c r="MM84" i="16"/>
  <c r="FA84" i="16"/>
  <c r="DL86" i="16"/>
  <c r="AF218" i="16"/>
  <c r="S176" i="16"/>
  <c r="LX84" i="16"/>
  <c r="KD84" i="16"/>
  <c r="GW84" i="16"/>
  <c r="IH84" i="16"/>
  <c r="BD86" i="16"/>
  <c r="AO176" i="16"/>
  <c r="P176" i="16"/>
  <c r="GL84" i="16"/>
  <c r="OA84" i="16"/>
  <c r="KV86" i="16"/>
  <c r="GV86" i="16"/>
  <c r="AL88" i="16"/>
  <c r="AL98" i="16" s="1"/>
  <c r="JM86" i="16"/>
  <c r="V88" i="16"/>
  <c r="V98" i="16" s="1"/>
  <c r="MK86" i="16"/>
  <c r="LL86" i="16"/>
  <c r="M88" i="16"/>
  <c r="M98" i="16" s="1"/>
  <c r="MH86" i="16"/>
  <c r="JB86" i="16"/>
  <c r="BJ86" i="16"/>
  <c r="Q88" i="16"/>
  <c r="Q98" i="16" s="1"/>
  <c r="ML86" i="16"/>
  <c r="LN86" i="16"/>
  <c r="MZ86" i="16"/>
  <c r="EX86" i="16"/>
  <c r="HO86" i="16"/>
  <c r="AE158" i="16"/>
  <c r="CY86" i="16"/>
  <c r="BK86" i="16"/>
  <c r="GS86" i="16"/>
  <c r="NF86" i="16"/>
  <c r="K192" i="16"/>
  <c r="J193" i="16"/>
  <c r="FV86" i="16"/>
  <c r="IT86" i="16"/>
  <c r="W218" i="16"/>
  <c r="W219" i="16" s="1"/>
  <c r="AV86" i="16"/>
  <c r="HA86" i="16"/>
  <c r="I136" i="16"/>
  <c r="LS86" i="16"/>
  <c r="IM86" i="16"/>
  <c r="EW86" i="16"/>
  <c r="OM86" i="16"/>
  <c r="HY86" i="16"/>
  <c r="EG86" i="16"/>
  <c r="OL86" i="16"/>
  <c r="GQ86" i="16"/>
  <c r="CR86" i="16"/>
  <c r="DP86" i="16"/>
  <c r="CP86" i="16"/>
  <c r="AO88" i="16"/>
  <c r="AO98" i="16" s="1"/>
  <c r="S218" i="16"/>
  <c r="S219" i="16" s="1"/>
  <c r="HG86" i="16"/>
  <c r="BR86" i="16"/>
  <c r="K125" i="16"/>
  <c r="JN86" i="16"/>
  <c r="GD86" i="16"/>
  <c r="IG86" i="16"/>
  <c r="AD88" i="16"/>
  <c r="AD98" i="16" s="1"/>
  <c r="R178" i="16"/>
  <c r="N88" i="16"/>
  <c r="N98" i="16" s="1"/>
  <c r="ND86" i="16"/>
  <c r="O218" i="16"/>
  <c r="O219" i="16" s="1"/>
  <c r="AE218" i="16"/>
  <c r="AE219" i="16" s="1"/>
  <c r="KZ86" i="16"/>
  <c r="DJ86" i="16"/>
  <c r="AF178" i="16"/>
  <c r="NW86" i="16"/>
  <c r="MG86" i="16"/>
  <c r="NK86" i="16"/>
  <c r="JR86" i="16"/>
  <c r="MW86" i="16"/>
  <c r="JO86" i="16"/>
  <c r="J194" i="16"/>
  <c r="GX86" i="16"/>
  <c r="MY86" i="16"/>
  <c r="CK86" i="16"/>
  <c r="MM86" i="16"/>
  <c r="FT86" i="16"/>
  <c r="FS86" i="16"/>
  <c r="NE86" i="16"/>
  <c r="FC86" i="16"/>
  <c r="Q218" i="16"/>
  <c r="Q219" i="16" s="1"/>
  <c r="AG218" i="16"/>
  <c r="AG219" i="16" s="1"/>
  <c r="D13" i="9"/>
  <c r="Y218" i="16"/>
  <c r="Y219" i="16" s="1"/>
  <c r="MF86" i="16"/>
  <c r="K131" i="16"/>
  <c r="Q158" i="16"/>
  <c r="P158" i="16"/>
  <c r="AL158" i="16"/>
  <c r="AC178" i="16"/>
  <c r="EI86" i="16"/>
  <c r="I133" i="16"/>
  <c r="Z178" i="16"/>
  <c r="N218" i="16"/>
  <c r="N219" i="16" s="1"/>
  <c r="AD218" i="16"/>
  <c r="AD219" i="16" s="1"/>
  <c r="AP158" i="16"/>
  <c r="KO84" i="16"/>
  <c r="LH84" i="16"/>
  <c r="O184" i="16"/>
  <c r="JE84" i="16"/>
  <c r="JD84" i="16"/>
  <c r="IT84" i="16"/>
  <c r="BJ84" i="16"/>
  <c r="AS88" i="16"/>
  <c r="AS98" i="16" s="1"/>
  <c r="GY86" i="16"/>
  <c r="EM86" i="16"/>
  <c r="HB86" i="16"/>
  <c r="JC86" i="16"/>
  <c r="FO86" i="16"/>
  <c r="JV86" i="16"/>
  <c r="K135" i="16"/>
  <c r="AJ176" i="16"/>
  <c r="N158" i="16"/>
  <c r="Z176" i="16"/>
  <c r="AB158" i="16"/>
  <c r="BE86" i="16"/>
  <c r="U218" i="16"/>
  <c r="U219" i="16" s="1"/>
  <c r="N176" i="16"/>
  <c r="L126" i="16"/>
  <c r="GU86" i="16"/>
  <c r="GI86" i="16"/>
  <c r="Q186" i="16"/>
  <c r="CI86" i="16"/>
  <c r="EP86" i="16"/>
  <c r="AN88" i="16"/>
  <c r="AN98" i="16" s="1"/>
  <c r="AN178" i="16"/>
  <c r="AP178" i="16"/>
  <c r="AA218" i="16"/>
  <c r="AA219" i="16" s="1"/>
  <c r="AH158" i="16"/>
  <c r="AD178" i="16"/>
  <c r="DQ86" i="16"/>
  <c r="LO86" i="16"/>
  <c r="IF86" i="16"/>
  <c r="GH86" i="16"/>
  <c r="AD176" i="16"/>
  <c r="Y158" i="16"/>
  <c r="I127" i="16"/>
  <c r="KQ86" i="16"/>
  <c r="AL178" i="16"/>
  <c r="FW86" i="16"/>
  <c r="ME86" i="16"/>
  <c r="LR86" i="16"/>
  <c r="EV86" i="16"/>
  <c r="AW86" i="16"/>
  <c r="LQ86" i="16"/>
  <c r="II86" i="16"/>
  <c r="EU86" i="16"/>
  <c r="IH86" i="16"/>
  <c r="EQ86" i="16"/>
  <c r="KI86" i="16"/>
  <c r="DC86" i="16"/>
  <c r="LB86" i="16"/>
  <c r="HV86" i="16"/>
  <c r="FZ86" i="16"/>
  <c r="M178" i="16"/>
  <c r="AC218" i="16"/>
  <c r="AC219" i="16" s="1"/>
  <c r="T176" i="16"/>
  <c r="AD158" i="16"/>
  <c r="K126" i="16"/>
  <c r="L125" i="16"/>
  <c r="O176" i="16"/>
  <c r="BL84" i="16"/>
  <c r="Y166" i="16"/>
  <c r="Y170" i="16" s="1"/>
  <c r="U166" i="16"/>
  <c r="U170" i="16" s="1"/>
  <c r="AN166" i="16"/>
  <c r="AN170" i="16" s="1"/>
  <c r="V158" i="16"/>
  <c r="AH178" i="16"/>
  <c r="L201" i="16"/>
  <c r="NL86" i="16"/>
  <c r="AO186" i="16"/>
  <c r="JS86" i="16"/>
  <c r="GJ86" i="16"/>
  <c r="AM186" i="16"/>
  <c r="JF86" i="16"/>
  <c r="FU86" i="16"/>
  <c r="BV86" i="16"/>
  <c r="JE86" i="16"/>
  <c r="BU86" i="16"/>
  <c r="JD86" i="16"/>
  <c r="BT86" i="16"/>
  <c r="HW86" i="16"/>
  <c r="EE86" i="16"/>
  <c r="LX86" i="16"/>
  <c r="IP86" i="16"/>
  <c r="DN86" i="16"/>
  <c r="AT86" i="16"/>
  <c r="M186" i="16"/>
  <c r="AJ178" i="16"/>
  <c r="J88" i="16"/>
  <c r="J98" i="16" s="1"/>
  <c r="J191" i="16"/>
  <c r="AP88" i="16"/>
  <c r="AP98" i="16" s="1"/>
  <c r="AI88" i="16"/>
  <c r="AI98" i="16" s="1"/>
  <c r="AB88" i="16"/>
  <c r="L191" i="16"/>
  <c r="S166" i="16"/>
  <c r="S170" i="16" s="1"/>
  <c r="AH176" i="16"/>
  <c r="KF84" i="16"/>
  <c r="AE166" i="16"/>
  <c r="AE170" i="16" s="1"/>
  <c r="Z166" i="16"/>
  <c r="Z170" i="16" s="1"/>
  <c r="T218" i="16"/>
  <c r="T219" i="16" s="1"/>
  <c r="K188" i="16"/>
  <c r="DH84" i="16"/>
  <c r="S184" i="16"/>
  <c r="KR84" i="16"/>
  <c r="AI184" i="16"/>
  <c r="CW84" i="16"/>
  <c r="R184" i="16"/>
  <c r="NL84" i="16"/>
  <c r="AO184" i="16"/>
  <c r="DO84" i="16"/>
  <c r="EH84" i="16"/>
  <c r="MC84" i="16"/>
  <c r="AL184" i="16"/>
  <c r="IU84" i="16"/>
  <c r="HX84" i="16"/>
  <c r="AC184" i="16"/>
  <c r="LE84" i="16"/>
  <c r="AJ184" i="16"/>
  <c r="L192" i="16"/>
  <c r="AG166" i="16"/>
  <c r="AG170" i="16" s="1"/>
  <c r="R158" i="16"/>
  <c r="AJ158" i="16"/>
  <c r="AN158" i="16"/>
  <c r="CE86" i="16"/>
  <c r="DV86" i="16"/>
  <c r="T186" i="16"/>
  <c r="N178" i="16"/>
  <c r="V166" i="16"/>
  <c r="V170" i="16" s="1"/>
  <c r="GP84" i="16"/>
  <c r="GO84" i="16"/>
  <c r="Z184" i="16"/>
  <c r="AT84" i="16"/>
  <c r="M184" i="16"/>
  <c r="D29" i="9"/>
  <c r="D12" i="9"/>
  <c r="AE178" i="16"/>
  <c r="AA166" i="16"/>
  <c r="AA170" i="16" s="1"/>
  <c r="U178" i="16"/>
  <c r="AQ178" i="16"/>
  <c r="OJ86" i="16"/>
  <c r="HI86" i="16"/>
  <c r="MQ86" i="16"/>
  <c r="FM86" i="16"/>
  <c r="BC86" i="16"/>
  <c r="NB86" i="16"/>
  <c r="AN186" i="16"/>
  <c r="AG186" i="16"/>
  <c r="CL86" i="16"/>
  <c r="MD86" i="16"/>
  <c r="AL186" i="16"/>
  <c r="IV86" i="16"/>
  <c r="AE186" i="16"/>
  <c r="FG86" i="16"/>
  <c r="LZ86" i="16"/>
  <c r="BF86" i="16"/>
  <c r="KS86" i="16"/>
  <c r="EO86" i="16"/>
  <c r="DF86" i="16"/>
  <c r="GP86" i="16"/>
  <c r="Z186" i="16"/>
  <c r="P166" i="16"/>
  <c r="P170" i="16" s="1"/>
  <c r="K180" i="16"/>
  <c r="W178" i="16"/>
  <c r="FD86" i="16"/>
  <c r="AB166" i="16"/>
  <c r="AB170" i="16" s="1"/>
  <c r="K194" i="16"/>
  <c r="L180" i="16"/>
  <c r="AO178" i="16"/>
  <c r="H11" i="19"/>
  <c r="I12" i="19"/>
  <c r="H15" i="19"/>
  <c r="H16" i="19"/>
  <c r="U158" i="16"/>
  <c r="Z218" i="16"/>
  <c r="Z219" i="16" s="1"/>
  <c r="AC166" i="16"/>
  <c r="AC170" i="16" s="1"/>
  <c r="AK166" i="16"/>
  <c r="AK170" i="16" s="1"/>
  <c r="JT84" i="16"/>
  <c r="AG184" i="16"/>
  <c r="DX84" i="16"/>
  <c r="IK84" i="16"/>
  <c r="AD184" i="16"/>
  <c r="BU84" i="16"/>
  <c r="BT84" i="16"/>
  <c r="HM84" i="16"/>
  <c r="AB184" i="16"/>
  <c r="R166" i="16"/>
  <c r="R170" i="16" s="1"/>
  <c r="K193" i="16"/>
  <c r="Y176" i="16"/>
  <c r="S158" i="16"/>
  <c r="AO158" i="16"/>
  <c r="K132" i="16"/>
  <c r="W166" i="16"/>
  <c r="W170" i="16" s="1"/>
  <c r="AE176" i="16"/>
  <c r="IV84" i="16"/>
  <c r="AK176" i="16"/>
  <c r="LP84" i="16"/>
  <c r="P218" i="16"/>
  <c r="P219" i="16" s="1"/>
  <c r="X88" i="16"/>
  <c r="X98" i="16" s="1"/>
  <c r="AG158" i="16"/>
  <c r="LN84" i="16"/>
  <c r="ED84" i="16"/>
  <c r="MP84" i="16"/>
  <c r="GB84" i="16"/>
  <c r="Y184" i="16"/>
  <c r="JI84" i="16"/>
  <c r="AF184" i="16"/>
  <c r="GA84" i="16"/>
  <c r="GT84" i="16"/>
  <c r="ES84" i="16"/>
  <c r="V184" i="16"/>
  <c r="BK84" i="16"/>
  <c r="GR84" i="16"/>
  <c r="GH84" i="16"/>
  <c r="NQ84" i="16"/>
  <c r="DU84" i="16"/>
  <c r="T184" i="16"/>
  <c r="AC158" i="16"/>
  <c r="X158" i="16"/>
  <c r="AF158" i="16"/>
  <c r="X178" i="16"/>
  <c r="FP86" i="16"/>
  <c r="DO86" i="16"/>
  <c r="BL86" i="16"/>
  <c r="O186" i="16"/>
  <c r="IL86" i="16"/>
  <c r="AD186" i="16"/>
  <c r="AU86" i="16"/>
  <c r="P88" i="16"/>
  <c r="K191" i="16"/>
  <c r="S178" i="16"/>
  <c r="T166" i="16"/>
  <c r="T170" i="16" s="1"/>
  <c r="NC86" i="16"/>
  <c r="LK86" i="16"/>
  <c r="AX86" i="16"/>
  <c r="LH86" i="16"/>
  <c r="EH86" i="16"/>
  <c r="LG86" i="16"/>
  <c r="LF86" i="16"/>
  <c r="AJ186" i="16"/>
  <c r="HX86" i="16"/>
  <c r="AC186" i="16"/>
  <c r="EF86" i="16"/>
  <c r="U186" i="16"/>
  <c r="OA86" i="16"/>
  <c r="NZ86" i="16"/>
  <c r="AP186" i="16"/>
  <c r="KR86" i="16"/>
  <c r="AI186" i="16"/>
  <c r="FJ86" i="16"/>
  <c r="FB86" i="16"/>
  <c r="AG88" i="16"/>
  <c r="AG98" i="16" s="1"/>
  <c r="K88" i="16"/>
  <c r="K98" i="16" s="1"/>
  <c r="AQ88" i="16"/>
  <c r="AQ98" i="16" s="1"/>
  <c r="L88" i="16"/>
  <c r="L98" i="16" s="1"/>
  <c r="AJ88" i="16"/>
  <c r="AJ98" i="16" s="1"/>
  <c r="V218" i="16"/>
  <c r="V219" i="16" s="1"/>
  <c r="AL166" i="16"/>
  <c r="AL170" i="16" s="1"/>
  <c r="JB84" i="16"/>
  <c r="GZ84" i="16"/>
  <c r="AA184" i="16"/>
  <c r="CJ84" i="16"/>
  <c r="Q192" i="16" s="1"/>
  <c r="Q184" i="16"/>
  <c r="NA84" i="16"/>
  <c r="AN192" i="16" s="1"/>
  <c r="AN184" i="16"/>
  <c r="FQ84" i="16"/>
  <c r="X184" i="16"/>
  <c r="GJ84" i="16"/>
  <c r="BA84" i="16"/>
  <c r="N184" i="16"/>
  <c r="O166" i="16"/>
  <c r="O170" i="16" s="1"/>
  <c r="X166" i="16"/>
  <c r="X170" i="16" s="1"/>
  <c r="L132" i="16"/>
  <c r="K134" i="16"/>
  <c r="AG178" i="16"/>
  <c r="JT86" i="16"/>
  <c r="U176" i="16"/>
  <c r="EF84" i="16"/>
  <c r="AK88" i="16"/>
  <c r="AK98" i="16" s="1"/>
  <c r="AQ186" i="16"/>
  <c r="FR86" i="16"/>
  <c r="X186" i="16"/>
  <c r="R88" i="16"/>
  <c r="R98" i="16" s="1"/>
  <c r="K201" i="16"/>
  <c r="D19" i="9"/>
  <c r="AK178" i="16"/>
  <c r="LP86" i="16"/>
  <c r="CB86" i="16"/>
  <c r="JU86" i="16"/>
  <c r="HS86" i="16"/>
  <c r="NM86" i="16"/>
  <c r="IE86" i="16"/>
  <c r="LV86" i="16"/>
  <c r="IN86" i="16"/>
  <c r="AY86" i="16"/>
  <c r="OD86" i="16"/>
  <c r="KX86" i="16"/>
  <c r="HP86" i="16"/>
  <c r="DW86" i="16"/>
  <c r="OB86" i="16"/>
  <c r="KT86" i="16"/>
  <c r="HN86" i="16"/>
  <c r="AB186" i="16"/>
  <c r="DR86" i="16"/>
  <c r="GC86" i="16"/>
  <c r="CD86" i="16"/>
  <c r="NN86" i="16"/>
  <c r="KH86" i="16"/>
  <c r="AH186" i="16"/>
  <c r="GZ86" i="16"/>
  <c r="AA186" i="16"/>
  <c r="ET86" i="16"/>
  <c r="V186" i="16"/>
  <c r="CH86" i="16"/>
  <c r="BB86" i="16"/>
  <c r="N186" i="16"/>
  <c r="AF88" i="16"/>
  <c r="AF98" i="16" s="1"/>
  <c r="Q178" i="16"/>
  <c r="CJ86" i="16"/>
  <c r="AM178" i="16"/>
  <c r="MN86" i="16"/>
  <c r="Z88" i="16"/>
  <c r="Z98" i="16" s="1"/>
  <c r="P178" i="16"/>
  <c r="AO166" i="16"/>
  <c r="AO170" i="16" s="1"/>
  <c r="O158" i="16"/>
  <c r="AP166" i="16"/>
  <c r="AP170" i="16" s="1"/>
  <c r="AB218" i="16"/>
  <c r="AB219" i="16" s="1"/>
  <c r="Q166" i="16"/>
  <c r="Q170" i="16" s="1"/>
  <c r="OJ84" i="16"/>
  <c r="AQ184" i="16"/>
  <c r="IM84" i="16"/>
  <c r="BY84" i="16"/>
  <c r="P184" i="16"/>
  <c r="AM184" i="16"/>
  <c r="MN84" i="16"/>
  <c r="DW84" i="16"/>
  <c r="AK184" i="16"/>
  <c r="LF84" i="16"/>
  <c r="U184" i="16"/>
  <c r="Z158" i="16"/>
  <c r="F14" i="9"/>
  <c r="E14" i="9" s="1"/>
  <c r="E15" i="9" s="1"/>
  <c r="AK186" i="16"/>
  <c r="CX86" i="16"/>
  <c r="R186" i="16"/>
  <c r="V178" i="16"/>
  <c r="AB178" i="16"/>
  <c r="HL86" i="16"/>
  <c r="KE86" i="16"/>
  <c r="EN86" i="16"/>
  <c r="ID86" i="16"/>
  <c r="KY86" i="16"/>
  <c r="DX86" i="16"/>
  <c r="NT86" i="16"/>
  <c r="HF86" i="16"/>
  <c r="DI86" i="16"/>
  <c r="NS86" i="16"/>
  <c r="KK86" i="16"/>
  <c r="HC86" i="16"/>
  <c r="DH86" i="16"/>
  <c r="S186" i="16"/>
  <c r="NR86" i="16"/>
  <c r="DG86" i="16"/>
  <c r="MU86" i="16"/>
  <c r="BS86" i="16"/>
  <c r="CQ86" i="16"/>
  <c r="EL86" i="16"/>
  <c r="BZ86" i="16"/>
  <c r="P186" i="16"/>
  <c r="AF166" i="16"/>
  <c r="AF170" i="16" s="1"/>
  <c r="T178" i="16"/>
  <c r="DT86" i="16"/>
  <c r="AH88" i="16"/>
  <c r="AH98" i="16" s="1"/>
  <c r="S88" i="16"/>
  <c r="S98" i="16" s="1"/>
  <c r="AI178" i="16"/>
  <c r="T88" i="16"/>
  <c r="T98" i="16" s="1"/>
  <c r="AR88" i="16"/>
  <c r="AR98" i="16" s="1"/>
  <c r="AK158" i="16"/>
  <c r="R218" i="16"/>
  <c r="R219" i="16" s="1"/>
  <c r="AA158" i="16"/>
  <c r="BR84" i="16"/>
  <c r="NY84" i="16"/>
  <c r="AP184" i="16"/>
  <c r="AE184" i="16"/>
  <c r="GS84" i="16"/>
  <c r="EP84" i="16"/>
  <c r="Y88" i="16"/>
  <c r="Y98" i="16" s="1"/>
  <c r="ER86" i="16"/>
  <c r="AH166" i="16"/>
  <c r="AH170" i="16" s="1"/>
  <c r="AI158" i="16"/>
  <c r="L134" i="16"/>
  <c r="AM158" i="16"/>
  <c r="AJ166" i="16"/>
  <c r="AJ170" i="16" s="1"/>
  <c r="JK86" i="16"/>
  <c r="DA86" i="16"/>
  <c r="JJ86" i="16"/>
  <c r="AF186" i="16"/>
  <c r="FK86" i="16"/>
  <c r="N166" i="16"/>
  <c r="N170" i="16" s="1"/>
  <c r="F28" i="9"/>
  <c r="F9" i="9"/>
  <c r="O178" i="16"/>
  <c r="AQ166" i="16"/>
  <c r="AQ170" i="16" s="1"/>
  <c r="L194" i="16"/>
  <c r="AA178" i="16"/>
  <c r="GA86" i="16"/>
  <c r="OH86" i="16"/>
  <c r="NJ86" i="16"/>
  <c r="KB86" i="16"/>
  <c r="GT86" i="16"/>
  <c r="CU86" i="16"/>
  <c r="KA86" i="16"/>
  <c r="JZ86" i="16"/>
  <c r="GR86" i="16"/>
  <c r="CS86" i="16"/>
  <c r="W186" i="16"/>
  <c r="MT86" i="16"/>
  <c r="JL86" i="16"/>
  <c r="GB86" i="16"/>
  <c r="Y186" i="16"/>
  <c r="CC86" i="16"/>
  <c r="ED86" i="16"/>
  <c r="L135" i="16"/>
  <c r="AA88" i="16"/>
  <c r="AA98" i="16" s="1"/>
  <c r="Y178" i="16"/>
  <c r="AF219" i="16"/>
  <c r="AD166" i="16"/>
  <c r="AD170" i="16" s="1"/>
  <c r="AM166" i="16"/>
  <c r="AM170" i="16" s="1"/>
  <c r="LD86" i="16"/>
  <c r="AI166" i="16"/>
  <c r="AI170" i="16" s="1"/>
  <c r="L131" i="16"/>
  <c r="I131" i="16" s="1"/>
  <c r="X218" i="16"/>
  <c r="X219" i="16" s="1"/>
  <c r="J192" i="16"/>
  <c r="K195" i="16"/>
  <c r="KG84" i="16"/>
  <c r="AH184" i="16"/>
  <c r="BC84" i="16"/>
  <c r="FD84" i="16"/>
  <c r="W192" i="16" s="1"/>
  <c r="W184" i="16"/>
  <c r="BV84" i="16"/>
  <c r="GI84" i="16"/>
  <c r="DV84" i="16"/>
  <c r="CD84" i="16"/>
  <c r="W158" i="16"/>
  <c r="K23" i="17"/>
  <c r="J22" i="17"/>
  <c r="M158" i="16"/>
  <c r="T158" i="16"/>
  <c r="AK187" i="16"/>
  <c r="AA195" i="16"/>
  <c r="U195" i="16"/>
  <c r="P193" i="16"/>
  <c r="AP185" i="16"/>
  <c r="AJ185" i="16"/>
  <c r="AH185" i="16"/>
  <c r="AF185" i="16"/>
  <c r="AD185" i="16"/>
  <c r="AB193" i="16"/>
  <c r="AL185" i="16"/>
  <c r="X193" i="16"/>
  <c r="JH85" i="16"/>
  <c r="AF193" i="16" s="1"/>
  <c r="R193" i="16"/>
  <c r="AH193" i="16"/>
  <c r="LP87" i="16"/>
  <c r="AN185" i="16"/>
  <c r="AE187" i="16"/>
  <c r="Q195" i="16"/>
  <c r="AQ193" i="16"/>
  <c r="AM193" i="16"/>
  <c r="AI193" i="16"/>
  <c r="O195" i="16"/>
  <c r="NX87" i="16"/>
  <c r="AP195" i="16" s="1"/>
  <c r="AP187" i="16"/>
  <c r="LD87" i="16"/>
  <c r="AJ195" i="16" s="1"/>
  <c r="AJ187" i="16"/>
  <c r="N193" i="16"/>
  <c r="IJ85" i="16"/>
  <c r="AD193" i="16" s="1"/>
  <c r="M193" i="16"/>
  <c r="AA193" i="16"/>
  <c r="U193" i="16"/>
  <c r="MB87" i="16"/>
  <c r="AL195" i="16" s="1"/>
  <c r="AL187" i="16"/>
  <c r="IJ87" i="16"/>
  <c r="AD195" i="16" s="1"/>
  <c r="AD187" i="16"/>
  <c r="AG193" i="16"/>
  <c r="AK193" i="16"/>
  <c r="JH87" i="16"/>
  <c r="AF195" i="16" s="1"/>
  <c r="AF187" i="16"/>
  <c r="FP87" i="16"/>
  <c r="X195" i="16" s="1"/>
  <c r="X187" i="16"/>
  <c r="ER87" i="16"/>
  <c r="V195" i="16" s="1"/>
  <c r="V187" i="16"/>
  <c r="DT87" i="16"/>
  <c r="T195" i="16" s="1"/>
  <c r="T187" i="16"/>
  <c r="CV87" i="16"/>
  <c r="R195" i="16" s="1"/>
  <c r="R187" i="16"/>
  <c r="T193" i="16"/>
  <c r="LD85" i="16"/>
  <c r="AJ193" i="16" s="1"/>
  <c r="Z193" i="16"/>
  <c r="NX85" i="16"/>
  <c r="AP193" i="16" s="1"/>
  <c r="W193" i="16"/>
  <c r="Y187" i="16"/>
  <c r="S187" i="16"/>
  <c r="Q187" i="16"/>
  <c r="O187" i="16"/>
  <c r="AM185" i="16"/>
  <c r="AG185" i="16"/>
  <c r="AE185" i="16"/>
  <c r="AC185" i="16"/>
  <c r="AA185" i="16"/>
  <c r="Y185" i="16"/>
  <c r="W185" i="16"/>
  <c r="U185" i="16"/>
  <c r="S185" i="16"/>
  <c r="Q185" i="16"/>
  <c r="O185" i="16"/>
  <c r="W195" i="16"/>
  <c r="AC187" i="16"/>
  <c r="W187" i="16"/>
  <c r="AQ185" i="16"/>
  <c r="AK185" i="16"/>
  <c r="V193" i="16"/>
  <c r="MB85" i="16"/>
  <c r="AL193" i="16" s="1"/>
  <c r="HX87" i="16"/>
  <c r="AC195" i="16" s="1"/>
  <c r="S193" i="16"/>
  <c r="AC193" i="16"/>
  <c r="OJ87" i="16"/>
  <c r="AQ195" i="16" s="1"/>
  <c r="AQ187" i="16"/>
  <c r="NL87" i="16"/>
  <c r="AO195" i="16" s="1"/>
  <c r="AO187" i="16"/>
  <c r="MN87" i="16"/>
  <c r="AM195" i="16" s="1"/>
  <c r="AM187" i="16"/>
  <c r="KR87" i="16"/>
  <c r="AI187" i="16"/>
  <c r="JT87" i="16"/>
  <c r="AG195" i="16" s="1"/>
  <c r="AG187" i="16"/>
  <c r="AA187" i="16"/>
  <c r="U187" i="16"/>
  <c r="AO185" i="16"/>
  <c r="AI185" i="16"/>
  <c r="M195" i="16"/>
  <c r="DH87" i="16"/>
  <c r="S195" i="16" s="1"/>
  <c r="Y193" i="16"/>
  <c r="NL85" i="16"/>
  <c r="AO193" i="16" s="1"/>
  <c r="M187" i="16"/>
  <c r="M185" i="16"/>
  <c r="Y195" i="16"/>
  <c r="IV87" i="16"/>
  <c r="O193" i="16"/>
  <c r="AE193" i="16"/>
  <c r="I179" i="16"/>
  <c r="AN193" i="16"/>
  <c r="MZ87" i="16"/>
  <c r="AN195" i="16" s="1"/>
  <c r="AN187" i="16"/>
  <c r="KF87" i="16"/>
  <c r="AH195" i="16" s="1"/>
  <c r="AH187" i="16"/>
  <c r="HL87" i="16"/>
  <c r="AB195" i="16" s="1"/>
  <c r="AB187" i="16"/>
  <c r="GN87" i="16"/>
  <c r="Z195" i="16" s="1"/>
  <c r="Z187" i="16"/>
  <c r="BX87" i="16"/>
  <c r="P195" i="16" s="1"/>
  <c r="P187" i="16"/>
  <c r="AZ87" i="16"/>
  <c r="N195" i="16" s="1"/>
  <c r="N187" i="16"/>
  <c r="AB185" i="16"/>
  <c r="Z185" i="16"/>
  <c r="X185" i="16"/>
  <c r="V185" i="16"/>
  <c r="T185" i="16"/>
  <c r="R185" i="16"/>
  <c r="P185" i="16"/>
  <c r="N185" i="16"/>
  <c r="I81" i="2"/>
  <c r="F10" i="10" s="1"/>
  <c r="J13" i="10"/>
  <c r="I20" i="10"/>
  <c r="I27" i="10" s="1"/>
  <c r="G19" i="10"/>
  <c r="G26" i="10" s="1"/>
  <c r="H12" i="10"/>
  <c r="H14" i="10"/>
  <c r="G21" i="10"/>
  <c r="G28" i="10" s="1"/>
  <c r="J11" i="10"/>
  <c r="I18" i="10"/>
  <c r="I25" i="10" s="1"/>
  <c r="C26" i="4"/>
  <c r="D62" i="13" s="1"/>
  <c r="I83" i="2"/>
  <c r="D22" i="9"/>
  <c r="F25" i="9"/>
  <c r="E22" i="9"/>
  <c r="B63" i="2"/>
  <c r="D24" i="9"/>
  <c r="E24" i="9"/>
  <c r="C21" i="13"/>
  <c r="D21" i="13" s="1"/>
  <c r="B75" i="2"/>
  <c r="E28" i="9"/>
  <c r="D28" i="9"/>
  <c r="E9" i="9"/>
  <c r="E10" i="9" s="1"/>
  <c r="D9" i="9"/>
  <c r="D10" i="9" s="1"/>
  <c r="F10" i="9"/>
  <c r="C63" i="6"/>
  <c r="C69" i="6" s="1"/>
  <c r="B57" i="2"/>
  <c r="E27" i="9"/>
  <c r="D27" i="9"/>
  <c r="F34" i="9"/>
  <c r="E23" i="9"/>
  <c r="D23" i="9"/>
  <c r="B69" i="2"/>
  <c r="K7" i="10" l="1"/>
  <c r="H4" i="21"/>
  <c r="AF192" i="16"/>
  <c r="AA192" i="16"/>
  <c r="I125" i="16"/>
  <c r="I177" i="16"/>
  <c r="AC192" i="16"/>
  <c r="AK195" i="16"/>
  <c r="AK192" i="16"/>
  <c r="V192" i="16"/>
  <c r="AI192" i="16"/>
  <c r="AI195" i="16"/>
  <c r="M192" i="16"/>
  <c r="AE195" i="16"/>
  <c r="AQ192" i="16"/>
  <c r="AB192" i="16"/>
  <c r="X192" i="16"/>
  <c r="AG192" i="16"/>
  <c r="AP192" i="16"/>
  <c r="R192" i="16"/>
  <c r="AL192" i="16"/>
  <c r="AJ194" i="16"/>
  <c r="AQ194" i="16"/>
  <c r="Y194" i="16"/>
  <c r="AL194" i="16"/>
  <c r="S194" i="16"/>
  <c r="I176" i="16"/>
  <c r="I135" i="16"/>
  <c r="M194" i="16"/>
  <c r="R194" i="16"/>
  <c r="N194" i="16"/>
  <c r="F15" i="9"/>
  <c r="AM192" i="16"/>
  <c r="AE194" i="16"/>
  <c r="D14" i="9"/>
  <c r="D15" i="9" s="1"/>
  <c r="I184" i="16"/>
  <c r="P194" i="16"/>
  <c r="AD194" i="16"/>
  <c r="AF194" i="16"/>
  <c r="I126" i="16"/>
  <c r="I178" i="16"/>
  <c r="V194" i="16"/>
  <c r="O194" i="16"/>
  <c r="Z194" i="16"/>
  <c r="S192" i="16"/>
  <c r="O192" i="16"/>
  <c r="AM194" i="16"/>
  <c r="N192" i="16"/>
  <c r="AP194" i="16"/>
  <c r="T192" i="16"/>
  <c r="AJ192" i="16"/>
  <c r="P192" i="16"/>
  <c r="I134" i="16"/>
  <c r="X194" i="16"/>
  <c r="AE192" i="16"/>
  <c r="AD192" i="16"/>
  <c r="W194" i="16"/>
  <c r="AO192" i="16"/>
  <c r="Q194" i="16"/>
  <c r="AK194" i="16"/>
  <c r="P98" i="16"/>
  <c r="K196" i="16"/>
  <c r="K206" i="16" s="1"/>
  <c r="I186" i="16"/>
  <c r="L23" i="17"/>
  <c r="K22" i="17"/>
  <c r="AA194" i="16"/>
  <c r="U192" i="16"/>
  <c r="U194" i="16"/>
  <c r="T194" i="16"/>
  <c r="Y192" i="16"/>
  <c r="AB98" i="16"/>
  <c r="L196" i="16"/>
  <c r="L206" i="16" s="1"/>
  <c r="AO194" i="16"/>
  <c r="D5" i="6"/>
  <c r="D67" i="16" s="1"/>
  <c r="AX67" i="16" s="1"/>
  <c r="AH194" i="16"/>
  <c r="AC194" i="16"/>
  <c r="I132" i="16"/>
  <c r="AN194" i="16"/>
  <c r="Z192" i="16"/>
  <c r="I84" i="2"/>
  <c r="AB194" i="16"/>
  <c r="AG194" i="16"/>
  <c r="AI194" i="16"/>
  <c r="I11" i="19"/>
  <c r="I16" i="19"/>
  <c r="I15" i="19"/>
  <c r="J12" i="19"/>
  <c r="AH192" i="16"/>
  <c r="C16" i="7"/>
  <c r="D16" i="7" s="1"/>
  <c r="AT104" i="16"/>
  <c r="AU104" i="16"/>
  <c r="AV104" i="16"/>
  <c r="AW104" i="16"/>
  <c r="AX104" i="16"/>
  <c r="AY104" i="16"/>
  <c r="AZ104" i="16"/>
  <c r="BA104" i="16"/>
  <c r="BB104" i="16"/>
  <c r="BC104" i="16"/>
  <c r="BD104" i="16"/>
  <c r="BE104" i="16"/>
  <c r="BF104" i="16"/>
  <c r="BG104" i="16"/>
  <c r="BH104" i="16"/>
  <c r="BI104" i="16"/>
  <c r="BJ104" i="16"/>
  <c r="BK104" i="16"/>
  <c r="BL104" i="16"/>
  <c r="BM104" i="16"/>
  <c r="BN104" i="16"/>
  <c r="BO104" i="16"/>
  <c r="BP104" i="16"/>
  <c r="BQ104" i="16"/>
  <c r="BR104" i="16"/>
  <c r="BS104" i="16"/>
  <c r="BT104" i="16"/>
  <c r="BU104" i="16"/>
  <c r="BV104" i="16"/>
  <c r="BW104" i="16"/>
  <c r="BX104" i="16"/>
  <c r="BY104" i="16"/>
  <c r="BZ104" i="16"/>
  <c r="CA104" i="16"/>
  <c r="CB104" i="16"/>
  <c r="CC104" i="16"/>
  <c r="CD104" i="16"/>
  <c r="CE104" i="16"/>
  <c r="CF104" i="16"/>
  <c r="CG104" i="16"/>
  <c r="CH104" i="16"/>
  <c r="CI104" i="16"/>
  <c r="CJ104" i="16"/>
  <c r="CK104" i="16"/>
  <c r="CL104" i="16"/>
  <c r="CM104" i="16"/>
  <c r="CN104" i="16"/>
  <c r="CO104" i="16"/>
  <c r="CP104" i="16"/>
  <c r="CQ104" i="16"/>
  <c r="CR104" i="16"/>
  <c r="CS104" i="16"/>
  <c r="CT104" i="16"/>
  <c r="CU104" i="16"/>
  <c r="CV104" i="16"/>
  <c r="CW104" i="16"/>
  <c r="CX104" i="16"/>
  <c r="CY104" i="16"/>
  <c r="CZ104" i="16"/>
  <c r="DA104" i="16"/>
  <c r="DB104" i="16"/>
  <c r="DC104" i="16"/>
  <c r="DD104" i="16"/>
  <c r="DE104" i="16"/>
  <c r="DF104" i="16"/>
  <c r="DG104" i="16"/>
  <c r="DH104" i="16"/>
  <c r="DI104" i="16"/>
  <c r="DJ104" i="16"/>
  <c r="DK104" i="16"/>
  <c r="DL104" i="16"/>
  <c r="DM104" i="16"/>
  <c r="DN104" i="16"/>
  <c r="DO104" i="16"/>
  <c r="DP104" i="16"/>
  <c r="DQ104" i="16"/>
  <c r="DR104" i="16"/>
  <c r="DS104" i="16"/>
  <c r="DT104" i="16"/>
  <c r="DU104" i="16"/>
  <c r="DV104" i="16"/>
  <c r="DW104" i="16"/>
  <c r="DX104" i="16"/>
  <c r="DY104" i="16"/>
  <c r="DZ104" i="16"/>
  <c r="EA104" i="16"/>
  <c r="EB104" i="16"/>
  <c r="EC104" i="16"/>
  <c r="ED104" i="16"/>
  <c r="EE104" i="16"/>
  <c r="EF104" i="16"/>
  <c r="EG104" i="16"/>
  <c r="EH104" i="16"/>
  <c r="EI104" i="16"/>
  <c r="EJ104" i="16"/>
  <c r="EK104" i="16"/>
  <c r="EL104" i="16"/>
  <c r="EM104" i="16"/>
  <c r="EN104" i="16"/>
  <c r="EO104" i="16"/>
  <c r="EP104" i="16"/>
  <c r="EQ104" i="16"/>
  <c r="ER104" i="16"/>
  <c r="ES104" i="16"/>
  <c r="ET104" i="16"/>
  <c r="EU104" i="16"/>
  <c r="EV104" i="16"/>
  <c r="EW104" i="16"/>
  <c r="EX104" i="16"/>
  <c r="EY104" i="16"/>
  <c r="EZ104" i="16"/>
  <c r="FA104" i="16"/>
  <c r="FB104" i="16"/>
  <c r="FC104" i="16"/>
  <c r="FD104" i="16"/>
  <c r="FE104" i="16"/>
  <c r="FF104" i="16"/>
  <c r="FG104" i="16"/>
  <c r="FH104" i="16"/>
  <c r="FI104" i="16"/>
  <c r="FJ104" i="16"/>
  <c r="FK104" i="16"/>
  <c r="FL104" i="16"/>
  <c r="FM104" i="16"/>
  <c r="FN104" i="16"/>
  <c r="FO104" i="16"/>
  <c r="FP104" i="16"/>
  <c r="FQ104" i="16"/>
  <c r="FR104" i="16"/>
  <c r="FS104" i="16"/>
  <c r="FT104" i="16"/>
  <c r="FU104" i="16"/>
  <c r="FV104" i="16"/>
  <c r="FW104" i="16"/>
  <c r="FX104" i="16"/>
  <c r="FY104" i="16"/>
  <c r="FZ104" i="16"/>
  <c r="GA104" i="16"/>
  <c r="GB104" i="16"/>
  <c r="GC104" i="16"/>
  <c r="GD104" i="16"/>
  <c r="GE104" i="16"/>
  <c r="GF104" i="16"/>
  <c r="GG104" i="16"/>
  <c r="GH104" i="16"/>
  <c r="GI104" i="16"/>
  <c r="GJ104" i="16"/>
  <c r="GK104" i="16"/>
  <c r="GL104" i="16"/>
  <c r="GM104" i="16"/>
  <c r="GN104" i="16"/>
  <c r="GO104" i="16"/>
  <c r="GP104" i="16"/>
  <c r="GQ104" i="16"/>
  <c r="GR104" i="16"/>
  <c r="GS104" i="16"/>
  <c r="GT104" i="16"/>
  <c r="GU104" i="16"/>
  <c r="GV104" i="16"/>
  <c r="GW104" i="16"/>
  <c r="GX104" i="16"/>
  <c r="GY104" i="16"/>
  <c r="GZ104" i="16"/>
  <c r="HA104" i="16"/>
  <c r="HB104" i="16"/>
  <c r="HC104" i="16"/>
  <c r="HD104" i="16"/>
  <c r="HE104" i="16"/>
  <c r="HF104" i="16"/>
  <c r="HG104" i="16"/>
  <c r="HH104" i="16"/>
  <c r="HI104" i="16"/>
  <c r="HJ104" i="16"/>
  <c r="HK104" i="16"/>
  <c r="HL104" i="16"/>
  <c r="HM104" i="16"/>
  <c r="HN104" i="16"/>
  <c r="HO104" i="16"/>
  <c r="HP104" i="16"/>
  <c r="HQ104" i="16"/>
  <c r="HR104" i="16"/>
  <c r="HS104" i="16"/>
  <c r="HT104" i="16"/>
  <c r="HU104" i="16"/>
  <c r="HV104" i="16"/>
  <c r="HW104" i="16"/>
  <c r="HX104" i="16"/>
  <c r="HY104" i="16"/>
  <c r="HZ104" i="16"/>
  <c r="IA104" i="16"/>
  <c r="IB104" i="16"/>
  <c r="IC104" i="16"/>
  <c r="ID104" i="16"/>
  <c r="IE104" i="16"/>
  <c r="IF104" i="16"/>
  <c r="IG104" i="16"/>
  <c r="IH104" i="16"/>
  <c r="II104" i="16"/>
  <c r="IJ104" i="16"/>
  <c r="IK104" i="16"/>
  <c r="IL104" i="16"/>
  <c r="IM104" i="16"/>
  <c r="IN104" i="16"/>
  <c r="IO104" i="16"/>
  <c r="IP104" i="16"/>
  <c r="IQ104" i="16"/>
  <c r="IR104" i="16"/>
  <c r="IS104" i="16"/>
  <c r="IT104" i="16"/>
  <c r="IU104" i="16"/>
  <c r="IV104" i="16"/>
  <c r="IW104" i="16"/>
  <c r="IX104" i="16"/>
  <c r="IY104" i="16"/>
  <c r="IZ104" i="16"/>
  <c r="JA104" i="16"/>
  <c r="JB104" i="16"/>
  <c r="JC104" i="16"/>
  <c r="JD104" i="16"/>
  <c r="JE104" i="16"/>
  <c r="JF104" i="16"/>
  <c r="JG104" i="16"/>
  <c r="JH104" i="16"/>
  <c r="JI104" i="16"/>
  <c r="JJ104" i="16"/>
  <c r="JK104" i="16"/>
  <c r="JL104" i="16"/>
  <c r="JM104" i="16"/>
  <c r="JN104" i="16"/>
  <c r="JO104" i="16"/>
  <c r="JP104" i="16"/>
  <c r="JQ104" i="16"/>
  <c r="JR104" i="16"/>
  <c r="JS104" i="16"/>
  <c r="JT104" i="16"/>
  <c r="JU104" i="16"/>
  <c r="JV104" i="16"/>
  <c r="JW104" i="16"/>
  <c r="JX104" i="16"/>
  <c r="JY104" i="16"/>
  <c r="JZ104" i="16"/>
  <c r="KA104" i="16"/>
  <c r="KB104" i="16"/>
  <c r="KC104" i="16"/>
  <c r="KD104" i="16"/>
  <c r="KE104" i="16"/>
  <c r="KF104" i="16"/>
  <c r="KG104" i="16"/>
  <c r="KH104" i="16"/>
  <c r="KI104" i="16"/>
  <c r="KJ104" i="16"/>
  <c r="KK104" i="16"/>
  <c r="KL104" i="16"/>
  <c r="KM104" i="16"/>
  <c r="KN104" i="16"/>
  <c r="KO104" i="16"/>
  <c r="KP104" i="16"/>
  <c r="KQ104" i="16"/>
  <c r="KR104" i="16"/>
  <c r="KS104" i="16"/>
  <c r="KT104" i="16"/>
  <c r="KU104" i="16"/>
  <c r="KV104" i="16"/>
  <c r="KW104" i="16"/>
  <c r="KX104" i="16"/>
  <c r="KY104" i="16"/>
  <c r="KZ104" i="16"/>
  <c r="LA104" i="16"/>
  <c r="LB104" i="16"/>
  <c r="LC104" i="16"/>
  <c r="LD104" i="16"/>
  <c r="LE104" i="16"/>
  <c r="LF104" i="16"/>
  <c r="LG104" i="16"/>
  <c r="LH104" i="16"/>
  <c r="LI104" i="16"/>
  <c r="LJ104" i="16"/>
  <c r="LK104" i="16"/>
  <c r="LL104" i="16"/>
  <c r="LM104" i="16"/>
  <c r="LN104" i="16"/>
  <c r="LO104" i="16"/>
  <c r="LP104" i="16"/>
  <c r="LQ104" i="16"/>
  <c r="LR104" i="16"/>
  <c r="LS104" i="16"/>
  <c r="LT104" i="16"/>
  <c r="LU104" i="16"/>
  <c r="LV104" i="16"/>
  <c r="LW104" i="16"/>
  <c r="LX104" i="16"/>
  <c r="LY104" i="16"/>
  <c r="LZ104" i="16"/>
  <c r="MA104" i="16"/>
  <c r="MB104" i="16"/>
  <c r="MC104" i="16"/>
  <c r="MD104" i="16"/>
  <c r="ME104" i="16"/>
  <c r="MF104" i="16"/>
  <c r="MG104" i="16"/>
  <c r="MH104" i="16"/>
  <c r="MI104" i="16"/>
  <c r="MJ104" i="16"/>
  <c r="MK104" i="16"/>
  <c r="ML104" i="16"/>
  <c r="MM104" i="16"/>
  <c r="MN104" i="16"/>
  <c r="MO104" i="16"/>
  <c r="MP104" i="16"/>
  <c r="MQ104" i="16"/>
  <c r="MR104" i="16"/>
  <c r="MS104" i="16"/>
  <c r="MT104" i="16"/>
  <c r="MU104" i="16"/>
  <c r="MV104" i="16"/>
  <c r="MW104" i="16"/>
  <c r="MX104" i="16"/>
  <c r="MY104" i="16"/>
  <c r="MZ104" i="16"/>
  <c r="NA104" i="16"/>
  <c r="NB104" i="16"/>
  <c r="NC104" i="16"/>
  <c r="ND104" i="16"/>
  <c r="NE104" i="16"/>
  <c r="NF104" i="16"/>
  <c r="NG104" i="16"/>
  <c r="NH104" i="16"/>
  <c r="NI104" i="16"/>
  <c r="NJ104" i="16"/>
  <c r="NK104" i="16"/>
  <c r="NL104" i="16"/>
  <c r="NM104" i="16"/>
  <c r="NN104" i="16"/>
  <c r="NO104" i="16"/>
  <c r="NP104" i="16"/>
  <c r="NQ104" i="16"/>
  <c r="NR104" i="16"/>
  <c r="NS104" i="16"/>
  <c r="NT104" i="16"/>
  <c r="NU104" i="16"/>
  <c r="NV104" i="16"/>
  <c r="NW104" i="16"/>
  <c r="NX104" i="16"/>
  <c r="NY104" i="16"/>
  <c r="NZ104" i="16"/>
  <c r="OA104" i="16"/>
  <c r="OB104" i="16"/>
  <c r="OC104" i="16"/>
  <c r="OD104" i="16"/>
  <c r="OE104" i="16"/>
  <c r="OF104" i="16"/>
  <c r="OG104" i="16"/>
  <c r="OH104" i="16"/>
  <c r="OI104" i="16"/>
  <c r="OJ104" i="16"/>
  <c r="OK104" i="16"/>
  <c r="OL104" i="16"/>
  <c r="OM104" i="16"/>
  <c r="ON104" i="16"/>
  <c r="OO104" i="16"/>
  <c r="I193" i="16"/>
  <c r="I185" i="16"/>
  <c r="I187" i="16"/>
  <c r="AT67" i="16"/>
  <c r="AU67" i="16"/>
  <c r="BG67" i="16"/>
  <c r="BT67" i="16"/>
  <c r="CA67" i="16"/>
  <c r="CC67" i="16"/>
  <c r="CL67" i="16"/>
  <c r="CM67" i="16"/>
  <c r="CS67" i="16"/>
  <c r="DD67" i="16"/>
  <c r="DK67" i="16"/>
  <c r="DN67" i="16"/>
  <c r="DW67" i="16"/>
  <c r="DX67" i="16"/>
  <c r="ED67" i="16"/>
  <c r="EF67" i="16"/>
  <c r="EV67" i="16"/>
  <c r="EX67" i="16"/>
  <c r="FG67" i="16"/>
  <c r="FH67" i="16"/>
  <c r="FN67" i="16"/>
  <c r="FP67" i="16"/>
  <c r="FZ67" i="16"/>
  <c r="GI67" i="16"/>
  <c r="GR67" i="16"/>
  <c r="GS67" i="16"/>
  <c r="GY67" i="16"/>
  <c r="HA67" i="16"/>
  <c r="HJ67" i="16"/>
  <c r="HQ67" i="16"/>
  <c r="HS67" i="16"/>
  <c r="IB67" i="16"/>
  <c r="ID67" i="16"/>
  <c r="II67" i="16"/>
  <c r="IL67" i="16"/>
  <c r="IU67" i="16"/>
  <c r="JB67" i="16"/>
  <c r="JD67" i="16"/>
  <c r="JM67" i="16"/>
  <c r="JN67" i="16"/>
  <c r="JT67" i="16"/>
  <c r="JV67" i="16"/>
  <c r="KE67" i="16"/>
  <c r="KL67" i="16"/>
  <c r="KN67" i="16"/>
  <c r="KX67" i="16"/>
  <c r="KY67" i="16"/>
  <c r="LD67" i="16"/>
  <c r="LG67" i="16"/>
  <c r="LP67" i="16"/>
  <c r="LQ67" i="16"/>
  <c r="LW67" i="16"/>
  <c r="LY67" i="16"/>
  <c r="MH67" i="16"/>
  <c r="MI67" i="16"/>
  <c r="MO67" i="16"/>
  <c r="MQ67" i="16"/>
  <c r="MZ67" i="16"/>
  <c r="NB67" i="16"/>
  <c r="NG67" i="16"/>
  <c r="NJ67" i="16"/>
  <c r="NS67" i="16"/>
  <c r="NT67" i="16"/>
  <c r="NZ67" i="16"/>
  <c r="OB67" i="16"/>
  <c r="OK67" i="16"/>
  <c r="OL67" i="16"/>
  <c r="K44" i="10"/>
  <c r="Y44" i="10"/>
  <c r="X44" i="10"/>
  <c r="L44" i="10"/>
  <c r="N44" i="10"/>
  <c r="S44" i="10"/>
  <c r="W44" i="10"/>
  <c r="AF44" i="10"/>
  <c r="V44" i="10"/>
  <c r="R44" i="10"/>
  <c r="Q44" i="10"/>
  <c r="P44" i="10"/>
  <c r="U44" i="10"/>
  <c r="AA44" i="10"/>
  <c r="Z44" i="10"/>
  <c r="AD44" i="10"/>
  <c r="AH44" i="10"/>
  <c r="J44" i="10"/>
  <c r="AI44" i="10"/>
  <c r="H44" i="10"/>
  <c r="G44" i="10"/>
  <c r="O44" i="10"/>
  <c r="AC44" i="10"/>
  <c r="I44" i="10"/>
  <c r="M44" i="10"/>
  <c r="AE44" i="10"/>
  <c r="T44" i="10"/>
  <c r="AB44" i="10"/>
  <c r="F44" i="10"/>
  <c r="AG44" i="10"/>
  <c r="H19" i="10"/>
  <c r="H26" i="10" s="1"/>
  <c r="I12" i="10"/>
  <c r="K13" i="10"/>
  <c r="J20" i="10"/>
  <c r="J27" i="10" s="1"/>
  <c r="I14" i="10"/>
  <c r="H21" i="10"/>
  <c r="H28" i="10" s="1"/>
  <c r="F17" i="10"/>
  <c r="F15" i="10"/>
  <c r="D7" i="21" s="1"/>
  <c r="G10" i="10"/>
  <c r="K11" i="10"/>
  <c r="J18" i="10"/>
  <c r="J25" i="10" s="1"/>
  <c r="D34" i="9"/>
  <c r="E34" i="9"/>
  <c r="B82" i="2"/>
  <c r="E25" i="9"/>
  <c r="E63" i="6"/>
  <c r="D64" i="6"/>
  <c r="D25" i="9"/>
  <c r="D10" i="6"/>
  <c r="D13" i="6"/>
  <c r="L7" i="10" l="1"/>
  <c r="I4" i="21"/>
  <c r="GF67" i="16"/>
  <c r="EO67" i="16"/>
  <c r="CU67" i="16"/>
  <c r="BE67" i="16"/>
  <c r="KF67" i="16"/>
  <c r="IV67" i="16"/>
  <c r="HK67" i="16"/>
  <c r="GA67" i="16"/>
  <c r="EP67" i="16"/>
  <c r="DF67" i="16"/>
  <c r="BU67" i="16"/>
  <c r="I195" i="16"/>
  <c r="NP67" i="16"/>
  <c r="MF67" i="16"/>
  <c r="KU67" i="16"/>
  <c r="JK67" i="16"/>
  <c r="HZ67" i="16"/>
  <c r="GP67" i="16"/>
  <c r="FE67" i="16"/>
  <c r="DT67" i="16"/>
  <c r="DT72" i="16" s="1"/>
  <c r="CJ67" i="16"/>
  <c r="OC67" i="16"/>
  <c r="NK67" i="16"/>
  <c r="MR67" i="16"/>
  <c r="LZ67" i="16"/>
  <c r="LH67" i="16"/>
  <c r="KP67" i="16"/>
  <c r="JW67" i="16"/>
  <c r="JW72" i="16" s="1"/>
  <c r="JE67" i="16"/>
  <c r="IM67" i="16"/>
  <c r="HT67" i="16"/>
  <c r="HB67" i="16"/>
  <c r="GJ67" i="16"/>
  <c r="FR67" i="16"/>
  <c r="EY67" i="16"/>
  <c r="EG67" i="16"/>
  <c r="DO67" i="16"/>
  <c r="CV67" i="16"/>
  <c r="CD67" i="16"/>
  <c r="BK67" i="16"/>
  <c r="NX67" i="16"/>
  <c r="NF67" i="16"/>
  <c r="MN67" i="16"/>
  <c r="LV67" i="16"/>
  <c r="LV72" i="16" s="1"/>
  <c r="LC67" i="16"/>
  <c r="KK67" i="16"/>
  <c r="JS67" i="16"/>
  <c r="IZ67" i="16"/>
  <c r="IH67" i="16"/>
  <c r="HP67" i="16"/>
  <c r="GX67" i="16"/>
  <c r="GE67" i="16"/>
  <c r="FM67" i="16"/>
  <c r="EU67" i="16"/>
  <c r="EB67" i="16"/>
  <c r="DJ67" i="16"/>
  <c r="CR67" i="16"/>
  <c r="BZ67" i="16"/>
  <c r="AZ67" i="16"/>
  <c r="OI67" i="16"/>
  <c r="MX67" i="16"/>
  <c r="LN67" i="16"/>
  <c r="KC67" i="16"/>
  <c r="IR67" i="16"/>
  <c r="HH67" i="16"/>
  <c r="FW67" i="16"/>
  <c r="EM67" i="16"/>
  <c r="DB67" i="16"/>
  <c r="DB72" i="16" s="1"/>
  <c r="BR67" i="16"/>
  <c r="OH67" i="16"/>
  <c r="NO67" i="16"/>
  <c r="MW67" i="16"/>
  <c r="ME67" i="16"/>
  <c r="LL67" i="16"/>
  <c r="KT67" i="16"/>
  <c r="KB67" i="16"/>
  <c r="KB72" i="16" s="1"/>
  <c r="JJ67" i="16"/>
  <c r="IQ67" i="16"/>
  <c r="HY67" i="16"/>
  <c r="HG67" i="16"/>
  <c r="GN67" i="16"/>
  <c r="FV67" i="16"/>
  <c r="FD67" i="16"/>
  <c r="EL67" i="16"/>
  <c r="EL72" i="16" s="1"/>
  <c r="DS67" i="16"/>
  <c r="DA67" i="16"/>
  <c r="CI67" i="16"/>
  <c r="BP67" i="16"/>
  <c r="NW67" i="16"/>
  <c r="MV67" i="16"/>
  <c r="MD67" i="16"/>
  <c r="LB67" i="16"/>
  <c r="KA67" i="16"/>
  <c r="IY67" i="16"/>
  <c r="HX67" i="16"/>
  <c r="GV67" i="16"/>
  <c r="FU67" i="16"/>
  <c r="ET67" i="16"/>
  <c r="DR67" i="16"/>
  <c r="CH67" i="16"/>
  <c r="CH72" i="16" s="1"/>
  <c r="BO67" i="16"/>
  <c r="OM67" i="16"/>
  <c r="OD67" i="16"/>
  <c r="NU67" i="16"/>
  <c r="NL67" i="16"/>
  <c r="NC67" i="16"/>
  <c r="MT67" i="16"/>
  <c r="MJ67" i="16"/>
  <c r="MJ72" i="16" s="1"/>
  <c r="MA67" i="16"/>
  <c r="LR67" i="16"/>
  <c r="LI67" i="16"/>
  <c r="KZ67" i="16"/>
  <c r="KQ67" i="16"/>
  <c r="KH67" i="16"/>
  <c r="JX67" i="16"/>
  <c r="JO67" i="16"/>
  <c r="JO72" i="16" s="1"/>
  <c r="JF67" i="16"/>
  <c r="IW67" i="16"/>
  <c r="IN67" i="16"/>
  <c r="IE67" i="16"/>
  <c r="HV67" i="16"/>
  <c r="HL67" i="16"/>
  <c r="HC67" i="16"/>
  <c r="GT67" i="16"/>
  <c r="GT72" i="16" s="1"/>
  <c r="GK67" i="16"/>
  <c r="GB67" i="16"/>
  <c r="FS67" i="16"/>
  <c r="FJ67" i="16"/>
  <c r="EZ67" i="16"/>
  <c r="EQ67" i="16"/>
  <c r="EH67" i="16"/>
  <c r="DY67" i="16"/>
  <c r="DP67" i="16"/>
  <c r="DG67" i="16"/>
  <c r="CX67" i="16"/>
  <c r="CN67" i="16"/>
  <c r="CE67" i="16"/>
  <c r="BV67" i="16"/>
  <c r="BL67" i="16"/>
  <c r="BB67" i="16"/>
  <c r="BB72" i="16" s="1"/>
  <c r="AW67" i="16"/>
  <c r="BJ67" i="16"/>
  <c r="OJ67" i="16"/>
  <c r="OA67" i="16"/>
  <c r="NR67" i="16"/>
  <c r="NH67" i="16"/>
  <c r="MY67" i="16"/>
  <c r="MP67" i="16"/>
  <c r="MP72" i="16" s="1"/>
  <c r="MG67" i="16"/>
  <c r="LX67" i="16"/>
  <c r="LO67" i="16"/>
  <c r="LF67" i="16"/>
  <c r="KV67" i="16"/>
  <c r="KM67" i="16"/>
  <c r="KD67" i="16"/>
  <c r="JU67" i="16"/>
  <c r="JU72" i="16" s="1"/>
  <c r="JL67" i="16"/>
  <c r="JC67" i="16"/>
  <c r="IT67" i="16"/>
  <c r="IJ67" i="16"/>
  <c r="IA67" i="16"/>
  <c r="HR67" i="16"/>
  <c r="HI67" i="16"/>
  <c r="GZ67" i="16"/>
  <c r="GZ72" i="16" s="1"/>
  <c r="GQ67" i="16"/>
  <c r="GH67" i="16"/>
  <c r="FX67" i="16"/>
  <c r="FO67" i="16"/>
  <c r="FF67" i="16"/>
  <c r="EW67" i="16"/>
  <c r="EN67" i="16"/>
  <c r="EE67" i="16"/>
  <c r="EE72" i="16" s="1"/>
  <c r="DV67" i="16"/>
  <c r="DL67" i="16"/>
  <c r="DC67" i="16"/>
  <c r="CT67" i="16"/>
  <c r="CK67" i="16"/>
  <c r="CB67" i="16"/>
  <c r="BS67" i="16"/>
  <c r="BI67" i="16"/>
  <c r="BI72" i="16" s="1"/>
  <c r="AV67" i="16"/>
  <c r="OF67" i="16"/>
  <c r="NE67" i="16"/>
  <c r="LT67" i="16"/>
  <c r="KS67" i="16"/>
  <c r="JR67" i="16"/>
  <c r="IP67" i="16"/>
  <c r="HO67" i="16"/>
  <c r="HO72" i="16" s="1"/>
  <c r="GM67" i="16"/>
  <c r="FL67" i="16"/>
  <c r="EJ67" i="16"/>
  <c r="CZ67" i="16"/>
  <c r="BX67" i="16"/>
  <c r="NN67" i="16"/>
  <c r="MM67" i="16"/>
  <c r="LK67" i="16"/>
  <c r="LK72" i="16" s="1"/>
  <c r="KJ67" i="16"/>
  <c r="JH67" i="16"/>
  <c r="IG67" i="16"/>
  <c r="HF67" i="16"/>
  <c r="GD67" i="16"/>
  <c r="FC67" i="16"/>
  <c r="EA67" i="16"/>
  <c r="DI67" i="16"/>
  <c r="CQ67" i="16"/>
  <c r="BD67" i="16"/>
  <c r="ON67" i="16"/>
  <c r="OE67" i="16"/>
  <c r="NV67" i="16"/>
  <c r="NM67" i="16"/>
  <c r="ND67" i="16"/>
  <c r="MU67" i="16"/>
  <c r="MU72" i="16" s="1"/>
  <c r="ML67" i="16"/>
  <c r="MB67" i="16"/>
  <c r="LS67" i="16"/>
  <c r="LJ67" i="16"/>
  <c r="LA67" i="16"/>
  <c r="KR67" i="16"/>
  <c r="KI67" i="16"/>
  <c r="JZ67" i="16"/>
  <c r="JZ72" i="16" s="1"/>
  <c r="JP67" i="16"/>
  <c r="JG67" i="16"/>
  <c r="IX67" i="16"/>
  <c r="IO67" i="16"/>
  <c r="IF67" i="16"/>
  <c r="HW67" i="16"/>
  <c r="HN67" i="16"/>
  <c r="HD67" i="16"/>
  <c r="HD72" i="16" s="1"/>
  <c r="GU67" i="16"/>
  <c r="GL67" i="16"/>
  <c r="GC67" i="16"/>
  <c r="FT67" i="16"/>
  <c r="FK67" i="16"/>
  <c r="FB67" i="16"/>
  <c r="ER67" i="16"/>
  <c r="EI67" i="16"/>
  <c r="EI72" i="16" s="1"/>
  <c r="DZ67" i="16"/>
  <c r="DQ67" i="16"/>
  <c r="DH67" i="16"/>
  <c r="CY67" i="16"/>
  <c r="CP67" i="16"/>
  <c r="CF67" i="16"/>
  <c r="BW67" i="16"/>
  <c r="BM67" i="16"/>
  <c r="BM72" i="16" s="1"/>
  <c r="BC67" i="16"/>
  <c r="BA67" i="16"/>
  <c r="OO67" i="16"/>
  <c r="OG67" i="16"/>
  <c r="NY67" i="16"/>
  <c r="NQ67" i="16"/>
  <c r="NI67" i="16"/>
  <c r="NA67" i="16"/>
  <c r="NA72" i="16" s="1"/>
  <c r="MS67" i="16"/>
  <c r="MS72" i="16" s="1"/>
  <c r="MK67" i="16"/>
  <c r="MK72" i="16" s="1"/>
  <c r="MC67" i="16"/>
  <c r="LU67" i="16"/>
  <c r="LM67" i="16"/>
  <c r="LE67" i="16"/>
  <c r="KW67" i="16"/>
  <c r="KO67" i="16"/>
  <c r="KO72" i="16" s="1"/>
  <c r="KG67" i="16"/>
  <c r="JY67" i="16"/>
  <c r="JY72" i="16" s="1"/>
  <c r="JQ67" i="16"/>
  <c r="JI67" i="16"/>
  <c r="JA67" i="16"/>
  <c r="IS67" i="16"/>
  <c r="IK67" i="16"/>
  <c r="IC67" i="16"/>
  <c r="IC72" i="16" s="1"/>
  <c r="HU67" i="16"/>
  <c r="HU72" i="16" s="1"/>
  <c r="HM67" i="16"/>
  <c r="HM72" i="16" s="1"/>
  <c r="HE67" i="16"/>
  <c r="GW67" i="16"/>
  <c r="GO67" i="16"/>
  <c r="GG67" i="16"/>
  <c r="FY67" i="16"/>
  <c r="FQ67" i="16"/>
  <c r="FI67" i="16"/>
  <c r="FI72" i="16" s="1"/>
  <c r="FA67" i="16"/>
  <c r="ES67" i="16"/>
  <c r="ES72" i="16" s="1"/>
  <c r="EK67" i="16"/>
  <c r="EC67" i="16"/>
  <c r="DU67" i="16"/>
  <c r="DM67" i="16"/>
  <c r="DE67" i="16"/>
  <c r="DE72" i="16" s="1"/>
  <c r="CW67" i="16"/>
  <c r="CW72" i="16" s="1"/>
  <c r="CO67" i="16"/>
  <c r="CO72" i="16" s="1"/>
  <c r="CG67" i="16"/>
  <c r="BY67" i="16"/>
  <c r="BQ67" i="16"/>
  <c r="BH67" i="16"/>
  <c r="AY67" i="16"/>
  <c r="M175" i="16" s="1"/>
  <c r="BN67" i="16"/>
  <c r="BN72" i="16" s="1"/>
  <c r="BF67" i="16"/>
  <c r="BF72" i="16" s="1"/>
  <c r="I192" i="16"/>
  <c r="I194" i="16"/>
  <c r="M23" i="17"/>
  <c r="L22" i="17"/>
  <c r="J11" i="19"/>
  <c r="J15" i="19"/>
  <c r="J16" i="19"/>
  <c r="K12" i="19"/>
  <c r="AL212" i="16"/>
  <c r="AJ212" i="16"/>
  <c r="AH212" i="16"/>
  <c r="AP212" i="16"/>
  <c r="AO212" i="16"/>
  <c r="AI212" i="16"/>
  <c r="AN212" i="16"/>
  <c r="AQ212" i="16"/>
  <c r="AK212" i="16"/>
  <c r="AM212" i="16"/>
  <c r="AG212" i="16"/>
  <c r="AE212" i="16"/>
  <c r="AC212" i="16"/>
  <c r="AA212" i="16"/>
  <c r="Y212" i="16"/>
  <c r="W212" i="16"/>
  <c r="U212" i="16"/>
  <c r="S212" i="16"/>
  <c r="Q212" i="16"/>
  <c r="O212" i="16"/>
  <c r="M212" i="16"/>
  <c r="AF212" i="16"/>
  <c r="AD212" i="16"/>
  <c r="AB212" i="16"/>
  <c r="Z212" i="16"/>
  <c r="X212" i="16"/>
  <c r="V212" i="16"/>
  <c r="T212" i="16"/>
  <c r="R212" i="16"/>
  <c r="P212" i="16"/>
  <c r="N212" i="16"/>
  <c r="AQ175" i="16"/>
  <c r="AO175" i="16"/>
  <c r="AE175" i="16"/>
  <c r="ON72" i="16"/>
  <c r="OF72" i="16"/>
  <c r="NX72" i="16"/>
  <c r="NP72" i="16"/>
  <c r="NH72" i="16"/>
  <c r="MZ72" i="16"/>
  <c r="MR72" i="16"/>
  <c r="MB72" i="16"/>
  <c r="LT72" i="16"/>
  <c r="LL72" i="16"/>
  <c r="LD72" i="16"/>
  <c r="KV72" i="16"/>
  <c r="KN72" i="16"/>
  <c r="KF72" i="16"/>
  <c r="JX72" i="16"/>
  <c r="JP72" i="16"/>
  <c r="JH72" i="16"/>
  <c r="IZ72" i="16"/>
  <c r="IR72" i="16"/>
  <c r="IJ72" i="16"/>
  <c r="IB72" i="16"/>
  <c r="HT72" i="16"/>
  <c r="HL72" i="16"/>
  <c r="GV72" i="16"/>
  <c r="GN72" i="16"/>
  <c r="GF72" i="16"/>
  <c r="FX72" i="16"/>
  <c r="FP72" i="16"/>
  <c r="FH72" i="16"/>
  <c r="EZ72" i="16"/>
  <c r="ER72" i="16"/>
  <c r="EJ72" i="16"/>
  <c r="EB72" i="16"/>
  <c r="DL72" i="16"/>
  <c r="DD72" i="16"/>
  <c r="CV72" i="16"/>
  <c r="CN72" i="16"/>
  <c r="CF72" i="16"/>
  <c r="BX72" i="16"/>
  <c r="BP72" i="16"/>
  <c r="BH72" i="16"/>
  <c r="AZ72" i="16"/>
  <c r="OE72" i="16"/>
  <c r="NO72" i="16"/>
  <c r="NG72" i="16"/>
  <c r="MY72" i="16"/>
  <c r="MQ72" i="16"/>
  <c r="MI72" i="16"/>
  <c r="MA72" i="16"/>
  <c r="LS72" i="16"/>
  <c r="LC72" i="16"/>
  <c r="KU72" i="16"/>
  <c r="KM72" i="16"/>
  <c r="KE72" i="16"/>
  <c r="JG72" i="16"/>
  <c r="IY72" i="16"/>
  <c r="IQ72" i="16"/>
  <c r="II72" i="16"/>
  <c r="IA72" i="16"/>
  <c r="HS72" i="16"/>
  <c r="HK72" i="16"/>
  <c r="HC72" i="16"/>
  <c r="GU72" i="16"/>
  <c r="GM72" i="16"/>
  <c r="FW72" i="16"/>
  <c r="FO72" i="16"/>
  <c r="FG72" i="16"/>
  <c r="EY72" i="16"/>
  <c r="EQ72" i="16"/>
  <c r="EA72" i="16"/>
  <c r="DS72" i="16"/>
  <c r="DK72" i="16"/>
  <c r="DC72" i="16"/>
  <c r="CU72" i="16"/>
  <c r="CM72" i="16"/>
  <c r="CE72" i="16"/>
  <c r="BW72" i="16"/>
  <c r="BO72" i="16"/>
  <c r="BG72" i="16"/>
  <c r="AY72" i="16"/>
  <c r="NW72" i="16"/>
  <c r="OD72" i="16"/>
  <c r="NN72" i="16"/>
  <c r="NF72" i="16"/>
  <c r="MX72" i="16"/>
  <c r="LR72" i="16"/>
  <c r="KT72" i="16"/>
  <c r="KL72" i="16"/>
  <c r="KD72" i="16"/>
  <c r="JV72" i="16"/>
  <c r="JN72" i="16"/>
  <c r="JF72" i="16"/>
  <c r="IX72" i="16"/>
  <c r="IP72" i="16"/>
  <c r="IH72" i="16"/>
  <c r="HZ72" i="16"/>
  <c r="HR72" i="16"/>
  <c r="HJ72" i="16"/>
  <c r="HB72" i="16"/>
  <c r="GL72" i="16"/>
  <c r="GD72" i="16"/>
  <c r="FV72" i="16"/>
  <c r="FN72" i="16"/>
  <c r="FF72" i="16"/>
  <c r="EX72" i="16"/>
  <c r="EP72" i="16"/>
  <c r="EH72" i="16"/>
  <c r="DZ72" i="16"/>
  <c r="DR72" i="16"/>
  <c r="DJ72" i="16"/>
  <c r="CT72" i="16"/>
  <c r="CL72" i="16"/>
  <c r="CD72" i="16"/>
  <c r="BV72" i="16"/>
  <c r="AX72" i="16"/>
  <c r="OC72" i="16"/>
  <c r="NM72" i="16"/>
  <c r="MO72" i="16"/>
  <c r="LQ72" i="16"/>
  <c r="KS72" i="16"/>
  <c r="KC72" i="16"/>
  <c r="JM72" i="16"/>
  <c r="JE72" i="16"/>
  <c r="IO72" i="16"/>
  <c r="IG72" i="16"/>
  <c r="HY72" i="16"/>
  <c r="HQ72" i="16"/>
  <c r="HI72" i="16"/>
  <c r="HA72" i="16"/>
  <c r="GS72" i="16"/>
  <c r="GK72" i="16"/>
  <c r="GC72" i="16"/>
  <c r="FU72" i="16"/>
  <c r="FM72" i="16"/>
  <c r="FE72" i="16"/>
  <c r="EW72" i="16"/>
  <c r="EO72" i="16"/>
  <c r="EG72" i="16"/>
  <c r="DQ72" i="16"/>
  <c r="DA72" i="16"/>
  <c r="CS72" i="16"/>
  <c r="CK72" i="16"/>
  <c r="CC72" i="16"/>
  <c r="BU72" i="16"/>
  <c r="BE72" i="16"/>
  <c r="AW72" i="16"/>
  <c r="OM72" i="16"/>
  <c r="NV72" i="16"/>
  <c r="LZ72" i="16"/>
  <c r="NU72" i="16"/>
  <c r="NE72" i="16"/>
  <c r="LY72" i="16"/>
  <c r="LI72" i="16"/>
  <c r="LA72" i="16"/>
  <c r="KK72" i="16"/>
  <c r="IW72" i="16"/>
  <c r="OJ72" i="16"/>
  <c r="OB72" i="16"/>
  <c r="NT72" i="16"/>
  <c r="NL72" i="16"/>
  <c r="ND72" i="16"/>
  <c r="MV72" i="16"/>
  <c r="MN72" i="16"/>
  <c r="MF72" i="16"/>
  <c r="LX72" i="16"/>
  <c r="LP72" i="16"/>
  <c r="LH72" i="16"/>
  <c r="KZ72" i="16"/>
  <c r="KR72" i="16"/>
  <c r="KJ72" i="16"/>
  <c r="JT72" i="16"/>
  <c r="JL72" i="16"/>
  <c r="JD72" i="16"/>
  <c r="IV72" i="16"/>
  <c r="IN72" i="16"/>
  <c r="IF72" i="16"/>
  <c r="HX72" i="16"/>
  <c r="HP72" i="16"/>
  <c r="HH72" i="16"/>
  <c r="GR72" i="16"/>
  <c r="GJ72" i="16"/>
  <c r="GB72" i="16"/>
  <c r="FT72" i="16"/>
  <c r="FL72" i="16"/>
  <c r="FD72" i="16"/>
  <c r="EV72" i="16"/>
  <c r="EN72" i="16"/>
  <c r="EF72" i="16"/>
  <c r="DX72" i="16"/>
  <c r="DP72" i="16"/>
  <c r="DH72" i="16"/>
  <c r="CZ72" i="16"/>
  <c r="CR72" i="16"/>
  <c r="CJ72" i="16"/>
  <c r="CB72" i="16"/>
  <c r="BT72" i="16"/>
  <c r="BL72" i="16"/>
  <c r="BD72" i="16"/>
  <c r="AV72" i="16"/>
  <c r="MH72" i="16"/>
  <c r="OI72" i="16"/>
  <c r="OA72" i="16"/>
  <c r="NS72" i="16"/>
  <c r="NK72" i="16"/>
  <c r="NC72" i="16"/>
  <c r="MM72" i="16"/>
  <c r="ME72" i="16"/>
  <c r="LW72" i="16"/>
  <c r="LO72" i="16"/>
  <c r="LG72" i="16"/>
  <c r="KY72" i="16"/>
  <c r="KQ72" i="16"/>
  <c r="KI72" i="16"/>
  <c r="KA72" i="16"/>
  <c r="JS72" i="16"/>
  <c r="JK72" i="16"/>
  <c r="JC72" i="16"/>
  <c r="IU72" i="16"/>
  <c r="IM72" i="16"/>
  <c r="IE72" i="16"/>
  <c r="HW72" i="16"/>
  <c r="HG72" i="16"/>
  <c r="GY72" i="16"/>
  <c r="GQ72" i="16"/>
  <c r="GI72" i="16"/>
  <c r="GA72" i="16"/>
  <c r="FS72" i="16"/>
  <c r="FK72" i="16"/>
  <c r="FC72" i="16"/>
  <c r="EU72" i="16"/>
  <c r="EM72" i="16"/>
  <c r="DW72" i="16"/>
  <c r="DO72" i="16"/>
  <c r="DG72" i="16"/>
  <c r="CY72" i="16"/>
  <c r="CQ72" i="16"/>
  <c r="CI72" i="16"/>
  <c r="CA72" i="16"/>
  <c r="BS72" i="16"/>
  <c r="BK72" i="16"/>
  <c r="BC72" i="16"/>
  <c r="AU72" i="16"/>
  <c r="D18" i="6"/>
  <c r="D20" i="6" s="1"/>
  <c r="C43" i="6" s="1"/>
  <c r="D75" i="16"/>
  <c r="LJ72" i="16"/>
  <c r="OK72" i="16"/>
  <c r="MG72" i="16"/>
  <c r="OH72" i="16"/>
  <c r="NZ72" i="16"/>
  <c r="NR72" i="16"/>
  <c r="NJ72" i="16"/>
  <c r="NB72" i="16"/>
  <c r="MT72" i="16"/>
  <c r="ML72" i="16"/>
  <c r="MD72" i="16"/>
  <c r="LN72" i="16"/>
  <c r="LF72" i="16"/>
  <c r="KX72" i="16"/>
  <c r="KP72" i="16"/>
  <c r="KH72" i="16"/>
  <c r="JR72" i="16"/>
  <c r="JJ72" i="16"/>
  <c r="JB72" i="16"/>
  <c r="IT72" i="16"/>
  <c r="IL72" i="16"/>
  <c r="ID72" i="16"/>
  <c r="HV72" i="16"/>
  <c r="HN72" i="16"/>
  <c r="HF72" i="16"/>
  <c r="GX72" i="16"/>
  <c r="GP72" i="16"/>
  <c r="GH72" i="16"/>
  <c r="FZ72" i="16"/>
  <c r="FR72" i="16"/>
  <c r="FJ72" i="16"/>
  <c r="FB72" i="16"/>
  <c r="ET72" i="16"/>
  <c r="ED72" i="16"/>
  <c r="DV72" i="16"/>
  <c r="DN72" i="16"/>
  <c r="DF72" i="16"/>
  <c r="CX72" i="16"/>
  <c r="CP72" i="16"/>
  <c r="BZ72" i="16"/>
  <c r="BR72" i="16"/>
  <c r="BJ72" i="16"/>
  <c r="AT72" i="16"/>
  <c r="OL72" i="16"/>
  <c r="MW72" i="16"/>
  <c r="OO72" i="16"/>
  <c r="J180" i="16" s="1"/>
  <c r="OG72" i="16"/>
  <c r="NY72" i="16"/>
  <c r="NQ72" i="16"/>
  <c r="NI72" i="16"/>
  <c r="MC72" i="16"/>
  <c r="LU72" i="16"/>
  <c r="LM72" i="16"/>
  <c r="LE72" i="16"/>
  <c r="KW72" i="16"/>
  <c r="JQ72" i="16"/>
  <c r="JI72" i="16"/>
  <c r="JA72" i="16"/>
  <c r="IS72" i="16"/>
  <c r="IK72" i="16"/>
  <c r="HE72" i="16"/>
  <c r="GW72" i="16"/>
  <c r="GO72" i="16"/>
  <c r="GG72" i="16"/>
  <c r="FY72" i="16"/>
  <c r="FA72" i="16"/>
  <c r="EK72" i="16"/>
  <c r="EC72" i="16"/>
  <c r="DU72" i="16"/>
  <c r="DM72" i="16"/>
  <c r="CG72" i="16"/>
  <c r="BY72" i="16"/>
  <c r="BQ72" i="16"/>
  <c r="BA72" i="16"/>
  <c r="I19" i="10"/>
  <c r="I26" i="10" s="1"/>
  <c r="J12" i="10"/>
  <c r="L13" i="10"/>
  <c r="K20" i="10"/>
  <c r="K27" i="10" s="1"/>
  <c r="F22" i="10"/>
  <c r="F24" i="10"/>
  <c r="F29" i="10" s="1"/>
  <c r="D8" i="21" s="1"/>
  <c r="J14" i="10"/>
  <c r="I21" i="10"/>
  <c r="I28" i="10" s="1"/>
  <c r="G17" i="10"/>
  <c r="G22" i="10" s="1"/>
  <c r="H10" i="10"/>
  <c r="G15" i="10"/>
  <c r="E7" i="21" s="1"/>
  <c r="L11" i="10"/>
  <c r="K18" i="10"/>
  <c r="K25" i="10" s="1"/>
  <c r="C10" i="8"/>
  <c r="C40" i="8" s="1"/>
  <c r="E40" i="8" s="1"/>
  <c r="G40" i="8" s="1"/>
  <c r="C124" i="13" s="1"/>
  <c r="C7" i="7"/>
  <c r="F14" i="20" s="1"/>
  <c r="M7" i="10" l="1"/>
  <c r="J4" i="21"/>
  <c r="S175" i="16"/>
  <c r="AI175" i="16"/>
  <c r="T175" i="16"/>
  <c r="AP175" i="16"/>
  <c r="Y175" i="16"/>
  <c r="GE72" i="16"/>
  <c r="LB72" i="16"/>
  <c r="DI72" i="16"/>
  <c r="AA175" i="16"/>
  <c r="DY72" i="16"/>
  <c r="P175" i="16"/>
  <c r="AG175" i="16"/>
  <c r="U175" i="16"/>
  <c r="AF175" i="16"/>
  <c r="AK175" i="16"/>
  <c r="AJ175" i="16"/>
  <c r="Z175" i="16"/>
  <c r="AL175" i="16"/>
  <c r="AD175" i="16"/>
  <c r="O175" i="16"/>
  <c r="X175" i="16"/>
  <c r="AC175" i="16"/>
  <c r="V175" i="16"/>
  <c r="Q175" i="16"/>
  <c r="N175" i="16"/>
  <c r="FQ72" i="16"/>
  <c r="AH175" i="16"/>
  <c r="AN175" i="16"/>
  <c r="AB175" i="16"/>
  <c r="W175" i="16"/>
  <c r="R175" i="16"/>
  <c r="AM175" i="16"/>
  <c r="KG72" i="16"/>
  <c r="AH180" i="16" s="1"/>
  <c r="M22" i="17"/>
  <c r="N23" i="17"/>
  <c r="F17" i="9"/>
  <c r="D92" i="16" s="1"/>
  <c r="AY92" i="16" s="1"/>
  <c r="D48" i="9"/>
  <c r="D95" i="16" s="1"/>
  <c r="K16" i="19"/>
  <c r="K11" i="19"/>
  <c r="L12" i="19"/>
  <c r="K15" i="19"/>
  <c r="I212" i="16"/>
  <c r="AA180" i="16"/>
  <c r="W180" i="16"/>
  <c r="M180" i="16"/>
  <c r="AQ180" i="16"/>
  <c r="X180" i="16"/>
  <c r="AN180" i="16"/>
  <c r="Q180" i="16"/>
  <c r="AG180" i="16"/>
  <c r="N180" i="16"/>
  <c r="AD180" i="16"/>
  <c r="AM180" i="16"/>
  <c r="T180" i="16"/>
  <c r="AJ180" i="16"/>
  <c r="AC180" i="16"/>
  <c r="Z180" i="16"/>
  <c r="AP180" i="16"/>
  <c r="S180" i="16"/>
  <c r="AI180" i="16"/>
  <c r="P180" i="16"/>
  <c r="AF180" i="16"/>
  <c r="Y180" i="16"/>
  <c r="AO180" i="16"/>
  <c r="V180" i="16"/>
  <c r="AL180" i="16"/>
  <c r="O180" i="16"/>
  <c r="AE180" i="16"/>
  <c r="AB180" i="16"/>
  <c r="U180" i="16"/>
  <c r="AK180" i="16"/>
  <c r="R180" i="16"/>
  <c r="AW92" i="16"/>
  <c r="BM92" i="16"/>
  <c r="BU92" i="16"/>
  <c r="CC92" i="16"/>
  <c r="CK92" i="16"/>
  <c r="CS92" i="16"/>
  <c r="DA92" i="16"/>
  <c r="DI92" i="16"/>
  <c r="DY92" i="16"/>
  <c r="EG92" i="16"/>
  <c r="EO92" i="16"/>
  <c r="EW92" i="16"/>
  <c r="FE92" i="16"/>
  <c r="FM92" i="16"/>
  <c r="FU92" i="16"/>
  <c r="GK92" i="16"/>
  <c r="GS92" i="16"/>
  <c r="HA92" i="16"/>
  <c r="HI92" i="16"/>
  <c r="HQ92" i="16"/>
  <c r="HY92" i="16"/>
  <c r="IG92" i="16"/>
  <c r="IW92" i="16"/>
  <c r="JE92" i="16"/>
  <c r="JM92" i="16"/>
  <c r="JU92" i="16"/>
  <c r="KC92" i="16"/>
  <c r="KK92" i="16"/>
  <c r="KS92" i="16"/>
  <c r="LI92" i="16"/>
  <c r="LQ92" i="16"/>
  <c r="LY92" i="16"/>
  <c r="MG92" i="16"/>
  <c r="MO92" i="16"/>
  <c r="MW92" i="16"/>
  <c r="NE92" i="16"/>
  <c r="NU92" i="16"/>
  <c r="OC92" i="16"/>
  <c r="OK92" i="16"/>
  <c r="AT95" i="16"/>
  <c r="AT96" i="16" s="1"/>
  <c r="AU95" i="16"/>
  <c r="AU96" i="16" s="1"/>
  <c r="AV95" i="16"/>
  <c r="AV96" i="16" s="1"/>
  <c r="AW95" i="16"/>
  <c r="AW96" i="16" s="1"/>
  <c r="AX95" i="16"/>
  <c r="AX96" i="16" s="1"/>
  <c r="AY95" i="16"/>
  <c r="AY96" i="16" s="1"/>
  <c r="AZ95" i="16"/>
  <c r="BA95" i="16"/>
  <c r="BA96" i="16" s="1"/>
  <c r="BB95" i="16"/>
  <c r="BB96" i="16" s="1"/>
  <c r="BC95" i="16"/>
  <c r="BC96" i="16" s="1"/>
  <c r="BD95" i="16"/>
  <c r="BD96" i="16" s="1"/>
  <c r="BE95" i="16"/>
  <c r="BE96" i="16" s="1"/>
  <c r="BF95" i="16"/>
  <c r="BF96" i="16" s="1"/>
  <c r="BG95" i="16"/>
  <c r="BG96" i="16" s="1"/>
  <c r="BH95" i="16"/>
  <c r="BH96" i="16" s="1"/>
  <c r="BI95" i="16"/>
  <c r="BI96" i="16" s="1"/>
  <c r="BJ95" i="16"/>
  <c r="BJ96" i="16" s="1"/>
  <c r="BK95" i="16"/>
  <c r="BK96" i="16" s="1"/>
  <c r="BL95" i="16"/>
  <c r="BM95" i="16"/>
  <c r="BM96" i="16" s="1"/>
  <c r="BN95" i="16"/>
  <c r="BN96" i="16" s="1"/>
  <c r="BO95" i="16"/>
  <c r="BO96" i="16" s="1"/>
  <c r="BP95" i="16"/>
  <c r="BP96" i="16" s="1"/>
  <c r="BQ95" i="16"/>
  <c r="BQ96" i="16" s="1"/>
  <c r="BR95" i="16"/>
  <c r="BR96" i="16" s="1"/>
  <c r="BS95" i="16"/>
  <c r="BT95" i="16"/>
  <c r="BT96" i="16" s="1"/>
  <c r="BU95" i="16"/>
  <c r="BU96" i="16" s="1"/>
  <c r="BV95" i="16"/>
  <c r="BV96" i="16" s="1"/>
  <c r="BW95" i="16"/>
  <c r="BW96" i="16" s="1"/>
  <c r="BX95" i="16"/>
  <c r="BX96" i="16" s="1"/>
  <c r="BY95" i="16"/>
  <c r="BY96" i="16" s="1"/>
  <c r="BZ95" i="16"/>
  <c r="BZ96" i="16" s="1"/>
  <c r="CA95" i="16"/>
  <c r="CA96" i="16" s="1"/>
  <c r="CB95" i="16"/>
  <c r="CB96" i="16" s="1"/>
  <c r="CC95" i="16"/>
  <c r="CC96" i="16" s="1"/>
  <c r="CD95" i="16"/>
  <c r="CD96" i="16" s="1"/>
  <c r="CE95" i="16"/>
  <c r="CE96" i="16" s="1"/>
  <c r="CF95" i="16"/>
  <c r="CF96" i="16" s="1"/>
  <c r="CG95" i="16"/>
  <c r="CG96" i="16" s="1"/>
  <c r="CH95" i="16"/>
  <c r="CH96" i="16" s="1"/>
  <c r="CI95" i="16"/>
  <c r="CI96" i="16" s="1"/>
  <c r="CJ95" i="16"/>
  <c r="CK95" i="16"/>
  <c r="CK96" i="16" s="1"/>
  <c r="CL95" i="16"/>
  <c r="CL96" i="16" s="1"/>
  <c r="CM95" i="16"/>
  <c r="CM96" i="16" s="1"/>
  <c r="CN95" i="16"/>
  <c r="CN96" i="16" s="1"/>
  <c r="CO95" i="16"/>
  <c r="CO96" i="16" s="1"/>
  <c r="CP95" i="16"/>
  <c r="CP96" i="16" s="1"/>
  <c r="CQ95" i="16"/>
  <c r="CQ96" i="16" s="1"/>
  <c r="CR95" i="16"/>
  <c r="CR96" i="16" s="1"/>
  <c r="CS95" i="16"/>
  <c r="CS96" i="16" s="1"/>
  <c r="CT95" i="16"/>
  <c r="CT96" i="16" s="1"/>
  <c r="CU95" i="16"/>
  <c r="CU96" i="16" s="1"/>
  <c r="CV95" i="16"/>
  <c r="CW95" i="16"/>
  <c r="CW96" i="16" s="1"/>
  <c r="CX95" i="16"/>
  <c r="CX96" i="16" s="1"/>
  <c r="CY95" i="16"/>
  <c r="CY96" i="16" s="1"/>
  <c r="CZ95" i="16"/>
  <c r="CZ96" i="16" s="1"/>
  <c r="DA95" i="16"/>
  <c r="DA96" i="16" s="1"/>
  <c r="DB95" i="16"/>
  <c r="DB96" i="16" s="1"/>
  <c r="DC95" i="16"/>
  <c r="DC96" i="16" s="1"/>
  <c r="DD95" i="16"/>
  <c r="DD96" i="16" s="1"/>
  <c r="DE95" i="16"/>
  <c r="DE96" i="16" s="1"/>
  <c r="DF95" i="16"/>
  <c r="DF96" i="16" s="1"/>
  <c r="DG95" i="16"/>
  <c r="DG96" i="16" s="1"/>
  <c r="DH95" i="16"/>
  <c r="DI95" i="16"/>
  <c r="DI96" i="16" s="1"/>
  <c r="DJ95" i="16"/>
  <c r="DJ96" i="16" s="1"/>
  <c r="DK95" i="16"/>
  <c r="DK96" i="16" s="1"/>
  <c r="DL95" i="16"/>
  <c r="DL96" i="16" s="1"/>
  <c r="DM95" i="16"/>
  <c r="DM96" i="16" s="1"/>
  <c r="DN95" i="16"/>
  <c r="DN96" i="16" s="1"/>
  <c r="DO95" i="16"/>
  <c r="DO96" i="16" s="1"/>
  <c r="DP95" i="16"/>
  <c r="DP96" i="16" s="1"/>
  <c r="DQ95" i="16"/>
  <c r="DQ96" i="16" s="1"/>
  <c r="DR95" i="16"/>
  <c r="DR96" i="16" s="1"/>
  <c r="DS95" i="16"/>
  <c r="DS96" i="16" s="1"/>
  <c r="DT95" i="16"/>
  <c r="DU95" i="16"/>
  <c r="DU96" i="16" s="1"/>
  <c r="DV95" i="16"/>
  <c r="DV96" i="16" s="1"/>
  <c r="DW95" i="16"/>
  <c r="DW96" i="16" s="1"/>
  <c r="DX95" i="16"/>
  <c r="DX96" i="16" s="1"/>
  <c r="DY95" i="16"/>
  <c r="DY96" i="16" s="1"/>
  <c r="DZ95" i="16"/>
  <c r="DZ96" i="16" s="1"/>
  <c r="EA95" i="16"/>
  <c r="EA96" i="16" s="1"/>
  <c r="EB95" i="16"/>
  <c r="EB96" i="16" s="1"/>
  <c r="EC95" i="16"/>
  <c r="EC96" i="16" s="1"/>
  <c r="ED95" i="16"/>
  <c r="ED96" i="16" s="1"/>
  <c r="EE95" i="16"/>
  <c r="EE96" i="16" s="1"/>
  <c r="EF95" i="16"/>
  <c r="EF96" i="16" s="1"/>
  <c r="EG95" i="16"/>
  <c r="EG96" i="16" s="1"/>
  <c r="EH95" i="16"/>
  <c r="EH96" i="16" s="1"/>
  <c r="EI95" i="16"/>
  <c r="EI96" i="16" s="1"/>
  <c r="EJ95" i="16"/>
  <c r="EJ96" i="16" s="1"/>
  <c r="EK95" i="16"/>
  <c r="EK96" i="16" s="1"/>
  <c r="EL95" i="16"/>
  <c r="EL96" i="16" s="1"/>
  <c r="EM95" i="16"/>
  <c r="EM96" i="16" s="1"/>
  <c r="EN95" i="16"/>
  <c r="EN96" i="16" s="1"/>
  <c r="EO95" i="16"/>
  <c r="EO96" i="16" s="1"/>
  <c r="EP95" i="16"/>
  <c r="EP96" i="16" s="1"/>
  <c r="EQ95" i="16"/>
  <c r="EQ96" i="16" s="1"/>
  <c r="ER95" i="16"/>
  <c r="ES95" i="16"/>
  <c r="ES96" i="16" s="1"/>
  <c r="ET95" i="16"/>
  <c r="ET96" i="16" s="1"/>
  <c r="EU95" i="16"/>
  <c r="EU96" i="16" s="1"/>
  <c r="EV95" i="16"/>
  <c r="EV96" i="16" s="1"/>
  <c r="EW95" i="16"/>
  <c r="EW96" i="16" s="1"/>
  <c r="EX95" i="16"/>
  <c r="EX96" i="16" s="1"/>
  <c r="EY95" i="16"/>
  <c r="EY96" i="16" s="1"/>
  <c r="EZ95" i="16"/>
  <c r="EZ96" i="16" s="1"/>
  <c r="FA95" i="16"/>
  <c r="FA96" i="16" s="1"/>
  <c r="FB95" i="16"/>
  <c r="FB96" i="16" s="1"/>
  <c r="FC95" i="16"/>
  <c r="FC96" i="16" s="1"/>
  <c r="FD95" i="16"/>
  <c r="FE95" i="16"/>
  <c r="FE96" i="16" s="1"/>
  <c r="FF95" i="16"/>
  <c r="FF96" i="16" s="1"/>
  <c r="FG95" i="16"/>
  <c r="FG96" i="16" s="1"/>
  <c r="FH95" i="16"/>
  <c r="FH96" i="16" s="1"/>
  <c r="FI95" i="16"/>
  <c r="FI96" i="16" s="1"/>
  <c r="FJ95" i="16"/>
  <c r="FJ96" i="16" s="1"/>
  <c r="FK95" i="16"/>
  <c r="FK96" i="16" s="1"/>
  <c r="FL95" i="16"/>
  <c r="FL96" i="16" s="1"/>
  <c r="FM95" i="16"/>
  <c r="FM96" i="16" s="1"/>
  <c r="FN95" i="16"/>
  <c r="FN96" i="16" s="1"/>
  <c r="FO95" i="16"/>
  <c r="FO96" i="16" s="1"/>
  <c r="FP95" i="16"/>
  <c r="FQ95" i="16"/>
  <c r="FQ96" i="16" s="1"/>
  <c r="FR95" i="16"/>
  <c r="FR96" i="16" s="1"/>
  <c r="FS95" i="16"/>
  <c r="FS96" i="16" s="1"/>
  <c r="FT95" i="16"/>
  <c r="FT96" i="16" s="1"/>
  <c r="FU95" i="16"/>
  <c r="FU96" i="16" s="1"/>
  <c r="FV95" i="16"/>
  <c r="FV96" i="16" s="1"/>
  <c r="FW95" i="16"/>
  <c r="FW96" i="16" s="1"/>
  <c r="FX95" i="16"/>
  <c r="FX96" i="16" s="1"/>
  <c r="FY95" i="16"/>
  <c r="FY96" i="16" s="1"/>
  <c r="FZ95" i="16"/>
  <c r="FZ96" i="16" s="1"/>
  <c r="GA95" i="16"/>
  <c r="GA96" i="16" s="1"/>
  <c r="GB95" i="16"/>
  <c r="GB96" i="16" s="1"/>
  <c r="GC95" i="16"/>
  <c r="GC96" i="16" s="1"/>
  <c r="GD95" i="16"/>
  <c r="GD96" i="16" s="1"/>
  <c r="GE95" i="16"/>
  <c r="GE96" i="16" s="1"/>
  <c r="GF95" i="16"/>
  <c r="GF96" i="16" s="1"/>
  <c r="GG95" i="16"/>
  <c r="GG96" i="16" s="1"/>
  <c r="GH95" i="16"/>
  <c r="GH96" i="16" s="1"/>
  <c r="GI95" i="16"/>
  <c r="GI96" i="16" s="1"/>
  <c r="GJ95" i="16"/>
  <c r="GJ96" i="16" s="1"/>
  <c r="GK95" i="16"/>
  <c r="GK96" i="16" s="1"/>
  <c r="GL95" i="16"/>
  <c r="GL96" i="16" s="1"/>
  <c r="GM95" i="16"/>
  <c r="GM96" i="16" s="1"/>
  <c r="GN95" i="16"/>
  <c r="GO95" i="16"/>
  <c r="GO96" i="16" s="1"/>
  <c r="GP95" i="16"/>
  <c r="GP96" i="16" s="1"/>
  <c r="GQ95" i="16"/>
  <c r="GQ96" i="16" s="1"/>
  <c r="GR95" i="16"/>
  <c r="GR96" i="16" s="1"/>
  <c r="GS95" i="16"/>
  <c r="GS96" i="16" s="1"/>
  <c r="GT95" i="16"/>
  <c r="GT96" i="16" s="1"/>
  <c r="GU95" i="16"/>
  <c r="GU96" i="16" s="1"/>
  <c r="GV95" i="16"/>
  <c r="GV96" i="16" s="1"/>
  <c r="GW95" i="16"/>
  <c r="GW96" i="16" s="1"/>
  <c r="GX95" i="16"/>
  <c r="GX96" i="16" s="1"/>
  <c r="GY95" i="16"/>
  <c r="GY96" i="16" s="1"/>
  <c r="GZ95" i="16"/>
  <c r="HA95" i="16"/>
  <c r="HA96" i="16" s="1"/>
  <c r="HB95" i="16"/>
  <c r="HB96" i="16" s="1"/>
  <c r="HC95" i="16"/>
  <c r="HC96" i="16" s="1"/>
  <c r="HD95" i="16"/>
  <c r="HD96" i="16" s="1"/>
  <c r="HE95" i="16"/>
  <c r="HE96" i="16" s="1"/>
  <c r="HF95" i="16"/>
  <c r="HF96" i="16" s="1"/>
  <c r="HG95" i="16"/>
  <c r="HG96" i="16" s="1"/>
  <c r="HH95" i="16"/>
  <c r="HH96" i="16" s="1"/>
  <c r="HI95" i="16"/>
  <c r="HI96" i="16" s="1"/>
  <c r="HJ95" i="16"/>
  <c r="HJ96" i="16" s="1"/>
  <c r="HK95" i="16"/>
  <c r="HK96" i="16" s="1"/>
  <c r="HL95" i="16"/>
  <c r="HM95" i="16"/>
  <c r="HM96" i="16" s="1"/>
  <c r="HN95" i="16"/>
  <c r="HN96" i="16" s="1"/>
  <c r="HO95" i="16"/>
  <c r="HO96" i="16" s="1"/>
  <c r="HP95" i="16"/>
  <c r="HP96" i="16" s="1"/>
  <c r="HQ95" i="16"/>
  <c r="HQ96" i="16" s="1"/>
  <c r="HR95" i="16"/>
  <c r="HR96" i="16" s="1"/>
  <c r="HS95" i="16"/>
  <c r="HS96" i="16" s="1"/>
  <c r="HT95" i="16"/>
  <c r="HT96" i="16" s="1"/>
  <c r="HU95" i="16"/>
  <c r="HU96" i="16" s="1"/>
  <c r="HV95" i="16"/>
  <c r="HV96" i="16" s="1"/>
  <c r="HW95" i="16"/>
  <c r="HW96" i="16" s="1"/>
  <c r="HX95" i="16"/>
  <c r="HX96" i="16" s="1"/>
  <c r="HY95" i="16"/>
  <c r="HY96" i="16" s="1"/>
  <c r="HZ95" i="16"/>
  <c r="HZ96" i="16" s="1"/>
  <c r="IA95" i="16"/>
  <c r="IA96" i="16" s="1"/>
  <c r="IB95" i="16"/>
  <c r="IB96" i="16" s="1"/>
  <c r="IC95" i="16"/>
  <c r="IC96" i="16" s="1"/>
  <c r="ID95" i="16"/>
  <c r="ID96" i="16" s="1"/>
  <c r="IE95" i="16"/>
  <c r="IE96" i="16" s="1"/>
  <c r="IF95" i="16"/>
  <c r="IF96" i="16" s="1"/>
  <c r="IG95" i="16"/>
  <c r="IG96" i="16" s="1"/>
  <c r="IH95" i="16"/>
  <c r="IH96" i="16" s="1"/>
  <c r="II95" i="16"/>
  <c r="II96" i="16" s="1"/>
  <c r="IJ95" i="16"/>
  <c r="IK95" i="16"/>
  <c r="IK96" i="16" s="1"/>
  <c r="IL95" i="16"/>
  <c r="IL96" i="16" s="1"/>
  <c r="IM95" i="16"/>
  <c r="IM96" i="16" s="1"/>
  <c r="IN95" i="16"/>
  <c r="IN96" i="16" s="1"/>
  <c r="IO95" i="16"/>
  <c r="IO96" i="16" s="1"/>
  <c r="IP95" i="16"/>
  <c r="IP96" i="16" s="1"/>
  <c r="IQ95" i="16"/>
  <c r="IQ96" i="16" s="1"/>
  <c r="IR95" i="16"/>
  <c r="IR96" i="16" s="1"/>
  <c r="IS95" i="16"/>
  <c r="IS96" i="16" s="1"/>
  <c r="IT95" i="16"/>
  <c r="IT96" i="16" s="1"/>
  <c r="IU95" i="16"/>
  <c r="IU96" i="16" s="1"/>
  <c r="IV95" i="16"/>
  <c r="IW95" i="16"/>
  <c r="IW96" i="16" s="1"/>
  <c r="IX95" i="16"/>
  <c r="IX96" i="16" s="1"/>
  <c r="IY95" i="16"/>
  <c r="IY96" i="16" s="1"/>
  <c r="IZ95" i="16"/>
  <c r="IZ96" i="16" s="1"/>
  <c r="JA95" i="16"/>
  <c r="JA96" i="16" s="1"/>
  <c r="JB95" i="16"/>
  <c r="JB96" i="16" s="1"/>
  <c r="JC95" i="16"/>
  <c r="JC96" i="16" s="1"/>
  <c r="JD95" i="16"/>
  <c r="JD96" i="16" s="1"/>
  <c r="JE95" i="16"/>
  <c r="JE96" i="16" s="1"/>
  <c r="JF95" i="16"/>
  <c r="JF96" i="16" s="1"/>
  <c r="JG95" i="16"/>
  <c r="JG96" i="16" s="1"/>
  <c r="JH95" i="16"/>
  <c r="JI95" i="16"/>
  <c r="JI96" i="16" s="1"/>
  <c r="JJ95" i="16"/>
  <c r="JJ96" i="16" s="1"/>
  <c r="JK95" i="16"/>
  <c r="JK96" i="16" s="1"/>
  <c r="JL95" i="16"/>
  <c r="JL96" i="16" s="1"/>
  <c r="JM95" i="16"/>
  <c r="JM96" i="16" s="1"/>
  <c r="JN95" i="16"/>
  <c r="JN96" i="16" s="1"/>
  <c r="JO95" i="16"/>
  <c r="JO96" i="16" s="1"/>
  <c r="JP95" i="16"/>
  <c r="JP96" i="16" s="1"/>
  <c r="JQ95" i="16"/>
  <c r="JQ96" i="16" s="1"/>
  <c r="JR95" i="16"/>
  <c r="JR96" i="16" s="1"/>
  <c r="JS95" i="16"/>
  <c r="JS96" i="16" s="1"/>
  <c r="JT95" i="16"/>
  <c r="JT96" i="16" s="1"/>
  <c r="JU95" i="16"/>
  <c r="JU96" i="16" s="1"/>
  <c r="JV95" i="16"/>
  <c r="JV96" i="16" s="1"/>
  <c r="JW95" i="16"/>
  <c r="JW96" i="16" s="1"/>
  <c r="JX95" i="16"/>
  <c r="JX96" i="16" s="1"/>
  <c r="JY95" i="16"/>
  <c r="JY96" i="16" s="1"/>
  <c r="JZ95" i="16"/>
  <c r="JZ96" i="16" s="1"/>
  <c r="KA95" i="16"/>
  <c r="KA96" i="16" s="1"/>
  <c r="KB95" i="16"/>
  <c r="KB96" i="16" s="1"/>
  <c r="KC95" i="16"/>
  <c r="KC96" i="16" s="1"/>
  <c r="KD95" i="16"/>
  <c r="KD96" i="16" s="1"/>
  <c r="KE95" i="16"/>
  <c r="KE96" i="16" s="1"/>
  <c r="KF95" i="16"/>
  <c r="KG95" i="16"/>
  <c r="KG96" i="16" s="1"/>
  <c r="KH95" i="16"/>
  <c r="KH96" i="16" s="1"/>
  <c r="KI95" i="16"/>
  <c r="KI96" i="16" s="1"/>
  <c r="KJ95" i="16"/>
  <c r="KJ96" i="16" s="1"/>
  <c r="KK95" i="16"/>
  <c r="KK96" i="16" s="1"/>
  <c r="KL95" i="16"/>
  <c r="KL96" i="16" s="1"/>
  <c r="KM95" i="16"/>
  <c r="KM96" i="16" s="1"/>
  <c r="KN95" i="16"/>
  <c r="KN96" i="16" s="1"/>
  <c r="KO95" i="16"/>
  <c r="KO96" i="16" s="1"/>
  <c r="KP95" i="16"/>
  <c r="KP96" i="16" s="1"/>
  <c r="KQ95" i="16"/>
  <c r="KQ96" i="16" s="1"/>
  <c r="KR95" i="16"/>
  <c r="KS95" i="16"/>
  <c r="KS96" i="16" s="1"/>
  <c r="KT95" i="16"/>
  <c r="KT96" i="16" s="1"/>
  <c r="KU95" i="16"/>
  <c r="KU96" i="16" s="1"/>
  <c r="KV95" i="16"/>
  <c r="KV96" i="16" s="1"/>
  <c r="KW95" i="16"/>
  <c r="KW96" i="16" s="1"/>
  <c r="KX95" i="16"/>
  <c r="KX96" i="16" s="1"/>
  <c r="KY95" i="16"/>
  <c r="KY96" i="16" s="1"/>
  <c r="KZ95" i="16"/>
  <c r="KZ96" i="16" s="1"/>
  <c r="LA95" i="16"/>
  <c r="LA96" i="16" s="1"/>
  <c r="LB95" i="16"/>
  <c r="LB96" i="16" s="1"/>
  <c r="LC95" i="16"/>
  <c r="LC96" i="16" s="1"/>
  <c r="LD95" i="16"/>
  <c r="LE95" i="16"/>
  <c r="LE96" i="16" s="1"/>
  <c r="LF95" i="16"/>
  <c r="LF96" i="16" s="1"/>
  <c r="LG95" i="16"/>
  <c r="LG96" i="16" s="1"/>
  <c r="LH95" i="16"/>
  <c r="LH96" i="16" s="1"/>
  <c r="LI95" i="16"/>
  <c r="LI96" i="16" s="1"/>
  <c r="LJ95" i="16"/>
  <c r="LJ96" i="16" s="1"/>
  <c r="LK95" i="16"/>
  <c r="LK96" i="16" s="1"/>
  <c r="LL95" i="16"/>
  <c r="LL96" i="16" s="1"/>
  <c r="LM95" i="16"/>
  <c r="LM96" i="16" s="1"/>
  <c r="LN95" i="16"/>
  <c r="LN96" i="16" s="1"/>
  <c r="LO95" i="16"/>
  <c r="LO96" i="16" s="1"/>
  <c r="LP95" i="16"/>
  <c r="LP96" i="16" s="1"/>
  <c r="LQ95" i="16"/>
  <c r="LQ96" i="16" s="1"/>
  <c r="LR95" i="16"/>
  <c r="LR96" i="16" s="1"/>
  <c r="LS95" i="16"/>
  <c r="LS96" i="16" s="1"/>
  <c r="LT95" i="16"/>
  <c r="LT96" i="16" s="1"/>
  <c r="LU95" i="16"/>
  <c r="LU96" i="16" s="1"/>
  <c r="LV95" i="16"/>
  <c r="LV96" i="16" s="1"/>
  <c r="LW95" i="16"/>
  <c r="LW96" i="16" s="1"/>
  <c r="LX95" i="16"/>
  <c r="LX96" i="16" s="1"/>
  <c r="LY95" i="16"/>
  <c r="LY96" i="16" s="1"/>
  <c r="LZ95" i="16"/>
  <c r="LZ96" i="16" s="1"/>
  <c r="MA95" i="16"/>
  <c r="MA96" i="16" s="1"/>
  <c r="MB95" i="16"/>
  <c r="MC95" i="16"/>
  <c r="MC96" i="16" s="1"/>
  <c r="MD95" i="16"/>
  <c r="MD96" i="16" s="1"/>
  <c r="ME95" i="16"/>
  <c r="ME96" i="16" s="1"/>
  <c r="MF95" i="16"/>
  <c r="MF96" i="16" s="1"/>
  <c r="MG95" i="16"/>
  <c r="MG96" i="16" s="1"/>
  <c r="MH95" i="16"/>
  <c r="MH96" i="16" s="1"/>
  <c r="MI95" i="16"/>
  <c r="MI96" i="16" s="1"/>
  <c r="MJ95" i="16"/>
  <c r="MJ96" i="16" s="1"/>
  <c r="MK95" i="16"/>
  <c r="MK96" i="16" s="1"/>
  <c r="ML95" i="16"/>
  <c r="ML96" i="16" s="1"/>
  <c r="MM95" i="16"/>
  <c r="MM96" i="16" s="1"/>
  <c r="MN95" i="16"/>
  <c r="MO95" i="16"/>
  <c r="MO96" i="16" s="1"/>
  <c r="MP95" i="16"/>
  <c r="MP96" i="16" s="1"/>
  <c r="MQ95" i="16"/>
  <c r="MQ96" i="16" s="1"/>
  <c r="MR95" i="16"/>
  <c r="MR96" i="16" s="1"/>
  <c r="MS95" i="16"/>
  <c r="MS96" i="16" s="1"/>
  <c r="MT95" i="16"/>
  <c r="MT96" i="16" s="1"/>
  <c r="MU95" i="16"/>
  <c r="MU96" i="16" s="1"/>
  <c r="MV95" i="16"/>
  <c r="MV96" i="16" s="1"/>
  <c r="MW95" i="16"/>
  <c r="MW96" i="16" s="1"/>
  <c r="MX95" i="16"/>
  <c r="MX96" i="16" s="1"/>
  <c r="MY95" i="16"/>
  <c r="MY96" i="16" s="1"/>
  <c r="MZ95" i="16"/>
  <c r="NA95" i="16"/>
  <c r="NA96" i="16" s="1"/>
  <c r="NB95" i="16"/>
  <c r="NB96" i="16" s="1"/>
  <c r="NC95" i="16"/>
  <c r="NC96" i="16" s="1"/>
  <c r="ND95" i="16"/>
  <c r="ND96" i="16" s="1"/>
  <c r="NE95" i="16"/>
  <c r="NE96" i="16" s="1"/>
  <c r="NF95" i="16"/>
  <c r="NF96" i="16" s="1"/>
  <c r="NG95" i="16"/>
  <c r="NG96" i="16" s="1"/>
  <c r="NH95" i="16"/>
  <c r="NH96" i="16" s="1"/>
  <c r="NI95" i="16"/>
  <c r="NI96" i="16" s="1"/>
  <c r="NJ95" i="16"/>
  <c r="NJ96" i="16" s="1"/>
  <c r="NK95" i="16"/>
  <c r="NK96" i="16" s="1"/>
  <c r="NL95" i="16"/>
  <c r="NL96" i="16" s="1"/>
  <c r="NM95" i="16"/>
  <c r="NM96" i="16" s="1"/>
  <c r="NN95" i="16"/>
  <c r="NN96" i="16" s="1"/>
  <c r="NO95" i="16"/>
  <c r="NO96" i="16" s="1"/>
  <c r="NP95" i="16"/>
  <c r="NP96" i="16" s="1"/>
  <c r="NQ95" i="16"/>
  <c r="NQ96" i="16" s="1"/>
  <c r="NR95" i="16"/>
  <c r="NR96" i="16" s="1"/>
  <c r="NS95" i="16"/>
  <c r="NS96" i="16" s="1"/>
  <c r="NT95" i="16"/>
  <c r="NT96" i="16" s="1"/>
  <c r="NU95" i="16"/>
  <c r="NU96" i="16" s="1"/>
  <c r="NV95" i="16"/>
  <c r="NV96" i="16" s="1"/>
  <c r="NW95" i="16"/>
  <c r="NW96" i="16" s="1"/>
  <c r="NX95" i="16"/>
  <c r="NY95" i="16"/>
  <c r="NY96" i="16" s="1"/>
  <c r="NZ95" i="16"/>
  <c r="NZ96" i="16" s="1"/>
  <c r="OA95" i="16"/>
  <c r="OA96" i="16" s="1"/>
  <c r="OB95" i="16"/>
  <c r="OB96" i="16" s="1"/>
  <c r="OC95" i="16"/>
  <c r="OC96" i="16" s="1"/>
  <c r="OD95" i="16"/>
  <c r="OD96" i="16" s="1"/>
  <c r="OE95" i="16"/>
  <c r="OE96" i="16" s="1"/>
  <c r="OF95" i="16"/>
  <c r="OF96" i="16" s="1"/>
  <c r="OG95" i="16"/>
  <c r="OG96" i="16" s="1"/>
  <c r="OH95" i="16"/>
  <c r="OH96" i="16" s="1"/>
  <c r="OI95" i="16"/>
  <c r="OI96" i="16" s="1"/>
  <c r="OJ95" i="16"/>
  <c r="OK95" i="16"/>
  <c r="OK96" i="16" s="1"/>
  <c r="OL95" i="16"/>
  <c r="OL96" i="16" s="1"/>
  <c r="OM95" i="16"/>
  <c r="OM96" i="16" s="1"/>
  <c r="ON95" i="16"/>
  <c r="ON96" i="16" s="1"/>
  <c r="OO95" i="16"/>
  <c r="OO96" i="16" s="1"/>
  <c r="F124" i="13"/>
  <c r="D54" i="16"/>
  <c r="BS96" i="16"/>
  <c r="CJ96" i="16"/>
  <c r="AT75" i="16"/>
  <c r="AU75" i="16"/>
  <c r="AV75" i="16"/>
  <c r="AW75" i="16"/>
  <c r="AX75" i="16"/>
  <c r="AY75" i="16"/>
  <c r="AZ75" i="16"/>
  <c r="BA75" i="16"/>
  <c r="BB75" i="16"/>
  <c r="BC75" i="16"/>
  <c r="BD75" i="16"/>
  <c r="BE75" i="16"/>
  <c r="BF75" i="16"/>
  <c r="BG75" i="16"/>
  <c r="BH75" i="16"/>
  <c r="BI75" i="16"/>
  <c r="BJ75" i="16"/>
  <c r="BK75" i="16"/>
  <c r="BL75" i="16"/>
  <c r="BM75" i="16"/>
  <c r="BN75" i="16"/>
  <c r="BO75" i="16"/>
  <c r="BP75" i="16"/>
  <c r="BQ75" i="16"/>
  <c r="BR75" i="16"/>
  <c r="BS75" i="16"/>
  <c r="BT75" i="16"/>
  <c r="BU75" i="16"/>
  <c r="BV75" i="16"/>
  <c r="BW75" i="16"/>
  <c r="BX75" i="16"/>
  <c r="BY75" i="16"/>
  <c r="BZ75" i="16"/>
  <c r="CA75" i="16"/>
  <c r="CB75" i="16"/>
  <c r="CC75" i="16"/>
  <c r="CD75" i="16"/>
  <c r="CE75" i="16"/>
  <c r="CF75" i="16"/>
  <c r="CG75" i="16"/>
  <c r="CH75" i="16"/>
  <c r="CI75" i="16"/>
  <c r="CJ75" i="16"/>
  <c r="CK75" i="16"/>
  <c r="CL75" i="16"/>
  <c r="CM75" i="16"/>
  <c r="CN75" i="16"/>
  <c r="CO75" i="16"/>
  <c r="CP75" i="16"/>
  <c r="CQ75" i="16"/>
  <c r="CR75" i="16"/>
  <c r="CS75" i="16"/>
  <c r="CT75" i="16"/>
  <c r="CU75" i="16"/>
  <c r="CV75" i="16"/>
  <c r="CW75" i="16"/>
  <c r="CX75" i="16"/>
  <c r="CY75" i="16"/>
  <c r="CZ75" i="16"/>
  <c r="DA75" i="16"/>
  <c r="DB75" i="16"/>
  <c r="DC75" i="16"/>
  <c r="DD75" i="16"/>
  <c r="DE75" i="16"/>
  <c r="DF75" i="16"/>
  <c r="DG75" i="16"/>
  <c r="DH75" i="16"/>
  <c r="DI75" i="16"/>
  <c r="DJ75" i="16"/>
  <c r="DK75" i="16"/>
  <c r="DL75" i="16"/>
  <c r="DM75" i="16"/>
  <c r="DN75" i="16"/>
  <c r="DO75" i="16"/>
  <c r="DP75" i="16"/>
  <c r="DQ75" i="16"/>
  <c r="DR75" i="16"/>
  <c r="DS75" i="16"/>
  <c r="DT75" i="16"/>
  <c r="DU75" i="16"/>
  <c r="DV75" i="16"/>
  <c r="DW75" i="16"/>
  <c r="DX75" i="16"/>
  <c r="DY75" i="16"/>
  <c r="DZ75" i="16"/>
  <c r="EA75" i="16"/>
  <c r="EB75" i="16"/>
  <c r="EC75" i="16"/>
  <c r="ED75" i="16"/>
  <c r="EE75" i="16"/>
  <c r="EF75" i="16"/>
  <c r="EG75" i="16"/>
  <c r="EH75" i="16"/>
  <c r="EI75" i="16"/>
  <c r="EJ75" i="16"/>
  <c r="EK75" i="16"/>
  <c r="EL75" i="16"/>
  <c r="EM75" i="16"/>
  <c r="EN75" i="16"/>
  <c r="EO75" i="16"/>
  <c r="EP75" i="16"/>
  <c r="EQ75" i="16"/>
  <c r="ER75" i="16"/>
  <c r="ES75" i="16"/>
  <c r="ET75" i="16"/>
  <c r="EU75" i="16"/>
  <c r="EV75" i="16"/>
  <c r="EW75" i="16"/>
  <c r="EX75" i="16"/>
  <c r="EY75" i="16"/>
  <c r="EZ75" i="16"/>
  <c r="FA75" i="16"/>
  <c r="FB75" i="16"/>
  <c r="FC75" i="16"/>
  <c r="FD75" i="16"/>
  <c r="FE75" i="16"/>
  <c r="FF75" i="16"/>
  <c r="FG75" i="16"/>
  <c r="FH75" i="16"/>
  <c r="FI75" i="16"/>
  <c r="FJ75" i="16"/>
  <c r="FK75" i="16"/>
  <c r="FL75" i="16"/>
  <c r="FM75" i="16"/>
  <c r="FN75" i="16"/>
  <c r="FO75" i="16"/>
  <c r="FP75" i="16"/>
  <c r="FQ75" i="16"/>
  <c r="FR75" i="16"/>
  <c r="FS75" i="16"/>
  <c r="FT75" i="16"/>
  <c r="FU75" i="16"/>
  <c r="FV75" i="16"/>
  <c r="FW75" i="16"/>
  <c r="FX75" i="16"/>
  <c r="FY75" i="16"/>
  <c r="FZ75" i="16"/>
  <c r="GA75" i="16"/>
  <c r="GB75" i="16"/>
  <c r="GC75" i="16"/>
  <c r="GD75" i="16"/>
  <c r="GE75" i="16"/>
  <c r="GF75" i="16"/>
  <c r="GG75" i="16"/>
  <c r="GH75" i="16"/>
  <c r="GI75" i="16"/>
  <c r="GJ75" i="16"/>
  <c r="GK75" i="16"/>
  <c r="GL75" i="16"/>
  <c r="GM75" i="16"/>
  <c r="GN75" i="16"/>
  <c r="GO75" i="16"/>
  <c r="GP75" i="16"/>
  <c r="GQ75" i="16"/>
  <c r="GR75" i="16"/>
  <c r="GS75" i="16"/>
  <c r="GT75" i="16"/>
  <c r="GU75" i="16"/>
  <c r="GV75" i="16"/>
  <c r="GW75" i="16"/>
  <c r="GX75" i="16"/>
  <c r="GY75" i="16"/>
  <c r="GZ75" i="16"/>
  <c r="HA75" i="16"/>
  <c r="HB75" i="16"/>
  <c r="HC75" i="16"/>
  <c r="HD75" i="16"/>
  <c r="HE75" i="16"/>
  <c r="HF75" i="16"/>
  <c r="HG75" i="16"/>
  <c r="HH75" i="16"/>
  <c r="HI75" i="16"/>
  <c r="HJ75" i="16"/>
  <c r="HK75" i="16"/>
  <c r="HL75" i="16"/>
  <c r="HM75" i="16"/>
  <c r="HN75" i="16"/>
  <c r="HO75" i="16"/>
  <c r="HP75" i="16"/>
  <c r="HQ75" i="16"/>
  <c r="HR75" i="16"/>
  <c r="HS75" i="16"/>
  <c r="HT75" i="16"/>
  <c r="HU75" i="16"/>
  <c r="HV75" i="16"/>
  <c r="HW75" i="16"/>
  <c r="HX75" i="16"/>
  <c r="HY75" i="16"/>
  <c r="HZ75" i="16"/>
  <c r="IA75" i="16"/>
  <c r="IB75" i="16"/>
  <c r="IC75" i="16"/>
  <c r="ID75" i="16"/>
  <c r="IE75" i="16"/>
  <c r="IF75" i="16"/>
  <c r="IG75" i="16"/>
  <c r="IH75" i="16"/>
  <c r="II75" i="16"/>
  <c r="IJ75" i="16"/>
  <c r="IK75" i="16"/>
  <c r="IL75" i="16"/>
  <c r="IM75" i="16"/>
  <c r="IN75" i="16"/>
  <c r="IO75" i="16"/>
  <c r="IP75" i="16"/>
  <c r="IQ75" i="16"/>
  <c r="IR75" i="16"/>
  <c r="IS75" i="16"/>
  <c r="IT75" i="16"/>
  <c r="IU75" i="16"/>
  <c r="IV75" i="16"/>
  <c r="IW75" i="16"/>
  <c r="IX75" i="16"/>
  <c r="IY75" i="16"/>
  <c r="IZ75" i="16"/>
  <c r="JA75" i="16"/>
  <c r="JB75" i="16"/>
  <c r="JC75" i="16"/>
  <c r="JD75" i="16"/>
  <c r="JE75" i="16"/>
  <c r="JF75" i="16"/>
  <c r="JG75" i="16"/>
  <c r="JH75" i="16"/>
  <c r="JI75" i="16"/>
  <c r="JJ75" i="16"/>
  <c r="JK75" i="16"/>
  <c r="JL75" i="16"/>
  <c r="JM75" i="16"/>
  <c r="JN75" i="16"/>
  <c r="JO75" i="16"/>
  <c r="JP75" i="16"/>
  <c r="JQ75" i="16"/>
  <c r="JR75" i="16"/>
  <c r="JS75" i="16"/>
  <c r="JT75" i="16"/>
  <c r="JU75" i="16"/>
  <c r="JV75" i="16"/>
  <c r="JW75" i="16"/>
  <c r="JX75" i="16"/>
  <c r="JY75" i="16"/>
  <c r="JZ75" i="16"/>
  <c r="KA75" i="16"/>
  <c r="KB75" i="16"/>
  <c r="KC75" i="16"/>
  <c r="KD75" i="16"/>
  <c r="KE75" i="16"/>
  <c r="KF75" i="16"/>
  <c r="KG75" i="16"/>
  <c r="KH75" i="16"/>
  <c r="KI75" i="16"/>
  <c r="KJ75" i="16"/>
  <c r="KK75" i="16"/>
  <c r="KL75" i="16"/>
  <c r="KM75" i="16"/>
  <c r="KN75" i="16"/>
  <c r="KO75" i="16"/>
  <c r="KP75" i="16"/>
  <c r="KQ75" i="16"/>
  <c r="KR75" i="16"/>
  <c r="KS75" i="16"/>
  <c r="KT75" i="16"/>
  <c r="KU75" i="16"/>
  <c r="KV75" i="16"/>
  <c r="KW75" i="16"/>
  <c r="KX75" i="16"/>
  <c r="KY75" i="16"/>
  <c r="KZ75" i="16"/>
  <c r="LA75" i="16"/>
  <c r="LB75" i="16"/>
  <c r="LC75" i="16"/>
  <c r="LD75" i="16"/>
  <c r="LE75" i="16"/>
  <c r="LF75" i="16"/>
  <c r="LG75" i="16"/>
  <c r="LH75" i="16"/>
  <c r="LI75" i="16"/>
  <c r="LJ75" i="16"/>
  <c r="LK75" i="16"/>
  <c r="LL75" i="16"/>
  <c r="LM75" i="16"/>
  <c r="LN75" i="16"/>
  <c r="LO75" i="16"/>
  <c r="LP75" i="16"/>
  <c r="LQ75" i="16"/>
  <c r="LR75" i="16"/>
  <c r="LS75" i="16"/>
  <c r="LT75" i="16"/>
  <c r="LU75" i="16"/>
  <c r="LV75" i="16"/>
  <c r="LW75" i="16"/>
  <c r="LX75" i="16"/>
  <c r="LY75" i="16"/>
  <c r="LZ75" i="16"/>
  <c r="MA75" i="16"/>
  <c r="MB75" i="16"/>
  <c r="MC75" i="16"/>
  <c r="MD75" i="16"/>
  <c r="ME75" i="16"/>
  <c r="MF75" i="16"/>
  <c r="MG75" i="16"/>
  <c r="MH75" i="16"/>
  <c r="MI75" i="16"/>
  <c r="MJ75" i="16"/>
  <c r="MK75" i="16"/>
  <c r="ML75" i="16"/>
  <c r="MM75" i="16"/>
  <c r="MN75" i="16"/>
  <c r="MO75" i="16"/>
  <c r="MP75" i="16"/>
  <c r="MQ75" i="16"/>
  <c r="MR75" i="16"/>
  <c r="MS75" i="16"/>
  <c r="MT75" i="16"/>
  <c r="MU75" i="16"/>
  <c r="MV75" i="16"/>
  <c r="MW75" i="16"/>
  <c r="MX75" i="16"/>
  <c r="MY75" i="16"/>
  <c r="MZ75" i="16"/>
  <c r="NA75" i="16"/>
  <c r="NB75" i="16"/>
  <c r="NC75" i="16"/>
  <c r="ND75" i="16"/>
  <c r="NE75" i="16"/>
  <c r="NF75" i="16"/>
  <c r="NG75" i="16"/>
  <c r="NH75" i="16"/>
  <c r="NI75" i="16"/>
  <c r="NJ75" i="16"/>
  <c r="NK75" i="16"/>
  <c r="NL75" i="16"/>
  <c r="NM75" i="16"/>
  <c r="NN75" i="16"/>
  <c r="NO75" i="16"/>
  <c r="NP75" i="16"/>
  <c r="NQ75" i="16"/>
  <c r="NR75" i="16"/>
  <c r="NS75" i="16"/>
  <c r="NT75" i="16"/>
  <c r="NU75" i="16"/>
  <c r="NV75" i="16"/>
  <c r="NW75" i="16"/>
  <c r="NX75" i="16"/>
  <c r="NY75" i="16"/>
  <c r="NZ75" i="16"/>
  <c r="OA75" i="16"/>
  <c r="OB75" i="16"/>
  <c r="OC75" i="16"/>
  <c r="OD75" i="16"/>
  <c r="OE75" i="16"/>
  <c r="OF75" i="16"/>
  <c r="OG75" i="16"/>
  <c r="OH75" i="16"/>
  <c r="OI75" i="16"/>
  <c r="OJ75" i="16"/>
  <c r="OK75" i="16"/>
  <c r="OL75" i="16"/>
  <c r="OM75" i="16"/>
  <c r="ON75" i="16"/>
  <c r="OO75" i="16"/>
  <c r="D83" i="16"/>
  <c r="M13" i="10"/>
  <c r="L20" i="10"/>
  <c r="L27" i="10" s="1"/>
  <c r="J19" i="10"/>
  <c r="J26" i="10" s="1"/>
  <c r="K12" i="10"/>
  <c r="G24" i="10"/>
  <c r="G29" i="10" s="1"/>
  <c r="E8" i="21" s="1"/>
  <c r="K14" i="10"/>
  <c r="J21" i="10"/>
  <c r="J28" i="10" s="1"/>
  <c r="M11" i="10"/>
  <c r="L18" i="10"/>
  <c r="L25" i="10" s="1"/>
  <c r="F36" i="9"/>
  <c r="D46" i="9" s="1"/>
  <c r="D22" i="6" s="1"/>
  <c r="F32" i="10"/>
  <c r="G32" i="10" s="1"/>
  <c r="H32" i="10" s="1"/>
  <c r="I32" i="10" s="1"/>
  <c r="J32" i="10" s="1"/>
  <c r="K32" i="10" s="1"/>
  <c r="L32" i="10" s="1"/>
  <c r="M32" i="10" s="1"/>
  <c r="N32" i="10" s="1"/>
  <c r="O32" i="10" s="1"/>
  <c r="P32" i="10" s="1"/>
  <c r="Q32" i="10" s="1"/>
  <c r="R32" i="10" s="1"/>
  <c r="S32" i="10" s="1"/>
  <c r="T32" i="10" s="1"/>
  <c r="U32" i="10" s="1"/>
  <c r="V32" i="10" s="1"/>
  <c r="W32" i="10" s="1"/>
  <c r="X32" i="10" s="1"/>
  <c r="Y32" i="10" s="1"/>
  <c r="Z32" i="10" s="1"/>
  <c r="AA32" i="10" s="1"/>
  <c r="AB32" i="10" s="1"/>
  <c r="AC32" i="10" s="1"/>
  <c r="AD32" i="10" s="1"/>
  <c r="AE32" i="10" s="1"/>
  <c r="AF32" i="10" s="1"/>
  <c r="AG32" i="10" s="1"/>
  <c r="AH32" i="10" s="1"/>
  <c r="AI32" i="10" s="1"/>
  <c r="I10" i="10"/>
  <c r="H15" i="10"/>
  <c r="F7" i="21" s="1"/>
  <c r="H17" i="10"/>
  <c r="H22" i="10" s="1"/>
  <c r="F34" i="10"/>
  <c r="G34" i="10" s="1"/>
  <c r="H34" i="10" s="1"/>
  <c r="I34" i="10" s="1"/>
  <c r="J34" i="10" s="1"/>
  <c r="K34" i="10" s="1"/>
  <c r="L34" i="10" s="1"/>
  <c r="M34" i="10" s="1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Y34" i="10" s="1"/>
  <c r="Z34" i="10" s="1"/>
  <c r="AA34" i="10" s="1"/>
  <c r="AB34" i="10" s="1"/>
  <c r="AC34" i="10" s="1"/>
  <c r="AD34" i="10" s="1"/>
  <c r="AE34" i="10" s="1"/>
  <c r="AF34" i="10" s="1"/>
  <c r="AG34" i="10" s="1"/>
  <c r="AH34" i="10" s="1"/>
  <c r="AI34" i="10" s="1"/>
  <c r="D7" i="7"/>
  <c r="E17" i="9"/>
  <c r="E36" i="9" s="1"/>
  <c r="E40" i="9" s="1"/>
  <c r="D17" i="9"/>
  <c r="D36" i="9" s="1"/>
  <c r="D40" i="9" s="1"/>
  <c r="N7" i="10" l="1"/>
  <c r="K4" i="21"/>
  <c r="NM92" i="16"/>
  <c r="LA92" i="16"/>
  <c r="IO92" i="16"/>
  <c r="GC92" i="16"/>
  <c r="DQ92" i="16"/>
  <c r="BE92" i="16"/>
  <c r="OL92" i="16"/>
  <c r="OD92" i="16"/>
  <c r="NV92" i="16"/>
  <c r="NN92" i="16"/>
  <c r="NF92" i="16"/>
  <c r="MX92" i="16"/>
  <c r="MP92" i="16"/>
  <c r="MH92" i="16"/>
  <c r="LZ92" i="16"/>
  <c r="LR92" i="16"/>
  <c r="LJ92" i="16"/>
  <c r="LB92" i="16"/>
  <c r="KT92" i="16"/>
  <c r="KL92" i="16"/>
  <c r="KD92" i="16"/>
  <c r="JV92" i="16"/>
  <c r="JN92" i="16"/>
  <c r="JF92" i="16"/>
  <c r="IX92" i="16"/>
  <c r="IP92" i="16"/>
  <c r="IH92" i="16"/>
  <c r="HZ92" i="16"/>
  <c r="HR92" i="16"/>
  <c r="HJ92" i="16"/>
  <c r="HB92" i="16"/>
  <c r="GT92" i="16"/>
  <c r="GL92" i="16"/>
  <c r="GD92" i="16"/>
  <c r="FV92" i="16"/>
  <c r="FN92" i="16"/>
  <c r="FF92" i="16"/>
  <c r="EX92" i="16"/>
  <c r="EP92" i="16"/>
  <c r="EH92" i="16"/>
  <c r="DZ92" i="16"/>
  <c r="DR92" i="16"/>
  <c r="DJ92" i="16"/>
  <c r="DB92" i="16"/>
  <c r="CT92" i="16"/>
  <c r="CL92" i="16"/>
  <c r="CD92" i="16"/>
  <c r="BV92" i="16"/>
  <c r="BN92" i="16"/>
  <c r="BF92" i="16"/>
  <c r="AX92" i="16"/>
  <c r="OJ92" i="16"/>
  <c r="OB92" i="16"/>
  <c r="NT92" i="16"/>
  <c r="NL92" i="16"/>
  <c r="ND92" i="16"/>
  <c r="MV92" i="16"/>
  <c r="MN92" i="16"/>
  <c r="MF92" i="16"/>
  <c r="LX92" i="16"/>
  <c r="LP92" i="16"/>
  <c r="LH92" i="16"/>
  <c r="KZ92" i="16"/>
  <c r="KR92" i="16"/>
  <c r="KJ92" i="16"/>
  <c r="KB92" i="16"/>
  <c r="JT92" i="16"/>
  <c r="JL92" i="16"/>
  <c r="JD92" i="16"/>
  <c r="IV92" i="16"/>
  <c r="IN92" i="16"/>
  <c r="IF92" i="16"/>
  <c r="HX92" i="16"/>
  <c r="HP92" i="16"/>
  <c r="HH92" i="16"/>
  <c r="GZ92" i="16"/>
  <c r="GR92" i="16"/>
  <c r="GJ92" i="16"/>
  <c r="GB92" i="16"/>
  <c r="FT92" i="16"/>
  <c r="FL92" i="16"/>
  <c r="FD92" i="16"/>
  <c r="EV92" i="16"/>
  <c r="EN92" i="16"/>
  <c r="EF92" i="16"/>
  <c r="DX92" i="16"/>
  <c r="DP92" i="16"/>
  <c r="DH92" i="16"/>
  <c r="CZ92" i="16"/>
  <c r="CR92" i="16"/>
  <c r="CJ92" i="16"/>
  <c r="CB92" i="16"/>
  <c r="BT92" i="16"/>
  <c r="BL92" i="16"/>
  <c r="BD92" i="16"/>
  <c r="AV92" i="16"/>
  <c r="OI92" i="16"/>
  <c r="OA92" i="16"/>
  <c r="NS92" i="16"/>
  <c r="NK92" i="16"/>
  <c r="NC92" i="16"/>
  <c r="MU92" i="16"/>
  <c r="MM92" i="16"/>
  <c r="ME92" i="16"/>
  <c r="LW92" i="16"/>
  <c r="LO92" i="16"/>
  <c r="LG92" i="16"/>
  <c r="KY92" i="16"/>
  <c r="KQ92" i="16"/>
  <c r="KI92" i="16"/>
  <c r="KA92" i="16"/>
  <c r="JS92" i="16"/>
  <c r="JK92" i="16"/>
  <c r="JC92" i="16"/>
  <c r="IU92" i="16"/>
  <c r="IM92" i="16"/>
  <c r="IE92" i="16"/>
  <c r="HW92" i="16"/>
  <c r="HO92" i="16"/>
  <c r="HG92" i="16"/>
  <c r="GY92" i="16"/>
  <c r="GQ92" i="16"/>
  <c r="GI92" i="16"/>
  <c r="GA92" i="16"/>
  <c r="FS92" i="16"/>
  <c r="FK92" i="16"/>
  <c r="FC92" i="16"/>
  <c r="EU92" i="16"/>
  <c r="EM92" i="16"/>
  <c r="EE92" i="16"/>
  <c r="DW92" i="16"/>
  <c r="DO92" i="16"/>
  <c r="DG92" i="16"/>
  <c r="CY92" i="16"/>
  <c r="CQ92" i="16"/>
  <c r="CI92" i="16"/>
  <c r="CA92" i="16"/>
  <c r="BS92" i="16"/>
  <c r="BK92" i="16"/>
  <c r="BC92" i="16"/>
  <c r="AU92" i="16"/>
  <c r="M200" i="16" s="1"/>
  <c r="OH92" i="16"/>
  <c r="NZ92" i="16"/>
  <c r="NR92" i="16"/>
  <c r="NJ92" i="16"/>
  <c r="NB92" i="16"/>
  <c r="MT92" i="16"/>
  <c r="ML92" i="16"/>
  <c r="MD92" i="16"/>
  <c r="LV92" i="16"/>
  <c r="LN92" i="16"/>
  <c r="LF92" i="16"/>
  <c r="KX92" i="16"/>
  <c r="KP92" i="16"/>
  <c r="KH92" i="16"/>
  <c r="JZ92" i="16"/>
  <c r="JR92" i="16"/>
  <c r="JJ92" i="16"/>
  <c r="JB92" i="16"/>
  <c r="IT92" i="16"/>
  <c r="IL92" i="16"/>
  <c r="ID92" i="16"/>
  <c r="HV92" i="16"/>
  <c r="HN92" i="16"/>
  <c r="HF92" i="16"/>
  <c r="GX92" i="16"/>
  <c r="GP92" i="16"/>
  <c r="GH92" i="16"/>
  <c r="FZ92" i="16"/>
  <c r="FR92" i="16"/>
  <c r="FJ92" i="16"/>
  <c r="FB92" i="16"/>
  <c r="ET92" i="16"/>
  <c r="EL92" i="16"/>
  <c r="ED92" i="16"/>
  <c r="DV92" i="16"/>
  <c r="DN92" i="16"/>
  <c r="DF92" i="16"/>
  <c r="CX92" i="16"/>
  <c r="CP92" i="16"/>
  <c r="CH92" i="16"/>
  <c r="BZ92" i="16"/>
  <c r="BR92" i="16"/>
  <c r="BJ92" i="16"/>
  <c r="BB92" i="16"/>
  <c r="AT92" i="16"/>
  <c r="OO92" i="16"/>
  <c r="OG92" i="16"/>
  <c r="NY92" i="16"/>
  <c r="NQ92" i="16"/>
  <c r="NI92" i="16"/>
  <c r="NA92" i="16"/>
  <c r="MS92" i="16"/>
  <c r="MK92" i="16"/>
  <c r="MC92" i="16"/>
  <c r="LU92" i="16"/>
  <c r="LM92" i="16"/>
  <c r="LE92" i="16"/>
  <c r="KW92" i="16"/>
  <c r="KO92" i="16"/>
  <c r="KG92" i="16"/>
  <c r="JY92" i="16"/>
  <c r="JQ92" i="16"/>
  <c r="JI92" i="16"/>
  <c r="JA92" i="16"/>
  <c r="AE200" i="16" s="1"/>
  <c r="IS92" i="16"/>
  <c r="IK92" i="16"/>
  <c r="IC92" i="16"/>
  <c r="HU92" i="16"/>
  <c r="HM92" i="16"/>
  <c r="HE92" i="16"/>
  <c r="GW92" i="16"/>
  <c r="GO92" i="16"/>
  <c r="Z200" i="16" s="1"/>
  <c r="GG92" i="16"/>
  <c r="FY92" i="16"/>
  <c r="FQ92" i="16"/>
  <c r="FI92" i="16"/>
  <c r="FA92" i="16"/>
  <c r="ES92" i="16"/>
  <c r="EK92" i="16"/>
  <c r="EC92" i="16"/>
  <c r="T200" i="16" s="1"/>
  <c r="DU92" i="16"/>
  <c r="DM92" i="16"/>
  <c r="DE92" i="16"/>
  <c r="CW92" i="16"/>
  <c r="CO92" i="16"/>
  <c r="CG92" i="16"/>
  <c r="BY92" i="16"/>
  <c r="BQ92" i="16"/>
  <c r="O200" i="16" s="1"/>
  <c r="BI92" i="16"/>
  <c r="BA92" i="16"/>
  <c r="ON92" i="16"/>
  <c r="OF92" i="16"/>
  <c r="NX92" i="16"/>
  <c r="NP92" i="16"/>
  <c r="NH92" i="16"/>
  <c r="MZ92" i="16"/>
  <c r="AN200" i="16" s="1"/>
  <c r="MR92" i="16"/>
  <c r="MJ92" i="16"/>
  <c r="MB92" i="16"/>
  <c r="LT92" i="16"/>
  <c r="LL92" i="16"/>
  <c r="LD92" i="16"/>
  <c r="KV92" i="16"/>
  <c r="KN92" i="16"/>
  <c r="AH200" i="16" s="1"/>
  <c r="KF92" i="16"/>
  <c r="JX92" i="16"/>
  <c r="JP92" i="16"/>
  <c r="JH92" i="16"/>
  <c r="IZ92" i="16"/>
  <c r="IR92" i="16"/>
  <c r="IJ92" i="16"/>
  <c r="IB92" i="16"/>
  <c r="AC200" i="16" s="1"/>
  <c r="HT92" i="16"/>
  <c r="HL92" i="16"/>
  <c r="HD92" i="16"/>
  <c r="GV92" i="16"/>
  <c r="GN92" i="16"/>
  <c r="GF92" i="16"/>
  <c r="FX92" i="16"/>
  <c r="FP92" i="16"/>
  <c r="X200" i="16" s="1"/>
  <c r="FH92" i="16"/>
  <c r="EZ92" i="16"/>
  <c r="ER92" i="16"/>
  <c r="EJ92" i="16"/>
  <c r="EB92" i="16"/>
  <c r="DT92" i="16"/>
  <c r="DL92" i="16"/>
  <c r="DD92" i="16"/>
  <c r="R200" i="16" s="1"/>
  <c r="CV92" i="16"/>
  <c r="CN92" i="16"/>
  <c r="CF92" i="16"/>
  <c r="BX92" i="16"/>
  <c r="BP92" i="16"/>
  <c r="BH92" i="16"/>
  <c r="AZ92" i="16"/>
  <c r="OM92" i="16"/>
  <c r="AQ200" i="16" s="1"/>
  <c r="OE92" i="16"/>
  <c r="NW92" i="16"/>
  <c r="NO92" i="16"/>
  <c r="NG92" i="16"/>
  <c r="MY92" i="16"/>
  <c r="MQ92" i="16"/>
  <c r="MI92" i="16"/>
  <c r="MA92" i="16"/>
  <c r="LS92" i="16"/>
  <c r="LK92" i="16"/>
  <c r="LC92" i="16"/>
  <c r="KU92" i="16"/>
  <c r="KM92" i="16"/>
  <c r="KE92" i="16"/>
  <c r="JW92" i="16"/>
  <c r="JO92" i="16"/>
  <c r="AF200" i="16" s="1"/>
  <c r="JG92" i="16"/>
  <c r="IY92" i="16"/>
  <c r="IQ92" i="16"/>
  <c r="II92" i="16"/>
  <c r="IA92" i="16"/>
  <c r="HS92" i="16"/>
  <c r="HK92" i="16"/>
  <c r="HC92" i="16"/>
  <c r="AA200" i="16" s="1"/>
  <c r="GU92" i="16"/>
  <c r="GM92" i="16"/>
  <c r="GE92" i="16"/>
  <c r="FW92" i="16"/>
  <c r="FO92" i="16"/>
  <c r="FG92" i="16"/>
  <c r="EY92" i="16"/>
  <c r="EQ92" i="16"/>
  <c r="EI92" i="16"/>
  <c r="EA92" i="16"/>
  <c r="DS92" i="16"/>
  <c r="DK92" i="16"/>
  <c r="DC92" i="16"/>
  <c r="CU92" i="16"/>
  <c r="CM92" i="16"/>
  <c r="CE92" i="16"/>
  <c r="P200" i="16" s="1"/>
  <c r="BW92" i="16"/>
  <c r="BO92" i="16"/>
  <c r="BG92" i="16"/>
  <c r="I175" i="16"/>
  <c r="L11" i="19"/>
  <c r="M12" i="19"/>
  <c r="L16" i="19"/>
  <c r="L15" i="19"/>
  <c r="N22" i="17"/>
  <c r="O23" i="17"/>
  <c r="AK204" i="16"/>
  <c r="AJ203" i="16"/>
  <c r="AD203" i="16"/>
  <c r="X203" i="16"/>
  <c r="V203" i="16"/>
  <c r="R203" i="16"/>
  <c r="N203" i="16"/>
  <c r="AB203" i="16"/>
  <c r="AF203" i="16"/>
  <c r="M183" i="16"/>
  <c r="AH203" i="16"/>
  <c r="AM203" i="16"/>
  <c r="Q203" i="16"/>
  <c r="AO200" i="16"/>
  <c r="AQ203" i="16"/>
  <c r="I180" i="16"/>
  <c r="P204" i="16"/>
  <c r="Y204" i="16"/>
  <c r="AO203" i="16"/>
  <c r="AI203" i="16"/>
  <c r="AE203" i="16"/>
  <c r="AA203" i="16"/>
  <c r="W203" i="16"/>
  <c r="U203" i="16"/>
  <c r="S203" i="16"/>
  <c r="O203" i="16"/>
  <c r="JH96" i="16"/>
  <c r="AF204" i="16" s="1"/>
  <c r="FP96" i="16"/>
  <c r="X204" i="16" s="1"/>
  <c r="AP183" i="16"/>
  <c r="AL183" i="16"/>
  <c r="AH183" i="16"/>
  <c r="AD183" i="16"/>
  <c r="Z183" i="16"/>
  <c r="V183" i="16"/>
  <c r="T183" i="16"/>
  <c r="R183" i="16"/>
  <c r="P183" i="16"/>
  <c r="N183" i="16"/>
  <c r="IV96" i="16"/>
  <c r="AE204" i="16" s="1"/>
  <c r="FD96" i="16"/>
  <c r="W204" i="16" s="1"/>
  <c r="BL96" i="16"/>
  <c r="O204" i="16" s="1"/>
  <c r="M203" i="16"/>
  <c r="AG204" i="16"/>
  <c r="Q204" i="16"/>
  <c r="M204" i="16"/>
  <c r="AK203" i="16"/>
  <c r="AN183" i="16"/>
  <c r="AJ183" i="16"/>
  <c r="AF183" i="16"/>
  <c r="AB183" i="16"/>
  <c r="X183" i="16"/>
  <c r="OJ96" i="16"/>
  <c r="AQ204" i="16" s="1"/>
  <c r="IJ96" i="16"/>
  <c r="AD204" i="16" s="1"/>
  <c r="ER96" i="16"/>
  <c r="V204" i="16" s="1"/>
  <c r="AZ96" i="16"/>
  <c r="N204" i="16" s="1"/>
  <c r="AC204" i="16"/>
  <c r="NX96" i="16"/>
  <c r="AP204" i="16" s="1"/>
  <c r="AP203" i="16"/>
  <c r="Z203" i="16"/>
  <c r="T203" i="16"/>
  <c r="AD200" i="16"/>
  <c r="N200" i="16"/>
  <c r="U204" i="16"/>
  <c r="MZ96" i="16"/>
  <c r="AN204" i="16" s="1"/>
  <c r="AN203" i="16"/>
  <c r="MB96" i="16"/>
  <c r="AL204" i="16" s="1"/>
  <c r="AL203" i="16"/>
  <c r="P203" i="16"/>
  <c r="LD96" i="16"/>
  <c r="AJ204" i="16" s="1"/>
  <c r="HL96" i="16"/>
  <c r="AB204" i="16" s="1"/>
  <c r="DT96" i="16"/>
  <c r="T204" i="16" s="1"/>
  <c r="AQ183" i="16"/>
  <c r="AM183" i="16"/>
  <c r="AI183" i="16"/>
  <c r="AE183" i="16"/>
  <c r="AA183" i="16"/>
  <c r="W183" i="16"/>
  <c r="S183" i="16"/>
  <c r="Q183" i="16"/>
  <c r="O183" i="16"/>
  <c r="MN96" i="16"/>
  <c r="AM204" i="16" s="1"/>
  <c r="KR96" i="16"/>
  <c r="AI204" i="16" s="1"/>
  <c r="GZ96" i="16"/>
  <c r="AA204" i="16" s="1"/>
  <c r="DH96" i="16"/>
  <c r="S204" i="16" s="1"/>
  <c r="AO183" i="16"/>
  <c r="AK183" i="16"/>
  <c r="AG183" i="16"/>
  <c r="AC183" i="16"/>
  <c r="Y183" i="16"/>
  <c r="U183" i="16"/>
  <c r="KF96" i="16"/>
  <c r="AH204" i="16" s="1"/>
  <c r="GN96" i="16"/>
  <c r="Z204" i="16" s="1"/>
  <c r="CV96" i="16"/>
  <c r="R204" i="16" s="1"/>
  <c r="AO204" i="16"/>
  <c r="AG203" i="16"/>
  <c r="AC203" i="16"/>
  <c r="Y203" i="16"/>
  <c r="AI200" i="16"/>
  <c r="Y200" i="16"/>
  <c r="S200" i="16"/>
  <c r="MG80" i="16"/>
  <c r="MG83" i="16"/>
  <c r="MG88" i="16" s="1"/>
  <c r="MG98" i="16" s="1"/>
  <c r="OM80" i="16"/>
  <c r="OM83" i="16"/>
  <c r="OM88" i="16" s="1"/>
  <c r="OM98" i="16" s="1"/>
  <c r="OE80" i="16"/>
  <c r="OE83" i="16"/>
  <c r="OE88" i="16" s="1"/>
  <c r="OE98" i="16" s="1"/>
  <c r="NW80" i="16"/>
  <c r="NW83" i="16"/>
  <c r="NW88" i="16" s="1"/>
  <c r="NW98" i="16" s="1"/>
  <c r="NO80" i="16"/>
  <c r="NO83" i="16"/>
  <c r="NO88" i="16" s="1"/>
  <c r="NO98" i="16" s="1"/>
  <c r="NG80" i="16"/>
  <c r="NG83" i="16"/>
  <c r="NG88" i="16" s="1"/>
  <c r="NG98" i="16" s="1"/>
  <c r="MY80" i="16"/>
  <c r="MY83" i="16"/>
  <c r="MY88" i="16" s="1"/>
  <c r="MY98" i="16" s="1"/>
  <c r="MQ80" i="16"/>
  <c r="MQ83" i="16"/>
  <c r="MQ88" i="16" s="1"/>
  <c r="MQ98" i="16" s="1"/>
  <c r="MI80" i="16"/>
  <c r="MI83" i="16"/>
  <c r="MI88" i="16" s="1"/>
  <c r="MI98" i="16" s="1"/>
  <c r="MA80" i="16"/>
  <c r="MA83" i="16"/>
  <c r="MA88" i="16" s="1"/>
  <c r="MA98" i="16" s="1"/>
  <c r="LS80" i="16"/>
  <c r="LS83" i="16"/>
  <c r="LS88" i="16" s="1"/>
  <c r="LS98" i="16" s="1"/>
  <c r="LK80" i="16"/>
  <c r="LK83" i="16"/>
  <c r="LK88" i="16" s="1"/>
  <c r="LK98" i="16" s="1"/>
  <c r="LC80" i="16"/>
  <c r="LC83" i="16"/>
  <c r="LC88" i="16" s="1"/>
  <c r="LC98" i="16" s="1"/>
  <c r="KU80" i="16"/>
  <c r="KU83" i="16"/>
  <c r="KU88" i="16" s="1"/>
  <c r="KU98" i="16" s="1"/>
  <c r="KM80" i="16"/>
  <c r="KM83" i="16"/>
  <c r="KM88" i="16" s="1"/>
  <c r="KM98" i="16" s="1"/>
  <c r="KE80" i="16"/>
  <c r="KE83" i="16"/>
  <c r="KE88" i="16" s="1"/>
  <c r="KE98" i="16" s="1"/>
  <c r="JW80" i="16"/>
  <c r="JW83" i="16"/>
  <c r="JW88" i="16" s="1"/>
  <c r="JW98" i="16" s="1"/>
  <c r="JO80" i="16"/>
  <c r="JO83" i="16"/>
  <c r="JO88" i="16" s="1"/>
  <c r="JO98" i="16" s="1"/>
  <c r="JG80" i="16"/>
  <c r="JG83" i="16"/>
  <c r="JG88" i="16" s="1"/>
  <c r="JG98" i="16" s="1"/>
  <c r="IY80" i="16"/>
  <c r="IY83" i="16"/>
  <c r="IY88" i="16" s="1"/>
  <c r="IY98" i="16" s="1"/>
  <c r="IQ80" i="16"/>
  <c r="IQ83" i="16"/>
  <c r="IQ88" i="16" s="1"/>
  <c r="IQ98" i="16" s="1"/>
  <c r="II80" i="16"/>
  <c r="II83" i="16"/>
  <c r="II88" i="16" s="1"/>
  <c r="II98" i="16" s="1"/>
  <c r="IA80" i="16"/>
  <c r="IA83" i="16"/>
  <c r="IA88" i="16" s="1"/>
  <c r="IA98" i="16" s="1"/>
  <c r="HS80" i="16"/>
  <c r="HS83" i="16"/>
  <c r="HS88" i="16" s="1"/>
  <c r="HS98" i="16" s="1"/>
  <c r="HK80" i="16"/>
  <c r="HK83" i="16"/>
  <c r="HK88" i="16" s="1"/>
  <c r="HK98" i="16" s="1"/>
  <c r="HC80" i="16"/>
  <c r="HC83" i="16"/>
  <c r="HC88" i="16" s="1"/>
  <c r="HC98" i="16" s="1"/>
  <c r="GU80" i="16"/>
  <c r="GU83" i="16"/>
  <c r="GU88" i="16" s="1"/>
  <c r="GU98" i="16" s="1"/>
  <c r="GM80" i="16"/>
  <c r="GM83" i="16"/>
  <c r="GM88" i="16" s="1"/>
  <c r="GM98" i="16" s="1"/>
  <c r="GE80" i="16"/>
  <c r="GE83" i="16"/>
  <c r="GE88" i="16" s="1"/>
  <c r="GE98" i="16" s="1"/>
  <c r="FW80" i="16"/>
  <c r="FW83" i="16"/>
  <c r="FW88" i="16" s="1"/>
  <c r="FW98" i="16" s="1"/>
  <c r="FO80" i="16"/>
  <c r="FO83" i="16"/>
  <c r="FO88" i="16" s="1"/>
  <c r="FO98" i="16" s="1"/>
  <c r="FG80" i="16"/>
  <c r="FG83" i="16"/>
  <c r="FG88" i="16" s="1"/>
  <c r="FG98" i="16" s="1"/>
  <c r="EY80" i="16"/>
  <c r="EY83" i="16"/>
  <c r="EY88" i="16" s="1"/>
  <c r="EY98" i="16" s="1"/>
  <c r="EQ80" i="16"/>
  <c r="EQ83" i="16"/>
  <c r="EQ88" i="16" s="1"/>
  <c r="EQ98" i="16" s="1"/>
  <c r="EI80" i="16"/>
  <c r="EI83" i="16"/>
  <c r="EI88" i="16" s="1"/>
  <c r="EI98" i="16" s="1"/>
  <c r="EA80" i="16"/>
  <c r="EA83" i="16"/>
  <c r="EA88" i="16" s="1"/>
  <c r="EA98" i="16" s="1"/>
  <c r="DS80" i="16"/>
  <c r="DS83" i="16"/>
  <c r="DS88" i="16" s="1"/>
  <c r="DS98" i="16" s="1"/>
  <c r="DK80" i="16"/>
  <c r="DK83" i="16"/>
  <c r="DK88" i="16" s="1"/>
  <c r="DK98" i="16" s="1"/>
  <c r="DC80" i="16"/>
  <c r="DC83" i="16"/>
  <c r="DC88" i="16" s="1"/>
  <c r="DC98" i="16" s="1"/>
  <c r="CU80" i="16"/>
  <c r="CU83" i="16"/>
  <c r="CU88" i="16" s="1"/>
  <c r="CU98" i="16" s="1"/>
  <c r="CM80" i="16"/>
  <c r="CM83" i="16"/>
  <c r="CM88" i="16" s="1"/>
  <c r="CM98" i="16" s="1"/>
  <c r="CE80" i="16"/>
  <c r="CE83" i="16"/>
  <c r="CE88" i="16" s="1"/>
  <c r="CE98" i="16" s="1"/>
  <c r="BW80" i="16"/>
  <c r="BW83" i="16"/>
  <c r="BW88" i="16" s="1"/>
  <c r="BW98" i="16" s="1"/>
  <c r="BO80" i="16"/>
  <c r="BO83" i="16"/>
  <c r="BO88" i="16" s="1"/>
  <c r="BO98" i="16" s="1"/>
  <c r="BG80" i="16"/>
  <c r="BG83" i="16"/>
  <c r="BG88" i="16" s="1"/>
  <c r="BG98" i="16" s="1"/>
  <c r="AY80" i="16"/>
  <c r="AY83" i="16"/>
  <c r="AY88" i="16" s="1"/>
  <c r="AY98" i="16" s="1"/>
  <c r="NU80" i="16"/>
  <c r="NU83" i="16"/>
  <c r="NU88" i="16" s="1"/>
  <c r="NU98" i="16" s="1"/>
  <c r="OL80" i="16"/>
  <c r="OL83" i="16"/>
  <c r="OL88" i="16" s="1"/>
  <c r="OL98" i="16" s="1"/>
  <c r="OD80" i="16"/>
  <c r="OD83" i="16"/>
  <c r="OD88" i="16" s="1"/>
  <c r="OD98" i="16" s="1"/>
  <c r="NV80" i="16"/>
  <c r="NV83" i="16"/>
  <c r="NV88" i="16" s="1"/>
  <c r="NV98" i="16" s="1"/>
  <c r="NN80" i="16"/>
  <c r="NN83" i="16"/>
  <c r="NN88" i="16" s="1"/>
  <c r="NN98" i="16" s="1"/>
  <c r="NF80" i="16"/>
  <c r="NF83" i="16"/>
  <c r="NF88" i="16" s="1"/>
  <c r="NF98" i="16" s="1"/>
  <c r="MX80" i="16"/>
  <c r="MX83" i="16"/>
  <c r="MX88" i="16" s="1"/>
  <c r="MX98" i="16" s="1"/>
  <c r="MP80" i="16"/>
  <c r="MP83" i="16"/>
  <c r="MP88" i="16" s="1"/>
  <c r="MP98" i="16" s="1"/>
  <c r="MH80" i="16"/>
  <c r="MH83" i="16"/>
  <c r="MH88" i="16" s="1"/>
  <c r="MH98" i="16" s="1"/>
  <c r="LZ80" i="16"/>
  <c r="LZ83" i="16"/>
  <c r="LZ88" i="16" s="1"/>
  <c r="LZ98" i="16" s="1"/>
  <c r="LR80" i="16"/>
  <c r="LR83" i="16"/>
  <c r="LR88" i="16" s="1"/>
  <c r="LR98" i="16" s="1"/>
  <c r="LJ80" i="16"/>
  <c r="LJ83" i="16"/>
  <c r="LJ88" i="16" s="1"/>
  <c r="LJ98" i="16" s="1"/>
  <c r="LB80" i="16"/>
  <c r="LB83" i="16"/>
  <c r="LB88" i="16" s="1"/>
  <c r="LB98" i="16" s="1"/>
  <c r="KT80" i="16"/>
  <c r="KT83" i="16"/>
  <c r="KT88" i="16" s="1"/>
  <c r="KT98" i="16" s="1"/>
  <c r="KL80" i="16"/>
  <c r="KL83" i="16"/>
  <c r="KL88" i="16" s="1"/>
  <c r="KL98" i="16" s="1"/>
  <c r="KD80" i="16"/>
  <c r="KD83" i="16"/>
  <c r="KD88" i="16" s="1"/>
  <c r="KD98" i="16" s="1"/>
  <c r="JV80" i="16"/>
  <c r="JV83" i="16"/>
  <c r="JV88" i="16" s="1"/>
  <c r="JV98" i="16" s="1"/>
  <c r="JN80" i="16"/>
  <c r="JN83" i="16"/>
  <c r="JN88" i="16" s="1"/>
  <c r="JN98" i="16" s="1"/>
  <c r="JF80" i="16"/>
  <c r="JF83" i="16"/>
  <c r="JF88" i="16" s="1"/>
  <c r="JF98" i="16" s="1"/>
  <c r="IX80" i="16"/>
  <c r="IX83" i="16"/>
  <c r="IX88" i="16" s="1"/>
  <c r="IX98" i="16" s="1"/>
  <c r="IP80" i="16"/>
  <c r="IP83" i="16"/>
  <c r="IP88" i="16" s="1"/>
  <c r="IP98" i="16" s="1"/>
  <c r="IH80" i="16"/>
  <c r="IH83" i="16"/>
  <c r="IH88" i="16" s="1"/>
  <c r="IH98" i="16" s="1"/>
  <c r="HZ80" i="16"/>
  <c r="HZ83" i="16"/>
  <c r="HZ88" i="16" s="1"/>
  <c r="HZ98" i="16" s="1"/>
  <c r="HR80" i="16"/>
  <c r="HR83" i="16"/>
  <c r="HR88" i="16" s="1"/>
  <c r="HR98" i="16" s="1"/>
  <c r="HJ80" i="16"/>
  <c r="HJ83" i="16"/>
  <c r="HJ88" i="16" s="1"/>
  <c r="HJ98" i="16" s="1"/>
  <c r="HB80" i="16"/>
  <c r="HB83" i="16"/>
  <c r="HB88" i="16" s="1"/>
  <c r="HB98" i="16" s="1"/>
  <c r="GT80" i="16"/>
  <c r="GT83" i="16"/>
  <c r="GT88" i="16" s="1"/>
  <c r="GT98" i="16" s="1"/>
  <c r="GL80" i="16"/>
  <c r="GL83" i="16"/>
  <c r="GL88" i="16" s="1"/>
  <c r="GL98" i="16" s="1"/>
  <c r="GD80" i="16"/>
  <c r="GD83" i="16"/>
  <c r="GD88" i="16" s="1"/>
  <c r="GD98" i="16" s="1"/>
  <c r="FV80" i="16"/>
  <c r="FV83" i="16"/>
  <c r="FV88" i="16" s="1"/>
  <c r="FV98" i="16" s="1"/>
  <c r="FN80" i="16"/>
  <c r="FN83" i="16"/>
  <c r="FN88" i="16" s="1"/>
  <c r="FN98" i="16" s="1"/>
  <c r="FF80" i="16"/>
  <c r="FF83" i="16"/>
  <c r="FF88" i="16" s="1"/>
  <c r="FF98" i="16" s="1"/>
  <c r="EX80" i="16"/>
  <c r="EX83" i="16"/>
  <c r="EX88" i="16" s="1"/>
  <c r="EX98" i="16" s="1"/>
  <c r="EP80" i="16"/>
  <c r="EP83" i="16"/>
  <c r="EP88" i="16" s="1"/>
  <c r="EP98" i="16" s="1"/>
  <c r="EH80" i="16"/>
  <c r="EH83" i="16"/>
  <c r="EH88" i="16" s="1"/>
  <c r="EH98" i="16" s="1"/>
  <c r="DZ80" i="16"/>
  <c r="DZ83" i="16"/>
  <c r="DZ88" i="16" s="1"/>
  <c r="DZ98" i="16" s="1"/>
  <c r="DR80" i="16"/>
  <c r="DR83" i="16"/>
  <c r="DR88" i="16" s="1"/>
  <c r="DR98" i="16" s="1"/>
  <c r="DJ80" i="16"/>
  <c r="DJ83" i="16"/>
  <c r="DJ88" i="16" s="1"/>
  <c r="DJ98" i="16" s="1"/>
  <c r="DB80" i="16"/>
  <c r="DB83" i="16"/>
  <c r="DB88" i="16" s="1"/>
  <c r="DB98" i="16" s="1"/>
  <c r="CT80" i="16"/>
  <c r="CT83" i="16"/>
  <c r="CT88" i="16" s="1"/>
  <c r="CT98" i="16" s="1"/>
  <c r="CL80" i="16"/>
  <c r="CL83" i="16"/>
  <c r="CL88" i="16" s="1"/>
  <c r="CL98" i="16" s="1"/>
  <c r="CD80" i="16"/>
  <c r="CD83" i="16"/>
  <c r="CD88" i="16" s="1"/>
  <c r="CD98" i="16" s="1"/>
  <c r="BV80" i="16"/>
  <c r="BV83" i="16"/>
  <c r="BV88" i="16" s="1"/>
  <c r="BV98" i="16" s="1"/>
  <c r="BN80" i="16"/>
  <c r="BN83" i="16"/>
  <c r="BN88" i="16" s="1"/>
  <c r="BN98" i="16" s="1"/>
  <c r="BF80" i="16"/>
  <c r="BF83" i="16"/>
  <c r="BF88" i="16" s="1"/>
  <c r="BF98" i="16" s="1"/>
  <c r="AX80" i="16"/>
  <c r="AX83" i="16"/>
  <c r="AX88" i="16" s="1"/>
  <c r="AX98" i="16" s="1"/>
  <c r="OC80" i="16"/>
  <c r="OC83" i="16"/>
  <c r="OC88" i="16" s="1"/>
  <c r="OC98" i="16" s="1"/>
  <c r="NE80" i="16"/>
  <c r="NE83" i="16"/>
  <c r="NE88" i="16" s="1"/>
  <c r="NE98" i="16" s="1"/>
  <c r="LQ80" i="16"/>
  <c r="LQ83" i="16"/>
  <c r="LQ88" i="16" s="1"/>
  <c r="LQ98" i="16" s="1"/>
  <c r="LA80" i="16"/>
  <c r="LA83" i="16"/>
  <c r="LA88" i="16" s="1"/>
  <c r="LA98" i="16" s="1"/>
  <c r="KS80" i="16"/>
  <c r="KS83" i="16"/>
  <c r="KS88" i="16" s="1"/>
  <c r="KS98" i="16" s="1"/>
  <c r="KK80" i="16"/>
  <c r="KK83" i="16"/>
  <c r="KK88" i="16" s="1"/>
  <c r="KK98" i="16" s="1"/>
  <c r="KC80" i="16"/>
  <c r="KC83" i="16"/>
  <c r="KC88" i="16" s="1"/>
  <c r="KC98" i="16" s="1"/>
  <c r="JU80" i="16"/>
  <c r="JU83" i="16"/>
  <c r="JU88" i="16" s="1"/>
  <c r="JU98" i="16" s="1"/>
  <c r="JM80" i="16"/>
  <c r="JM83" i="16"/>
  <c r="JM88" i="16" s="1"/>
  <c r="JM98" i="16" s="1"/>
  <c r="JE80" i="16"/>
  <c r="JE83" i="16"/>
  <c r="JE88" i="16" s="1"/>
  <c r="JE98" i="16" s="1"/>
  <c r="IW80" i="16"/>
  <c r="IW83" i="16"/>
  <c r="IW88" i="16" s="1"/>
  <c r="IW98" i="16" s="1"/>
  <c r="HA80" i="16"/>
  <c r="HA83" i="16"/>
  <c r="HA88" i="16" s="1"/>
  <c r="HA98" i="16" s="1"/>
  <c r="GS80" i="16"/>
  <c r="GS83" i="16"/>
  <c r="GS88" i="16" s="1"/>
  <c r="GS98" i="16" s="1"/>
  <c r="GK80" i="16"/>
  <c r="GK83" i="16"/>
  <c r="GK88" i="16" s="1"/>
  <c r="GK98" i="16" s="1"/>
  <c r="GC80" i="16"/>
  <c r="GC83" i="16"/>
  <c r="GC88" i="16" s="1"/>
  <c r="GC98" i="16" s="1"/>
  <c r="FU80" i="16"/>
  <c r="FU83" i="16"/>
  <c r="FU88" i="16" s="1"/>
  <c r="FU98" i="16" s="1"/>
  <c r="FM80" i="16"/>
  <c r="FM83" i="16"/>
  <c r="FM88" i="16" s="1"/>
  <c r="FM98" i="16" s="1"/>
  <c r="FE80" i="16"/>
  <c r="FE83" i="16"/>
  <c r="FE88" i="16" s="1"/>
  <c r="FE98" i="16" s="1"/>
  <c r="EW80" i="16"/>
  <c r="EW83" i="16"/>
  <c r="EW88" i="16" s="1"/>
  <c r="EW98" i="16" s="1"/>
  <c r="EO80" i="16"/>
  <c r="EO83" i="16"/>
  <c r="EO88" i="16" s="1"/>
  <c r="EO98" i="16" s="1"/>
  <c r="EG80" i="16"/>
  <c r="EG83" i="16"/>
  <c r="EG88" i="16" s="1"/>
  <c r="EG98" i="16" s="1"/>
  <c r="DY80" i="16"/>
  <c r="DY83" i="16"/>
  <c r="DY88" i="16" s="1"/>
  <c r="DY98" i="16" s="1"/>
  <c r="DQ80" i="16"/>
  <c r="DQ83" i="16"/>
  <c r="DQ88" i="16" s="1"/>
  <c r="DQ98" i="16" s="1"/>
  <c r="DI80" i="16"/>
  <c r="DI83" i="16"/>
  <c r="DI88" i="16" s="1"/>
  <c r="DI98" i="16" s="1"/>
  <c r="DA80" i="16"/>
  <c r="DA83" i="16"/>
  <c r="DA88" i="16" s="1"/>
  <c r="DA98" i="16" s="1"/>
  <c r="CS80" i="16"/>
  <c r="CS83" i="16"/>
  <c r="CS88" i="16" s="1"/>
  <c r="CS98" i="16" s="1"/>
  <c r="CK80" i="16"/>
  <c r="CK83" i="16"/>
  <c r="CK88" i="16" s="1"/>
  <c r="CK98" i="16" s="1"/>
  <c r="CC80" i="16"/>
  <c r="CC83" i="16"/>
  <c r="CC88" i="16" s="1"/>
  <c r="CC98" i="16" s="1"/>
  <c r="BU80" i="16"/>
  <c r="BU83" i="16"/>
  <c r="BU88" i="16" s="1"/>
  <c r="BU98" i="16" s="1"/>
  <c r="BM80" i="16"/>
  <c r="BM83" i="16"/>
  <c r="BM88" i="16" s="1"/>
  <c r="BM98" i="16" s="1"/>
  <c r="BE80" i="16"/>
  <c r="BE83" i="16"/>
  <c r="BE88" i="16" s="1"/>
  <c r="BE98" i="16" s="1"/>
  <c r="AW80" i="16"/>
  <c r="AW83" i="16"/>
  <c r="AW88" i="16" s="1"/>
  <c r="AW98" i="16" s="1"/>
  <c r="NM80" i="16"/>
  <c r="NM83" i="16"/>
  <c r="NM88" i="16" s="1"/>
  <c r="NM98" i="16" s="1"/>
  <c r="LY80" i="16"/>
  <c r="LY83" i="16"/>
  <c r="LY88" i="16" s="1"/>
  <c r="LY98" i="16" s="1"/>
  <c r="HI80" i="16"/>
  <c r="HI83" i="16"/>
  <c r="HI88" i="16" s="1"/>
  <c r="HI98" i="16" s="1"/>
  <c r="OJ80" i="16"/>
  <c r="OJ83" i="16"/>
  <c r="OB80" i="16"/>
  <c r="OB83" i="16"/>
  <c r="OB88" i="16" s="1"/>
  <c r="OB98" i="16" s="1"/>
  <c r="NT80" i="16"/>
  <c r="NT83" i="16"/>
  <c r="NT88" i="16" s="1"/>
  <c r="NT98" i="16" s="1"/>
  <c r="NL80" i="16"/>
  <c r="NL83" i="16"/>
  <c r="ND80" i="16"/>
  <c r="ND83" i="16"/>
  <c r="ND88" i="16" s="1"/>
  <c r="ND98" i="16" s="1"/>
  <c r="MV80" i="16"/>
  <c r="MV83" i="16"/>
  <c r="MV88" i="16" s="1"/>
  <c r="MV98" i="16" s="1"/>
  <c r="MN80" i="16"/>
  <c r="MN83" i="16"/>
  <c r="MF80" i="16"/>
  <c r="MF83" i="16"/>
  <c r="MF88" i="16" s="1"/>
  <c r="MF98" i="16" s="1"/>
  <c r="LX80" i="16"/>
  <c r="LX83" i="16"/>
  <c r="LX88" i="16" s="1"/>
  <c r="LX98" i="16" s="1"/>
  <c r="LP80" i="16"/>
  <c r="LP83" i="16"/>
  <c r="LH80" i="16"/>
  <c r="LH83" i="16"/>
  <c r="LH88" i="16" s="1"/>
  <c r="LH98" i="16" s="1"/>
  <c r="KZ80" i="16"/>
  <c r="KZ83" i="16"/>
  <c r="KZ88" i="16" s="1"/>
  <c r="KZ98" i="16" s="1"/>
  <c r="KR80" i="16"/>
  <c r="KR83" i="16"/>
  <c r="KJ80" i="16"/>
  <c r="KJ83" i="16"/>
  <c r="KJ88" i="16" s="1"/>
  <c r="KJ98" i="16" s="1"/>
  <c r="KB80" i="16"/>
  <c r="KB83" i="16"/>
  <c r="KB88" i="16" s="1"/>
  <c r="KB98" i="16" s="1"/>
  <c r="JT80" i="16"/>
  <c r="JT83" i="16"/>
  <c r="JL80" i="16"/>
  <c r="JL83" i="16"/>
  <c r="JL88" i="16" s="1"/>
  <c r="JL98" i="16" s="1"/>
  <c r="JD80" i="16"/>
  <c r="JD83" i="16"/>
  <c r="JD88" i="16" s="1"/>
  <c r="JD98" i="16" s="1"/>
  <c r="IV80" i="16"/>
  <c r="IV83" i="16"/>
  <c r="IN80" i="16"/>
  <c r="IN83" i="16"/>
  <c r="IN88" i="16" s="1"/>
  <c r="IN98" i="16" s="1"/>
  <c r="IF80" i="16"/>
  <c r="IF83" i="16"/>
  <c r="IF88" i="16" s="1"/>
  <c r="IF98" i="16" s="1"/>
  <c r="HX80" i="16"/>
  <c r="HX83" i="16"/>
  <c r="HP80" i="16"/>
  <c r="HP83" i="16"/>
  <c r="HP88" i="16" s="1"/>
  <c r="HP98" i="16" s="1"/>
  <c r="HH80" i="16"/>
  <c r="HH83" i="16"/>
  <c r="HH88" i="16" s="1"/>
  <c r="HH98" i="16" s="1"/>
  <c r="GZ80" i="16"/>
  <c r="GZ83" i="16"/>
  <c r="GR80" i="16"/>
  <c r="GR83" i="16"/>
  <c r="GR88" i="16" s="1"/>
  <c r="GR98" i="16" s="1"/>
  <c r="GJ80" i="16"/>
  <c r="GJ83" i="16"/>
  <c r="GJ88" i="16" s="1"/>
  <c r="GJ98" i="16" s="1"/>
  <c r="GB80" i="16"/>
  <c r="GB83" i="16"/>
  <c r="FT80" i="16"/>
  <c r="FT83" i="16"/>
  <c r="FT88" i="16" s="1"/>
  <c r="FT98" i="16" s="1"/>
  <c r="FL80" i="16"/>
  <c r="FL83" i="16"/>
  <c r="FL88" i="16" s="1"/>
  <c r="FL98" i="16" s="1"/>
  <c r="FD80" i="16"/>
  <c r="FD83" i="16"/>
  <c r="EV80" i="16"/>
  <c r="EV83" i="16"/>
  <c r="EV88" i="16" s="1"/>
  <c r="EV98" i="16" s="1"/>
  <c r="EN80" i="16"/>
  <c r="EN83" i="16"/>
  <c r="EN88" i="16" s="1"/>
  <c r="EN98" i="16" s="1"/>
  <c r="EF80" i="16"/>
  <c r="EF83" i="16"/>
  <c r="DX80" i="16"/>
  <c r="DX83" i="16"/>
  <c r="DX88" i="16" s="1"/>
  <c r="DX98" i="16" s="1"/>
  <c r="DP80" i="16"/>
  <c r="DP83" i="16"/>
  <c r="DP88" i="16" s="1"/>
  <c r="DP98" i="16" s="1"/>
  <c r="DH80" i="16"/>
  <c r="DH83" i="16"/>
  <c r="CZ80" i="16"/>
  <c r="CZ83" i="16"/>
  <c r="CZ88" i="16" s="1"/>
  <c r="CZ98" i="16" s="1"/>
  <c r="CR80" i="16"/>
  <c r="CR83" i="16"/>
  <c r="CR88" i="16" s="1"/>
  <c r="CR98" i="16" s="1"/>
  <c r="CJ80" i="16"/>
  <c r="CJ83" i="16"/>
  <c r="CB80" i="16"/>
  <c r="CB83" i="16"/>
  <c r="CB88" i="16" s="1"/>
  <c r="CB98" i="16" s="1"/>
  <c r="BT80" i="16"/>
  <c r="BT83" i="16"/>
  <c r="BT88" i="16" s="1"/>
  <c r="BT98" i="16" s="1"/>
  <c r="BL80" i="16"/>
  <c r="BL83" i="16"/>
  <c r="BD80" i="16"/>
  <c r="BD83" i="16"/>
  <c r="BD88" i="16" s="1"/>
  <c r="BD98" i="16" s="1"/>
  <c r="AV80" i="16"/>
  <c r="AV83" i="16"/>
  <c r="AV88" i="16" s="1"/>
  <c r="AV98" i="16" s="1"/>
  <c r="HY80" i="16"/>
  <c r="HY83" i="16"/>
  <c r="HY88" i="16" s="1"/>
  <c r="HY98" i="16" s="1"/>
  <c r="OI80" i="16"/>
  <c r="OI83" i="16"/>
  <c r="OI88" i="16" s="1"/>
  <c r="OI98" i="16" s="1"/>
  <c r="OA80" i="16"/>
  <c r="OA83" i="16"/>
  <c r="OA88" i="16" s="1"/>
  <c r="OA98" i="16" s="1"/>
  <c r="NS80" i="16"/>
  <c r="NS83" i="16"/>
  <c r="NS88" i="16" s="1"/>
  <c r="NS98" i="16" s="1"/>
  <c r="NK80" i="16"/>
  <c r="NK83" i="16"/>
  <c r="NK88" i="16" s="1"/>
  <c r="NK98" i="16" s="1"/>
  <c r="NC80" i="16"/>
  <c r="NC83" i="16"/>
  <c r="NC88" i="16" s="1"/>
  <c r="NC98" i="16" s="1"/>
  <c r="MU80" i="16"/>
  <c r="MU83" i="16"/>
  <c r="MU88" i="16" s="1"/>
  <c r="MU98" i="16" s="1"/>
  <c r="MM80" i="16"/>
  <c r="MM83" i="16"/>
  <c r="MM88" i="16" s="1"/>
  <c r="MM98" i="16" s="1"/>
  <c r="ME80" i="16"/>
  <c r="ME83" i="16"/>
  <c r="ME88" i="16" s="1"/>
  <c r="ME98" i="16" s="1"/>
  <c r="LW80" i="16"/>
  <c r="LW83" i="16"/>
  <c r="LW88" i="16" s="1"/>
  <c r="LW98" i="16" s="1"/>
  <c r="LO80" i="16"/>
  <c r="LO83" i="16"/>
  <c r="LO88" i="16" s="1"/>
  <c r="LO98" i="16" s="1"/>
  <c r="LG80" i="16"/>
  <c r="LG83" i="16"/>
  <c r="LG88" i="16" s="1"/>
  <c r="LG98" i="16" s="1"/>
  <c r="KY80" i="16"/>
  <c r="KY83" i="16"/>
  <c r="KY88" i="16" s="1"/>
  <c r="KY98" i="16" s="1"/>
  <c r="KQ80" i="16"/>
  <c r="KQ83" i="16"/>
  <c r="KQ88" i="16" s="1"/>
  <c r="KQ98" i="16" s="1"/>
  <c r="KI80" i="16"/>
  <c r="KI83" i="16"/>
  <c r="KI88" i="16" s="1"/>
  <c r="KI98" i="16" s="1"/>
  <c r="KA80" i="16"/>
  <c r="KA83" i="16"/>
  <c r="KA88" i="16" s="1"/>
  <c r="KA98" i="16" s="1"/>
  <c r="JS80" i="16"/>
  <c r="JS83" i="16"/>
  <c r="JS88" i="16" s="1"/>
  <c r="JS98" i="16" s="1"/>
  <c r="JK80" i="16"/>
  <c r="JK83" i="16"/>
  <c r="JK88" i="16" s="1"/>
  <c r="JK98" i="16" s="1"/>
  <c r="JC80" i="16"/>
  <c r="JC83" i="16"/>
  <c r="JC88" i="16" s="1"/>
  <c r="JC98" i="16" s="1"/>
  <c r="IU80" i="16"/>
  <c r="IU83" i="16"/>
  <c r="IU88" i="16" s="1"/>
  <c r="IU98" i="16" s="1"/>
  <c r="IM80" i="16"/>
  <c r="IM83" i="16"/>
  <c r="IM88" i="16" s="1"/>
  <c r="IM98" i="16" s="1"/>
  <c r="IE80" i="16"/>
  <c r="IE83" i="16"/>
  <c r="IE88" i="16" s="1"/>
  <c r="IE98" i="16" s="1"/>
  <c r="HW80" i="16"/>
  <c r="HW83" i="16"/>
  <c r="HW88" i="16" s="1"/>
  <c r="HW98" i="16" s="1"/>
  <c r="HO80" i="16"/>
  <c r="HO83" i="16"/>
  <c r="HO88" i="16" s="1"/>
  <c r="HO98" i="16" s="1"/>
  <c r="HG80" i="16"/>
  <c r="HG83" i="16"/>
  <c r="HG88" i="16" s="1"/>
  <c r="HG98" i="16" s="1"/>
  <c r="GY80" i="16"/>
  <c r="GY83" i="16"/>
  <c r="GY88" i="16" s="1"/>
  <c r="GY98" i="16" s="1"/>
  <c r="GQ80" i="16"/>
  <c r="GQ83" i="16"/>
  <c r="GQ88" i="16" s="1"/>
  <c r="GQ98" i="16" s="1"/>
  <c r="GI80" i="16"/>
  <c r="GI83" i="16"/>
  <c r="GI88" i="16" s="1"/>
  <c r="GI98" i="16" s="1"/>
  <c r="GA80" i="16"/>
  <c r="GA83" i="16"/>
  <c r="GA88" i="16" s="1"/>
  <c r="GA98" i="16" s="1"/>
  <c r="FS80" i="16"/>
  <c r="FS83" i="16"/>
  <c r="FS88" i="16" s="1"/>
  <c r="FS98" i="16" s="1"/>
  <c r="FK80" i="16"/>
  <c r="FK83" i="16"/>
  <c r="FK88" i="16" s="1"/>
  <c r="FK98" i="16" s="1"/>
  <c r="FC80" i="16"/>
  <c r="FC83" i="16"/>
  <c r="FC88" i="16" s="1"/>
  <c r="FC98" i="16" s="1"/>
  <c r="EU80" i="16"/>
  <c r="EU83" i="16"/>
  <c r="EU88" i="16" s="1"/>
  <c r="EU98" i="16" s="1"/>
  <c r="EM80" i="16"/>
  <c r="EM83" i="16"/>
  <c r="EM88" i="16" s="1"/>
  <c r="EM98" i="16" s="1"/>
  <c r="EE80" i="16"/>
  <c r="EE83" i="16"/>
  <c r="EE88" i="16" s="1"/>
  <c r="EE98" i="16" s="1"/>
  <c r="DW80" i="16"/>
  <c r="DW83" i="16"/>
  <c r="DW88" i="16" s="1"/>
  <c r="DW98" i="16" s="1"/>
  <c r="DO80" i="16"/>
  <c r="DO83" i="16"/>
  <c r="DO88" i="16" s="1"/>
  <c r="DO98" i="16" s="1"/>
  <c r="DG80" i="16"/>
  <c r="DG83" i="16"/>
  <c r="DG88" i="16" s="1"/>
  <c r="DG98" i="16" s="1"/>
  <c r="CY80" i="16"/>
  <c r="CY83" i="16"/>
  <c r="CY88" i="16" s="1"/>
  <c r="CY98" i="16" s="1"/>
  <c r="CQ80" i="16"/>
  <c r="CQ83" i="16"/>
  <c r="CQ88" i="16" s="1"/>
  <c r="CQ98" i="16" s="1"/>
  <c r="CI80" i="16"/>
  <c r="CI83" i="16"/>
  <c r="CI88" i="16" s="1"/>
  <c r="CI98" i="16" s="1"/>
  <c r="CA80" i="16"/>
  <c r="CA83" i="16"/>
  <c r="CA88" i="16" s="1"/>
  <c r="CA98" i="16" s="1"/>
  <c r="BS80" i="16"/>
  <c r="BS83" i="16"/>
  <c r="BS88" i="16" s="1"/>
  <c r="BS98" i="16" s="1"/>
  <c r="BK80" i="16"/>
  <c r="BK83" i="16"/>
  <c r="BK88" i="16" s="1"/>
  <c r="BK98" i="16" s="1"/>
  <c r="BC80" i="16"/>
  <c r="BC83" i="16"/>
  <c r="BC88" i="16" s="1"/>
  <c r="BC98" i="16" s="1"/>
  <c r="AU80" i="16"/>
  <c r="AU83" i="16"/>
  <c r="AU88" i="16" s="1"/>
  <c r="AU98" i="16" s="1"/>
  <c r="MW80" i="16"/>
  <c r="MW83" i="16"/>
  <c r="MW88" i="16" s="1"/>
  <c r="MW98" i="16" s="1"/>
  <c r="HQ80" i="16"/>
  <c r="HQ83" i="16"/>
  <c r="HQ88" i="16" s="1"/>
  <c r="HQ98" i="16" s="1"/>
  <c r="OH80" i="16"/>
  <c r="OH83" i="16"/>
  <c r="OH88" i="16" s="1"/>
  <c r="OH98" i="16" s="1"/>
  <c r="NZ80" i="16"/>
  <c r="NZ83" i="16"/>
  <c r="NZ88" i="16" s="1"/>
  <c r="NZ98" i="16" s="1"/>
  <c r="NR80" i="16"/>
  <c r="NR83" i="16"/>
  <c r="NR88" i="16" s="1"/>
  <c r="NR98" i="16" s="1"/>
  <c r="NJ80" i="16"/>
  <c r="NJ83" i="16"/>
  <c r="NJ88" i="16" s="1"/>
  <c r="NJ98" i="16" s="1"/>
  <c r="NB80" i="16"/>
  <c r="NB83" i="16"/>
  <c r="NB88" i="16" s="1"/>
  <c r="NB98" i="16" s="1"/>
  <c r="MT80" i="16"/>
  <c r="MT83" i="16"/>
  <c r="MT88" i="16" s="1"/>
  <c r="MT98" i="16" s="1"/>
  <c r="ML80" i="16"/>
  <c r="ML83" i="16"/>
  <c r="ML88" i="16" s="1"/>
  <c r="ML98" i="16" s="1"/>
  <c r="MD80" i="16"/>
  <c r="MD83" i="16"/>
  <c r="MD88" i="16" s="1"/>
  <c r="MD98" i="16" s="1"/>
  <c r="LV80" i="16"/>
  <c r="LV83" i="16"/>
  <c r="LV88" i="16" s="1"/>
  <c r="LV98" i="16" s="1"/>
  <c r="LN80" i="16"/>
  <c r="LN83" i="16"/>
  <c r="LN88" i="16" s="1"/>
  <c r="LN98" i="16" s="1"/>
  <c r="LF80" i="16"/>
  <c r="LF83" i="16"/>
  <c r="LF88" i="16" s="1"/>
  <c r="LF98" i="16" s="1"/>
  <c r="KX80" i="16"/>
  <c r="KX83" i="16"/>
  <c r="KX88" i="16" s="1"/>
  <c r="KX98" i="16" s="1"/>
  <c r="KP80" i="16"/>
  <c r="KP83" i="16"/>
  <c r="KP88" i="16" s="1"/>
  <c r="KP98" i="16" s="1"/>
  <c r="KH80" i="16"/>
  <c r="KH83" i="16"/>
  <c r="KH88" i="16" s="1"/>
  <c r="KH98" i="16" s="1"/>
  <c r="JZ80" i="16"/>
  <c r="JZ83" i="16"/>
  <c r="JZ88" i="16" s="1"/>
  <c r="JZ98" i="16" s="1"/>
  <c r="JR80" i="16"/>
  <c r="JR83" i="16"/>
  <c r="JR88" i="16" s="1"/>
  <c r="JR98" i="16" s="1"/>
  <c r="JJ80" i="16"/>
  <c r="JJ83" i="16"/>
  <c r="JJ88" i="16" s="1"/>
  <c r="JJ98" i="16" s="1"/>
  <c r="JB80" i="16"/>
  <c r="JB83" i="16"/>
  <c r="JB88" i="16" s="1"/>
  <c r="JB98" i="16" s="1"/>
  <c r="IT80" i="16"/>
  <c r="IT83" i="16"/>
  <c r="IT88" i="16" s="1"/>
  <c r="IT98" i="16" s="1"/>
  <c r="IL80" i="16"/>
  <c r="IL83" i="16"/>
  <c r="IL88" i="16" s="1"/>
  <c r="IL98" i="16" s="1"/>
  <c r="ID80" i="16"/>
  <c r="ID83" i="16"/>
  <c r="ID88" i="16" s="1"/>
  <c r="ID98" i="16" s="1"/>
  <c r="HV80" i="16"/>
  <c r="HV83" i="16"/>
  <c r="HV88" i="16" s="1"/>
  <c r="HV98" i="16" s="1"/>
  <c r="HN80" i="16"/>
  <c r="HN83" i="16"/>
  <c r="HN88" i="16" s="1"/>
  <c r="HN98" i="16" s="1"/>
  <c r="HF80" i="16"/>
  <c r="HF83" i="16"/>
  <c r="HF88" i="16" s="1"/>
  <c r="HF98" i="16" s="1"/>
  <c r="GX80" i="16"/>
  <c r="GX83" i="16"/>
  <c r="GX88" i="16" s="1"/>
  <c r="GX98" i="16" s="1"/>
  <c r="GP80" i="16"/>
  <c r="GP83" i="16"/>
  <c r="GP88" i="16" s="1"/>
  <c r="GP98" i="16" s="1"/>
  <c r="GH80" i="16"/>
  <c r="GH83" i="16"/>
  <c r="GH88" i="16" s="1"/>
  <c r="GH98" i="16" s="1"/>
  <c r="FZ80" i="16"/>
  <c r="FZ83" i="16"/>
  <c r="FZ88" i="16" s="1"/>
  <c r="FZ98" i="16" s="1"/>
  <c r="FR80" i="16"/>
  <c r="FR83" i="16"/>
  <c r="FR88" i="16" s="1"/>
  <c r="FR98" i="16" s="1"/>
  <c r="FJ80" i="16"/>
  <c r="FJ83" i="16"/>
  <c r="FJ88" i="16" s="1"/>
  <c r="FJ98" i="16" s="1"/>
  <c r="FB80" i="16"/>
  <c r="FB83" i="16"/>
  <c r="FB88" i="16" s="1"/>
  <c r="FB98" i="16" s="1"/>
  <c r="ET80" i="16"/>
  <c r="ET83" i="16"/>
  <c r="ET88" i="16" s="1"/>
  <c r="ET98" i="16" s="1"/>
  <c r="EL80" i="16"/>
  <c r="EL83" i="16"/>
  <c r="EL88" i="16" s="1"/>
  <c r="EL98" i="16" s="1"/>
  <c r="ED80" i="16"/>
  <c r="ED83" i="16"/>
  <c r="ED88" i="16" s="1"/>
  <c r="ED98" i="16" s="1"/>
  <c r="DV80" i="16"/>
  <c r="DV83" i="16"/>
  <c r="DV88" i="16" s="1"/>
  <c r="DV98" i="16" s="1"/>
  <c r="DN80" i="16"/>
  <c r="DN83" i="16"/>
  <c r="DN88" i="16" s="1"/>
  <c r="DN98" i="16" s="1"/>
  <c r="DF80" i="16"/>
  <c r="DF83" i="16"/>
  <c r="DF88" i="16" s="1"/>
  <c r="DF98" i="16" s="1"/>
  <c r="CX80" i="16"/>
  <c r="CX83" i="16"/>
  <c r="CX88" i="16" s="1"/>
  <c r="CX98" i="16" s="1"/>
  <c r="CP80" i="16"/>
  <c r="CP83" i="16"/>
  <c r="CP88" i="16" s="1"/>
  <c r="CP98" i="16" s="1"/>
  <c r="CH80" i="16"/>
  <c r="CH83" i="16"/>
  <c r="CH88" i="16" s="1"/>
  <c r="CH98" i="16" s="1"/>
  <c r="BZ80" i="16"/>
  <c r="BZ83" i="16"/>
  <c r="BZ88" i="16" s="1"/>
  <c r="BZ98" i="16" s="1"/>
  <c r="BR80" i="16"/>
  <c r="BR83" i="16"/>
  <c r="BR88" i="16" s="1"/>
  <c r="BR98" i="16" s="1"/>
  <c r="BJ80" i="16"/>
  <c r="BJ83" i="16"/>
  <c r="BJ88" i="16" s="1"/>
  <c r="BJ98" i="16" s="1"/>
  <c r="BB80" i="16"/>
  <c r="BB83" i="16"/>
  <c r="BB88" i="16" s="1"/>
  <c r="BB98" i="16" s="1"/>
  <c r="AT80" i="16"/>
  <c r="AT83" i="16"/>
  <c r="IG80" i="16"/>
  <c r="IG83" i="16"/>
  <c r="IG88" i="16" s="1"/>
  <c r="IG98" i="16" s="1"/>
  <c r="OO80" i="16"/>
  <c r="J188" i="16" s="1"/>
  <c r="OO83" i="16"/>
  <c r="OO88" i="16" s="1"/>
  <c r="OG80" i="16"/>
  <c r="OG83" i="16"/>
  <c r="OG88" i="16" s="1"/>
  <c r="OG98" i="16" s="1"/>
  <c r="NY80" i="16"/>
  <c r="NY83" i="16"/>
  <c r="NY88" i="16" s="1"/>
  <c r="NY98" i="16" s="1"/>
  <c r="NQ80" i="16"/>
  <c r="NQ83" i="16"/>
  <c r="NQ88" i="16" s="1"/>
  <c r="NQ98" i="16" s="1"/>
  <c r="NI80" i="16"/>
  <c r="NI83" i="16"/>
  <c r="NI88" i="16" s="1"/>
  <c r="NI98" i="16" s="1"/>
  <c r="NA80" i="16"/>
  <c r="NA83" i="16"/>
  <c r="NA88" i="16" s="1"/>
  <c r="NA98" i="16" s="1"/>
  <c r="MS80" i="16"/>
  <c r="MS83" i="16"/>
  <c r="MS88" i="16" s="1"/>
  <c r="MS98" i="16" s="1"/>
  <c r="MK80" i="16"/>
  <c r="MK83" i="16"/>
  <c r="MK88" i="16" s="1"/>
  <c r="MK98" i="16" s="1"/>
  <c r="MC80" i="16"/>
  <c r="MC83" i="16"/>
  <c r="MC88" i="16" s="1"/>
  <c r="MC98" i="16" s="1"/>
  <c r="LU80" i="16"/>
  <c r="LU83" i="16"/>
  <c r="LU88" i="16" s="1"/>
  <c r="LU98" i="16" s="1"/>
  <c r="LM80" i="16"/>
  <c r="LM83" i="16"/>
  <c r="LM88" i="16" s="1"/>
  <c r="LM98" i="16" s="1"/>
  <c r="LE80" i="16"/>
  <c r="LE83" i="16"/>
  <c r="LE88" i="16" s="1"/>
  <c r="LE98" i="16" s="1"/>
  <c r="KW80" i="16"/>
  <c r="KW83" i="16"/>
  <c r="KW88" i="16" s="1"/>
  <c r="KW98" i="16" s="1"/>
  <c r="KO80" i="16"/>
  <c r="KO83" i="16"/>
  <c r="KO88" i="16" s="1"/>
  <c r="KO98" i="16" s="1"/>
  <c r="KG80" i="16"/>
  <c r="KG83" i="16"/>
  <c r="KG88" i="16" s="1"/>
  <c r="KG98" i="16" s="1"/>
  <c r="JY80" i="16"/>
  <c r="JY83" i="16"/>
  <c r="JY88" i="16" s="1"/>
  <c r="JY98" i="16" s="1"/>
  <c r="JQ80" i="16"/>
  <c r="JQ83" i="16"/>
  <c r="JQ88" i="16" s="1"/>
  <c r="JQ98" i="16" s="1"/>
  <c r="JI80" i="16"/>
  <c r="JI83" i="16"/>
  <c r="JI88" i="16" s="1"/>
  <c r="JI98" i="16" s="1"/>
  <c r="JA80" i="16"/>
  <c r="JA83" i="16"/>
  <c r="JA88" i="16" s="1"/>
  <c r="JA98" i="16" s="1"/>
  <c r="IS80" i="16"/>
  <c r="IS83" i="16"/>
  <c r="IS88" i="16" s="1"/>
  <c r="IS98" i="16" s="1"/>
  <c r="IK80" i="16"/>
  <c r="IK83" i="16"/>
  <c r="IK88" i="16" s="1"/>
  <c r="IK98" i="16" s="1"/>
  <c r="IC80" i="16"/>
  <c r="IC83" i="16"/>
  <c r="IC88" i="16" s="1"/>
  <c r="IC98" i="16" s="1"/>
  <c r="HU80" i="16"/>
  <c r="HU83" i="16"/>
  <c r="HU88" i="16" s="1"/>
  <c r="HU98" i="16" s="1"/>
  <c r="HM80" i="16"/>
  <c r="HM83" i="16"/>
  <c r="HM88" i="16" s="1"/>
  <c r="HM98" i="16" s="1"/>
  <c r="HE80" i="16"/>
  <c r="HE83" i="16"/>
  <c r="HE88" i="16" s="1"/>
  <c r="HE98" i="16" s="1"/>
  <c r="GW80" i="16"/>
  <c r="GW83" i="16"/>
  <c r="GW88" i="16" s="1"/>
  <c r="GW98" i="16" s="1"/>
  <c r="GO80" i="16"/>
  <c r="GO83" i="16"/>
  <c r="GO88" i="16" s="1"/>
  <c r="GO98" i="16" s="1"/>
  <c r="GG80" i="16"/>
  <c r="GG83" i="16"/>
  <c r="GG88" i="16" s="1"/>
  <c r="GG98" i="16" s="1"/>
  <c r="FY80" i="16"/>
  <c r="FY83" i="16"/>
  <c r="FY88" i="16" s="1"/>
  <c r="FY98" i="16" s="1"/>
  <c r="FQ80" i="16"/>
  <c r="FQ83" i="16"/>
  <c r="FQ88" i="16" s="1"/>
  <c r="FQ98" i="16" s="1"/>
  <c r="FI80" i="16"/>
  <c r="FI83" i="16"/>
  <c r="FI88" i="16" s="1"/>
  <c r="FI98" i="16" s="1"/>
  <c r="FA80" i="16"/>
  <c r="FA83" i="16"/>
  <c r="FA88" i="16" s="1"/>
  <c r="FA98" i="16" s="1"/>
  <c r="ES80" i="16"/>
  <c r="ES83" i="16"/>
  <c r="ES88" i="16" s="1"/>
  <c r="ES98" i="16" s="1"/>
  <c r="EK80" i="16"/>
  <c r="EK83" i="16"/>
  <c r="EK88" i="16" s="1"/>
  <c r="EK98" i="16" s="1"/>
  <c r="EC80" i="16"/>
  <c r="EC83" i="16"/>
  <c r="EC88" i="16" s="1"/>
  <c r="EC98" i="16" s="1"/>
  <c r="DU80" i="16"/>
  <c r="DU83" i="16"/>
  <c r="DU88" i="16" s="1"/>
  <c r="DU98" i="16" s="1"/>
  <c r="DM80" i="16"/>
  <c r="DM83" i="16"/>
  <c r="DM88" i="16" s="1"/>
  <c r="DM98" i="16" s="1"/>
  <c r="DE80" i="16"/>
  <c r="DE83" i="16"/>
  <c r="DE88" i="16" s="1"/>
  <c r="DE98" i="16" s="1"/>
  <c r="CW80" i="16"/>
  <c r="CW83" i="16"/>
  <c r="CW88" i="16" s="1"/>
  <c r="CW98" i="16" s="1"/>
  <c r="CO80" i="16"/>
  <c r="CO83" i="16"/>
  <c r="CO88" i="16" s="1"/>
  <c r="CO98" i="16" s="1"/>
  <c r="CG80" i="16"/>
  <c r="CG83" i="16"/>
  <c r="CG88" i="16" s="1"/>
  <c r="CG98" i="16" s="1"/>
  <c r="BY80" i="16"/>
  <c r="BY83" i="16"/>
  <c r="BY88" i="16" s="1"/>
  <c r="BY98" i="16" s="1"/>
  <c r="BQ80" i="16"/>
  <c r="BQ83" i="16"/>
  <c r="BQ88" i="16" s="1"/>
  <c r="BQ98" i="16" s="1"/>
  <c r="BI80" i="16"/>
  <c r="BI83" i="16"/>
  <c r="BI88" i="16" s="1"/>
  <c r="BI98" i="16" s="1"/>
  <c r="BA80" i="16"/>
  <c r="BA83" i="16"/>
  <c r="BA88" i="16" s="1"/>
  <c r="BA98" i="16" s="1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AI54" i="16"/>
  <c r="AJ54" i="16"/>
  <c r="AK54" i="16"/>
  <c r="AL54" i="16"/>
  <c r="AM54" i="16"/>
  <c r="AN54" i="16"/>
  <c r="AO54" i="16"/>
  <c r="AP54" i="16"/>
  <c r="AQ54" i="16"/>
  <c r="AR54" i="16"/>
  <c r="AS54" i="16"/>
  <c r="OK80" i="16"/>
  <c r="OK83" i="16"/>
  <c r="OK88" i="16" s="1"/>
  <c r="OK98" i="16" s="1"/>
  <c r="MO80" i="16"/>
  <c r="MO83" i="16"/>
  <c r="MO88" i="16" s="1"/>
  <c r="MO98" i="16" s="1"/>
  <c r="LI80" i="16"/>
  <c r="LI83" i="16"/>
  <c r="LI88" i="16" s="1"/>
  <c r="LI98" i="16" s="1"/>
  <c r="IO80" i="16"/>
  <c r="IO83" i="16"/>
  <c r="IO88" i="16" s="1"/>
  <c r="IO98" i="16" s="1"/>
  <c r="ON80" i="16"/>
  <c r="ON83" i="16"/>
  <c r="ON88" i="16" s="1"/>
  <c r="ON98" i="16" s="1"/>
  <c r="OF80" i="16"/>
  <c r="OF83" i="16"/>
  <c r="OF88" i="16" s="1"/>
  <c r="OF98" i="16" s="1"/>
  <c r="NX80" i="16"/>
  <c r="NX83" i="16"/>
  <c r="NP80" i="16"/>
  <c r="NP83" i="16"/>
  <c r="NP88" i="16" s="1"/>
  <c r="NP98" i="16" s="1"/>
  <c r="NH80" i="16"/>
  <c r="NH83" i="16"/>
  <c r="NH88" i="16" s="1"/>
  <c r="NH98" i="16" s="1"/>
  <c r="MZ80" i="16"/>
  <c r="MZ83" i="16"/>
  <c r="MR80" i="16"/>
  <c r="MR83" i="16"/>
  <c r="MR88" i="16" s="1"/>
  <c r="MR98" i="16" s="1"/>
  <c r="MJ80" i="16"/>
  <c r="MJ83" i="16"/>
  <c r="MJ88" i="16" s="1"/>
  <c r="MJ98" i="16" s="1"/>
  <c r="MB80" i="16"/>
  <c r="MB83" i="16"/>
  <c r="LT80" i="16"/>
  <c r="LT83" i="16"/>
  <c r="LT88" i="16" s="1"/>
  <c r="LT98" i="16" s="1"/>
  <c r="LL80" i="16"/>
  <c r="LL83" i="16"/>
  <c r="LL88" i="16" s="1"/>
  <c r="LL98" i="16" s="1"/>
  <c r="LD80" i="16"/>
  <c r="LD83" i="16"/>
  <c r="KV80" i="16"/>
  <c r="KV83" i="16"/>
  <c r="KV88" i="16" s="1"/>
  <c r="KV98" i="16" s="1"/>
  <c r="KN80" i="16"/>
  <c r="KN83" i="16"/>
  <c r="KN88" i="16" s="1"/>
  <c r="KN98" i="16" s="1"/>
  <c r="KF80" i="16"/>
  <c r="KF83" i="16"/>
  <c r="JX80" i="16"/>
  <c r="JX83" i="16"/>
  <c r="JX88" i="16" s="1"/>
  <c r="JX98" i="16" s="1"/>
  <c r="JP80" i="16"/>
  <c r="JP83" i="16"/>
  <c r="JP88" i="16" s="1"/>
  <c r="JP98" i="16" s="1"/>
  <c r="JH80" i="16"/>
  <c r="JH83" i="16"/>
  <c r="IZ80" i="16"/>
  <c r="IZ83" i="16"/>
  <c r="IZ88" i="16" s="1"/>
  <c r="IZ98" i="16" s="1"/>
  <c r="IR80" i="16"/>
  <c r="IR83" i="16"/>
  <c r="IR88" i="16" s="1"/>
  <c r="IR98" i="16" s="1"/>
  <c r="IJ80" i="16"/>
  <c r="IJ83" i="16"/>
  <c r="IB80" i="16"/>
  <c r="IB83" i="16"/>
  <c r="IB88" i="16" s="1"/>
  <c r="IB98" i="16" s="1"/>
  <c r="HT80" i="16"/>
  <c r="HT83" i="16"/>
  <c r="HT88" i="16" s="1"/>
  <c r="HT98" i="16" s="1"/>
  <c r="HL80" i="16"/>
  <c r="HL83" i="16"/>
  <c r="HD80" i="16"/>
  <c r="HD83" i="16"/>
  <c r="HD88" i="16" s="1"/>
  <c r="HD98" i="16" s="1"/>
  <c r="GV80" i="16"/>
  <c r="GV83" i="16"/>
  <c r="GV88" i="16" s="1"/>
  <c r="GV98" i="16" s="1"/>
  <c r="GN80" i="16"/>
  <c r="GN83" i="16"/>
  <c r="GF80" i="16"/>
  <c r="GF83" i="16"/>
  <c r="GF88" i="16" s="1"/>
  <c r="GF98" i="16" s="1"/>
  <c r="FX80" i="16"/>
  <c r="FX83" i="16"/>
  <c r="FX88" i="16" s="1"/>
  <c r="FX98" i="16" s="1"/>
  <c r="FP80" i="16"/>
  <c r="FP83" i="16"/>
  <c r="FH80" i="16"/>
  <c r="FH83" i="16"/>
  <c r="FH88" i="16" s="1"/>
  <c r="FH98" i="16" s="1"/>
  <c r="EZ80" i="16"/>
  <c r="EZ83" i="16"/>
  <c r="EZ88" i="16" s="1"/>
  <c r="EZ98" i="16" s="1"/>
  <c r="ER80" i="16"/>
  <c r="ER83" i="16"/>
  <c r="EJ80" i="16"/>
  <c r="EJ83" i="16"/>
  <c r="EJ88" i="16" s="1"/>
  <c r="EJ98" i="16" s="1"/>
  <c r="EB80" i="16"/>
  <c r="EB83" i="16"/>
  <c r="EB88" i="16" s="1"/>
  <c r="EB98" i="16" s="1"/>
  <c r="DT80" i="16"/>
  <c r="DT83" i="16"/>
  <c r="DL80" i="16"/>
  <c r="DL83" i="16"/>
  <c r="DL88" i="16" s="1"/>
  <c r="DL98" i="16" s="1"/>
  <c r="DD80" i="16"/>
  <c r="DD83" i="16"/>
  <c r="DD88" i="16" s="1"/>
  <c r="DD98" i="16" s="1"/>
  <c r="CV80" i="16"/>
  <c r="CV83" i="16"/>
  <c r="CN80" i="16"/>
  <c r="CN83" i="16"/>
  <c r="CN88" i="16" s="1"/>
  <c r="CN98" i="16" s="1"/>
  <c r="CF80" i="16"/>
  <c r="CF83" i="16"/>
  <c r="CF88" i="16" s="1"/>
  <c r="CF98" i="16" s="1"/>
  <c r="BX80" i="16"/>
  <c r="BX83" i="16"/>
  <c r="BP80" i="16"/>
  <c r="BP83" i="16"/>
  <c r="BP88" i="16" s="1"/>
  <c r="BP98" i="16" s="1"/>
  <c r="BH80" i="16"/>
  <c r="BH83" i="16"/>
  <c r="BH88" i="16" s="1"/>
  <c r="BH98" i="16" s="1"/>
  <c r="AZ80" i="16"/>
  <c r="AZ83" i="16"/>
  <c r="M20" i="10"/>
  <c r="M27" i="10" s="1"/>
  <c r="N13" i="10"/>
  <c r="L12" i="10"/>
  <c r="K19" i="10"/>
  <c r="K26" i="10" s="1"/>
  <c r="H24" i="10"/>
  <c r="H29" i="10" s="1"/>
  <c r="F8" i="21" s="1"/>
  <c r="L14" i="10"/>
  <c r="K21" i="10"/>
  <c r="K28" i="10" s="1"/>
  <c r="I15" i="10"/>
  <c r="G7" i="21" s="1"/>
  <c r="I17" i="10"/>
  <c r="I22" i="10" s="1"/>
  <c r="J10" i="10"/>
  <c r="N11" i="10"/>
  <c r="M18" i="10"/>
  <c r="M25" i="10" s="1"/>
  <c r="F40" i="9"/>
  <c r="F37" i="9"/>
  <c r="D91" i="16" s="1"/>
  <c r="D37" i="9"/>
  <c r="E37" i="9"/>
  <c r="O7" i="10" l="1"/>
  <c r="L4" i="21"/>
  <c r="AJ200" i="16"/>
  <c r="AP200" i="16"/>
  <c r="V200" i="16"/>
  <c r="AL200" i="16"/>
  <c r="Q200" i="16"/>
  <c r="W200" i="16"/>
  <c r="AB200" i="16"/>
  <c r="U200" i="16"/>
  <c r="AK200" i="16"/>
  <c r="AG200" i="16"/>
  <c r="AM200" i="16"/>
  <c r="O22" i="17"/>
  <c r="P23" i="17"/>
  <c r="M11" i="19"/>
  <c r="M15" i="19"/>
  <c r="N12" i="19"/>
  <c r="M16" i="19"/>
  <c r="T188" i="16"/>
  <c r="AJ188" i="16"/>
  <c r="AF188" i="16"/>
  <c r="AN188" i="16"/>
  <c r="X188" i="16"/>
  <c r="P188" i="16"/>
  <c r="N188" i="16"/>
  <c r="V188" i="16"/>
  <c r="M162" i="16"/>
  <c r="K162" i="16"/>
  <c r="AD188" i="16"/>
  <c r="R188" i="16"/>
  <c r="Z188" i="16"/>
  <c r="BX88" i="16"/>
  <c r="P191" i="16"/>
  <c r="FP88" i="16"/>
  <c r="X191" i="16"/>
  <c r="JH88" i="16"/>
  <c r="AF191" i="16"/>
  <c r="MZ88" i="16"/>
  <c r="AN191" i="16"/>
  <c r="DH88" i="16"/>
  <c r="S191" i="16"/>
  <c r="GZ88" i="16"/>
  <c r="AA191" i="16"/>
  <c r="KR88" i="16"/>
  <c r="AI191" i="16"/>
  <c r="OJ88" i="16"/>
  <c r="AQ191" i="16"/>
  <c r="S188" i="16"/>
  <c r="AA188" i="16"/>
  <c r="AI188" i="16"/>
  <c r="AQ188" i="16"/>
  <c r="I204" i="16"/>
  <c r="AZ88" i="16"/>
  <c r="N191" i="16"/>
  <c r="ER88" i="16"/>
  <c r="V191" i="16"/>
  <c r="IJ88" i="16"/>
  <c r="AD191" i="16"/>
  <c r="MB88" i="16"/>
  <c r="AL191" i="16"/>
  <c r="OO98" i="16"/>
  <c r="J196" i="16"/>
  <c r="CJ88" i="16"/>
  <c r="Q191" i="16"/>
  <c r="GB88" i="16"/>
  <c r="Y191" i="16"/>
  <c r="JT88" i="16"/>
  <c r="AG191" i="16"/>
  <c r="NL88" i="16"/>
  <c r="AO191" i="16"/>
  <c r="I183" i="16"/>
  <c r="AL188" i="16"/>
  <c r="Q188" i="16"/>
  <c r="Y188" i="16"/>
  <c r="AG188" i="16"/>
  <c r="AO188" i="16"/>
  <c r="DT88" i="16"/>
  <c r="T191" i="16"/>
  <c r="HL88" i="16"/>
  <c r="AB191" i="16"/>
  <c r="LD88" i="16"/>
  <c r="AJ191" i="16"/>
  <c r="BL88" i="16"/>
  <c r="O191" i="16"/>
  <c r="FD88" i="16"/>
  <c r="W191" i="16"/>
  <c r="IV88" i="16"/>
  <c r="AE191" i="16"/>
  <c r="MN88" i="16"/>
  <c r="AM191" i="16"/>
  <c r="L162" i="16"/>
  <c r="O188" i="16"/>
  <c r="W188" i="16"/>
  <c r="AE188" i="16"/>
  <c r="AM188" i="16"/>
  <c r="I203" i="16"/>
  <c r="AB188" i="16"/>
  <c r="CV88" i="16"/>
  <c r="R191" i="16"/>
  <c r="GN88" i="16"/>
  <c r="Z191" i="16"/>
  <c r="KF88" i="16"/>
  <c r="AH191" i="16"/>
  <c r="NX88" i="16"/>
  <c r="AP191" i="16"/>
  <c r="AT88" i="16"/>
  <c r="M191" i="16"/>
  <c r="EF88" i="16"/>
  <c r="U191" i="16"/>
  <c r="HX88" i="16"/>
  <c r="AC191" i="16"/>
  <c r="LP88" i="16"/>
  <c r="AK191" i="16"/>
  <c r="I200" i="16"/>
  <c r="AH188" i="16"/>
  <c r="AP188" i="16"/>
  <c r="M188" i="16"/>
  <c r="U188" i="16"/>
  <c r="AC188" i="16"/>
  <c r="AK188" i="16"/>
  <c r="AT91" i="16"/>
  <c r="AU91" i="16"/>
  <c r="AV91" i="16"/>
  <c r="AW91" i="16"/>
  <c r="AX91" i="16"/>
  <c r="AY91" i="16"/>
  <c r="AY93" i="16" s="1"/>
  <c r="AZ91" i="16"/>
  <c r="BA91" i="16"/>
  <c r="BA93" i="16" s="1"/>
  <c r="BB91" i="16"/>
  <c r="BB93" i="16" s="1"/>
  <c r="BC91" i="16"/>
  <c r="BC93" i="16" s="1"/>
  <c r="BD91" i="16"/>
  <c r="BD93" i="16" s="1"/>
  <c r="BE91" i="16"/>
  <c r="BE93" i="16" s="1"/>
  <c r="BF91" i="16"/>
  <c r="BG91" i="16"/>
  <c r="BG93" i="16" s="1"/>
  <c r="BH91" i="16"/>
  <c r="BI91" i="16"/>
  <c r="BI93" i="16" s="1"/>
  <c r="BJ91" i="16"/>
  <c r="BJ93" i="16" s="1"/>
  <c r="BK91" i="16"/>
  <c r="BK93" i="16" s="1"/>
  <c r="BL91" i="16"/>
  <c r="BL93" i="16" s="1"/>
  <c r="BM91" i="16"/>
  <c r="BM93" i="16" s="1"/>
  <c r="BN91" i="16"/>
  <c r="BN93" i="16" s="1"/>
  <c r="BO91" i="16"/>
  <c r="BO93" i="16" s="1"/>
  <c r="BP91" i="16"/>
  <c r="BQ91" i="16"/>
  <c r="BQ93" i="16" s="1"/>
  <c r="BR91" i="16"/>
  <c r="BR93" i="16" s="1"/>
  <c r="BS91" i="16"/>
  <c r="BT91" i="16"/>
  <c r="BT93" i="16" s="1"/>
  <c r="BU91" i="16"/>
  <c r="BU93" i="16" s="1"/>
  <c r="BV91" i="16"/>
  <c r="BV93" i="16" s="1"/>
  <c r="BW91" i="16"/>
  <c r="BW93" i="16" s="1"/>
  <c r="BX91" i="16"/>
  <c r="BX93" i="16" s="1"/>
  <c r="BY91" i="16"/>
  <c r="BY93" i="16" s="1"/>
  <c r="BZ91" i="16"/>
  <c r="BZ93" i="16" s="1"/>
  <c r="CA91" i="16"/>
  <c r="CA93" i="16" s="1"/>
  <c r="CB91" i="16"/>
  <c r="CC91" i="16"/>
  <c r="CC93" i="16" s="1"/>
  <c r="CD91" i="16"/>
  <c r="CE91" i="16"/>
  <c r="CE93" i="16" s="1"/>
  <c r="CF91" i="16"/>
  <c r="CF93" i="16" s="1"/>
  <c r="CG91" i="16"/>
  <c r="CG93" i="16" s="1"/>
  <c r="CH91" i="16"/>
  <c r="CH93" i="16" s="1"/>
  <c r="CI91" i="16"/>
  <c r="CI93" i="16" s="1"/>
  <c r="CJ91" i="16"/>
  <c r="CJ93" i="16" s="1"/>
  <c r="CK91" i="16"/>
  <c r="CK93" i="16" s="1"/>
  <c r="CL91" i="16"/>
  <c r="CL93" i="16" s="1"/>
  <c r="CM91" i="16"/>
  <c r="CM93" i="16" s="1"/>
  <c r="CN91" i="16"/>
  <c r="CO91" i="16"/>
  <c r="CO93" i="16" s="1"/>
  <c r="CP91" i="16"/>
  <c r="CP93" i="16" s="1"/>
  <c r="CQ91" i="16"/>
  <c r="CQ93" i="16" s="1"/>
  <c r="CR91" i="16"/>
  <c r="CR93" i="16" s="1"/>
  <c r="CS91" i="16"/>
  <c r="CS93" i="16" s="1"/>
  <c r="CT91" i="16"/>
  <c r="CU91" i="16"/>
  <c r="CU93" i="16" s="1"/>
  <c r="CV91" i="16"/>
  <c r="CV93" i="16" s="1"/>
  <c r="CW91" i="16"/>
  <c r="CW93" i="16" s="1"/>
  <c r="CX91" i="16"/>
  <c r="CX93" i="16" s="1"/>
  <c r="CY91" i="16"/>
  <c r="CY93" i="16" s="1"/>
  <c r="CZ91" i="16"/>
  <c r="CZ93" i="16" s="1"/>
  <c r="DA91" i="16"/>
  <c r="DA93" i="16" s="1"/>
  <c r="DB91" i="16"/>
  <c r="DB93" i="16" s="1"/>
  <c r="DC91" i="16"/>
  <c r="DC93" i="16" s="1"/>
  <c r="DD91" i="16"/>
  <c r="DE91" i="16"/>
  <c r="DE93" i="16" s="1"/>
  <c r="DF91" i="16"/>
  <c r="DF93" i="16" s="1"/>
  <c r="DG91" i="16"/>
  <c r="DG93" i="16" s="1"/>
  <c r="DH91" i="16"/>
  <c r="DH93" i="16" s="1"/>
  <c r="DI91" i="16"/>
  <c r="DI93" i="16" s="1"/>
  <c r="DJ91" i="16"/>
  <c r="DJ93" i="16" s="1"/>
  <c r="DK91" i="16"/>
  <c r="DK93" i="16" s="1"/>
  <c r="DL91" i="16"/>
  <c r="DL93" i="16" s="1"/>
  <c r="DM91" i="16"/>
  <c r="DM93" i="16" s="1"/>
  <c r="DN91" i="16"/>
  <c r="DN93" i="16" s="1"/>
  <c r="DO91" i="16"/>
  <c r="DO93" i="16" s="1"/>
  <c r="DP91" i="16"/>
  <c r="DP93" i="16" s="1"/>
  <c r="DQ91" i="16"/>
  <c r="DQ93" i="16" s="1"/>
  <c r="DR91" i="16"/>
  <c r="DS91" i="16"/>
  <c r="DS93" i="16" s="1"/>
  <c r="DT91" i="16"/>
  <c r="DT93" i="16" s="1"/>
  <c r="DU91" i="16"/>
  <c r="DU93" i="16" s="1"/>
  <c r="DV91" i="16"/>
  <c r="DV93" i="16" s="1"/>
  <c r="DW91" i="16"/>
  <c r="DW93" i="16" s="1"/>
  <c r="DX91" i="16"/>
  <c r="DX93" i="16" s="1"/>
  <c r="DY91" i="16"/>
  <c r="DY93" i="16" s="1"/>
  <c r="DZ91" i="16"/>
  <c r="EA91" i="16"/>
  <c r="EA93" i="16" s="1"/>
  <c r="EB91" i="16"/>
  <c r="EB93" i="16" s="1"/>
  <c r="EC91" i="16"/>
  <c r="EC93" i="16" s="1"/>
  <c r="ED91" i="16"/>
  <c r="ED93" i="16" s="1"/>
  <c r="EE91" i="16"/>
  <c r="EE93" i="16" s="1"/>
  <c r="EF91" i="16"/>
  <c r="EF93" i="16" s="1"/>
  <c r="EG91" i="16"/>
  <c r="EG93" i="16" s="1"/>
  <c r="EH91" i="16"/>
  <c r="EH93" i="16" s="1"/>
  <c r="EI91" i="16"/>
  <c r="EI93" i="16" s="1"/>
  <c r="EJ91" i="16"/>
  <c r="EJ93" i="16" s="1"/>
  <c r="EK91" i="16"/>
  <c r="EK93" i="16" s="1"/>
  <c r="EL91" i="16"/>
  <c r="EL93" i="16" s="1"/>
  <c r="EM91" i="16"/>
  <c r="EM93" i="16" s="1"/>
  <c r="EN91" i="16"/>
  <c r="EN93" i="16" s="1"/>
  <c r="EO91" i="16"/>
  <c r="EO93" i="16" s="1"/>
  <c r="EP91" i="16"/>
  <c r="EP93" i="16" s="1"/>
  <c r="EQ91" i="16"/>
  <c r="EQ93" i="16" s="1"/>
  <c r="ER91" i="16"/>
  <c r="ER93" i="16" s="1"/>
  <c r="ES91" i="16"/>
  <c r="ES93" i="16" s="1"/>
  <c r="ET91" i="16"/>
  <c r="ET93" i="16" s="1"/>
  <c r="EU91" i="16"/>
  <c r="EU93" i="16" s="1"/>
  <c r="EV91" i="16"/>
  <c r="EV93" i="16" s="1"/>
  <c r="EW91" i="16"/>
  <c r="EW93" i="16" s="1"/>
  <c r="EX91" i="16"/>
  <c r="EX93" i="16" s="1"/>
  <c r="EY91" i="16"/>
  <c r="EY93" i="16" s="1"/>
  <c r="EZ91" i="16"/>
  <c r="EZ93" i="16" s="1"/>
  <c r="FA91" i="16"/>
  <c r="FA93" i="16" s="1"/>
  <c r="FB91" i="16"/>
  <c r="FB93" i="16" s="1"/>
  <c r="FC91" i="16"/>
  <c r="FC93" i="16" s="1"/>
  <c r="FD91" i="16"/>
  <c r="FD93" i="16" s="1"/>
  <c r="FE91" i="16"/>
  <c r="FE93" i="16" s="1"/>
  <c r="FF91" i="16"/>
  <c r="FG91" i="16"/>
  <c r="FG93" i="16" s="1"/>
  <c r="FH91" i="16"/>
  <c r="FH93" i="16" s="1"/>
  <c r="FI91" i="16"/>
  <c r="FI93" i="16" s="1"/>
  <c r="FJ91" i="16"/>
  <c r="FJ93" i="16" s="1"/>
  <c r="FK91" i="16"/>
  <c r="FK93" i="16" s="1"/>
  <c r="FL91" i="16"/>
  <c r="FL93" i="16" s="1"/>
  <c r="FM91" i="16"/>
  <c r="FM93" i="16" s="1"/>
  <c r="FN91" i="16"/>
  <c r="FN93" i="16" s="1"/>
  <c r="FO91" i="16"/>
  <c r="FO93" i="16" s="1"/>
  <c r="FP91" i="16"/>
  <c r="FP93" i="16" s="1"/>
  <c r="FQ91" i="16"/>
  <c r="FQ93" i="16" s="1"/>
  <c r="FR91" i="16"/>
  <c r="FR93" i="16" s="1"/>
  <c r="FS91" i="16"/>
  <c r="FS93" i="16" s="1"/>
  <c r="FT91" i="16"/>
  <c r="FT93" i="16" s="1"/>
  <c r="FU91" i="16"/>
  <c r="FU93" i="16" s="1"/>
  <c r="FV91" i="16"/>
  <c r="FW91" i="16"/>
  <c r="FW93" i="16" s="1"/>
  <c r="FX91" i="16"/>
  <c r="FX93" i="16" s="1"/>
  <c r="FY91" i="16"/>
  <c r="FY93" i="16" s="1"/>
  <c r="FZ91" i="16"/>
  <c r="FZ93" i="16" s="1"/>
  <c r="GA91" i="16"/>
  <c r="GA93" i="16" s="1"/>
  <c r="GB91" i="16"/>
  <c r="GB93" i="16" s="1"/>
  <c r="GC91" i="16"/>
  <c r="GC93" i="16" s="1"/>
  <c r="GD91" i="16"/>
  <c r="GD93" i="16" s="1"/>
  <c r="GE91" i="16"/>
  <c r="GE93" i="16" s="1"/>
  <c r="GF91" i="16"/>
  <c r="GF93" i="16" s="1"/>
  <c r="GG91" i="16"/>
  <c r="GG93" i="16" s="1"/>
  <c r="GH91" i="16"/>
  <c r="GH93" i="16" s="1"/>
  <c r="GI91" i="16"/>
  <c r="GI93" i="16" s="1"/>
  <c r="GJ91" i="16"/>
  <c r="GJ93" i="16" s="1"/>
  <c r="GK91" i="16"/>
  <c r="GK93" i="16" s="1"/>
  <c r="GL91" i="16"/>
  <c r="GL93" i="16" s="1"/>
  <c r="GM91" i="16"/>
  <c r="GM93" i="16" s="1"/>
  <c r="GN91" i="16"/>
  <c r="GN93" i="16" s="1"/>
  <c r="GO91" i="16"/>
  <c r="GO93" i="16" s="1"/>
  <c r="GP91" i="16"/>
  <c r="GP93" i="16" s="1"/>
  <c r="GQ91" i="16"/>
  <c r="GQ93" i="16" s="1"/>
  <c r="GR91" i="16"/>
  <c r="GR93" i="16" s="1"/>
  <c r="GS91" i="16"/>
  <c r="GS93" i="16" s="1"/>
  <c r="GT91" i="16"/>
  <c r="GT93" i="16" s="1"/>
  <c r="GU91" i="16"/>
  <c r="GU93" i="16" s="1"/>
  <c r="GV91" i="16"/>
  <c r="GV93" i="16" s="1"/>
  <c r="GW91" i="16"/>
  <c r="GW93" i="16" s="1"/>
  <c r="GX91" i="16"/>
  <c r="GX93" i="16" s="1"/>
  <c r="GY91" i="16"/>
  <c r="GZ91" i="16"/>
  <c r="GZ93" i="16" s="1"/>
  <c r="HA91" i="16"/>
  <c r="HA93" i="16" s="1"/>
  <c r="HB91" i="16"/>
  <c r="HB93" i="16" s="1"/>
  <c r="HC91" i="16"/>
  <c r="HC93" i="16" s="1"/>
  <c r="HD91" i="16"/>
  <c r="HD93" i="16" s="1"/>
  <c r="HE91" i="16"/>
  <c r="HE93" i="16" s="1"/>
  <c r="HF91" i="16"/>
  <c r="HF93" i="16" s="1"/>
  <c r="HG91" i="16"/>
  <c r="HG93" i="16" s="1"/>
  <c r="HH91" i="16"/>
  <c r="HH93" i="16" s="1"/>
  <c r="HI91" i="16"/>
  <c r="HI93" i="16" s="1"/>
  <c r="HJ91" i="16"/>
  <c r="HJ93" i="16" s="1"/>
  <c r="HK91" i="16"/>
  <c r="HK93" i="16" s="1"/>
  <c r="HL91" i="16"/>
  <c r="HL93" i="16" s="1"/>
  <c r="HM91" i="16"/>
  <c r="HM93" i="16" s="1"/>
  <c r="HN91" i="16"/>
  <c r="HN93" i="16" s="1"/>
  <c r="HO91" i="16"/>
  <c r="HO93" i="16" s="1"/>
  <c r="HP91" i="16"/>
  <c r="HP93" i="16" s="1"/>
  <c r="HQ91" i="16"/>
  <c r="HQ93" i="16" s="1"/>
  <c r="HR91" i="16"/>
  <c r="HS91" i="16"/>
  <c r="HS93" i="16" s="1"/>
  <c r="HT91" i="16"/>
  <c r="HT93" i="16" s="1"/>
  <c r="HU91" i="16"/>
  <c r="HU93" i="16" s="1"/>
  <c r="HV91" i="16"/>
  <c r="HV93" i="16" s="1"/>
  <c r="HW91" i="16"/>
  <c r="HW93" i="16" s="1"/>
  <c r="HX91" i="16"/>
  <c r="HX93" i="16" s="1"/>
  <c r="HY91" i="16"/>
  <c r="HY93" i="16" s="1"/>
  <c r="HZ91" i="16"/>
  <c r="HZ93" i="16" s="1"/>
  <c r="IA91" i="16"/>
  <c r="IA93" i="16" s="1"/>
  <c r="IB91" i="16"/>
  <c r="IB93" i="16" s="1"/>
  <c r="IC91" i="16"/>
  <c r="IC93" i="16" s="1"/>
  <c r="ID91" i="16"/>
  <c r="ID93" i="16" s="1"/>
  <c r="IE91" i="16"/>
  <c r="IE93" i="16" s="1"/>
  <c r="IF91" i="16"/>
  <c r="IF93" i="16" s="1"/>
  <c r="IG91" i="16"/>
  <c r="IG93" i="16" s="1"/>
  <c r="IH91" i="16"/>
  <c r="IH93" i="16" s="1"/>
  <c r="II91" i="16"/>
  <c r="II93" i="16" s="1"/>
  <c r="IJ91" i="16"/>
  <c r="IJ93" i="16" s="1"/>
  <c r="IK91" i="16"/>
  <c r="IK93" i="16" s="1"/>
  <c r="IL91" i="16"/>
  <c r="IL93" i="16" s="1"/>
  <c r="IM91" i="16"/>
  <c r="IM93" i="16" s="1"/>
  <c r="IN91" i="16"/>
  <c r="IN93" i="16" s="1"/>
  <c r="IO91" i="16"/>
  <c r="IO93" i="16" s="1"/>
  <c r="IP91" i="16"/>
  <c r="IP93" i="16" s="1"/>
  <c r="IQ91" i="16"/>
  <c r="IQ93" i="16" s="1"/>
  <c r="IR91" i="16"/>
  <c r="IR93" i="16" s="1"/>
  <c r="IS91" i="16"/>
  <c r="IS93" i="16" s="1"/>
  <c r="IT91" i="16"/>
  <c r="IT93" i="16" s="1"/>
  <c r="IU91" i="16"/>
  <c r="IU93" i="16" s="1"/>
  <c r="IV91" i="16"/>
  <c r="IV93" i="16" s="1"/>
  <c r="IW91" i="16"/>
  <c r="IW93" i="16" s="1"/>
  <c r="IX91" i="16"/>
  <c r="IX93" i="16" s="1"/>
  <c r="IY91" i="16"/>
  <c r="IY93" i="16" s="1"/>
  <c r="IZ91" i="16"/>
  <c r="IZ93" i="16" s="1"/>
  <c r="JA91" i="16"/>
  <c r="JA93" i="16" s="1"/>
  <c r="JB91" i="16"/>
  <c r="JB93" i="16" s="1"/>
  <c r="JC91" i="16"/>
  <c r="JC93" i="16" s="1"/>
  <c r="JD91" i="16"/>
  <c r="JD93" i="16" s="1"/>
  <c r="JE91" i="16"/>
  <c r="JE93" i="16" s="1"/>
  <c r="JF91" i="16"/>
  <c r="JF93" i="16" s="1"/>
  <c r="JG91" i="16"/>
  <c r="JG93" i="16" s="1"/>
  <c r="JH91" i="16"/>
  <c r="JH93" i="16" s="1"/>
  <c r="JI91" i="16"/>
  <c r="JI93" i="16" s="1"/>
  <c r="JJ91" i="16"/>
  <c r="JJ93" i="16" s="1"/>
  <c r="JK91" i="16"/>
  <c r="JK93" i="16" s="1"/>
  <c r="JL91" i="16"/>
  <c r="JL93" i="16" s="1"/>
  <c r="JM91" i="16"/>
  <c r="JM93" i="16" s="1"/>
  <c r="JN91" i="16"/>
  <c r="JO91" i="16"/>
  <c r="JO93" i="16" s="1"/>
  <c r="JP91" i="16"/>
  <c r="JP93" i="16" s="1"/>
  <c r="JQ91" i="16"/>
  <c r="JQ93" i="16" s="1"/>
  <c r="JR91" i="16"/>
  <c r="JR93" i="16" s="1"/>
  <c r="JS91" i="16"/>
  <c r="JS93" i="16" s="1"/>
  <c r="JT91" i="16"/>
  <c r="JT93" i="16" s="1"/>
  <c r="JU91" i="16"/>
  <c r="JU93" i="16" s="1"/>
  <c r="JV91" i="16"/>
  <c r="JV93" i="16" s="1"/>
  <c r="JW91" i="16"/>
  <c r="JW93" i="16" s="1"/>
  <c r="JX91" i="16"/>
  <c r="JX93" i="16" s="1"/>
  <c r="JY91" i="16"/>
  <c r="JY93" i="16" s="1"/>
  <c r="JZ91" i="16"/>
  <c r="JZ93" i="16" s="1"/>
  <c r="KA91" i="16"/>
  <c r="KA93" i="16" s="1"/>
  <c r="KB91" i="16"/>
  <c r="KB93" i="16" s="1"/>
  <c r="KC91" i="16"/>
  <c r="KC93" i="16" s="1"/>
  <c r="KD91" i="16"/>
  <c r="KD93" i="16" s="1"/>
  <c r="KE91" i="16"/>
  <c r="KE93" i="16" s="1"/>
  <c r="KF91" i="16"/>
  <c r="KF93" i="16" s="1"/>
  <c r="KG91" i="16"/>
  <c r="KG93" i="16" s="1"/>
  <c r="KH91" i="16"/>
  <c r="KH93" i="16" s="1"/>
  <c r="KI91" i="16"/>
  <c r="KI93" i="16" s="1"/>
  <c r="KJ91" i="16"/>
  <c r="KJ93" i="16" s="1"/>
  <c r="KK91" i="16"/>
  <c r="KK93" i="16" s="1"/>
  <c r="KL91" i="16"/>
  <c r="KL93" i="16" s="1"/>
  <c r="KM91" i="16"/>
  <c r="KM93" i="16" s="1"/>
  <c r="KN91" i="16"/>
  <c r="KN93" i="16" s="1"/>
  <c r="KO91" i="16"/>
  <c r="KO93" i="16" s="1"/>
  <c r="KP91" i="16"/>
  <c r="KP93" i="16" s="1"/>
  <c r="KQ91" i="16"/>
  <c r="KQ93" i="16" s="1"/>
  <c r="KR91" i="16"/>
  <c r="KR93" i="16" s="1"/>
  <c r="KS91" i="16"/>
  <c r="KS93" i="16" s="1"/>
  <c r="KT91" i="16"/>
  <c r="KT93" i="16" s="1"/>
  <c r="KU91" i="16"/>
  <c r="KU93" i="16" s="1"/>
  <c r="KV91" i="16"/>
  <c r="KV93" i="16" s="1"/>
  <c r="KW91" i="16"/>
  <c r="KW93" i="16" s="1"/>
  <c r="KX91" i="16"/>
  <c r="KX93" i="16" s="1"/>
  <c r="KY91" i="16"/>
  <c r="KY93" i="16" s="1"/>
  <c r="KZ91" i="16"/>
  <c r="KZ93" i="16" s="1"/>
  <c r="LA91" i="16"/>
  <c r="LA93" i="16" s="1"/>
  <c r="LB91" i="16"/>
  <c r="LB93" i="16" s="1"/>
  <c r="LC91" i="16"/>
  <c r="LC93" i="16" s="1"/>
  <c r="LD91" i="16"/>
  <c r="LD93" i="16" s="1"/>
  <c r="LE91" i="16"/>
  <c r="LE93" i="16" s="1"/>
  <c r="LF91" i="16"/>
  <c r="LF93" i="16" s="1"/>
  <c r="LG91" i="16"/>
  <c r="LG93" i="16" s="1"/>
  <c r="LH91" i="16"/>
  <c r="LH93" i="16" s="1"/>
  <c r="LI91" i="16"/>
  <c r="LI93" i="16" s="1"/>
  <c r="LJ91" i="16"/>
  <c r="LJ93" i="16" s="1"/>
  <c r="LK91" i="16"/>
  <c r="LK93" i="16" s="1"/>
  <c r="LL91" i="16"/>
  <c r="LL93" i="16" s="1"/>
  <c r="LM91" i="16"/>
  <c r="LM93" i="16" s="1"/>
  <c r="LN91" i="16"/>
  <c r="LN93" i="16" s="1"/>
  <c r="LO91" i="16"/>
  <c r="LO93" i="16" s="1"/>
  <c r="LP91" i="16"/>
  <c r="LP93" i="16" s="1"/>
  <c r="LQ91" i="16"/>
  <c r="LQ93" i="16" s="1"/>
  <c r="LR91" i="16"/>
  <c r="LR93" i="16" s="1"/>
  <c r="LS91" i="16"/>
  <c r="LS93" i="16" s="1"/>
  <c r="LT91" i="16"/>
  <c r="LT93" i="16" s="1"/>
  <c r="LU91" i="16"/>
  <c r="LU93" i="16" s="1"/>
  <c r="LV91" i="16"/>
  <c r="LV93" i="16" s="1"/>
  <c r="LW91" i="16"/>
  <c r="LW93" i="16" s="1"/>
  <c r="LX91" i="16"/>
  <c r="LX93" i="16" s="1"/>
  <c r="LY91" i="16"/>
  <c r="LY93" i="16" s="1"/>
  <c r="LZ91" i="16"/>
  <c r="LZ93" i="16" s="1"/>
  <c r="MA91" i="16"/>
  <c r="MA93" i="16" s="1"/>
  <c r="MB91" i="16"/>
  <c r="MB93" i="16" s="1"/>
  <c r="MC91" i="16"/>
  <c r="MC93" i="16" s="1"/>
  <c r="MD91" i="16"/>
  <c r="MD93" i="16" s="1"/>
  <c r="ME91" i="16"/>
  <c r="ME93" i="16" s="1"/>
  <c r="MF91" i="16"/>
  <c r="MF93" i="16" s="1"/>
  <c r="MG91" i="16"/>
  <c r="MG93" i="16" s="1"/>
  <c r="MH91" i="16"/>
  <c r="MH93" i="16" s="1"/>
  <c r="MI91" i="16"/>
  <c r="MI93" i="16" s="1"/>
  <c r="MJ91" i="16"/>
  <c r="MJ93" i="16" s="1"/>
  <c r="MK91" i="16"/>
  <c r="MK93" i="16" s="1"/>
  <c r="ML91" i="16"/>
  <c r="ML93" i="16" s="1"/>
  <c r="MM91" i="16"/>
  <c r="MM93" i="16" s="1"/>
  <c r="MN91" i="16"/>
  <c r="MN93" i="16" s="1"/>
  <c r="MO91" i="16"/>
  <c r="MO93" i="16" s="1"/>
  <c r="MP91" i="16"/>
  <c r="MP93" i="16" s="1"/>
  <c r="MQ91" i="16"/>
  <c r="MQ93" i="16" s="1"/>
  <c r="MR91" i="16"/>
  <c r="MR93" i="16" s="1"/>
  <c r="MS91" i="16"/>
  <c r="MS93" i="16" s="1"/>
  <c r="MT91" i="16"/>
  <c r="MT93" i="16" s="1"/>
  <c r="MU91" i="16"/>
  <c r="MU93" i="16" s="1"/>
  <c r="MV91" i="16"/>
  <c r="MV93" i="16" s="1"/>
  <c r="MW91" i="16"/>
  <c r="MW93" i="16" s="1"/>
  <c r="MX91" i="16"/>
  <c r="MX93" i="16" s="1"/>
  <c r="MY91" i="16"/>
  <c r="MY93" i="16" s="1"/>
  <c r="MZ91" i="16"/>
  <c r="MZ93" i="16" s="1"/>
  <c r="NA91" i="16"/>
  <c r="NA93" i="16" s="1"/>
  <c r="NB91" i="16"/>
  <c r="NB93" i="16" s="1"/>
  <c r="NC91" i="16"/>
  <c r="NC93" i="16" s="1"/>
  <c r="ND91" i="16"/>
  <c r="ND93" i="16" s="1"/>
  <c r="NE91" i="16"/>
  <c r="NE93" i="16" s="1"/>
  <c r="NF91" i="16"/>
  <c r="NF93" i="16" s="1"/>
  <c r="NG91" i="16"/>
  <c r="NG93" i="16" s="1"/>
  <c r="NH91" i="16"/>
  <c r="NH93" i="16" s="1"/>
  <c r="NI91" i="16"/>
  <c r="NI93" i="16" s="1"/>
  <c r="NJ91" i="16"/>
  <c r="NJ93" i="16" s="1"/>
  <c r="NK91" i="16"/>
  <c r="NK93" i="16" s="1"/>
  <c r="NL91" i="16"/>
  <c r="NL93" i="16" s="1"/>
  <c r="NM91" i="16"/>
  <c r="NM93" i="16" s="1"/>
  <c r="NN91" i="16"/>
  <c r="NN93" i="16" s="1"/>
  <c r="NO91" i="16"/>
  <c r="NO93" i="16" s="1"/>
  <c r="NP91" i="16"/>
  <c r="NP93" i="16" s="1"/>
  <c r="NQ91" i="16"/>
  <c r="NQ93" i="16" s="1"/>
  <c r="NR91" i="16"/>
  <c r="NR93" i="16" s="1"/>
  <c r="NS91" i="16"/>
  <c r="NS93" i="16" s="1"/>
  <c r="NT91" i="16"/>
  <c r="NT93" i="16" s="1"/>
  <c r="NU91" i="16"/>
  <c r="NU93" i="16" s="1"/>
  <c r="NV91" i="16"/>
  <c r="NV93" i="16" s="1"/>
  <c r="NW91" i="16"/>
  <c r="NW93" i="16" s="1"/>
  <c r="NX91" i="16"/>
  <c r="NX93" i="16" s="1"/>
  <c r="NY91" i="16"/>
  <c r="NY93" i="16" s="1"/>
  <c r="NZ91" i="16"/>
  <c r="NZ93" i="16" s="1"/>
  <c r="OA91" i="16"/>
  <c r="OA93" i="16" s="1"/>
  <c r="OB91" i="16"/>
  <c r="OB93" i="16" s="1"/>
  <c r="OC91" i="16"/>
  <c r="OC93" i="16" s="1"/>
  <c r="OD91" i="16"/>
  <c r="OD93" i="16" s="1"/>
  <c r="OE91" i="16"/>
  <c r="OE93" i="16" s="1"/>
  <c r="OF91" i="16"/>
  <c r="OF93" i="16" s="1"/>
  <c r="OG91" i="16"/>
  <c r="OG93" i="16" s="1"/>
  <c r="OH91" i="16"/>
  <c r="OH93" i="16" s="1"/>
  <c r="OI91" i="16"/>
  <c r="OI93" i="16" s="1"/>
  <c r="OJ91" i="16"/>
  <c r="OJ93" i="16" s="1"/>
  <c r="OK91" i="16"/>
  <c r="OK93" i="16" s="1"/>
  <c r="OL91" i="16"/>
  <c r="OL93" i="16" s="1"/>
  <c r="OM91" i="16"/>
  <c r="OM93" i="16" s="1"/>
  <c r="ON91" i="16"/>
  <c r="ON93" i="16" s="1"/>
  <c r="OO91" i="16"/>
  <c r="OO93" i="16" s="1"/>
  <c r="J201" i="16" s="1"/>
  <c r="AT93" i="16"/>
  <c r="AU93" i="16"/>
  <c r="AV93" i="16"/>
  <c r="AW93" i="16"/>
  <c r="AX93" i="16"/>
  <c r="AZ93" i="16"/>
  <c r="BF93" i="16"/>
  <c r="BH93" i="16"/>
  <c r="BP93" i="16"/>
  <c r="BS93" i="16"/>
  <c r="CB93" i="16"/>
  <c r="CD93" i="16"/>
  <c r="CN93" i="16"/>
  <c r="CT93" i="16"/>
  <c r="DD93" i="16"/>
  <c r="DR93" i="16"/>
  <c r="DZ93" i="16"/>
  <c r="FF93" i="16"/>
  <c r="FV93" i="16"/>
  <c r="GY93" i="16"/>
  <c r="HR93" i="16"/>
  <c r="JN93" i="16"/>
  <c r="M12" i="10"/>
  <c r="L19" i="10"/>
  <c r="L26" i="10" s="1"/>
  <c r="F31" i="10"/>
  <c r="G31" i="10" s="1"/>
  <c r="H31" i="10" s="1"/>
  <c r="O13" i="10"/>
  <c r="N20" i="10"/>
  <c r="N27" i="10" s="1"/>
  <c r="I24" i="10"/>
  <c r="I29" i="10" s="1"/>
  <c r="G8" i="21" s="1"/>
  <c r="M14" i="10"/>
  <c r="L21" i="10"/>
  <c r="L28" i="10" s="1"/>
  <c r="N18" i="10"/>
  <c r="N25" i="10" s="1"/>
  <c r="O11" i="10"/>
  <c r="J17" i="10"/>
  <c r="J22" i="10" s="1"/>
  <c r="J15" i="10"/>
  <c r="H7" i="21" s="1"/>
  <c r="K10" i="10"/>
  <c r="P7" i="10" l="1"/>
  <c r="M4" i="21"/>
  <c r="N11" i="19"/>
  <c r="O12" i="19"/>
  <c r="N16" i="19"/>
  <c r="N15" i="19"/>
  <c r="Q23" i="17"/>
  <c r="P22" i="17"/>
  <c r="AP201" i="16"/>
  <c r="AJ201" i="16"/>
  <c r="AD201" i="16"/>
  <c r="X201" i="16"/>
  <c r="T201" i="16"/>
  <c r="AN199" i="16"/>
  <c r="AL199" i="16"/>
  <c r="AJ199" i="16"/>
  <c r="AL201" i="16"/>
  <c r="AF201" i="16"/>
  <c r="Z201" i="16"/>
  <c r="V201" i="16"/>
  <c r="P201" i="16"/>
  <c r="J206" i="16"/>
  <c r="AN201" i="16"/>
  <c r="AH201" i="16"/>
  <c r="AB201" i="16"/>
  <c r="AP199" i="16"/>
  <c r="I162" i="16"/>
  <c r="G33" i="10"/>
  <c r="G35" i="10" s="1"/>
  <c r="G36" i="10" s="1"/>
  <c r="AH199" i="16"/>
  <c r="F33" i="10"/>
  <c r="F35" i="10" s="1"/>
  <c r="F36" i="10" s="1"/>
  <c r="R201" i="16"/>
  <c r="AF199" i="16"/>
  <c r="AD199" i="16"/>
  <c r="AB199" i="16"/>
  <c r="Z199" i="16"/>
  <c r="X199" i="16"/>
  <c r="V199" i="16"/>
  <c r="R199" i="16"/>
  <c r="I188" i="16"/>
  <c r="AQ201" i="16"/>
  <c r="AI201" i="16"/>
  <c r="AA201" i="16"/>
  <c r="U201" i="16"/>
  <c r="AO199" i="16"/>
  <c r="AI199" i="16"/>
  <c r="AC199" i="16"/>
  <c r="Y199" i="16"/>
  <c r="U199" i="16"/>
  <c r="S199" i="16"/>
  <c r="I191" i="16"/>
  <c r="BL98" i="16"/>
  <c r="O196" i="16"/>
  <c r="AK201" i="16"/>
  <c r="AC201" i="16"/>
  <c r="AQ199" i="16"/>
  <c r="AE199" i="16"/>
  <c r="AA199" i="16"/>
  <c r="W199" i="16"/>
  <c r="Q199" i="16"/>
  <c r="O199" i="16"/>
  <c r="AT98" i="16"/>
  <c r="M196" i="16"/>
  <c r="CV98" i="16"/>
  <c r="R196" i="16"/>
  <c r="JT98" i="16"/>
  <c r="AG196" i="16"/>
  <c r="MB98" i="16"/>
  <c r="AL196" i="16"/>
  <c r="KR98" i="16"/>
  <c r="AI196" i="16"/>
  <c r="JH98" i="16"/>
  <c r="AF196" i="16"/>
  <c r="AO201" i="16"/>
  <c r="AE201" i="16"/>
  <c r="W201" i="16"/>
  <c r="Q201" i="16"/>
  <c r="O201" i="16"/>
  <c r="AK199" i="16"/>
  <c r="M201" i="16"/>
  <c r="M199" i="16"/>
  <c r="MN98" i="16"/>
  <c r="AM196" i="16"/>
  <c r="LD98" i="16"/>
  <c r="AJ196" i="16"/>
  <c r="AM201" i="16"/>
  <c r="AG201" i="16"/>
  <c r="Y201" i="16"/>
  <c r="S201" i="16"/>
  <c r="AM199" i="16"/>
  <c r="AG199" i="16"/>
  <c r="LP98" i="16"/>
  <c r="AK196" i="16"/>
  <c r="NX98" i="16"/>
  <c r="AP196" i="16"/>
  <c r="GB98" i="16"/>
  <c r="Y196" i="16"/>
  <c r="IJ98" i="16"/>
  <c r="AD196" i="16"/>
  <c r="GZ98" i="16"/>
  <c r="AA196" i="16"/>
  <c r="FP98" i="16"/>
  <c r="X196" i="16"/>
  <c r="P199" i="16"/>
  <c r="N199" i="16"/>
  <c r="IV98" i="16"/>
  <c r="AE196" i="16"/>
  <c r="HL98" i="16"/>
  <c r="AB196" i="16"/>
  <c r="T199" i="16"/>
  <c r="HX98" i="16"/>
  <c r="AC196" i="16"/>
  <c r="KF98" i="16"/>
  <c r="AH196" i="16"/>
  <c r="CJ98" i="16"/>
  <c r="Q196" i="16"/>
  <c r="ER98" i="16"/>
  <c r="V196" i="16"/>
  <c r="DH98" i="16"/>
  <c r="S196" i="16"/>
  <c r="BX98" i="16"/>
  <c r="P196" i="16"/>
  <c r="N201" i="16"/>
  <c r="FD98" i="16"/>
  <c r="W196" i="16"/>
  <c r="DT98" i="16"/>
  <c r="T196" i="16"/>
  <c r="EF98" i="16"/>
  <c r="U196" i="16"/>
  <c r="GN98" i="16"/>
  <c r="Z196" i="16"/>
  <c r="NL98" i="16"/>
  <c r="AO196" i="16"/>
  <c r="AZ98" i="16"/>
  <c r="N196" i="16"/>
  <c r="OJ98" i="16"/>
  <c r="AQ196" i="16"/>
  <c r="MZ98" i="16"/>
  <c r="AN196" i="16"/>
  <c r="O20" i="10"/>
  <c r="O27" i="10" s="1"/>
  <c r="P13" i="10"/>
  <c r="N12" i="10"/>
  <c r="M19" i="10"/>
  <c r="M26" i="10" s="1"/>
  <c r="J24" i="10"/>
  <c r="J29" i="10" s="1"/>
  <c r="H8" i="21" s="1"/>
  <c r="N14" i="10"/>
  <c r="M21" i="10"/>
  <c r="M28" i="10" s="1"/>
  <c r="P11" i="10"/>
  <c r="O18" i="10"/>
  <c r="O25" i="10" s="1"/>
  <c r="H33" i="10"/>
  <c r="H35" i="10" s="1"/>
  <c r="I31" i="10"/>
  <c r="K17" i="10"/>
  <c r="K22" i="10" s="1"/>
  <c r="K15" i="10"/>
  <c r="I7" i="21" s="1"/>
  <c r="L10" i="10"/>
  <c r="F55" i="10" l="1"/>
  <c r="D6" i="21" s="1"/>
  <c r="D9" i="21" s="1"/>
  <c r="D11" i="21"/>
  <c r="E11" i="21"/>
  <c r="G55" i="10"/>
  <c r="E6" i="21" s="1"/>
  <c r="E9" i="21" s="1"/>
  <c r="Q7" i="10"/>
  <c r="N4" i="21"/>
  <c r="R23" i="17"/>
  <c r="Q22" i="17"/>
  <c r="O11" i="19"/>
  <c r="O16" i="19"/>
  <c r="O15" i="19"/>
  <c r="P12" i="19"/>
  <c r="T206" i="16"/>
  <c r="AI206" i="16"/>
  <c r="W206" i="16"/>
  <c r="AA206" i="16"/>
  <c r="AK206" i="16"/>
  <c r="AJ206" i="16"/>
  <c r="AL206" i="16"/>
  <c r="O206" i="16"/>
  <c r="S206" i="16"/>
  <c r="AP206" i="16"/>
  <c r="M206" i="16"/>
  <c r="V206" i="16"/>
  <c r="AO206" i="16"/>
  <c r="AB206" i="16"/>
  <c r="Q206" i="16"/>
  <c r="N206" i="16"/>
  <c r="AN206" i="16"/>
  <c r="I201" i="16"/>
  <c r="AD206" i="16"/>
  <c r="AM206" i="16"/>
  <c r="AG206" i="16"/>
  <c r="AC206" i="16"/>
  <c r="Z206" i="16"/>
  <c r="AE206" i="16"/>
  <c r="P206" i="16"/>
  <c r="AH206" i="16"/>
  <c r="X206" i="16"/>
  <c r="AQ206" i="16"/>
  <c r="U206" i="16"/>
  <c r="Y206" i="16"/>
  <c r="AF206" i="16"/>
  <c r="R206" i="16"/>
  <c r="I196" i="16"/>
  <c r="I199" i="16"/>
  <c r="P20" i="10"/>
  <c r="P27" i="10" s="1"/>
  <c r="Q13" i="10"/>
  <c r="N19" i="10"/>
  <c r="N26" i="10" s="1"/>
  <c r="O12" i="10"/>
  <c r="K24" i="10"/>
  <c r="K29" i="10" s="1"/>
  <c r="I8" i="21" s="1"/>
  <c r="H36" i="10"/>
  <c r="O14" i="10"/>
  <c r="N21" i="10"/>
  <c r="N28" i="10" s="1"/>
  <c r="M10" i="10"/>
  <c r="L15" i="10"/>
  <c r="J7" i="21" s="1"/>
  <c r="L17" i="10"/>
  <c r="L22" i="10" s="1"/>
  <c r="J31" i="10"/>
  <c r="I33" i="10"/>
  <c r="I35" i="10" s="1"/>
  <c r="Q11" i="10"/>
  <c r="P18" i="10"/>
  <c r="P25" i="10" s="1"/>
  <c r="R7" i="10" l="1"/>
  <c r="O4" i="21"/>
  <c r="F11" i="21"/>
  <c r="H55" i="10"/>
  <c r="F6" i="21" s="1"/>
  <c r="F9" i="21" s="1"/>
  <c r="P16" i="19"/>
  <c r="P15" i="19"/>
  <c r="P11" i="19"/>
  <c r="Q12" i="19"/>
  <c r="S23" i="17"/>
  <c r="R22" i="17"/>
  <c r="I206" i="16"/>
  <c r="P12" i="10"/>
  <c r="O19" i="10"/>
  <c r="O26" i="10" s="1"/>
  <c r="Q20" i="10"/>
  <c r="Q27" i="10" s="1"/>
  <c r="R13" i="10"/>
  <c r="L24" i="10"/>
  <c r="L29" i="10" s="1"/>
  <c r="J8" i="21" s="1"/>
  <c r="I36" i="10"/>
  <c r="P14" i="10"/>
  <c r="O21" i="10"/>
  <c r="O28" i="10" s="1"/>
  <c r="K31" i="10"/>
  <c r="J33" i="10"/>
  <c r="J35" i="10" s="1"/>
  <c r="M15" i="10"/>
  <c r="K7" i="21" s="1"/>
  <c r="M17" i="10"/>
  <c r="M22" i="10" s="1"/>
  <c r="N10" i="10"/>
  <c r="R11" i="10"/>
  <c r="Q18" i="10"/>
  <c r="Q25" i="10" s="1"/>
  <c r="I55" i="10" l="1"/>
  <c r="G6" i="21" s="1"/>
  <c r="G9" i="21" s="1"/>
  <c r="G11" i="21"/>
  <c r="S7" i="10"/>
  <c r="P4" i="21"/>
  <c r="T23" i="17"/>
  <c r="S22" i="17"/>
  <c r="Q11" i="19"/>
  <c r="Q15" i="19"/>
  <c r="Q16" i="19"/>
  <c r="R12" i="19"/>
  <c r="Q12" i="10"/>
  <c r="P19" i="10"/>
  <c r="P26" i="10" s="1"/>
  <c r="S13" i="10"/>
  <c r="R20" i="10"/>
  <c r="R27" i="10" s="1"/>
  <c r="M24" i="10"/>
  <c r="M29" i="10" s="1"/>
  <c r="K8" i="21" s="1"/>
  <c r="J36" i="10"/>
  <c r="Q14" i="10"/>
  <c r="P21" i="10"/>
  <c r="P28" i="10" s="1"/>
  <c r="L31" i="10"/>
  <c r="K33" i="10"/>
  <c r="K35" i="10" s="1"/>
  <c r="N15" i="10"/>
  <c r="L7" i="21" s="1"/>
  <c r="N17" i="10"/>
  <c r="N22" i="10" s="1"/>
  <c r="O10" i="10"/>
  <c r="S11" i="10"/>
  <c r="R18" i="10"/>
  <c r="R25" i="10" s="1"/>
  <c r="H11" i="21" l="1"/>
  <c r="J55" i="10"/>
  <c r="H6" i="21" s="1"/>
  <c r="H9" i="21" s="1"/>
  <c r="T7" i="10"/>
  <c r="Q4" i="21"/>
  <c r="R11" i="19"/>
  <c r="R16" i="19"/>
  <c r="R15" i="19"/>
  <c r="S12" i="19"/>
  <c r="U23" i="17"/>
  <c r="T22" i="17"/>
  <c r="S20" i="10"/>
  <c r="S27" i="10" s="1"/>
  <c r="T13" i="10"/>
  <c r="R12" i="10"/>
  <c r="Q19" i="10"/>
  <c r="Q26" i="10" s="1"/>
  <c r="N24" i="10"/>
  <c r="N29" i="10" s="1"/>
  <c r="L8" i="21" s="1"/>
  <c r="K36" i="10"/>
  <c r="R14" i="10"/>
  <c r="Q21" i="10"/>
  <c r="Q28" i="10" s="1"/>
  <c r="L33" i="10"/>
  <c r="L35" i="10" s="1"/>
  <c r="M31" i="10"/>
  <c r="O15" i="10"/>
  <c r="M7" i="21" s="1"/>
  <c r="O17" i="10"/>
  <c r="O22" i="10" s="1"/>
  <c r="P10" i="10"/>
  <c r="T11" i="10"/>
  <c r="S18" i="10"/>
  <c r="S25" i="10" s="1"/>
  <c r="K55" i="10" l="1"/>
  <c r="I6" i="21" s="1"/>
  <c r="I9" i="21" s="1"/>
  <c r="I11" i="21"/>
  <c r="U7" i="10"/>
  <c r="R4" i="21"/>
  <c r="V23" i="17"/>
  <c r="U22" i="17"/>
  <c r="S11" i="19"/>
  <c r="S15" i="19"/>
  <c r="S16" i="19"/>
  <c r="T12" i="19"/>
  <c r="T20" i="10"/>
  <c r="T27" i="10" s="1"/>
  <c r="U13" i="10"/>
  <c r="S12" i="10"/>
  <c r="R19" i="10"/>
  <c r="R26" i="10" s="1"/>
  <c r="O24" i="10"/>
  <c r="O29" i="10" s="1"/>
  <c r="M8" i="21" s="1"/>
  <c r="L36" i="10"/>
  <c r="S14" i="10"/>
  <c r="R21" i="10"/>
  <c r="R28" i="10" s="1"/>
  <c r="U11" i="10"/>
  <c r="T18" i="10"/>
  <c r="T25" i="10" s="1"/>
  <c r="Q10" i="10"/>
  <c r="P15" i="10"/>
  <c r="N7" i="21" s="1"/>
  <c r="P17" i="10"/>
  <c r="P22" i="10" s="1"/>
  <c r="N31" i="10"/>
  <c r="M33" i="10"/>
  <c r="M35" i="10" s="1"/>
  <c r="L55" i="10" l="1"/>
  <c r="J6" i="21" s="1"/>
  <c r="J9" i="21" s="1"/>
  <c r="J11" i="21"/>
  <c r="V7" i="10"/>
  <c r="S4" i="21"/>
  <c r="T16" i="19"/>
  <c r="T15" i="19"/>
  <c r="U12" i="19"/>
  <c r="T11" i="19"/>
  <c r="W23" i="17"/>
  <c r="V22" i="17"/>
  <c r="V13" i="10"/>
  <c r="U20" i="10"/>
  <c r="U27" i="10" s="1"/>
  <c r="S19" i="10"/>
  <c r="S26" i="10" s="1"/>
  <c r="T12" i="10"/>
  <c r="P24" i="10"/>
  <c r="P29" i="10" s="1"/>
  <c r="N8" i="21" s="1"/>
  <c r="M36" i="10"/>
  <c r="T14" i="10"/>
  <c r="S21" i="10"/>
  <c r="S28" i="10" s="1"/>
  <c r="Q17" i="10"/>
  <c r="Q22" i="10" s="1"/>
  <c r="Q15" i="10"/>
  <c r="O7" i="21" s="1"/>
  <c r="R10" i="10"/>
  <c r="O31" i="10"/>
  <c r="N33" i="10"/>
  <c r="N35" i="10" s="1"/>
  <c r="V11" i="10"/>
  <c r="U18" i="10"/>
  <c r="U25" i="10" s="1"/>
  <c r="M55" i="10" l="1"/>
  <c r="K6" i="21" s="1"/>
  <c r="K9" i="21" s="1"/>
  <c r="K11" i="21"/>
  <c r="W7" i="10"/>
  <c r="T4" i="21"/>
  <c r="X23" i="17"/>
  <c r="W22" i="17"/>
  <c r="U11" i="19"/>
  <c r="U16" i="19"/>
  <c r="V12" i="19"/>
  <c r="U15" i="19"/>
  <c r="U12" i="10"/>
  <c r="T19" i="10"/>
  <c r="T26" i="10" s="1"/>
  <c r="W13" i="10"/>
  <c r="V20" i="10"/>
  <c r="V27" i="10" s="1"/>
  <c r="Q24" i="10"/>
  <c r="Q29" i="10" s="1"/>
  <c r="O8" i="21" s="1"/>
  <c r="N36" i="10"/>
  <c r="U14" i="10"/>
  <c r="T21" i="10"/>
  <c r="T28" i="10" s="1"/>
  <c r="P31" i="10"/>
  <c r="O33" i="10"/>
  <c r="O35" i="10" s="1"/>
  <c r="W11" i="10"/>
  <c r="V18" i="10"/>
  <c r="V25" i="10" s="1"/>
  <c r="S10" i="10"/>
  <c r="R17" i="10"/>
  <c r="R22" i="10" s="1"/>
  <c r="R15" i="10"/>
  <c r="P7" i="21" s="1"/>
  <c r="X7" i="10" l="1"/>
  <c r="U4" i="21"/>
  <c r="L11" i="21"/>
  <c r="N55" i="10"/>
  <c r="L6" i="21" s="1"/>
  <c r="L9" i="21" s="1"/>
  <c r="V16" i="19"/>
  <c r="W12" i="19"/>
  <c r="V15" i="19"/>
  <c r="V11" i="19"/>
  <c r="Y23" i="17"/>
  <c r="X22" i="17"/>
  <c r="X13" i="10"/>
  <c r="W20" i="10"/>
  <c r="W27" i="10" s="1"/>
  <c r="V12" i="10"/>
  <c r="U19" i="10"/>
  <c r="U26" i="10" s="1"/>
  <c r="R24" i="10"/>
  <c r="R29" i="10" s="1"/>
  <c r="P8" i="21" s="1"/>
  <c r="O36" i="10"/>
  <c r="V14" i="10"/>
  <c r="U21" i="10"/>
  <c r="U28" i="10" s="1"/>
  <c r="T10" i="10"/>
  <c r="S17" i="10"/>
  <c r="S22" i="10" s="1"/>
  <c r="S15" i="10"/>
  <c r="Q7" i="21" s="1"/>
  <c r="X11" i="10"/>
  <c r="W18" i="10"/>
  <c r="W25" i="10" s="1"/>
  <c r="Q31" i="10"/>
  <c r="P33" i="10"/>
  <c r="P35" i="10" s="1"/>
  <c r="M11" i="21" l="1"/>
  <c r="O55" i="10"/>
  <c r="M6" i="21" s="1"/>
  <c r="M9" i="21" s="1"/>
  <c r="Y7" i="10"/>
  <c r="V4" i="21"/>
  <c r="Z23" i="17"/>
  <c r="Y22" i="17"/>
  <c r="W16" i="19"/>
  <c r="X12" i="19"/>
  <c r="W11" i="19"/>
  <c r="W15" i="19"/>
  <c r="W12" i="10"/>
  <c r="V19" i="10"/>
  <c r="V26" i="10" s="1"/>
  <c r="Y13" i="10"/>
  <c r="X20" i="10"/>
  <c r="X27" i="10" s="1"/>
  <c r="S24" i="10"/>
  <c r="S29" i="10" s="1"/>
  <c r="Q8" i="21" s="1"/>
  <c r="P36" i="10"/>
  <c r="W14" i="10"/>
  <c r="V21" i="10"/>
  <c r="V28" i="10" s="1"/>
  <c r="R31" i="10"/>
  <c r="Q33" i="10"/>
  <c r="Q35" i="10" s="1"/>
  <c r="T17" i="10"/>
  <c r="T22" i="10" s="1"/>
  <c r="U10" i="10"/>
  <c r="T15" i="10"/>
  <c r="R7" i="21" s="1"/>
  <c r="Y11" i="10"/>
  <c r="X18" i="10"/>
  <c r="X25" i="10" s="1"/>
  <c r="N11" i="21" l="1"/>
  <c r="P55" i="10"/>
  <c r="N6" i="21" s="1"/>
  <c r="N9" i="21" s="1"/>
  <c r="Z7" i="10"/>
  <c r="W4" i="21"/>
  <c r="Y12" i="19"/>
  <c r="X16" i="19"/>
  <c r="X11" i="19"/>
  <c r="X15" i="19"/>
  <c r="Z22" i="17"/>
  <c r="AA23" i="17"/>
  <c r="Y20" i="10"/>
  <c r="Y27" i="10" s="1"/>
  <c r="Z13" i="10"/>
  <c r="X12" i="10"/>
  <c r="W19" i="10"/>
  <c r="W26" i="10" s="1"/>
  <c r="T24" i="10"/>
  <c r="T29" i="10" s="1"/>
  <c r="R8" i="21" s="1"/>
  <c r="Q36" i="10"/>
  <c r="X14" i="10"/>
  <c r="W21" i="10"/>
  <c r="W28" i="10" s="1"/>
  <c r="Z11" i="10"/>
  <c r="Y18" i="10"/>
  <c r="Y25" i="10" s="1"/>
  <c r="V10" i="10"/>
  <c r="U15" i="10"/>
  <c r="S7" i="21" s="1"/>
  <c r="U17" i="10"/>
  <c r="U22" i="10" s="1"/>
  <c r="S31" i="10"/>
  <c r="R33" i="10"/>
  <c r="R35" i="10" s="1"/>
  <c r="Q55" i="10" l="1"/>
  <c r="O6" i="21" s="1"/>
  <c r="O9" i="21" s="1"/>
  <c r="O11" i="21"/>
  <c r="AA7" i="10"/>
  <c r="X4" i="21"/>
  <c r="AA22" i="17"/>
  <c r="AB23" i="17"/>
  <c r="Y15" i="19"/>
  <c r="Y16" i="19"/>
  <c r="Z12" i="19"/>
  <c r="Y11" i="19"/>
  <c r="Z20" i="10"/>
  <c r="Z27" i="10" s="1"/>
  <c r="AA13" i="10"/>
  <c r="X19" i="10"/>
  <c r="X26" i="10" s="1"/>
  <c r="Y12" i="10"/>
  <c r="U24" i="10"/>
  <c r="U29" i="10" s="1"/>
  <c r="S8" i="21" s="1"/>
  <c r="R36" i="10"/>
  <c r="Y14" i="10"/>
  <c r="X21" i="10"/>
  <c r="X28" i="10" s="1"/>
  <c r="T31" i="10"/>
  <c r="S33" i="10"/>
  <c r="S35" i="10" s="1"/>
  <c r="W10" i="10"/>
  <c r="V15" i="10"/>
  <c r="T7" i="21" s="1"/>
  <c r="V17" i="10"/>
  <c r="V24" i="10" s="1"/>
  <c r="AA11" i="10"/>
  <c r="Z18" i="10"/>
  <c r="Z25" i="10" s="1"/>
  <c r="P11" i="21" l="1"/>
  <c r="R55" i="10"/>
  <c r="P6" i="21" s="1"/>
  <c r="P9" i="21" s="1"/>
  <c r="AB7" i="10"/>
  <c r="Y4" i="21"/>
  <c r="Z15" i="19"/>
  <c r="Z16" i="19"/>
  <c r="AA12" i="19"/>
  <c r="Z11" i="19"/>
  <c r="AC23" i="17"/>
  <c r="AB22" i="17"/>
  <c r="Z12" i="10"/>
  <c r="Y19" i="10"/>
  <c r="Y26" i="10" s="1"/>
  <c r="AB13" i="10"/>
  <c r="AA20" i="10"/>
  <c r="AA27" i="10" s="1"/>
  <c r="S36" i="10"/>
  <c r="Z14" i="10"/>
  <c r="Y21" i="10"/>
  <c r="Y28" i="10" s="1"/>
  <c r="AA18" i="10"/>
  <c r="AA25" i="10" s="1"/>
  <c r="AB11" i="10"/>
  <c r="V29" i="10"/>
  <c r="T8" i="21" s="1"/>
  <c r="V22" i="10"/>
  <c r="X10" i="10"/>
  <c r="W17" i="10"/>
  <c r="W22" i="10" s="1"/>
  <c r="W15" i="10"/>
  <c r="U7" i="21" s="1"/>
  <c r="T33" i="10"/>
  <c r="T35" i="10" s="1"/>
  <c r="U31" i="10"/>
  <c r="S55" i="10" l="1"/>
  <c r="Q6" i="21" s="1"/>
  <c r="Q9" i="21" s="1"/>
  <c r="Q11" i="21"/>
  <c r="AC7" i="10"/>
  <c r="Z4" i="21"/>
  <c r="AA11" i="19"/>
  <c r="AA15" i="19"/>
  <c r="AA16" i="19"/>
  <c r="AB12" i="19"/>
  <c r="AC22" i="17"/>
  <c r="AD23" i="17"/>
  <c r="AC13" i="10"/>
  <c r="AB20" i="10"/>
  <c r="AB27" i="10" s="1"/>
  <c r="Z19" i="10"/>
  <c r="Z26" i="10" s="1"/>
  <c r="AA12" i="10"/>
  <c r="W24" i="10"/>
  <c r="W29" i="10" s="1"/>
  <c r="U8" i="21" s="1"/>
  <c r="T36" i="10"/>
  <c r="AA14" i="10"/>
  <c r="Z21" i="10"/>
  <c r="Z28" i="10" s="1"/>
  <c r="Y10" i="10"/>
  <c r="X15" i="10"/>
  <c r="V7" i="21" s="1"/>
  <c r="X17" i="10"/>
  <c r="X22" i="10" s="1"/>
  <c r="U33" i="10"/>
  <c r="U35" i="10" s="1"/>
  <c r="V31" i="10"/>
  <c r="AC11" i="10"/>
  <c r="AB18" i="10"/>
  <c r="AB25" i="10" s="1"/>
  <c r="T55" i="10" l="1"/>
  <c r="R6" i="21" s="1"/>
  <c r="R9" i="21" s="1"/>
  <c r="R11" i="21"/>
  <c r="AD7" i="10"/>
  <c r="AA4" i="21"/>
  <c r="AD22" i="17"/>
  <c r="AE23" i="17"/>
  <c r="AB11" i="19"/>
  <c r="AB15" i="19"/>
  <c r="AC12" i="19"/>
  <c r="AB16" i="19"/>
  <c r="AB12" i="10"/>
  <c r="AA19" i="10"/>
  <c r="AA26" i="10" s="1"/>
  <c r="AC20" i="10"/>
  <c r="AC27" i="10" s="1"/>
  <c r="AD13" i="10"/>
  <c r="X24" i="10"/>
  <c r="X29" i="10" s="1"/>
  <c r="V8" i="21" s="1"/>
  <c r="U36" i="10"/>
  <c r="AB14" i="10"/>
  <c r="AA21" i="10"/>
  <c r="AA28" i="10" s="1"/>
  <c r="AD11" i="10"/>
  <c r="AC18" i="10"/>
  <c r="AC25" i="10" s="1"/>
  <c r="W31" i="10"/>
  <c r="V33" i="10"/>
  <c r="V35" i="10" s="1"/>
  <c r="Y17" i="10"/>
  <c r="Y24" i="10" s="1"/>
  <c r="Z10" i="10"/>
  <c r="Y15" i="10"/>
  <c r="W7" i="21" s="1"/>
  <c r="U55" i="10" l="1"/>
  <c r="S6" i="21" s="1"/>
  <c r="S9" i="21" s="1"/>
  <c r="S11" i="21"/>
  <c r="AE7" i="10"/>
  <c r="AB4" i="21"/>
  <c r="AC25" i="19"/>
  <c r="AD12" i="19"/>
  <c r="AC11" i="19"/>
  <c r="AC15" i="19"/>
  <c r="AC16" i="19"/>
  <c r="AF23" i="17"/>
  <c r="AE22" i="17"/>
  <c r="AE13" i="10"/>
  <c r="AD20" i="10"/>
  <c r="AD27" i="10" s="1"/>
  <c r="AC12" i="10"/>
  <c r="AB19" i="10"/>
  <c r="AB26" i="10" s="1"/>
  <c r="V36" i="10"/>
  <c r="AC14" i="10"/>
  <c r="AB21" i="10"/>
  <c r="AB28" i="10" s="1"/>
  <c r="AA10" i="10"/>
  <c r="Z17" i="10"/>
  <c r="Z22" i="10" s="1"/>
  <c r="Z15" i="10"/>
  <c r="X7" i="21" s="1"/>
  <c r="Y29" i="10"/>
  <c r="W8" i="21" s="1"/>
  <c r="Y22" i="10"/>
  <c r="X31" i="10"/>
  <c r="W33" i="10"/>
  <c r="W35" i="10" s="1"/>
  <c r="AD18" i="10"/>
  <c r="AD25" i="10" s="1"/>
  <c r="AE11" i="10"/>
  <c r="T11" i="21" l="1"/>
  <c r="V55" i="10"/>
  <c r="T6" i="21" s="1"/>
  <c r="T9" i="21" s="1"/>
  <c r="AF7" i="10"/>
  <c r="AC4" i="21"/>
  <c r="AG23" i="17"/>
  <c r="AF22" i="17"/>
  <c r="AD25" i="19"/>
  <c r="AE12" i="19"/>
  <c r="AD15" i="19"/>
  <c r="AD11" i="19"/>
  <c r="AD16" i="19"/>
  <c r="AD18" i="19"/>
  <c r="AF13" i="10"/>
  <c r="AE20" i="10"/>
  <c r="AE27" i="10" s="1"/>
  <c r="AD12" i="10"/>
  <c r="AC19" i="10"/>
  <c r="AC26" i="10" s="1"/>
  <c r="Z24" i="10"/>
  <c r="Z29" i="10" s="1"/>
  <c r="X8" i="21" s="1"/>
  <c r="W36" i="10"/>
  <c r="AD14" i="10"/>
  <c r="AC21" i="10"/>
  <c r="AC28" i="10" s="1"/>
  <c r="Y31" i="10"/>
  <c r="X33" i="10"/>
  <c r="X35" i="10" s="1"/>
  <c r="AF11" i="10"/>
  <c r="AE18" i="10"/>
  <c r="AE25" i="10" s="1"/>
  <c r="AB10" i="10"/>
  <c r="AA17" i="10"/>
  <c r="AA22" i="10" s="1"/>
  <c r="AA15" i="10"/>
  <c r="Y7" i="21" s="1"/>
  <c r="AG7" i="10" l="1"/>
  <c r="AD4" i="21"/>
  <c r="U11" i="21"/>
  <c r="W55" i="10"/>
  <c r="U6" i="21" s="1"/>
  <c r="U9" i="21" s="1"/>
  <c r="AE25" i="19"/>
  <c r="AE16" i="19"/>
  <c r="AE18" i="19"/>
  <c r="AF12" i="19"/>
  <c r="AE11" i="19"/>
  <c r="AE15" i="19"/>
  <c r="AH23" i="17"/>
  <c r="AG22" i="17"/>
  <c r="AD19" i="10"/>
  <c r="AD26" i="10" s="1"/>
  <c r="AE12" i="10"/>
  <c r="AF20" i="10"/>
  <c r="AF27" i="10" s="1"/>
  <c r="AG13" i="10"/>
  <c r="AA24" i="10"/>
  <c r="AA29" i="10" s="1"/>
  <c r="Y8" i="21" s="1"/>
  <c r="X36" i="10"/>
  <c r="AE14" i="10"/>
  <c r="AD21" i="10"/>
  <c r="AD28" i="10" s="1"/>
  <c r="AC10" i="10"/>
  <c r="AB15" i="10"/>
  <c r="Z7" i="21" s="1"/>
  <c r="AB17" i="10"/>
  <c r="AB22" i="10" s="1"/>
  <c r="AG11" i="10"/>
  <c r="AF18" i="10"/>
  <c r="AF25" i="10" s="1"/>
  <c r="Z31" i="10"/>
  <c r="Y33" i="10"/>
  <c r="Y35" i="10" s="1"/>
  <c r="V11" i="21" l="1"/>
  <c r="X55" i="10"/>
  <c r="V6" i="21" s="1"/>
  <c r="V9" i="21" s="1"/>
  <c r="AH7" i="10"/>
  <c r="AE4" i="21"/>
  <c r="AI23" i="17"/>
  <c r="AH22" i="17"/>
  <c r="AF25" i="19"/>
  <c r="AF15" i="19"/>
  <c r="AF16" i="19"/>
  <c r="AF18" i="19"/>
  <c r="AF11" i="19"/>
  <c r="AG12" i="19"/>
  <c r="AF12" i="10"/>
  <c r="AE19" i="10"/>
  <c r="AE26" i="10" s="1"/>
  <c r="AH13" i="10"/>
  <c r="AG20" i="10"/>
  <c r="AG27" i="10" s="1"/>
  <c r="AB24" i="10"/>
  <c r="AB29" i="10" s="1"/>
  <c r="Z8" i="21" s="1"/>
  <c r="Y36" i="10"/>
  <c r="AF14" i="10"/>
  <c r="AE21" i="10"/>
  <c r="AE28" i="10" s="1"/>
  <c r="AA31" i="10"/>
  <c r="Z33" i="10"/>
  <c r="Z35" i="10" s="1"/>
  <c r="AG18" i="10"/>
  <c r="AG25" i="10" s="1"/>
  <c r="AH11" i="10"/>
  <c r="AD10" i="10"/>
  <c r="AC15" i="10"/>
  <c r="AA7" i="21" s="1"/>
  <c r="AC17" i="10"/>
  <c r="AC24" i="10" s="1"/>
  <c r="AI7" i="10" l="1"/>
  <c r="AG4" i="21" s="1"/>
  <c r="AF4" i="21"/>
  <c r="W11" i="21"/>
  <c r="Y55" i="10"/>
  <c r="W6" i="21" s="1"/>
  <c r="W9" i="21" s="1"/>
  <c r="AG11" i="19"/>
  <c r="AG16" i="19"/>
  <c r="AG25" i="19"/>
  <c r="AG18" i="19"/>
  <c r="AH12" i="19"/>
  <c r="AG15" i="19"/>
  <c r="AJ23" i="17"/>
  <c r="AI22" i="17"/>
  <c r="AI13" i="10"/>
  <c r="AI20" i="10" s="1"/>
  <c r="AI27" i="10" s="1"/>
  <c r="AH20" i="10"/>
  <c r="AH27" i="10" s="1"/>
  <c r="AF19" i="10"/>
  <c r="AF26" i="10" s="1"/>
  <c r="AG12" i="10"/>
  <c r="Z36" i="10"/>
  <c r="AG14" i="10"/>
  <c r="AF21" i="10"/>
  <c r="AF28" i="10" s="1"/>
  <c r="AE10" i="10"/>
  <c r="AD15" i="10"/>
  <c r="AB7" i="21" s="1"/>
  <c r="AD17" i="10"/>
  <c r="AD22" i="10" s="1"/>
  <c r="AI11" i="10"/>
  <c r="AH18" i="10"/>
  <c r="AH25" i="10" s="1"/>
  <c r="AB31" i="10"/>
  <c r="AA33" i="10"/>
  <c r="AA35" i="10" s="1"/>
  <c r="AC29" i="10"/>
  <c r="AA8" i="21" s="1"/>
  <c r="AC22" i="10"/>
  <c r="Z55" i="10" l="1"/>
  <c r="X6" i="21" s="1"/>
  <c r="X9" i="21" s="1"/>
  <c r="X11" i="21"/>
  <c r="AH25" i="19"/>
  <c r="AH11" i="19"/>
  <c r="AH18" i="19"/>
  <c r="AH16" i="19"/>
  <c r="AH15" i="19"/>
  <c r="D15" i="19" s="1"/>
  <c r="AK23" i="17"/>
  <c r="AJ22" i="17"/>
  <c r="AH12" i="10"/>
  <c r="AG19" i="10"/>
  <c r="AG26" i="10" s="1"/>
  <c r="AD24" i="10"/>
  <c r="AD29" i="10" s="1"/>
  <c r="AB8" i="21" s="1"/>
  <c r="AI18" i="10"/>
  <c r="AI25" i="10" s="1"/>
  <c r="AA36" i="10"/>
  <c r="AG21" i="10"/>
  <c r="AG28" i="10" s="1"/>
  <c r="AH14" i="10"/>
  <c r="AC31" i="10"/>
  <c r="AB33" i="10"/>
  <c r="AB35" i="10" s="1"/>
  <c r="AE17" i="10"/>
  <c r="AE22" i="10" s="1"/>
  <c r="AE15" i="10"/>
  <c r="AC7" i="21" s="1"/>
  <c r="AF10" i="10"/>
  <c r="AE24" i="10" l="1"/>
  <c r="AA55" i="10"/>
  <c r="Y6" i="21" s="1"/>
  <c r="Y9" i="21" s="1"/>
  <c r="Y11" i="21"/>
  <c r="AL23" i="17"/>
  <c r="AK22" i="17"/>
  <c r="AI12" i="10"/>
  <c r="AI19" i="10" s="1"/>
  <c r="AI26" i="10" s="1"/>
  <c r="AH19" i="10"/>
  <c r="AH26" i="10" s="1"/>
  <c r="AE29" i="10"/>
  <c r="AC8" i="21" s="1"/>
  <c r="AB36" i="10"/>
  <c r="AI14" i="10"/>
  <c r="AH21" i="10"/>
  <c r="AH28" i="10" s="1"/>
  <c r="AG10" i="10"/>
  <c r="AF15" i="10"/>
  <c r="AD7" i="21" s="1"/>
  <c r="AF17" i="10"/>
  <c r="AF22" i="10" s="1"/>
  <c r="AC33" i="10"/>
  <c r="AC35" i="10" s="1"/>
  <c r="AD31" i="10"/>
  <c r="AB55" i="10" l="1"/>
  <c r="Z6" i="21" s="1"/>
  <c r="Z9" i="21" s="1"/>
  <c r="Z11" i="21"/>
  <c r="AM23" i="17"/>
  <c r="AL22" i="17"/>
  <c r="AI21" i="10"/>
  <c r="AI28" i="10" s="1"/>
  <c r="AF24" i="10"/>
  <c r="AF29" i="10" s="1"/>
  <c r="AD8" i="21" s="1"/>
  <c r="AC36" i="10"/>
  <c r="AE31" i="10"/>
  <c r="AD33" i="10"/>
  <c r="AD35" i="10" s="1"/>
  <c r="AH10" i="10"/>
  <c r="AG15" i="10"/>
  <c r="AE7" i="21" s="1"/>
  <c r="AG17" i="10"/>
  <c r="AG22" i="10" s="1"/>
  <c r="AC55" i="10" l="1"/>
  <c r="AA6" i="21" s="1"/>
  <c r="AA9" i="21" s="1"/>
  <c r="AA11" i="21"/>
  <c r="AM22" i="17"/>
  <c r="AN23" i="17"/>
  <c r="AG24" i="10"/>
  <c r="AG29" i="10" s="1"/>
  <c r="AE8" i="21" s="1"/>
  <c r="AD36" i="10"/>
  <c r="AI10" i="10"/>
  <c r="AH17" i="10"/>
  <c r="AH22" i="10" s="1"/>
  <c r="AH15" i="10"/>
  <c r="AF7" i="21" s="1"/>
  <c r="AF31" i="10"/>
  <c r="AE33" i="10"/>
  <c r="AE35" i="10" s="1"/>
  <c r="AB11" i="21" l="1"/>
  <c r="AD55" i="10"/>
  <c r="AB6" i="21" s="1"/>
  <c r="AB9" i="21" s="1"/>
  <c r="AO23" i="17"/>
  <c r="AN22" i="17"/>
  <c r="AH24" i="10"/>
  <c r="AH29" i="10" s="1"/>
  <c r="AF8" i="21" s="1"/>
  <c r="AE36" i="10"/>
  <c r="AG31" i="10"/>
  <c r="AF33" i="10"/>
  <c r="AF35" i="10" s="1"/>
  <c r="AI17" i="10"/>
  <c r="AI22" i="10" s="1"/>
  <c r="AI15" i="10"/>
  <c r="AG7" i="21" s="1"/>
  <c r="AC11" i="21" l="1"/>
  <c r="AE55" i="10"/>
  <c r="AC6" i="21" s="1"/>
  <c r="AC9" i="21" s="1"/>
  <c r="AP23" i="17"/>
  <c r="AO22" i="17"/>
  <c r="AI24" i="10"/>
  <c r="AI29" i="10" s="1"/>
  <c r="AG8" i="21" s="1"/>
  <c r="AF36" i="10"/>
  <c r="AH31" i="10"/>
  <c r="AG33" i="10"/>
  <c r="AG35" i="10" s="1"/>
  <c r="AD11" i="21" l="1"/>
  <c r="AF55" i="10"/>
  <c r="AD6" i="21" s="1"/>
  <c r="AD9" i="21" s="1"/>
  <c r="AQ23" i="17"/>
  <c r="AP22" i="17"/>
  <c r="AG36" i="10"/>
  <c r="AH33" i="10"/>
  <c r="AH35" i="10" s="1"/>
  <c r="AI31" i="10"/>
  <c r="AI33" i="10" s="1"/>
  <c r="AI35" i="10" s="1"/>
  <c r="AG55" i="10" l="1"/>
  <c r="AE6" i="21" s="1"/>
  <c r="AE9" i="21" s="1"/>
  <c r="AE11" i="21"/>
  <c r="AR23" i="17"/>
  <c r="AQ22" i="17"/>
  <c r="AI36" i="10"/>
  <c r="AH36" i="10"/>
  <c r="AF11" i="21" l="1"/>
  <c r="AH55" i="10"/>
  <c r="AF6" i="21" s="1"/>
  <c r="AF9" i="21" s="1"/>
  <c r="AG11" i="21"/>
  <c r="AI55" i="10"/>
  <c r="AG6" i="21" s="1"/>
  <c r="AG9" i="21" s="1"/>
  <c r="AS23" i="17"/>
  <c r="AR22" i="17"/>
  <c r="AT23" i="17" l="1"/>
  <c r="AS22" i="17"/>
  <c r="AU23" i="17" l="1"/>
  <c r="AT22" i="17"/>
  <c r="AV23" i="17" l="1"/>
  <c r="AU22" i="17"/>
  <c r="AW23" i="17" l="1"/>
  <c r="AV22" i="17"/>
  <c r="AW22" i="17" l="1"/>
  <c r="AX23" i="17"/>
  <c r="AY23" i="17" l="1"/>
  <c r="AX22" i="17"/>
  <c r="AZ23" i="17" l="1"/>
  <c r="AY22" i="17"/>
  <c r="BA23" i="17" l="1"/>
  <c r="AZ22" i="17"/>
  <c r="BB23" i="17" l="1"/>
  <c r="BA22" i="17"/>
  <c r="BC23" i="17" l="1"/>
  <c r="BB22" i="17"/>
  <c r="BD23" i="17" l="1"/>
  <c r="BC22" i="17"/>
  <c r="BE23" i="17" l="1"/>
  <c r="BD22" i="17"/>
  <c r="BF23" i="17" l="1"/>
  <c r="BE22" i="17"/>
  <c r="BG23" i="17" l="1"/>
  <c r="BF22" i="17"/>
  <c r="BG22" i="17" l="1"/>
  <c r="BH23" i="17"/>
  <c r="BI23" i="17" l="1"/>
  <c r="BH22" i="17"/>
  <c r="BJ23" i="17" l="1"/>
  <c r="BI22" i="17"/>
  <c r="BK23" i="17" l="1"/>
  <c r="BJ22" i="17"/>
  <c r="BL23" i="17" l="1"/>
  <c r="BK22" i="17"/>
  <c r="BM23" i="17" l="1"/>
  <c r="BL22" i="17"/>
  <c r="BN23" i="17" l="1"/>
  <c r="BM22" i="17"/>
  <c r="BO23" i="17" l="1"/>
  <c r="BN22" i="17"/>
  <c r="BO22" i="17" l="1"/>
  <c r="BP23" i="17"/>
  <c r="BQ23" i="17" l="1"/>
  <c r="BP22" i="17"/>
  <c r="BR23" i="17" l="1"/>
  <c r="BQ22" i="17"/>
  <c r="BS23" i="17" l="1"/>
  <c r="BR22" i="17"/>
  <c r="BT23" i="17" l="1"/>
  <c r="BS22" i="17"/>
  <c r="BU23" i="17" l="1"/>
  <c r="BT22" i="17"/>
  <c r="BV23" i="17" l="1"/>
  <c r="BU22" i="17"/>
  <c r="BW23" i="17" l="1"/>
  <c r="BV22" i="17"/>
  <c r="BX23" i="17" l="1"/>
  <c r="BW22" i="17"/>
  <c r="BY23" i="17" l="1"/>
  <c r="BX22" i="17"/>
  <c r="BZ23" i="17" l="1"/>
  <c r="BY22" i="17"/>
  <c r="CA23" i="17" l="1"/>
  <c r="BZ22" i="17"/>
  <c r="CA22" i="17" l="1"/>
  <c r="CB23" i="17"/>
  <c r="CC23" i="17" l="1"/>
  <c r="CB22" i="17"/>
  <c r="CC22" i="17" l="1"/>
  <c r="CD23" i="17"/>
  <c r="CE23" i="17" l="1"/>
  <c r="CD22" i="17"/>
  <c r="CE22" i="17" l="1"/>
  <c r="CF23" i="17"/>
  <c r="CG23" i="17" l="1"/>
  <c r="CF22" i="17"/>
  <c r="CH23" i="17" l="1"/>
  <c r="CG22" i="17"/>
  <c r="CH22" i="17" l="1"/>
  <c r="CI23" i="17"/>
  <c r="CI22" i="17" l="1"/>
  <c r="CJ23" i="17"/>
  <c r="CK23" i="17" l="1"/>
  <c r="CJ22" i="17"/>
  <c r="CK22" i="17" l="1"/>
  <c r="CL23" i="17"/>
  <c r="CM23" i="17" l="1"/>
  <c r="CL22" i="17"/>
  <c r="CM22" i="17" l="1"/>
  <c r="CN23" i="17"/>
  <c r="CO23" i="17" l="1"/>
  <c r="CN22" i="17"/>
  <c r="CO22" i="17" l="1"/>
  <c r="CP23" i="17"/>
  <c r="CP22" i="17" l="1"/>
  <c r="CQ23" i="17"/>
  <c r="CQ22" i="17" l="1"/>
  <c r="CR23" i="17"/>
  <c r="CR22" i="17" l="1"/>
  <c r="CS23" i="17"/>
  <c r="CT23" i="17" l="1"/>
  <c r="CS22" i="17"/>
  <c r="CU23" i="17" l="1"/>
  <c r="CT22" i="17"/>
  <c r="CV23" i="17" l="1"/>
  <c r="CU22" i="17"/>
  <c r="CV22" i="17" l="1"/>
  <c r="CW23" i="17"/>
  <c r="CX23" i="17" l="1"/>
  <c r="CW22" i="17"/>
  <c r="CY23" i="17" l="1"/>
  <c r="CX22" i="17"/>
  <c r="CZ23" i="17" l="1"/>
  <c r="CY22" i="17"/>
  <c r="CZ22" i="17" l="1"/>
  <c r="DA23" i="17"/>
  <c r="DB23" i="17" l="1"/>
  <c r="DA22" i="17"/>
  <c r="DB22" i="17" l="1"/>
  <c r="DC23" i="17"/>
  <c r="DD23" i="17" l="1"/>
  <c r="DC22" i="17"/>
  <c r="DE23" i="17" l="1"/>
  <c r="DD22" i="17"/>
  <c r="DF23" i="17" l="1"/>
  <c r="DE22" i="17"/>
  <c r="DG23" i="17" l="1"/>
  <c r="DF22" i="17"/>
  <c r="DH23" i="17" l="1"/>
  <c r="DG22" i="17"/>
  <c r="DI23" i="17" l="1"/>
  <c r="DH22" i="17"/>
  <c r="DJ23" i="17" l="1"/>
  <c r="DI22" i="17"/>
  <c r="DK23" i="17" l="1"/>
  <c r="DJ22" i="17"/>
  <c r="DL23" i="17" l="1"/>
  <c r="DK22" i="17"/>
  <c r="DM23" i="17" l="1"/>
  <c r="DL22" i="17"/>
  <c r="DN23" i="17" l="1"/>
  <c r="DM22" i="17"/>
  <c r="DN22" i="17" l="1"/>
  <c r="DO23" i="17"/>
  <c r="DP23" i="17" l="1"/>
  <c r="DO22" i="17"/>
  <c r="DQ23" i="17" l="1"/>
  <c r="DP22" i="17"/>
  <c r="DR23" i="17" l="1"/>
  <c r="DQ22" i="17"/>
  <c r="DS23" i="17" l="1"/>
  <c r="DR22" i="17"/>
  <c r="DT23" i="17" l="1"/>
  <c r="DS22" i="17"/>
  <c r="DU23" i="17" l="1"/>
  <c r="DT22" i="17"/>
  <c r="DV23" i="17" l="1"/>
  <c r="DU22" i="17"/>
  <c r="DW23" i="17" l="1"/>
  <c r="DV22" i="17"/>
  <c r="DX23" i="17" l="1"/>
  <c r="DW22" i="17"/>
  <c r="DY23" i="17" l="1"/>
  <c r="DX22" i="17"/>
  <c r="DZ23" i="17" l="1"/>
  <c r="DY22" i="17"/>
  <c r="EA23" i="17" l="1"/>
  <c r="DZ22" i="17"/>
  <c r="EA22" i="17" l="1"/>
  <c r="EB23" i="17"/>
  <c r="EC23" i="17" l="1"/>
  <c r="EB22" i="17"/>
  <c r="ED23" i="17" l="1"/>
  <c r="EC22" i="17"/>
  <c r="EE23" i="17" l="1"/>
  <c r="ED22" i="17"/>
  <c r="EF23" i="17" l="1"/>
  <c r="EE22" i="17"/>
  <c r="EG23" i="17" l="1"/>
  <c r="EF22" i="17"/>
  <c r="EH23" i="17" l="1"/>
  <c r="EG22" i="17"/>
  <c r="EI23" i="17" l="1"/>
  <c r="EH22" i="17"/>
  <c r="EJ23" i="17" l="1"/>
  <c r="EI22" i="17"/>
  <c r="EK23" i="17" l="1"/>
  <c r="EJ22" i="17"/>
  <c r="EL23" i="17" l="1"/>
  <c r="EK22" i="17"/>
  <c r="EM23" i="17" l="1"/>
  <c r="EL22" i="17"/>
  <c r="EN23" i="17" l="1"/>
  <c r="EM22" i="17"/>
  <c r="EO23" i="17" l="1"/>
  <c r="EN22" i="17"/>
  <c r="EP23" i="17" l="1"/>
  <c r="EO22" i="17"/>
  <c r="EQ23" i="17" l="1"/>
  <c r="EP22" i="17"/>
  <c r="ER23" i="17" l="1"/>
  <c r="EQ22" i="17"/>
  <c r="ES23" i="17" l="1"/>
  <c r="ER22" i="17"/>
  <c r="ET23" i="17" l="1"/>
  <c r="ES22" i="17"/>
  <c r="EU23" i="17" l="1"/>
  <c r="ET22" i="17"/>
  <c r="EV23" i="17" l="1"/>
  <c r="EU22" i="17"/>
  <c r="EW23" i="17" l="1"/>
  <c r="EV22" i="17"/>
  <c r="EX23" i="17" l="1"/>
  <c r="EW22" i="17"/>
  <c r="EY23" i="17" l="1"/>
  <c r="EX22" i="17"/>
  <c r="EZ23" i="17" l="1"/>
  <c r="EY22" i="17"/>
  <c r="FA23" i="17" l="1"/>
  <c r="EZ22" i="17"/>
  <c r="FB23" i="17" l="1"/>
  <c r="FA22" i="17"/>
  <c r="FC23" i="17" l="1"/>
  <c r="FB22" i="17"/>
  <c r="FD23" i="17" l="1"/>
  <c r="FC22" i="17"/>
  <c r="FE23" i="17" l="1"/>
  <c r="FD22" i="17"/>
  <c r="FF23" i="17" l="1"/>
  <c r="FE22" i="17"/>
  <c r="FF22" i="17" l="1"/>
  <c r="FG23" i="17"/>
  <c r="FH23" i="17" l="1"/>
  <c r="FG22" i="17"/>
  <c r="FI23" i="17" l="1"/>
  <c r="FH22" i="17"/>
  <c r="FJ23" i="17" l="1"/>
  <c r="FI22" i="17"/>
  <c r="FK23" i="17" l="1"/>
  <c r="FJ22" i="17"/>
  <c r="FL23" i="17" l="1"/>
  <c r="FK22" i="17"/>
  <c r="FM23" i="17" l="1"/>
  <c r="FL22" i="17"/>
  <c r="FN23" i="17" l="1"/>
  <c r="FM22" i="17"/>
  <c r="FO23" i="17" l="1"/>
  <c r="FN22" i="17"/>
  <c r="FP23" i="17" l="1"/>
  <c r="FO22" i="17"/>
  <c r="FQ23" i="17" l="1"/>
  <c r="FP22" i="17"/>
  <c r="FR23" i="17" l="1"/>
  <c r="FQ22" i="17"/>
  <c r="FS23" i="17" l="1"/>
  <c r="FR22" i="17"/>
  <c r="FT23" i="17" l="1"/>
  <c r="FS22" i="17"/>
  <c r="FU23" i="17" l="1"/>
  <c r="FT22" i="17"/>
  <c r="FV23" i="17" l="1"/>
  <c r="FU22" i="17"/>
  <c r="FW23" i="17" l="1"/>
  <c r="FV22" i="17"/>
  <c r="FX23" i="17" l="1"/>
  <c r="FW22" i="17"/>
  <c r="FY23" i="17" l="1"/>
  <c r="FX22" i="17"/>
  <c r="FZ23" i="17" l="1"/>
  <c r="FY22" i="17"/>
  <c r="GA23" i="17" l="1"/>
  <c r="FZ22" i="17"/>
  <c r="GB23" i="17" l="1"/>
  <c r="GA22" i="17"/>
  <c r="GC23" i="17" l="1"/>
  <c r="GB22" i="17"/>
  <c r="GD23" i="17" l="1"/>
  <c r="GC22" i="17"/>
  <c r="GE23" i="17" l="1"/>
  <c r="GD22" i="17"/>
  <c r="GF23" i="17" l="1"/>
  <c r="GE22" i="17"/>
  <c r="GG23" i="17" l="1"/>
  <c r="GF22" i="17"/>
  <c r="GH23" i="17" l="1"/>
  <c r="GG22" i="17"/>
  <c r="GI23" i="17" l="1"/>
  <c r="GH22" i="17"/>
  <c r="GJ23" i="17" l="1"/>
  <c r="GI22" i="17"/>
  <c r="GK23" i="17" l="1"/>
  <c r="GJ22" i="17"/>
  <c r="GK22" i="17" l="1"/>
  <c r="GL23" i="17"/>
  <c r="GM23" i="17" l="1"/>
  <c r="GL22" i="17"/>
  <c r="GN23" i="17" l="1"/>
  <c r="GM22" i="17"/>
  <c r="GO23" i="17" l="1"/>
  <c r="GN22" i="17"/>
  <c r="GP23" i="17" l="1"/>
  <c r="GO22" i="17"/>
  <c r="GQ23" i="17" l="1"/>
  <c r="GP22" i="17"/>
  <c r="GR23" i="17" l="1"/>
  <c r="GQ22" i="17"/>
  <c r="GS23" i="17" l="1"/>
  <c r="GR22" i="17"/>
  <c r="GT23" i="17" l="1"/>
  <c r="GS22" i="17"/>
  <c r="GU23" i="17" l="1"/>
  <c r="GT22" i="17"/>
  <c r="GV23" i="17" l="1"/>
  <c r="GU22" i="17"/>
  <c r="GW23" i="17" l="1"/>
  <c r="GV22" i="17"/>
  <c r="GX23" i="17" l="1"/>
  <c r="GW22" i="17"/>
  <c r="GY23" i="17" l="1"/>
  <c r="GX22" i="17"/>
  <c r="GZ23" i="17" l="1"/>
  <c r="GY22" i="17"/>
  <c r="HA23" i="17" l="1"/>
  <c r="GZ22" i="17"/>
  <c r="HB23" i="17" l="1"/>
  <c r="HA22" i="17"/>
  <c r="HB22" i="17" l="1"/>
  <c r="HC23" i="17"/>
  <c r="HD23" i="17" l="1"/>
  <c r="HC22" i="17"/>
  <c r="HD22" i="17" l="1"/>
  <c r="HE23" i="17"/>
  <c r="HE22" i="17" l="1"/>
  <c r="HF23" i="17"/>
  <c r="HG23" i="17" l="1"/>
  <c r="HF22" i="17"/>
  <c r="HG22" i="17" l="1"/>
  <c r="HH23" i="17"/>
  <c r="HI23" i="17" l="1"/>
  <c r="HH22" i="17"/>
  <c r="HI22" i="17" l="1"/>
  <c r="HJ23" i="17"/>
  <c r="HJ22" i="17" l="1"/>
  <c r="HK23" i="17"/>
  <c r="HK22" i="17" l="1"/>
  <c r="HL23" i="17"/>
  <c r="HL22" i="17" l="1"/>
  <c r="HM23" i="17"/>
  <c r="HN23" i="17" l="1"/>
  <c r="HM22" i="17"/>
  <c r="HO23" i="17" l="1"/>
  <c r="HN22" i="17"/>
  <c r="HP23" i="17" l="1"/>
  <c r="HO22" i="17"/>
  <c r="HQ23" i="17" l="1"/>
  <c r="HP22" i="17"/>
  <c r="HR23" i="17" l="1"/>
  <c r="HQ22" i="17"/>
  <c r="HS23" i="17" l="1"/>
  <c r="HR22" i="17"/>
  <c r="HT23" i="17" l="1"/>
  <c r="HS22" i="17"/>
  <c r="HU23" i="17" l="1"/>
  <c r="HT22" i="17"/>
  <c r="HV23" i="17" l="1"/>
  <c r="HU22" i="17"/>
  <c r="HV22" i="17" l="1"/>
  <c r="HW23" i="17"/>
  <c r="HW22" i="17" l="1"/>
  <c r="HX23" i="17"/>
  <c r="HX22" i="17" l="1"/>
  <c r="HY23" i="17"/>
  <c r="HZ23" i="17" l="1"/>
  <c r="HY22" i="17"/>
  <c r="HZ22" i="17" l="1"/>
  <c r="IA23" i="17"/>
  <c r="IA22" i="17" l="1"/>
  <c r="IB23" i="17"/>
  <c r="IC23" i="17" l="1"/>
  <c r="IB22" i="17"/>
  <c r="ID23" i="17" l="1"/>
  <c r="IC22" i="17"/>
  <c r="IE23" i="17" l="1"/>
  <c r="ID22" i="17"/>
  <c r="IF23" i="17" l="1"/>
  <c r="IE22" i="17"/>
  <c r="IG23" i="17" l="1"/>
  <c r="IF22" i="17"/>
  <c r="IH23" i="17" l="1"/>
  <c r="IG22" i="17"/>
  <c r="IH22" i="17" l="1"/>
  <c r="II23" i="17"/>
  <c r="IJ23" i="17" l="1"/>
  <c r="II22" i="17"/>
  <c r="IJ22" i="17" l="1"/>
  <c r="IK23" i="17"/>
  <c r="IL23" i="17" l="1"/>
  <c r="IK22" i="17"/>
  <c r="IL22" i="17" l="1"/>
  <c r="IM23" i="17"/>
  <c r="IN23" i="17" l="1"/>
  <c r="IM22" i="17"/>
  <c r="IO23" i="17" l="1"/>
  <c r="IN22" i="17"/>
  <c r="IP23" i="17" l="1"/>
  <c r="IO22" i="17"/>
  <c r="IQ23" i="17" l="1"/>
  <c r="IP22" i="17"/>
  <c r="IR23" i="17" l="1"/>
  <c r="IQ22" i="17"/>
  <c r="IS23" i="17" l="1"/>
  <c r="IR22" i="17"/>
  <c r="IT23" i="17" l="1"/>
  <c r="IS22" i="17"/>
  <c r="IT22" i="17" l="1"/>
  <c r="IU23" i="17"/>
  <c r="IV23" i="17" l="1"/>
  <c r="IU22" i="17"/>
  <c r="IW23" i="17" l="1"/>
  <c r="IV22" i="17"/>
  <c r="IX23" i="17" l="1"/>
  <c r="IW22" i="17"/>
  <c r="IY23" i="17" l="1"/>
  <c r="IX22" i="17"/>
  <c r="IZ23" i="17" l="1"/>
  <c r="IY22" i="17"/>
  <c r="JA23" i="17" l="1"/>
  <c r="IZ22" i="17"/>
  <c r="JB23" i="17" l="1"/>
  <c r="JA22" i="17"/>
  <c r="JC23" i="17" l="1"/>
  <c r="JB22" i="17"/>
  <c r="JD23" i="17" l="1"/>
  <c r="JC22" i="17"/>
  <c r="JE23" i="17" l="1"/>
  <c r="JD22" i="17"/>
  <c r="JF23" i="17" l="1"/>
  <c r="JE22" i="17"/>
  <c r="JG23" i="17" l="1"/>
  <c r="JF22" i="17"/>
  <c r="JH23" i="17" l="1"/>
  <c r="JG22" i="17"/>
  <c r="JI23" i="17" l="1"/>
  <c r="JH22" i="17"/>
  <c r="JJ23" i="17" l="1"/>
  <c r="JI22" i="17"/>
  <c r="JK23" i="17" l="1"/>
  <c r="JJ22" i="17"/>
  <c r="JL23" i="17" l="1"/>
  <c r="JK22" i="17"/>
  <c r="JM23" i="17" l="1"/>
  <c r="JL22" i="17"/>
  <c r="JN23" i="17" l="1"/>
  <c r="JM22" i="17"/>
  <c r="JO23" i="17" l="1"/>
  <c r="JN22" i="17"/>
  <c r="JP23" i="17" l="1"/>
  <c r="JO22" i="17"/>
  <c r="JQ23" i="17" l="1"/>
  <c r="JP22" i="17"/>
  <c r="JR23" i="17" l="1"/>
  <c r="JQ22" i="17"/>
  <c r="JR22" i="17" l="1"/>
  <c r="JS23" i="17"/>
  <c r="JT23" i="17" l="1"/>
  <c r="JS22" i="17"/>
  <c r="JU23" i="17" l="1"/>
  <c r="JT22" i="17"/>
  <c r="JU22" i="17" l="1"/>
  <c r="JV23" i="17"/>
  <c r="JV22" i="17" l="1"/>
  <c r="JW23" i="17"/>
  <c r="JX23" i="17" l="1"/>
  <c r="JW22" i="17"/>
  <c r="JY23" i="17" l="1"/>
  <c r="JX22" i="17"/>
  <c r="JZ23" i="17" l="1"/>
  <c r="JY22" i="17"/>
  <c r="KA23" i="17" l="1"/>
  <c r="JZ22" i="17"/>
  <c r="KA22" i="17" l="1"/>
  <c r="KB23" i="17"/>
  <c r="KC23" i="17" l="1"/>
  <c r="KB22" i="17"/>
  <c r="KD23" i="17" l="1"/>
  <c r="KC22" i="17"/>
  <c r="KD22" i="17" l="1"/>
  <c r="KE23" i="17"/>
  <c r="KF23" i="17" l="1"/>
  <c r="KE22" i="17"/>
  <c r="KG23" i="17" l="1"/>
  <c r="KF22" i="17"/>
  <c r="KG22" i="17" l="1"/>
  <c r="KH23" i="17"/>
  <c r="KI23" i="17" l="1"/>
  <c r="KH22" i="17"/>
  <c r="KJ23" i="17" l="1"/>
  <c r="KI22" i="17"/>
  <c r="KJ22" i="17" l="1"/>
  <c r="KK23" i="17"/>
  <c r="KK22" i="17" l="1"/>
  <c r="KL23" i="17"/>
  <c r="KM23" i="17" l="1"/>
  <c r="KL22" i="17"/>
  <c r="KM22" i="17" l="1"/>
  <c r="KN23" i="17"/>
  <c r="KN22" i="17" l="1"/>
  <c r="KO23" i="17"/>
  <c r="KP23" i="17" l="1"/>
  <c r="KO22" i="17"/>
  <c r="KQ23" i="17" l="1"/>
  <c r="KP22" i="17"/>
  <c r="KR23" i="17" l="1"/>
  <c r="KQ22" i="17"/>
  <c r="KS23" i="17" l="1"/>
  <c r="KR22" i="17"/>
  <c r="KS22" i="17" l="1"/>
  <c r="KT23" i="17"/>
  <c r="KU23" i="17" l="1"/>
  <c r="KT22" i="17"/>
  <c r="KU22" i="17" l="1"/>
  <c r="KV23" i="17"/>
  <c r="KW23" i="17" l="1"/>
  <c r="KV22" i="17"/>
  <c r="KW22" i="17" l="1"/>
  <c r="KX23" i="17"/>
  <c r="KY23" i="17" l="1"/>
  <c r="KX22" i="17"/>
  <c r="KZ23" i="17" l="1"/>
  <c r="KY22" i="17"/>
  <c r="LA23" i="17" l="1"/>
  <c r="KZ22" i="17"/>
  <c r="LB23" i="17" l="1"/>
  <c r="LA22" i="17"/>
  <c r="LB22" i="17" l="1"/>
  <c r="LC23" i="17"/>
  <c r="LD23" i="17" l="1"/>
  <c r="LC22" i="17"/>
  <c r="LE23" i="17" l="1"/>
  <c r="LD22" i="17"/>
  <c r="LF23" i="17" l="1"/>
  <c r="LE22" i="17"/>
  <c r="LG23" i="17" l="1"/>
  <c r="LF22" i="17"/>
  <c r="LH23" i="17" l="1"/>
  <c r="LG22" i="17"/>
  <c r="LI23" i="17" l="1"/>
  <c r="LH22" i="17"/>
  <c r="LJ23" i="17" l="1"/>
  <c r="LI22" i="17"/>
  <c r="LK23" i="17" l="1"/>
  <c r="LJ22" i="17"/>
  <c r="LL23" i="17" l="1"/>
  <c r="LK22" i="17"/>
  <c r="LM23" i="17" l="1"/>
  <c r="LL22" i="17"/>
  <c r="LN23" i="17" l="1"/>
  <c r="LM22" i="17"/>
  <c r="LO23" i="17" l="1"/>
  <c r="LN22" i="17"/>
  <c r="LO22" i="17" l="1"/>
  <c r="LP23" i="17"/>
  <c r="LQ23" i="17" l="1"/>
  <c r="LP22" i="17"/>
  <c r="LR23" i="17" l="1"/>
  <c r="LQ22" i="17"/>
  <c r="LS23" i="17" l="1"/>
  <c r="LR22" i="17"/>
  <c r="LT23" i="17" l="1"/>
  <c r="LS22" i="17"/>
  <c r="LU23" i="17" l="1"/>
  <c r="LT22" i="17"/>
  <c r="LV23" i="17" l="1"/>
  <c r="LU22" i="17"/>
  <c r="LV22" i="17" l="1"/>
  <c r="LW23" i="17"/>
  <c r="LX23" i="17" l="1"/>
  <c r="LW22" i="17"/>
  <c r="LY23" i="17" l="1"/>
  <c r="LX22" i="17"/>
  <c r="LY22" i="17" l="1"/>
  <c r="LZ23" i="17"/>
  <c r="LZ22" i="17" l="1"/>
  <c r="MA23" i="17"/>
  <c r="MB23" i="17" l="1"/>
  <c r="MA22" i="17"/>
  <c r="MC23" i="17" l="1"/>
  <c r="MB22" i="17"/>
  <c r="MC22" i="17" l="1"/>
  <c r="MD23" i="17"/>
  <c r="ME23" i="17" l="1"/>
  <c r="MD22" i="17"/>
  <c r="ME22" i="17" l="1"/>
  <c r="MF23" i="17"/>
  <c r="MG23" i="17" l="1"/>
  <c r="MF22" i="17"/>
  <c r="MH23" i="17" l="1"/>
  <c r="MG22" i="17"/>
  <c r="MI23" i="17" l="1"/>
  <c r="MH22" i="17"/>
  <c r="MI22" i="17" l="1"/>
  <c r="MJ23" i="17"/>
  <c r="MK23" i="17" l="1"/>
  <c r="MJ22" i="17"/>
  <c r="ML23" i="17" l="1"/>
  <c r="MK22" i="17"/>
  <c r="ML22" i="17" l="1"/>
  <c r="MM23" i="17"/>
  <c r="MN23" i="17" l="1"/>
  <c r="MM22" i="17"/>
  <c r="MO23" i="17" l="1"/>
  <c r="MN22" i="17"/>
  <c r="MO22" i="17" l="1"/>
  <c r="MP23" i="17"/>
  <c r="MQ23" i="17" l="1"/>
  <c r="MP22" i="17"/>
  <c r="MR23" i="17" l="1"/>
  <c r="MQ22" i="17"/>
  <c r="MR22" i="17" l="1"/>
  <c r="MS23" i="17"/>
  <c r="MS22" i="17" l="1"/>
  <c r="MT23" i="17"/>
  <c r="MU23" i="17" l="1"/>
  <c r="MT22" i="17"/>
  <c r="MV23" i="17" l="1"/>
  <c r="MU22" i="17"/>
  <c r="MW23" i="17" l="1"/>
  <c r="MV22" i="17"/>
  <c r="MX23" i="17" l="1"/>
  <c r="MW22" i="17"/>
  <c r="MY23" i="17" l="1"/>
  <c r="MX22" i="17"/>
  <c r="MZ23" i="17" l="1"/>
  <c r="MY22" i="17"/>
  <c r="NA23" i="17" l="1"/>
  <c r="MZ22" i="17"/>
  <c r="NA22" i="17" l="1"/>
  <c r="NB23" i="17"/>
  <c r="NC23" i="17" l="1"/>
  <c r="NB22" i="17"/>
  <c r="ND23" i="17" l="1"/>
  <c r="NC22" i="17"/>
  <c r="NE23" i="17" l="1"/>
  <c r="ND22" i="17"/>
  <c r="NE22" i="17" l="1"/>
  <c r="NF23" i="17"/>
  <c r="NG23" i="17" l="1"/>
  <c r="NF22" i="17"/>
  <c r="NH23" i="17" l="1"/>
  <c r="NG22" i="17"/>
  <c r="NI23" i="17" l="1"/>
  <c r="NH22" i="17"/>
  <c r="NI22" i="17" l="1"/>
  <c r="NJ23" i="17"/>
  <c r="NK23" i="17" l="1"/>
  <c r="NJ22" i="17"/>
  <c r="NL23" i="17" l="1"/>
  <c r="NK22" i="17"/>
  <c r="NM23" i="17" l="1"/>
  <c r="NL22" i="17"/>
  <c r="NM22" i="17" l="1"/>
  <c r="NN23" i="17"/>
  <c r="NN22" i="17" l="1"/>
  <c r="NO23" i="17"/>
  <c r="NP23" i="17" l="1"/>
  <c r="NO22" i="17"/>
  <c r="NQ23" i="17" l="1"/>
  <c r="NP22" i="17"/>
  <c r="NR23" i="17" l="1"/>
  <c r="NQ22" i="17"/>
  <c r="NR22" i="17" l="1"/>
  <c r="NS23" i="17"/>
  <c r="NS22" i="17" l="1"/>
  <c r="NT23" i="17"/>
  <c r="NU23" i="17" l="1"/>
  <c r="NT22" i="17"/>
  <c r="NV23" i="17" l="1"/>
  <c r="NU22" i="17"/>
  <c r="NW23" i="17" l="1"/>
  <c r="NV22" i="17"/>
  <c r="NX23" i="17" l="1"/>
  <c r="NW22" i="17"/>
  <c r="NX22" i="17" l="1"/>
  <c r="NY23" i="17"/>
  <c r="NZ23" i="17" l="1"/>
  <c r="NY22" i="17"/>
  <c r="OA23" i="17" l="1"/>
  <c r="NZ22" i="17"/>
  <c r="OB23" i="17" l="1"/>
  <c r="OA22" i="17"/>
  <c r="OC23" i="17" l="1"/>
  <c r="OB22" i="17"/>
  <c r="OC22" i="17" l="1"/>
  <c r="OD23" i="17"/>
  <c r="OE23" i="17" l="1"/>
  <c r="OD22" i="17"/>
  <c r="OF23" i="17" l="1"/>
  <c r="OE22" i="17"/>
  <c r="OF22" i="17" l="1"/>
  <c r="OG23" i="17"/>
  <c r="OG22" i="17" s="1"/>
  <c r="C28" i="7" l="1"/>
  <c r="D28" i="7" s="1"/>
  <c r="D65" i="13"/>
  <c r="C11" i="7"/>
  <c r="D11" i="7" s="1"/>
  <c r="D63" i="13"/>
  <c r="E18" i="19" s="1"/>
  <c r="D64" i="13"/>
  <c r="R18" i="19" s="1"/>
  <c r="M18" i="19" l="1"/>
  <c r="J18" i="19"/>
  <c r="I18" i="19"/>
  <c r="C85" i="13"/>
  <c r="F85" i="13" s="1"/>
  <c r="F92" i="13" s="1"/>
  <c r="C108" i="13"/>
  <c r="F108" i="13" s="1"/>
  <c r="F110" i="13" s="1"/>
  <c r="D22" i="16"/>
  <c r="AF22" i="16" s="1"/>
  <c r="AF50" i="16" s="1"/>
  <c r="C92" i="13"/>
  <c r="C24" i="7" s="1"/>
  <c r="D24" i="7" s="1"/>
  <c r="S18" i="19"/>
  <c r="W18" i="19"/>
  <c r="AB18" i="19"/>
  <c r="AC18" i="19"/>
  <c r="Y18" i="19"/>
  <c r="N18" i="19"/>
  <c r="F18" i="19"/>
  <c r="L18" i="19"/>
  <c r="Z18" i="19"/>
  <c r="D19" i="7"/>
  <c r="V18" i="19"/>
  <c r="AA18" i="19"/>
  <c r="K18" i="19"/>
  <c r="G18" i="19"/>
  <c r="O18" i="19"/>
  <c r="T18" i="19"/>
  <c r="U18" i="19"/>
  <c r="Q18" i="19"/>
  <c r="H18" i="19"/>
  <c r="P18" i="19"/>
  <c r="X18" i="19"/>
  <c r="P22" i="16" l="1"/>
  <c r="AB22" i="16"/>
  <c r="AK22" i="16"/>
  <c r="AK50" i="16" s="1"/>
  <c r="AL22" i="16"/>
  <c r="AL50" i="16" s="1"/>
  <c r="AA22" i="16"/>
  <c r="AA50" i="16" s="1"/>
  <c r="Z22" i="16"/>
  <c r="Z50" i="16" s="1"/>
  <c r="O25" i="19" s="1"/>
  <c r="Q22" i="16"/>
  <c r="Q50" i="16" s="1"/>
  <c r="F25" i="19" s="1"/>
  <c r="Y22" i="16"/>
  <c r="Y50" i="16" s="1"/>
  <c r="N25" i="19" s="1"/>
  <c r="R22" i="16"/>
  <c r="R50" i="16" s="1"/>
  <c r="T22" i="16"/>
  <c r="T50" i="16" s="1"/>
  <c r="AG22" i="16"/>
  <c r="AG50" i="16" s="1"/>
  <c r="V25" i="19" s="1"/>
  <c r="S22" i="16"/>
  <c r="S50" i="16" s="1"/>
  <c r="AD22" i="16"/>
  <c r="AD50" i="16" s="1"/>
  <c r="W22" i="16"/>
  <c r="W50" i="16" s="1"/>
  <c r="L25" i="19" s="1"/>
  <c r="U22" i="16"/>
  <c r="U50" i="16" s="1"/>
  <c r="J25" i="19" s="1"/>
  <c r="AH22" i="16"/>
  <c r="AH50" i="16" s="1"/>
  <c r="W25" i="19" s="1"/>
  <c r="AI22" i="16"/>
  <c r="AI50" i="16" s="1"/>
  <c r="AM22" i="16"/>
  <c r="AM50" i="16" s="1"/>
  <c r="AE22" i="16"/>
  <c r="AE50" i="16" s="1"/>
  <c r="AC22" i="16"/>
  <c r="AC50" i="16" s="1"/>
  <c r="V22" i="16"/>
  <c r="V50" i="16" s="1"/>
  <c r="K25" i="19" s="1"/>
  <c r="C110" i="13"/>
  <c r="C118" i="13" s="1"/>
  <c r="C25" i="7" s="1"/>
  <c r="D25" i="7" s="1"/>
  <c r="D43" i="16"/>
  <c r="X22" i="16"/>
  <c r="X50" i="16" s="1"/>
  <c r="AJ22" i="16"/>
  <c r="AJ50" i="16" s="1"/>
  <c r="U25" i="19"/>
  <c r="X25" i="19"/>
  <c r="I25" i="19"/>
  <c r="R25" i="19"/>
  <c r="AA25" i="19"/>
  <c r="P50" i="16"/>
  <c r="L130" i="16"/>
  <c r="AB50" i="16"/>
  <c r="AB25" i="19"/>
  <c r="T25" i="19"/>
  <c r="Z25" i="19"/>
  <c r="G25" i="19"/>
  <c r="H25" i="19"/>
  <c r="S25" i="19"/>
  <c r="P25" i="19"/>
  <c r="K130" i="16" l="1"/>
  <c r="I130" i="16" s="1"/>
  <c r="O43" i="16"/>
  <c r="O50" i="16" s="1"/>
  <c r="K43" i="16"/>
  <c r="K50" i="16" s="1"/>
  <c r="D50" i="16"/>
  <c r="M43" i="16"/>
  <c r="M50" i="16" s="1"/>
  <c r="J43" i="16"/>
  <c r="N43" i="16"/>
  <c r="N50" i="16" s="1"/>
  <c r="L43" i="16"/>
  <c r="L50" i="16" s="1"/>
  <c r="Y25" i="19"/>
  <c r="M25" i="19"/>
  <c r="K158" i="16"/>
  <c r="E25" i="19"/>
  <c r="L158" i="16"/>
  <c r="Q25" i="19"/>
  <c r="J50" i="16" l="1"/>
  <c r="J158" i="16" s="1"/>
  <c r="I158" i="16" s="1"/>
  <c r="J151" i="16"/>
  <c r="I151" i="16" s="1"/>
  <c r="D6" i="7"/>
  <c r="C7" i="8"/>
  <c r="C39" i="8" l="1"/>
  <c r="E39" i="8" s="1"/>
  <c r="G39" i="8" l="1"/>
  <c r="D24" i="6" l="1"/>
  <c r="C39" i="6" s="1"/>
  <c r="C40" i="6" s="1"/>
  <c r="C48" i="6" s="1"/>
  <c r="C44" i="6"/>
  <c r="C45" i="6" s="1"/>
  <c r="C46" i="6" s="1"/>
  <c r="AF39" i="10" l="1"/>
  <c r="J39" i="10"/>
  <c r="S39" i="10"/>
  <c r="T39" i="10"/>
  <c r="R39" i="10"/>
  <c r="H39" i="10"/>
  <c r="JH102" i="16"/>
  <c r="CV102" i="16"/>
  <c r="LD102" i="16"/>
  <c r="AC39" i="10"/>
  <c r="KG102" i="16"/>
  <c r="KG105" i="16" s="1"/>
  <c r="HG102" i="16"/>
  <c r="HG105" i="16" s="1"/>
  <c r="AF41" i="10"/>
  <c r="GQ102" i="16"/>
  <c r="GQ105" i="16" s="1"/>
  <c r="MD102" i="16"/>
  <c r="MD105" i="16" s="1"/>
  <c r="HP102" i="16"/>
  <c r="HP105" i="16" s="1"/>
  <c r="BO102" i="16"/>
  <c r="BO105" i="16" s="1"/>
  <c r="GH102" i="16"/>
  <c r="GH105" i="16" s="1"/>
  <c r="HF102" i="16"/>
  <c r="HF105" i="16" s="1"/>
  <c r="KY102" i="16"/>
  <c r="KY105" i="16" s="1"/>
  <c r="IL102" i="16"/>
  <c r="IL105" i="16" s="1"/>
  <c r="CL102" i="16"/>
  <c r="CL105" i="16" s="1"/>
  <c r="MQ102" i="16"/>
  <c r="MQ105" i="16" s="1"/>
  <c r="D53" i="6"/>
  <c r="KT102" i="16"/>
  <c r="KT105" i="16" s="1"/>
  <c r="MV102" i="16"/>
  <c r="MV105" i="16" s="1"/>
  <c r="CR102" i="16"/>
  <c r="CR105" i="16" s="1"/>
  <c r="NB102" i="16"/>
  <c r="NB105" i="16" s="1"/>
  <c r="BN102" i="16"/>
  <c r="BN105" i="16" s="1"/>
  <c r="LF102" i="16"/>
  <c r="LF105" i="16" s="1"/>
  <c r="OF102" i="16"/>
  <c r="OF105" i="16" s="1"/>
  <c r="NZ102" i="16"/>
  <c r="NZ105" i="16" s="1"/>
  <c r="KZ102" i="16"/>
  <c r="KZ105" i="16" s="1"/>
  <c r="EC102" i="16"/>
  <c r="EC105" i="16" s="1"/>
  <c r="H41" i="10"/>
  <c r="X39" i="10"/>
  <c r="Y39" i="10"/>
  <c r="W39" i="10"/>
  <c r="DH102" i="16"/>
  <c r="MB102" i="16"/>
  <c r="EF102" i="16"/>
  <c r="KF102" i="16"/>
  <c r="AZ102" i="16"/>
  <c r="NL102" i="16"/>
  <c r="MN102" i="16"/>
  <c r="MZ102" i="16"/>
  <c r="HL102" i="16"/>
  <c r="BL102" i="16"/>
  <c r="DT102" i="16"/>
  <c r="P41" i="10"/>
  <c r="FF102" i="16"/>
  <c r="FF105" i="16" s="1"/>
  <c r="KV102" i="16"/>
  <c r="KV105" i="16" s="1"/>
  <c r="R41" i="10"/>
  <c r="V40" i="10"/>
  <c r="IG102" i="16"/>
  <c r="IG105" i="16" s="1"/>
  <c r="CF102" i="16"/>
  <c r="CF105" i="16" s="1"/>
  <c r="BF102" i="16"/>
  <c r="BF105" i="16" s="1"/>
  <c r="CU102" i="16"/>
  <c r="CU105" i="16" s="1"/>
  <c r="L40" i="10"/>
  <c r="GE102" i="16"/>
  <c r="GE105" i="16" s="1"/>
  <c r="HR102" i="16"/>
  <c r="HR105" i="16" s="1"/>
  <c r="FL102" i="16"/>
  <c r="FL105" i="16" s="1"/>
  <c r="NW102" i="16"/>
  <c r="NW105" i="16" s="1"/>
  <c r="BC102" i="16"/>
  <c r="BC105" i="16" s="1"/>
  <c r="BJ102" i="16"/>
  <c r="BJ105" i="16" s="1"/>
  <c r="G40" i="10"/>
  <c r="AD39" i="10"/>
  <c r="AI39" i="10"/>
  <c r="AG39" i="10"/>
  <c r="L39" i="10"/>
  <c r="O39" i="10"/>
  <c r="AE39" i="10"/>
  <c r="M39" i="10"/>
  <c r="C5" i="7"/>
  <c r="KR102" i="16"/>
  <c r="CM102" i="16"/>
  <c r="CM105" i="16" s="1"/>
  <c r="GJ102" i="16"/>
  <c r="GJ105" i="16" s="1"/>
  <c r="KS102" i="16"/>
  <c r="KS105" i="16" s="1"/>
  <c r="JG102" i="16"/>
  <c r="JG105" i="16" s="1"/>
  <c r="DW102" i="16"/>
  <c r="DW105" i="16" s="1"/>
  <c r="IS102" i="16"/>
  <c r="IS105" i="16" s="1"/>
  <c r="GX102" i="16"/>
  <c r="GX105" i="16" s="1"/>
  <c r="HU102" i="16"/>
  <c r="HU105" i="16" s="1"/>
  <c r="IQ102" i="16"/>
  <c r="IQ105" i="16" s="1"/>
  <c r="FM102" i="16"/>
  <c r="FM105" i="16" s="1"/>
  <c r="AH41" i="10"/>
  <c r="EY102" i="16"/>
  <c r="EY105" i="16" s="1"/>
  <c r="NS102" i="16"/>
  <c r="NS105" i="16" s="1"/>
  <c r="MP102" i="16"/>
  <c r="MP105" i="16" s="1"/>
  <c r="FK102" i="16"/>
  <c r="FK105" i="16" s="1"/>
  <c r="DS102" i="16"/>
  <c r="DS105" i="16" s="1"/>
  <c r="NQ102" i="16"/>
  <c r="NQ105" i="16" s="1"/>
  <c r="ML102" i="16"/>
  <c r="ML105" i="16" s="1"/>
  <c r="AA39" i="10"/>
  <c r="AH39" i="10"/>
  <c r="C15" i="7"/>
  <c r="HX102" i="16"/>
  <c r="BX102" i="16"/>
  <c r="JT102" i="16"/>
  <c r="DD102" i="16"/>
  <c r="DD105" i="16" s="1"/>
  <c r="GK102" i="16"/>
  <c r="GK105" i="16" s="1"/>
  <c r="HW102" i="16"/>
  <c r="HW105" i="16" s="1"/>
  <c r="I41" i="10"/>
  <c r="CP102" i="16"/>
  <c r="CP105" i="16" s="1"/>
  <c r="AB41" i="10"/>
  <c r="T40" i="10"/>
  <c r="DK102" i="16"/>
  <c r="DK105" i="16" s="1"/>
  <c r="W40" i="10"/>
  <c r="CA102" i="16"/>
  <c r="CA105" i="16" s="1"/>
  <c r="BV102" i="16"/>
  <c r="BV105" i="16" s="1"/>
  <c r="CZ102" i="16"/>
  <c r="CZ105" i="16" s="1"/>
  <c r="GW102" i="16"/>
  <c r="GW105" i="16" s="1"/>
  <c r="BP102" i="16"/>
  <c r="BP105" i="16" s="1"/>
  <c r="NT102" i="16"/>
  <c r="NT105" i="16" s="1"/>
  <c r="CN102" i="16"/>
  <c r="CN105" i="16" s="1"/>
  <c r="DZ102" i="16"/>
  <c r="DZ105" i="16" s="1"/>
  <c r="LY102" i="16"/>
  <c r="LY105" i="16" s="1"/>
  <c r="FN102" i="16"/>
  <c r="FN105" i="16" s="1"/>
  <c r="BS102" i="16"/>
  <c r="BS105" i="16" s="1"/>
  <c r="C134" i="13"/>
  <c r="HV102" i="16"/>
  <c r="HV105" i="16" s="1"/>
  <c r="MI102" i="16"/>
  <c r="MI105" i="16" s="1"/>
  <c r="NG102" i="16"/>
  <c r="NG105" i="16" s="1"/>
  <c r="KE102" i="16"/>
  <c r="KE105" i="16" s="1"/>
  <c r="GR102" i="16"/>
  <c r="GR105" i="16" s="1"/>
  <c r="II102" i="16"/>
  <c r="II105" i="16" s="1"/>
  <c r="JP102" i="16"/>
  <c r="JP105" i="16" s="1"/>
  <c r="HZ102" i="16"/>
  <c r="HZ105" i="16" s="1"/>
  <c r="JM102" i="16"/>
  <c r="JM105" i="16" s="1"/>
  <c r="JZ102" i="16"/>
  <c r="JZ105" i="16" s="1"/>
  <c r="V39" i="10"/>
  <c r="K39" i="10"/>
  <c r="I39" i="10"/>
  <c r="GB102" i="16"/>
  <c r="FP102" i="16"/>
  <c r="CJ102" i="16"/>
  <c r="IJ102" i="16"/>
  <c r="FD102" i="16"/>
  <c r="GZ102" i="16"/>
  <c r="OJ102" i="16"/>
  <c r="AT102" i="16"/>
  <c r="LP102" i="16"/>
  <c r="GN102" i="16"/>
  <c r="ER102" i="16"/>
  <c r="IV102" i="16"/>
  <c r="KU102" i="16"/>
  <c r="KU105" i="16" s="1"/>
  <c r="AG40" i="10"/>
  <c r="HN102" i="16"/>
  <c r="HN105" i="16" s="1"/>
  <c r="AX102" i="16"/>
  <c r="AX105" i="16" s="1"/>
  <c r="KX102" i="16"/>
  <c r="KX105" i="16" s="1"/>
  <c r="IF102" i="16"/>
  <c r="IF105" i="16" s="1"/>
  <c r="BD102" i="16"/>
  <c r="BD105" i="16" s="1"/>
  <c r="AE41" i="10"/>
  <c r="EW102" i="16"/>
  <c r="EW105" i="16" s="1"/>
  <c r="NN102" i="16"/>
  <c r="NN105" i="16" s="1"/>
  <c r="LS102" i="16"/>
  <c r="LS105" i="16" s="1"/>
  <c r="AH40" i="10"/>
  <c r="EZ102" i="16"/>
  <c r="EZ105" i="16" s="1"/>
  <c r="FZ102" i="16"/>
  <c r="FZ105" i="16" s="1"/>
  <c r="Q40" i="10"/>
  <c r="DN102" i="16"/>
  <c r="DN105" i="16" s="1"/>
  <c r="HE102" i="16"/>
  <c r="HE105" i="16" s="1"/>
  <c r="IX102" i="16"/>
  <c r="IX105" i="16" s="1"/>
  <c r="IZ102" i="16"/>
  <c r="IZ105" i="16" s="1"/>
  <c r="LK102" i="16"/>
  <c r="LK105" i="16" s="1"/>
  <c r="LH102" i="16"/>
  <c r="LH105" i="16" s="1"/>
  <c r="CD102" i="16"/>
  <c r="CD105" i="16" s="1"/>
  <c r="K40" i="10"/>
  <c r="FV102" i="16"/>
  <c r="FV105" i="16" s="1"/>
  <c r="AB40" i="10"/>
  <c r="LM102" i="16"/>
  <c r="LM105" i="16" s="1"/>
  <c r="NP102" i="16"/>
  <c r="NP105" i="16" s="1"/>
  <c r="GO102" i="16"/>
  <c r="GO105" i="16" s="1"/>
  <c r="AB39" i="10"/>
  <c r="F39" i="10"/>
  <c r="G39" i="10"/>
  <c r="P39" i="10"/>
  <c r="U39" i="10"/>
  <c r="Z39" i="10"/>
  <c r="Q39" i="10"/>
  <c r="N39" i="10"/>
  <c r="NX102" i="16"/>
  <c r="NK102" i="16"/>
  <c r="NK105" i="16" s="1"/>
  <c r="GG102" i="16"/>
  <c r="GG105" i="16" s="1"/>
  <c r="CK102" i="16"/>
  <c r="CK105" i="16" s="1"/>
  <c r="BT102" i="16"/>
  <c r="BT105" i="16" s="1"/>
  <c r="JJ102" i="16"/>
  <c r="JJ105" i="16" s="1"/>
  <c r="JI102" i="16"/>
  <c r="JI105" i="16" s="1"/>
  <c r="CE102" i="16"/>
  <c r="CE105" i="16" s="1"/>
  <c r="ND102" i="16"/>
  <c r="ND105" i="16" s="1"/>
  <c r="LR102" i="16"/>
  <c r="LR105" i="16" s="1"/>
  <c r="JA102" i="16"/>
  <c r="JA105" i="16" s="1"/>
  <c r="LJ102" i="16"/>
  <c r="LJ105" i="16" s="1"/>
  <c r="CW102" i="16"/>
  <c r="CW105" i="16" s="1"/>
  <c r="KL102" i="16"/>
  <c r="KL105" i="16" s="1"/>
  <c r="V41" i="10"/>
  <c r="OM102" i="16"/>
  <c r="OM105" i="16" s="1"/>
  <c r="AA40" i="10"/>
  <c r="BH102" i="16"/>
  <c r="BH105" i="16" s="1"/>
  <c r="IO102" i="16"/>
  <c r="IO105" i="16" s="1"/>
  <c r="AI41" i="10"/>
  <c r="BA102" i="16"/>
  <c r="BA105" i="16" s="1"/>
  <c r="KI102" i="16"/>
  <c r="KI105" i="16" s="1"/>
  <c r="IU102" i="16"/>
  <c r="IU105" i="16" s="1"/>
  <c r="DB102" i="16"/>
  <c r="DB105" i="16" s="1"/>
  <c r="IY102" i="16"/>
  <c r="IY105" i="16" s="1"/>
  <c r="OL102" i="16"/>
  <c r="OL105" i="16" s="1"/>
  <c r="X41" i="10"/>
  <c r="IW102" i="16"/>
  <c r="IW105" i="16" s="1"/>
  <c r="Y41" i="10"/>
  <c r="KM102" i="16"/>
  <c r="KM105" i="16" s="1"/>
  <c r="NU102" i="16"/>
  <c r="NU105" i="16" s="1"/>
  <c r="DO102" i="16"/>
  <c r="DO105" i="16" s="1"/>
  <c r="FT102" i="16"/>
  <c r="FT105" i="16" s="1"/>
  <c r="T41" i="10"/>
  <c r="LI102" i="16"/>
  <c r="LI105" i="16" s="1"/>
  <c r="BY102" i="16"/>
  <c r="BY105" i="16" s="1"/>
  <c r="BR102" i="16"/>
  <c r="BR105" i="16" s="1"/>
  <c r="FX102" i="16"/>
  <c r="FX105" i="16" s="1"/>
  <c r="EG102" i="16"/>
  <c r="EG105" i="16" s="1"/>
  <c r="I40" i="10"/>
  <c r="H40" i="10"/>
  <c r="OD102" i="16"/>
  <c r="OD105" i="16" s="1"/>
  <c r="MR102" i="16"/>
  <c r="MR105" i="16" s="1"/>
  <c r="LA102" i="16"/>
  <c r="LA105" i="16" s="1"/>
  <c r="ID102" i="16"/>
  <c r="ID105" i="16" s="1"/>
  <c r="NY102" i="16"/>
  <c r="NY105" i="16" s="1"/>
  <c r="J41" i="10"/>
  <c r="KP102" i="16"/>
  <c r="KP105" i="16" s="1"/>
  <c r="EM102" i="16"/>
  <c r="EM105" i="16" s="1"/>
  <c r="CO102" i="16"/>
  <c r="CO105" i="16" s="1"/>
  <c r="BW102" i="16"/>
  <c r="BW105" i="16" s="1"/>
  <c r="KW102" i="16"/>
  <c r="KW105" i="16" s="1"/>
  <c r="DI102" i="16"/>
  <c r="DI105" i="16" s="1"/>
  <c r="GV102" i="16"/>
  <c r="GV105" i="16" s="1"/>
  <c r="LQ102" i="16"/>
  <c r="LQ105" i="16" s="1"/>
  <c r="EH102" i="16"/>
  <c r="EH105" i="16" s="1"/>
  <c r="DR102" i="16"/>
  <c r="DR105" i="16" s="1"/>
  <c r="CH102" i="16"/>
  <c r="CH105" i="16" s="1"/>
  <c r="F41" i="10"/>
  <c r="NJ102" i="16"/>
  <c r="NJ105" i="16" s="1"/>
  <c r="GM102" i="16"/>
  <c r="GM105" i="16" s="1"/>
  <c r="MT102" i="16"/>
  <c r="MT105" i="16" s="1"/>
  <c r="NE102" i="16"/>
  <c r="NE105" i="16" s="1"/>
  <c r="FW102" i="16"/>
  <c r="FW105" i="16" s="1"/>
  <c r="LZ102" i="16"/>
  <c r="LZ105" i="16" s="1"/>
  <c r="NI102" i="16"/>
  <c r="NI105" i="16" s="1"/>
  <c r="GI102" i="16"/>
  <c r="GI105" i="16" s="1"/>
  <c r="JW102" i="16"/>
  <c r="JW105" i="16" s="1"/>
  <c r="JU102" i="16"/>
  <c r="JU105" i="16" s="1"/>
  <c r="IN102" i="16"/>
  <c r="IN105" i="16" s="1"/>
  <c r="DX102" i="16"/>
  <c r="DX105" i="16" s="1"/>
  <c r="OB102" i="16"/>
  <c r="OB105" i="16" s="1"/>
  <c r="HT102" i="16"/>
  <c r="HT105" i="16" s="1"/>
  <c r="ME102" i="16"/>
  <c r="ME105" i="16" s="1"/>
  <c r="NC102" i="16"/>
  <c r="NC105" i="16" s="1"/>
  <c r="KJ102" i="16"/>
  <c r="KJ105" i="16" s="1"/>
  <c r="BE102" i="16"/>
  <c r="BE105" i="16" s="1"/>
  <c r="JF102" i="16"/>
  <c r="JF105" i="16" s="1"/>
  <c r="KC102" i="16"/>
  <c r="KC105" i="16" s="1"/>
  <c r="G41" i="10"/>
  <c r="IP102" i="16"/>
  <c r="IP105" i="16" s="1"/>
  <c r="KN102" i="16"/>
  <c r="KN105" i="16" s="1"/>
  <c r="P40" i="10"/>
  <c r="IT102" i="16"/>
  <c r="IT105" i="16" s="1"/>
  <c r="O41" i="10"/>
  <c r="LN102" i="16"/>
  <c r="LN105" i="16" s="1"/>
  <c r="N41" i="10"/>
  <c r="OE102" i="16"/>
  <c r="OE105" i="16" s="1"/>
  <c r="W41" i="10"/>
  <c r="HA102" i="16"/>
  <c r="HA105" i="16" s="1"/>
  <c r="JK102" i="16"/>
  <c r="JK105" i="16" s="1"/>
  <c r="ES102" i="16"/>
  <c r="ES105" i="16" s="1"/>
  <c r="KB102" i="16"/>
  <c r="KB105" i="16" s="1"/>
  <c r="ET102" i="16"/>
  <c r="ET105" i="16" s="1"/>
  <c r="CI102" i="16"/>
  <c r="CI105" i="16" s="1"/>
  <c r="DP102" i="16"/>
  <c r="DP105" i="16" s="1"/>
  <c r="MO102" i="16"/>
  <c r="MO105" i="16" s="1"/>
  <c r="OH102" i="16"/>
  <c r="OH105" i="16" s="1"/>
  <c r="FR102" i="16"/>
  <c r="FR105" i="16" s="1"/>
  <c r="DL102" i="16"/>
  <c r="DL105" i="16" s="1"/>
  <c r="IH102" i="16"/>
  <c r="IH105" i="16" s="1"/>
  <c r="IR102" i="16"/>
  <c r="IR105" i="16" s="1"/>
  <c r="BG102" i="16"/>
  <c r="BG105" i="16" s="1"/>
  <c r="HB102" i="16"/>
  <c r="HB105" i="16" s="1"/>
  <c r="OO102" i="16"/>
  <c r="OO105" i="16" s="1"/>
  <c r="CT102" i="16"/>
  <c r="CT105" i="16" s="1"/>
  <c r="MM102" i="16"/>
  <c r="MM105" i="16" s="1"/>
  <c r="MA102" i="16"/>
  <c r="MA105" i="16" s="1"/>
  <c r="HJ102" i="16"/>
  <c r="HJ105" i="16" s="1"/>
  <c r="KA102" i="16"/>
  <c r="KA105" i="16" s="1"/>
  <c r="DU102" i="16"/>
  <c r="DU105" i="16" s="1"/>
  <c r="JO102" i="16"/>
  <c r="JO105" i="16" s="1"/>
  <c r="AC41" i="10"/>
  <c r="LC102" i="16"/>
  <c r="LC105" i="16" s="1"/>
  <c r="OC102" i="16"/>
  <c r="OC105" i="16" s="1"/>
  <c r="Y40" i="10"/>
  <c r="MG102" i="16"/>
  <c r="MG105" i="16" s="1"/>
  <c r="BM102" i="16"/>
  <c r="BM105" i="16" s="1"/>
  <c r="JR102" i="16"/>
  <c r="JR105" i="16" s="1"/>
  <c r="LV102" i="16"/>
  <c r="LV105" i="16" s="1"/>
  <c r="ED102" i="16"/>
  <c r="ED105" i="16" s="1"/>
  <c r="EA102" i="16"/>
  <c r="EA105" i="16" s="1"/>
  <c r="MK102" i="16"/>
  <c r="MK105" i="16" s="1"/>
  <c r="AC40" i="10"/>
  <c r="M40" i="10"/>
  <c r="AG41" i="10"/>
  <c r="DY102" i="16"/>
  <c r="DY105" i="16" s="1"/>
  <c r="FJ102" i="16"/>
  <c r="FJ105" i="16" s="1"/>
  <c r="MU102" i="16"/>
  <c r="MU105" i="16" s="1"/>
  <c r="LX102" i="16"/>
  <c r="LX105" i="16" s="1"/>
  <c r="NO102" i="16"/>
  <c r="NO105" i="16" s="1"/>
  <c r="BK102" i="16"/>
  <c r="BK105" i="16" s="1"/>
  <c r="HO102" i="16"/>
  <c r="HO105" i="16" s="1"/>
  <c r="JD102" i="16"/>
  <c r="JD105" i="16" s="1"/>
  <c r="GY102" i="16"/>
  <c r="GY105" i="16" s="1"/>
  <c r="DM102" i="16"/>
  <c r="DM105" i="16" s="1"/>
  <c r="OK102" i="16"/>
  <c r="OK105" i="16" s="1"/>
  <c r="FB102" i="16"/>
  <c r="FB105" i="16" s="1"/>
  <c r="DG102" i="16"/>
  <c r="DG105" i="16" s="1"/>
  <c r="AE40" i="10"/>
  <c r="M41" i="10"/>
  <c r="EI102" i="16"/>
  <c r="EI105" i="16" s="1"/>
  <c r="EB102" i="16"/>
  <c r="EB105" i="16" s="1"/>
  <c r="EN102" i="16"/>
  <c r="EN105" i="16" s="1"/>
  <c r="K41" i="10"/>
  <c r="IA102" i="16"/>
  <c r="IA105" i="16" s="1"/>
  <c r="EL102" i="16"/>
  <c r="EL105" i="16" s="1"/>
  <c r="EX102" i="16"/>
  <c r="EX105" i="16" s="1"/>
  <c r="CQ102" i="16"/>
  <c r="CQ105" i="16" s="1"/>
  <c r="MW102" i="16"/>
  <c r="MW105" i="16" s="1"/>
  <c r="AV102" i="16"/>
  <c r="AV105" i="16" s="1"/>
  <c r="FE102" i="16"/>
  <c r="FE105" i="16" s="1"/>
  <c r="EU102" i="16"/>
  <c r="EU105" i="16" s="1"/>
  <c r="LL102" i="16"/>
  <c r="LL105" i="16" s="1"/>
  <c r="JV102" i="16"/>
  <c r="JV105" i="16" s="1"/>
  <c r="JC102" i="16"/>
  <c r="JC105" i="16" s="1"/>
  <c r="FG102" i="16"/>
  <c r="FG105" i="16" s="1"/>
  <c r="NF102" i="16"/>
  <c r="NF105" i="16" s="1"/>
  <c r="L41" i="10"/>
  <c r="DC102" i="16"/>
  <c r="DC105" i="16" s="1"/>
  <c r="HS102" i="16"/>
  <c r="HS105" i="16" s="1"/>
  <c r="AY102" i="16"/>
  <c r="AY105" i="16" s="1"/>
  <c r="OG102" i="16"/>
  <c r="OG105" i="16" s="1"/>
  <c r="JQ102" i="16"/>
  <c r="JQ105" i="16" s="1"/>
  <c r="J40" i="10"/>
  <c r="EJ102" i="16"/>
  <c r="EJ105" i="16" s="1"/>
  <c r="HC102" i="16"/>
  <c r="HC105" i="16" s="1"/>
  <c r="R40" i="10"/>
  <c r="LO102" i="16"/>
  <c r="LO105" i="16" s="1"/>
  <c r="BQ102" i="16"/>
  <c r="BQ105" i="16" s="1"/>
  <c r="KD102" i="16"/>
  <c r="KD105" i="16" s="1"/>
  <c r="Z40" i="10"/>
  <c r="BB102" i="16"/>
  <c r="BB105" i="16" s="1"/>
  <c r="CS102" i="16"/>
  <c r="CS105" i="16" s="1"/>
  <c r="HY102" i="16"/>
  <c r="HY105" i="16" s="1"/>
  <c r="EP102" i="16"/>
  <c r="EP105" i="16" s="1"/>
  <c r="MF102" i="16"/>
  <c r="MF105" i="16" s="1"/>
  <c r="HQ102" i="16"/>
  <c r="HQ105" i="16" s="1"/>
  <c r="IC102" i="16"/>
  <c r="IC105" i="16" s="1"/>
  <c r="U41" i="10"/>
  <c r="EQ102" i="16"/>
  <c r="EQ105" i="16" s="1"/>
  <c r="KO102" i="16"/>
  <c r="KO105" i="16" s="1"/>
  <c r="DA102" i="16"/>
  <c r="DA105" i="16" s="1"/>
  <c r="DF102" i="16"/>
  <c r="DF105" i="16" s="1"/>
  <c r="JB102" i="16"/>
  <c r="JB105" i="16" s="1"/>
  <c r="C6" i="8"/>
  <c r="CY102" i="16"/>
  <c r="CY105" i="16" s="1"/>
  <c r="MJ102" i="16"/>
  <c r="MJ105" i="16" s="1"/>
  <c r="LU102" i="16"/>
  <c r="LU105" i="16" s="1"/>
  <c r="N40" i="10"/>
  <c r="DQ102" i="16"/>
  <c r="DQ105" i="16" s="1"/>
  <c r="C135" i="13"/>
  <c r="AF40" i="10"/>
  <c r="BU102" i="16"/>
  <c r="BU105" i="16" s="1"/>
  <c r="CX102" i="16"/>
  <c r="CX105" i="16" s="1"/>
  <c r="EO102" i="16"/>
  <c r="EO105" i="16" s="1"/>
  <c r="EK102" i="16"/>
  <c r="EK105" i="16" s="1"/>
  <c r="C8" i="17"/>
  <c r="KH102" i="16"/>
  <c r="KH105" i="16" s="1"/>
  <c r="IK102" i="16"/>
  <c r="IK105" i="16" s="1"/>
  <c r="DV102" i="16"/>
  <c r="DV105" i="16" s="1"/>
  <c r="AW102" i="16"/>
  <c r="AW105" i="16" s="1"/>
  <c r="NM102" i="16"/>
  <c r="NM105" i="16" s="1"/>
  <c r="EV102" i="16"/>
  <c r="EV105" i="16" s="1"/>
  <c r="HM102" i="16"/>
  <c r="HM105" i="16" s="1"/>
  <c r="EE102" i="16"/>
  <c r="EE105" i="16" s="1"/>
  <c r="DJ102" i="16"/>
  <c r="DJ105" i="16" s="1"/>
  <c r="KQ102" i="16"/>
  <c r="KQ105" i="16" s="1"/>
  <c r="Q41" i="10"/>
  <c r="AU102" i="16"/>
  <c r="AU105" i="16" s="1"/>
  <c r="NA102" i="16"/>
  <c r="NA105" i="16" s="1"/>
  <c r="GP102" i="16"/>
  <c r="GP105" i="16" s="1"/>
  <c r="MX102" i="16"/>
  <c r="MX105" i="16" s="1"/>
  <c r="FH102" i="16"/>
  <c r="FH105" i="16" s="1"/>
  <c r="FC102" i="16"/>
  <c r="FC105" i="16" s="1"/>
  <c r="IE102" i="16"/>
  <c r="IE105" i="16" s="1"/>
  <c r="GS102" i="16"/>
  <c r="GS105" i="16" s="1"/>
  <c r="S41" i="10"/>
  <c r="FI102" i="16"/>
  <c r="FI105" i="16" s="1"/>
  <c r="NV102" i="16"/>
  <c r="NV105" i="16" s="1"/>
  <c r="BI102" i="16"/>
  <c r="BI105" i="16" s="1"/>
  <c r="FY102" i="16"/>
  <c r="FY105" i="16" s="1"/>
  <c r="GT102" i="16"/>
  <c r="GT105" i="16" s="1"/>
  <c r="JS102" i="16"/>
  <c r="JS105" i="16" s="1"/>
  <c r="FU102" i="16"/>
  <c r="FU105" i="16" s="1"/>
  <c r="HH102" i="16"/>
  <c r="HH105" i="16" s="1"/>
  <c r="MS102" i="16"/>
  <c r="MS105" i="16" s="1"/>
  <c r="FQ102" i="16"/>
  <c r="FQ105" i="16" s="1"/>
  <c r="HK102" i="16"/>
  <c r="HK105" i="16" s="1"/>
  <c r="LT102" i="16"/>
  <c r="LT105" i="16" s="1"/>
  <c r="JL102" i="16"/>
  <c r="JL105" i="16" s="1"/>
  <c r="MH102" i="16"/>
  <c r="MH105" i="16" s="1"/>
  <c r="OA102" i="16"/>
  <c r="OA105" i="16" s="1"/>
  <c r="BZ102" i="16"/>
  <c r="BZ105" i="16" s="1"/>
  <c r="GF102" i="16"/>
  <c r="GF105" i="16" s="1"/>
  <c r="LW102" i="16"/>
  <c r="LW105" i="16" s="1"/>
  <c r="KK102" i="16"/>
  <c r="KK105" i="16" s="1"/>
  <c r="IM102" i="16"/>
  <c r="IM105" i="16" s="1"/>
  <c r="NH102" i="16"/>
  <c r="NH105" i="16" s="1"/>
  <c r="JE102" i="16"/>
  <c r="JE105" i="16" s="1"/>
  <c r="O40" i="10"/>
  <c r="GC102" i="16"/>
  <c r="GC105" i="16" s="1"/>
  <c r="GA102" i="16"/>
  <c r="GA105" i="16" s="1"/>
  <c r="AD40" i="10"/>
  <c r="NR102" i="16"/>
  <c r="NR105" i="16" s="1"/>
  <c r="LG102" i="16"/>
  <c r="LG105" i="16" s="1"/>
  <c r="FS102" i="16"/>
  <c r="FS105" i="16" s="1"/>
  <c r="X40" i="10"/>
  <c r="DE102" i="16"/>
  <c r="DE105" i="16" s="1"/>
  <c r="HD102" i="16"/>
  <c r="HD105" i="16" s="1"/>
  <c r="ON102" i="16"/>
  <c r="ON105" i="16" s="1"/>
  <c r="JX102" i="16"/>
  <c r="JX105" i="16" s="1"/>
  <c r="CC102" i="16"/>
  <c r="CC105" i="16" s="1"/>
  <c r="MY102" i="16"/>
  <c r="MY105" i="16" s="1"/>
  <c r="GU102" i="16"/>
  <c r="GU105" i="16" s="1"/>
  <c r="GL102" i="16"/>
  <c r="GL105" i="16" s="1"/>
  <c r="CB102" i="16"/>
  <c r="CB105" i="16" s="1"/>
  <c r="JN102" i="16"/>
  <c r="JN105" i="16" s="1"/>
  <c r="F40" i="10"/>
  <c r="JY102" i="16"/>
  <c r="JY105" i="16" s="1"/>
  <c r="U40" i="10"/>
  <c r="HI102" i="16"/>
  <c r="HI105" i="16" s="1"/>
  <c r="AA41" i="10"/>
  <c r="MC102" i="16"/>
  <c r="MC105" i="16" s="1"/>
  <c r="FO102" i="16"/>
  <c r="FO105" i="16" s="1"/>
  <c r="OI102" i="16"/>
  <c r="OI105" i="16" s="1"/>
  <c r="AI40" i="10"/>
  <c r="IB102" i="16"/>
  <c r="IB105" i="16" s="1"/>
  <c r="AD41" i="10"/>
  <c r="FA102" i="16"/>
  <c r="FA105" i="16" s="1"/>
  <c r="Z41" i="10"/>
  <c r="S40" i="10"/>
  <c r="LB102" i="16"/>
  <c r="LB105" i="16" s="1"/>
  <c r="GD102" i="16"/>
  <c r="GD105" i="16" s="1"/>
  <c r="CG102" i="16"/>
  <c r="CG105" i="16" s="1"/>
  <c r="LE102" i="16"/>
  <c r="LE105" i="16" s="1"/>
  <c r="AE42" i="10" l="1"/>
  <c r="G42" i="10"/>
  <c r="V210" i="16"/>
  <c r="V214" i="16" s="1"/>
  <c r="ER105" i="16"/>
  <c r="CJ105" i="16"/>
  <c r="Q210" i="16"/>
  <c r="Q214" i="16" s="1"/>
  <c r="D15" i="7"/>
  <c r="AE46" i="10"/>
  <c r="AC12" i="21" s="1"/>
  <c r="AE52" i="10"/>
  <c r="O210" i="16"/>
  <c r="O214" i="16" s="1"/>
  <c r="BL105" i="16"/>
  <c r="AL210" i="16"/>
  <c r="AL214" i="16" s="1"/>
  <c r="MB105" i="16"/>
  <c r="CV105" i="16"/>
  <c r="R210" i="16"/>
  <c r="R214" i="16" s="1"/>
  <c r="C8" i="8"/>
  <c r="D6" i="8"/>
  <c r="D7" i="8"/>
  <c r="C38" i="8"/>
  <c r="E38" i="8" s="1"/>
  <c r="F42" i="10"/>
  <c r="GN105" i="16"/>
  <c r="Z210" i="16"/>
  <c r="Z214" i="16" s="1"/>
  <c r="FP105" i="16"/>
  <c r="X210" i="16"/>
  <c r="X214" i="16" s="1"/>
  <c r="AH42" i="10"/>
  <c r="O42" i="10"/>
  <c r="AB210" i="16"/>
  <c r="AB214" i="16" s="1"/>
  <c r="HL105" i="16"/>
  <c r="S210" i="16"/>
  <c r="S214" i="16" s="1"/>
  <c r="DH105" i="16"/>
  <c r="AF210" i="16"/>
  <c r="AF214" i="16" s="1"/>
  <c r="JH105" i="16"/>
  <c r="NX105" i="16"/>
  <c r="AP210" i="16"/>
  <c r="AP214" i="16" s="1"/>
  <c r="AB42" i="10"/>
  <c r="LP105" i="16"/>
  <c r="AK210" i="16"/>
  <c r="AK214" i="16" s="1"/>
  <c r="GB105" i="16"/>
  <c r="Y210" i="16"/>
  <c r="Y214" i="16" s="1"/>
  <c r="AA42" i="10"/>
  <c r="L42" i="10"/>
  <c r="AN210" i="16"/>
  <c r="AN214" i="16" s="1"/>
  <c r="MZ105" i="16"/>
  <c r="W42" i="10"/>
  <c r="H42" i="10"/>
  <c r="N42" i="10"/>
  <c r="M210" i="16"/>
  <c r="AT105" i="16"/>
  <c r="I42" i="10"/>
  <c r="AG42" i="10"/>
  <c r="AM210" i="16"/>
  <c r="AM214" i="16" s="1"/>
  <c r="MN105" i="16"/>
  <c r="Y42" i="10"/>
  <c r="R42" i="10"/>
  <c r="Q42" i="10"/>
  <c r="OJ105" i="16"/>
  <c r="AQ210" i="16"/>
  <c r="AQ214" i="16" s="1"/>
  <c r="K42" i="10"/>
  <c r="AI42" i="10"/>
  <c r="AO210" i="16"/>
  <c r="AO214" i="16" s="1"/>
  <c r="NL105" i="16"/>
  <c r="X42" i="10"/>
  <c r="T42" i="10"/>
  <c r="H26" i="17"/>
  <c r="FC25" i="17"/>
  <c r="GO25" i="17"/>
  <c r="BC25" i="17"/>
  <c r="MK25" i="17"/>
  <c r="IA25" i="17"/>
  <c r="KY25" i="17"/>
  <c r="DW25" i="17"/>
  <c r="IE25" i="17"/>
  <c r="CX25" i="17"/>
  <c r="GZ25" i="17"/>
  <c r="HR25" i="17"/>
  <c r="CQ25" i="17"/>
  <c r="GI25" i="17"/>
  <c r="BU25" i="17"/>
  <c r="BL25" i="17"/>
  <c r="BK25" i="17"/>
  <c r="HB25" i="17"/>
  <c r="MC25" i="17"/>
  <c r="GD25" i="17"/>
  <c r="JE25" i="17"/>
  <c r="BX25" i="17"/>
  <c r="MR25" i="17"/>
  <c r="JQ25" i="17"/>
  <c r="BH25" i="17"/>
  <c r="KH25" i="17"/>
  <c r="IF25" i="17"/>
  <c r="MN25" i="17"/>
  <c r="GN25" i="17"/>
  <c r="EC25" i="17"/>
  <c r="FJ25" i="17"/>
  <c r="LR25" i="17"/>
  <c r="JK25" i="17"/>
  <c r="LB25" i="17"/>
  <c r="KF25" i="17"/>
  <c r="HF25" i="17"/>
  <c r="MJ25" i="17"/>
  <c r="GW25" i="17"/>
  <c r="JB25" i="17"/>
  <c r="GS25" i="17"/>
  <c r="KX25" i="17"/>
  <c r="T25" i="17"/>
  <c r="KE25" i="17"/>
  <c r="MV25" i="17"/>
  <c r="FO25" i="17"/>
  <c r="BE25" i="17"/>
  <c r="KW25" i="17"/>
  <c r="LV25" i="17"/>
  <c r="JV25" i="17"/>
  <c r="JN25" i="17"/>
  <c r="KL25" i="17"/>
  <c r="CY25" i="17"/>
  <c r="KN25" i="17"/>
  <c r="NA25" i="17"/>
  <c r="IQ25" i="17"/>
  <c r="KK25" i="17"/>
  <c r="BN25" i="17"/>
  <c r="HY25" i="17"/>
  <c r="H28" i="17"/>
  <c r="I28" i="17" s="1"/>
  <c r="J28" i="17" s="1"/>
  <c r="K28" i="17" s="1"/>
  <c r="L28" i="17" s="1"/>
  <c r="M28" i="17" s="1"/>
  <c r="N28" i="17" s="1"/>
  <c r="O28" i="17" s="1"/>
  <c r="P28" i="17" s="1"/>
  <c r="Q28" i="17" s="1"/>
  <c r="R28" i="17" s="1"/>
  <c r="S28" i="17" s="1"/>
  <c r="M25" i="17"/>
  <c r="JI25" i="17"/>
  <c r="N25" i="17"/>
  <c r="CU25" i="17"/>
  <c r="HX25" i="17"/>
  <c r="FD25" i="17"/>
  <c r="FP25" i="17"/>
  <c r="GL25" i="17"/>
  <c r="EP25" i="17"/>
  <c r="GV25" i="17"/>
  <c r="L25" i="17"/>
  <c r="EF25" i="17"/>
  <c r="KB25" i="17"/>
  <c r="AQ25" i="17"/>
  <c r="AG25" i="17"/>
  <c r="DI25" i="17"/>
  <c r="DP25" i="17"/>
  <c r="KS25" i="17"/>
  <c r="AS25" i="17"/>
  <c r="DF25" i="17"/>
  <c r="CZ25" i="17"/>
  <c r="JS25" i="17"/>
  <c r="CF25" i="17"/>
  <c r="HM25" i="17"/>
  <c r="IP25" i="17"/>
  <c r="LK25" i="17"/>
  <c r="KZ25" i="17"/>
  <c r="MW25" i="17"/>
  <c r="DX25" i="17"/>
  <c r="LT25" i="17"/>
  <c r="CJ25" i="17"/>
  <c r="LJ25" i="17"/>
  <c r="FE25" i="17"/>
  <c r="LD25" i="17"/>
  <c r="Y25" i="17"/>
  <c r="AP25" i="17"/>
  <c r="KD25" i="17"/>
  <c r="FI25" i="17"/>
  <c r="GY25" i="17"/>
  <c r="FU25" i="17"/>
  <c r="HD25" i="17"/>
  <c r="AY25" i="17"/>
  <c r="BI25" i="17"/>
  <c r="R25" i="17"/>
  <c r="AA25" i="17"/>
  <c r="HO25" i="17"/>
  <c r="BV25" i="17"/>
  <c r="BS25" i="17"/>
  <c r="BT25" i="17"/>
  <c r="KC25" i="17"/>
  <c r="JU25" i="17"/>
  <c r="NC25" i="17"/>
  <c r="IV25" i="17"/>
  <c r="CW25" i="17"/>
  <c r="MF25" i="17"/>
  <c r="JT25" i="17"/>
  <c r="DD25" i="17"/>
  <c r="FW25" i="17"/>
  <c r="LH25" i="17"/>
  <c r="Q25" i="17"/>
  <c r="CO25" i="17"/>
  <c r="EE25" i="17"/>
  <c r="EK25" i="17"/>
  <c r="EH25" i="17"/>
  <c r="BF25" i="17"/>
  <c r="EV25" i="17"/>
  <c r="IB25" i="17"/>
  <c r="HZ25" i="17"/>
  <c r="JC25" i="17"/>
  <c r="HJ25" i="17"/>
  <c r="DN25" i="17"/>
  <c r="ML25" i="17"/>
  <c r="EI25" i="17"/>
  <c r="LA25" i="17"/>
  <c r="IJ25" i="17"/>
  <c r="ME25" i="17"/>
  <c r="EY25" i="17"/>
  <c r="GE25" i="17"/>
  <c r="GM25" i="17"/>
  <c r="EQ25" i="17"/>
  <c r="GG25" i="17"/>
  <c r="AN25" i="17"/>
  <c r="GB25" i="17"/>
  <c r="LE25" i="17"/>
  <c r="JX25" i="17"/>
  <c r="LS25" i="17"/>
  <c r="AV25" i="17"/>
  <c r="Z25" i="17"/>
  <c r="IR25" i="17"/>
  <c r="V25" i="17"/>
  <c r="CH25" i="17"/>
  <c r="CS25" i="17"/>
  <c r="HG25" i="17"/>
  <c r="KG25" i="17"/>
  <c r="JY25" i="17"/>
  <c r="JG25" i="17"/>
  <c r="IH25" i="17"/>
  <c r="GP25" i="17"/>
  <c r="EU25" i="17"/>
  <c r="ED25" i="17"/>
  <c r="BJ25" i="17"/>
  <c r="HS25" i="17"/>
  <c r="LC25" i="17"/>
  <c r="BM25" i="17"/>
  <c r="MZ25" i="17"/>
  <c r="MB25" i="17"/>
  <c r="MS25" i="17"/>
  <c r="CA25" i="17"/>
  <c r="CD25" i="17"/>
  <c r="BP25" i="17"/>
  <c r="JA25" i="17"/>
  <c r="DM25" i="17"/>
  <c r="KR25" i="17"/>
  <c r="EA25" i="17"/>
  <c r="JD25" i="17"/>
  <c r="MM25" i="17"/>
  <c r="JO25" i="17"/>
  <c r="HK25" i="17"/>
  <c r="GK25" i="17"/>
  <c r="KO25" i="17"/>
  <c r="X25" i="17"/>
  <c r="LX25" i="17"/>
  <c r="EW25" i="17"/>
  <c r="JM25" i="17"/>
  <c r="DH25" i="17"/>
  <c r="MT25" i="17"/>
  <c r="K25" i="17"/>
  <c r="MY25" i="17"/>
  <c r="CE25" i="17"/>
  <c r="BY25" i="17"/>
  <c r="DA25" i="17"/>
  <c r="DR25" i="17"/>
  <c r="U25" i="17"/>
  <c r="KT25" i="17"/>
  <c r="EZ25" i="17"/>
  <c r="FH25" i="17"/>
  <c r="NB25" i="17"/>
  <c r="CT25" i="17"/>
  <c r="BO25" i="17"/>
  <c r="AE25" i="17"/>
  <c r="LI25" i="17"/>
  <c r="HC25" i="17"/>
  <c r="EL25" i="17"/>
  <c r="BW25" i="17"/>
  <c r="FR25" i="17"/>
  <c r="LF25" i="17"/>
  <c r="LZ25" i="17"/>
  <c r="I25" i="17"/>
  <c r="CN25" i="17"/>
  <c r="DG25" i="17"/>
  <c r="FF25" i="17"/>
  <c r="LY25" i="17"/>
  <c r="KP25" i="17"/>
  <c r="O25" i="17"/>
  <c r="GX25" i="17"/>
  <c r="HE25" i="17"/>
  <c r="GA25" i="17"/>
  <c r="II25" i="17"/>
  <c r="MP25" i="17"/>
  <c r="ES25" i="17"/>
  <c r="FT25" i="17"/>
  <c r="LQ25" i="17"/>
  <c r="H29" i="17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IZ25" i="17"/>
  <c r="FL25" i="17"/>
  <c r="FV25" i="17"/>
  <c r="EJ25" i="17"/>
  <c r="W25" i="17"/>
  <c r="IT25" i="17"/>
  <c r="DK25" i="17"/>
  <c r="GQ25" i="17"/>
  <c r="CM25" i="17"/>
  <c r="HW25" i="17"/>
  <c r="EN25" i="17"/>
  <c r="FM25" i="17"/>
  <c r="CL25" i="17"/>
  <c r="ER25" i="17"/>
  <c r="CK25" i="17"/>
  <c r="IN25" i="17"/>
  <c r="FG25" i="17"/>
  <c r="FQ25" i="17"/>
  <c r="AD25" i="17"/>
  <c r="AL25" i="17"/>
  <c r="IM25" i="17"/>
  <c r="IX25" i="17"/>
  <c r="CB25" i="17"/>
  <c r="IW25" i="17"/>
  <c r="FX25" i="17"/>
  <c r="DC25" i="17"/>
  <c r="KI25" i="17"/>
  <c r="AJ25" i="17"/>
  <c r="DL25" i="17"/>
  <c r="MQ25" i="17"/>
  <c r="JH25" i="17"/>
  <c r="BD25" i="17"/>
  <c r="ET25" i="17"/>
  <c r="HI25" i="17"/>
  <c r="JZ25" i="17"/>
  <c r="DZ25" i="17"/>
  <c r="S25" i="17"/>
  <c r="CP25" i="17"/>
  <c r="LU25" i="17"/>
  <c r="AR25" i="17"/>
  <c r="FK25" i="17"/>
  <c r="IY25" i="17"/>
  <c r="DS25" i="17"/>
  <c r="EM25" i="17"/>
  <c r="CC25" i="17"/>
  <c r="KM25" i="17"/>
  <c r="IK25" i="17"/>
  <c r="LG25" i="17"/>
  <c r="AB25" i="17"/>
  <c r="MG25" i="17"/>
  <c r="GF25" i="17"/>
  <c r="JF25" i="17"/>
  <c r="AF25" i="17"/>
  <c r="KU25" i="17"/>
  <c r="BA25" i="17"/>
  <c r="IG25" i="17"/>
  <c r="IL25" i="17"/>
  <c r="IS25" i="17"/>
  <c r="BR25" i="17"/>
  <c r="HU25" i="17"/>
  <c r="AI25" i="17"/>
  <c r="FN25" i="17"/>
  <c r="AM25" i="17"/>
  <c r="AH25" i="17"/>
  <c r="JW25" i="17"/>
  <c r="LP25" i="17"/>
  <c r="GT25" i="17"/>
  <c r="HT25" i="17"/>
  <c r="IO25" i="17"/>
  <c r="LM25" i="17"/>
  <c r="LW25" i="17"/>
  <c r="DT25" i="17"/>
  <c r="DU25" i="17"/>
  <c r="AZ25" i="17"/>
  <c r="MO25" i="17"/>
  <c r="JR25" i="17"/>
  <c r="MX25" i="17"/>
  <c r="GU25" i="17"/>
  <c r="H25" i="17"/>
  <c r="H32" i="17" s="1"/>
  <c r="DB25" i="17"/>
  <c r="AW25" i="17"/>
  <c r="GC25" i="17"/>
  <c r="GJ25" i="17"/>
  <c r="DO25" i="17"/>
  <c r="HP25" i="17"/>
  <c r="BB25" i="17"/>
  <c r="HN25" i="17"/>
  <c r="CI25" i="17"/>
  <c r="IC25" i="17"/>
  <c r="FB25" i="17"/>
  <c r="LO25" i="17"/>
  <c r="BQ25" i="17"/>
  <c r="AO25" i="17"/>
  <c r="AC25" i="17"/>
  <c r="AK25" i="17"/>
  <c r="HL25" i="17"/>
  <c r="AT25" i="17"/>
  <c r="DV25" i="17"/>
  <c r="MH25" i="17"/>
  <c r="DJ25" i="17"/>
  <c r="J25" i="17"/>
  <c r="KA25" i="17"/>
  <c r="EX25" i="17"/>
  <c r="GH25" i="17"/>
  <c r="MI25" i="17"/>
  <c r="FY25" i="17"/>
  <c r="DE25" i="17"/>
  <c r="CG25" i="17"/>
  <c r="MU25" i="17"/>
  <c r="LL25" i="17"/>
  <c r="HQ25" i="17"/>
  <c r="ID25" i="17"/>
  <c r="FZ25" i="17"/>
  <c r="DY25" i="17"/>
  <c r="EO25" i="17"/>
  <c r="HH25" i="17"/>
  <c r="IU25" i="17"/>
  <c r="DQ25" i="17"/>
  <c r="JL25" i="17"/>
  <c r="BZ25" i="17"/>
  <c r="KV25" i="17"/>
  <c r="EG25" i="17"/>
  <c r="FS25" i="17"/>
  <c r="P25" i="17"/>
  <c r="KJ25" i="17"/>
  <c r="AU25" i="17"/>
  <c r="JP25" i="17"/>
  <c r="CR25" i="17"/>
  <c r="GR25" i="17"/>
  <c r="BG25" i="17"/>
  <c r="JJ25" i="17"/>
  <c r="H30" i="17"/>
  <c r="EB25" i="17"/>
  <c r="HA25" i="17"/>
  <c r="MA25" i="17"/>
  <c r="LN25" i="17"/>
  <c r="CV25" i="17"/>
  <c r="KQ25" i="17"/>
  <c r="HV25" i="17"/>
  <c r="FA25" i="17"/>
  <c r="AX25" i="17"/>
  <c r="MD25" i="17"/>
  <c r="Z42" i="10"/>
  <c r="GZ105" i="16"/>
  <c r="AA210" i="16"/>
  <c r="AA214" i="16" s="1"/>
  <c r="V42" i="10"/>
  <c r="AG210" i="16"/>
  <c r="AG214" i="16" s="1"/>
  <c r="JT105" i="16"/>
  <c r="AI210" i="16"/>
  <c r="AI214" i="16" s="1"/>
  <c r="KR105" i="16"/>
  <c r="AD42" i="10"/>
  <c r="N210" i="16"/>
  <c r="N214" i="16" s="1"/>
  <c r="AZ105" i="16"/>
  <c r="S42" i="10"/>
  <c r="U42" i="10"/>
  <c r="P210" i="16"/>
  <c r="P214" i="16" s="1"/>
  <c r="BX105" i="16"/>
  <c r="F13" i="20"/>
  <c r="F15" i="20" s="1"/>
  <c r="C132" i="13"/>
  <c r="D5" i="7"/>
  <c r="AH210" i="16"/>
  <c r="AH214" i="16" s="1"/>
  <c r="KF105" i="16"/>
  <c r="AC42" i="10"/>
  <c r="J42" i="10"/>
  <c r="FD105" i="16"/>
  <c r="W210" i="16"/>
  <c r="W214" i="16" s="1"/>
  <c r="P42" i="10"/>
  <c r="IV105" i="16"/>
  <c r="AE210" i="16"/>
  <c r="AE214" i="16" s="1"/>
  <c r="IJ105" i="16"/>
  <c r="AD210" i="16"/>
  <c r="AD214" i="16" s="1"/>
  <c r="AC210" i="16"/>
  <c r="AC214" i="16" s="1"/>
  <c r="HX105" i="16"/>
  <c r="M42" i="10"/>
  <c r="DT105" i="16"/>
  <c r="T210" i="16"/>
  <c r="T214" i="16" s="1"/>
  <c r="U210" i="16"/>
  <c r="U214" i="16" s="1"/>
  <c r="EF105" i="16"/>
  <c r="AJ210" i="16"/>
  <c r="AJ214" i="16" s="1"/>
  <c r="LD105" i="16"/>
  <c r="AF42" i="10"/>
  <c r="I32" i="17" l="1"/>
  <c r="I26" i="17"/>
  <c r="I27" i="17" s="1"/>
  <c r="I31" i="17" s="1"/>
  <c r="T52" i="10"/>
  <c r="T46" i="10"/>
  <c r="R12" i="21" s="1"/>
  <c r="Q46" i="10"/>
  <c r="O12" i="21" s="1"/>
  <c r="Q52" i="10"/>
  <c r="I210" i="16"/>
  <c r="X46" i="10"/>
  <c r="V12" i="21" s="1"/>
  <c r="X52" i="10"/>
  <c r="R46" i="10"/>
  <c r="P12" i="21" s="1"/>
  <c r="R52" i="10"/>
  <c r="N46" i="10"/>
  <c r="L12" i="21" s="1"/>
  <c r="N52" i="10"/>
  <c r="P52" i="10"/>
  <c r="P46" i="10"/>
  <c r="N12" i="21" s="1"/>
  <c r="M46" i="10"/>
  <c r="K12" i="21" s="1"/>
  <c r="M52" i="10"/>
  <c r="AF46" i="10"/>
  <c r="AD12" i="21" s="1"/>
  <c r="AF52" i="10"/>
  <c r="AD46" i="10"/>
  <c r="AB12" i="21" s="1"/>
  <c r="AD52" i="10"/>
  <c r="Z46" i="10"/>
  <c r="X12" i="21" s="1"/>
  <c r="Z52" i="10"/>
  <c r="Y52" i="10"/>
  <c r="Y46" i="10"/>
  <c r="W12" i="21" s="1"/>
  <c r="H46" i="10"/>
  <c r="F12" i="21" s="1"/>
  <c r="H52" i="10"/>
  <c r="J46" i="10"/>
  <c r="H12" i="21" s="1"/>
  <c r="J52" i="10"/>
  <c r="W46" i="10"/>
  <c r="U12" i="21" s="1"/>
  <c r="W52" i="10"/>
  <c r="F46" i="10"/>
  <c r="F52" i="10"/>
  <c r="AC46" i="10"/>
  <c r="AA12" i="21" s="1"/>
  <c r="AC52" i="10"/>
  <c r="AI46" i="10"/>
  <c r="AG12" i="21" s="1"/>
  <c r="AI52" i="10"/>
  <c r="AB46" i="10"/>
  <c r="Z12" i="21" s="1"/>
  <c r="AB52" i="10"/>
  <c r="G38" i="8"/>
  <c r="C123" i="13" s="1"/>
  <c r="AN101" i="16"/>
  <c r="P101" i="16"/>
  <c r="AK101" i="16"/>
  <c r="AK105" i="16" s="1"/>
  <c r="AP101" i="16"/>
  <c r="AP105" i="16" s="1"/>
  <c r="AQ101" i="16"/>
  <c r="AQ105" i="16" s="1"/>
  <c r="Q101" i="16"/>
  <c r="Q105" i="16" s="1"/>
  <c r="AS101" i="16"/>
  <c r="AS105" i="16" s="1"/>
  <c r="T101" i="16"/>
  <c r="T105" i="16" s="1"/>
  <c r="U101" i="16"/>
  <c r="U105" i="16" s="1"/>
  <c r="W101" i="16"/>
  <c r="W105" i="16" s="1"/>
  <c r="X101" i="16"/>
  <c r="X105" i="16" s="1"/>
  <c r="Y101" i="16"/>
  <c r="Y105" i="16" s="1"/>
  <c r="R101" i="16"/>
  <c r="R105" i="16" s="1"/>
  <c r="AA101" i="16"/>
  <c r="AA105" i="16" s="1"/>
  <c r="S101" i="16"/>
  <c r="S105" i="16" s="1"/>
  <c r="AD101" i="16"/>
  <c r="AD105" i="16" s="1"/>
  <c r="AB101" i="16"/>
  <c r="C45" i="8"/>
  <c r="AE101" i="16"/>
  <c r="AE105" i="16" s="1"/>
  <c r="AC101" i="16"/>
  <c r="AC105" i="16" s="1"/>
  <c r="AG101" i="16"/>
  <c r="AG105" i="16" s="1"/>
  <c r="AI101" i="16"/>
  <c r="AI105" i="16" s="1"/>
  <c r="AR101" i="16"/>
  <c r="AR105" i="16" s="1"/>
  <c r="AJ101" i="16"/>
  <c r="AJ105" i="16" s="1"/>
  <c r="AF101" i="16"/>
  <c r="AF105" i="16" s="1"/>
  <c r="AM101" i="16"/>
  <c r="AM105" i="16" s="1"/>
  <c r="AO101" i="16"/>
  <c r="AO105" i="16" s="1"/>
  <c r="Z101" i="16"/>
  <c r="Z105" i="16" s="1"/>
  <c r="AL101" i="16"/>
  <c r="AL105" i="16" s="1"/>
  <c r="V101" i="16"/>
  <c r="V105" i="16" s="1"/>
  <c r="AH101" i="16"/>
  <c r="AH105" i="16" s="1"/>
  <c r="D47" i="9"/>
  <c r="C147" i="13" s="1"/>
  <c r="C148" i="13" s="1"/>
  <c r="K46" i="10"/>
  <c r="I12" i="21" s="1"/>
  <c r="K52" i="10"/>
  <c r="AG46" i="10"/>
  <c r="AE12" i="21" s="1"/>
  <c r="AG52" i="10"/>
  <c r="O46" i="10"/>
  <c r="M12" i="21" s="1"/>
  <c r="O52" i="10"/>
  <c r="U46" i="10"/>
  <c r="S12" i="21" s="1"/>
  <c r="U52" i="10"/>
  <c r="I46" i="10"/>
  <c r="G12" i="21" s="1"/>
  <c r="I52" i="10"/>
  <c r="L46" i="10"/>
  <c r="J12" i="21" s="1"/>
  <c r="L52" i="10"/>
  <c r="AH46" i="10"/>
  <c r="AF12" i="21" s="1"/>
  <c r="AH52" i="10"/>
  <c r="S46" i="10"/>
  <c r="Q12" i="21" s="1"/>
  <c r="S52" i="10"/>
  <c r="V46" i="10"/>
  <c r="T12" i="21" s="1"/>
  <c r="V52" i="10"/>
  <c r="H27" i="17"/>
  <c r="H31" i="17" s="1"/>
  <c r="AA46" i="10"/>
  <c r="Y12" i="21" s="1"/>
  <c r="AA52" i="10"/>
  <c r="C130" i="13"/>
  <c r="C131" i="13"/>
  <c r="C44" i="8"/>
  <c r="C46" i="8" s="1"/>
  <c r="AE51" i="10"/>
  <c r="AC13" i="21" s="1"/>
  <c r="AE48" i="10"/>
  <c r="AC14" i="21" s="1"/>
  <c r="AE50" i="10"/>
  <c r="AC10" i="21" s="1"/>
  <c r="G52" i="10"/>
  <c r="G46" i="10"/>
  <c r="E12" i="21" s="1"/>
  <c r="F51" i="10" l="1"/>
  <c r="D13" i="21" s="1"/>
  <c r="D12" i="21"/>
  <c r="D60" i="16"/>
  <c r="AS60" i="16" s="1"/>
  <c r="M168" i="16" s="1"/>
  <c r="I168" i="16" s="1"/>
  <c r="F123" i="13"/>
  <c r="D53" i="16"/>
  <c r="F48" i="10"/>
  <c r="D14" i="21" s="1"/>
  <c r="F50" i="10"/>
  <c r="D10" i="21" s="1"/>
  <c r="M50" i="10"/>
  <c r="K10" i="21" s="1"/>
  <c r="M51" i="10"/>
  <c r="K13" i="21" s="1"/>
  <c r="M48" i="10"/>
  <c r="K14" i="21" s="1"/>
  <c r="X50" i="10"/>
  <c r="V10" i="21" s="1"/>
  <c r="X48" i="10"/>
  <c r="V14" i="21" s="1"/>
  <c r="X51" i="10"/>
  <c r="V13" i="21" s="1"/>
  <c r="P50" i="10"/>
  <c r="N10" i="21" s="1"/>
  <c r="P48" i="10"/>
  <c r="N14" i="21" s="1"/>
  <c r="P51" i="10"/>
  <c r="N13" i="21" s="1"/>
  <c r="AH50" i="10"/>
  <c r="AF10" i="21" s="1"/>
  <c r="AH48" i="10"/>
  <c r="AF14" i="21" s="1"/>
  <c r="AH51" i="10"/>
  <c r="AF13" i="21" s="1"/>
  <c r="O51" i="10"/>
  <c r="M13" i="21" s="1"/>
  <c r="O50" i="10"/>
  <c r="M10" i="21" s="1"/>
  <c r="O48" i="10"/>
  <c r="M14" i="21" s="1"/>
  <c r="AB50" i="10"/>
  <c r="Z10" i="21" s="1"/>
  <c r="AB48" i="10"/>
  <c r="Z14" i="21" s="1"/>
  <c r="AB51" i="10"/>
  <c r="Z13" i="21" s="1"/>
  <c r="W48" i="10"/>
  <c r="U14" i="21" s="1"/>
  <c r="W51" i="10"/>
  <c r="U13" i="21" s="1"/>
  <c r="W50" i="10"/>
  <c r="U10" i="21" s="1"/>
  <c r="Z50" i="10"/>
  <c r="X10" i="21" s="1"/>
  <c r="Z51" i="10"/>
  <c r="X13" i="21" s="1"/>
  <c r="Z48" i="10"/>
  <c r="X14" i="21" s="1"/>
  <c r="U51" i="10"/>
  <c r="S13" i="21" s="1"/>
  <c r="U48" i="10"/>
  <c r="S14" i="21" s="1"/>
  <c r="U50" i="10"/>
  <c r="S10" i="21" s="1"/>
  <c r="C142" i="13"/>
  <c r="F130" i="13"/>
  <c r="F142" i="13" s="1"/>
  <c r="Q50" i="10"/>
  <c r="O10" i="21" s="1"/>
  <c r="Q48" i="10"/>
  <c r="O14" i="21" s="1"/>
  <c r="Q51" i="10"/>
  <c r="O13" i="21" s="1"/>
  <c r="G48" i="10"/>
  <c r="E14" i="21" s="1"/>
  <c r="G50" i="10"/>
  <c r="E10" i="21" s="1"/>
  <c r="G51" i="10"/>
  <c r="E13" i="21" s="1"/>
  <c r="AI48" i="10"/>
  <c r="AG14" i="21" s="1"/>
  <c r="AI50" i="10"/>
  <c r="AG10" i="21" s="1"/>
  <c r="AI51" i="10"/>
  <c r="AG13" i="21" s="1"/>
  <c r="J50" i="10"/>
  <c r="H10" i="21" s="1"/>
  <c r="J51" i="10"/>
  <c r="H13" i="21" s="1"/>
  <c r="J48" i="10"/>
  <c r="H14" i="21" s="1"/>
  <c r="AD51" i="10"/>
  <c r="AB13" i="21" s="1"/>
  <c r="AD50" i="10"/>
  <c r="AB10" i="21" s="1"/>
  <c r="AD48" i="10"/>
  <c r="AB14" i="21" s="1"/>
  <c r="N51" i="10"/>
  <c r="L13" i="21" s="1"/>
  <c r="N48" i="10"/>
  <c r="L14" i="21" s="1"/>
  <c r="N50" i="10"/>
  <c r="L10" i="21" s="1"/>
  <c r="T48" i="10"/>
  <c r="R14" i="21" s="1"/>
  <c r="T50" i="10"/>
  <c r="R10" i="21" s="1"/>
  <c r="T51" i="10"/>
  <c r="R13" i="21" s="1"/>
  <c r="L50" i="10"/>
  <c r="J10" i="21" s="1"/>
  <c r="L51" i="10"/>
  <c r="J13" i="21" s="1"/>
  <c r="L48" i="10"/>
  <c r="J14" i="21" s="1"/>
  <c r="S50" i="10"/>
  <c r="Q10" i="21" s="1"/>
  <c r="S51" i="10"/>
  <c r="Q13" i="21" s="1"/>
  <c r="S48" i="10"/>
  <c r="Q14" i="21" s="1"/>
  <c r="AA51" i="10"/>
  <c r="Y13" i="21" s="1"/>
  <c r="AA50" i="10"/>
  <c r="Y10" i="21" s="1"/>
  <c r="AA48" i="10"/>
  <c r="Y14" i="21" s="1"/>
  <c r="AG51" i="10"/>
  <c r="AE13" i="21" s="1"/>
  <c r="AG48" i="10"/>
  <c r="AE14" i="21" s="1"/>
  <c r="AG50" i="10"/>
  <c r="AE10" i="21" s="1"/>
  <c r="I48" i="10"/>
  <c r="G14" i="21" s="1"/>
  <c r="I50" i="10"/>
  <c r="G10" i="21" s="1"/>
  <c r="I51" i="10"/>
  <c r="G13" i="21" s="1"/>
  <c r="P105" i="16"/>
  <c r="K209" i="16"/>
  <c r="AC48" i="10"/>
  <c r="AA14" i="21" s="1"/>
  <c r="AC50" i="10"/>
  <c r="AA10" i="21" s="1"/>
  <c r="AC51" i="10"/>
  <c r="AA13" i="21" s="1"/>
  <c r="H50" i="10"/>
  <c r="F10" i="21" s="1"/>
  <c r="H51" i="10"/>
  <c r="F13" i="21" s="1"/>
  <c r="H48" i="10"/>
  <c r="F14" i="21" s="1"/>
  <c r="AF48" i="10"/>
  <c r="AD14" i="21" s="1"/>
  <c r="AF50" i="10"/>
  <c r="AD10" i="21" s="1"/>
  <c r="AF51" i="10"/>
  <c r="AD13" i="21" s="1"/>
  <c r="R50" i="10"/>
  <c r="P10" i="21" s="1"/>
  <c r="R48" i="10"/>
  <c r="P14" i="21" s="1"/>
  <c r="R51" i="10"/>
  <c r="P13" i="21" s="1"/>
  <c r="V51" i="10"/>
  <c r="T13" i="21" s="1"/>
  <c r="V48" i="10"/>
  <c r="T14" i="21" s="1"/>
  <c r="V50" i="10"/>
  <c r="T10" i="21" s="1"/>
  <c r="K48" i="10"/>
  <c r="I14" i="21" s="1"/>
  <c r="K50" i="10"/>
  <c r="I10" i="21" s="1"/>
  <c r="K51" i="10"/>
  <c r="I13" i="21" s="1"/>
  <c r="C126" i="13"/>
  <c r="C125" i="13"/>
  <c r="C27" i="7"/>
  <c r="L209" i="16"/>
  <c r="L214" i="16" s="1"/>
  <c r="AB105" i="16"/>
  <c r="AN105" i="16"/>
  <c r="M209" i="16"/>
  <c r="M214" i="16" s="1"/>
  <c r="Y48" i="10"/>
  <c r="W14" i="21" s="1"/>
  <c r="Y51" i="10"/>
  <c r="W13" i="21" s="1"/>
  <c r="Y50" i="10"/>
  <c r="W10" i="21" s="1"/>
  <c r="J32" i="17"/>
  <c r="J26" i="17"/>
  <c r="J27" i="17" s="1"/>
  <c r="J31" i="17" s="1"/>
  <c r="K32" i="17" l="1"/>
  <c r="K26" i="17"/>
  <c r="K27" i="17" s="1"/>
  <c r="K31" i="17" s="1"/>
  <c r="D27" i="7"/>
  <c r="F125" i="13"/>
  <c r="D55" i="16"/>
  <c r="P53" i="16"/>
  <c r="AM53" i="16"/>
  <c r="AM58" i="16" s="1"/>
  <c r="AM62" i="16" s="1"/>
  <c r="AQ53" i="16"/>
  <c r="AQ58" i="16" s="1"/>
  <c r="AQ62" i="16" s="1"/>
  <c r="V53" i="16"/>
  <c r="V58" i="16" s="1"/>
  <c r="V62" i="16" s="1"/>
  <c r="S53" i="16"/>
  <c r="S58" i="16" s="1"/>
  <c r="S62" i="16" s="1"/>
  <c r="AH53" i="16"/>
  <c r="AH58" i="16" s="1"/>
  <c r="AH62" i="16" s="1"/>
  <c r="AP53" i="16"/>
  <c r="AP58" i="16" s="1"/>
  <c r="AP62" i="16" s="1"/>
  <c r="W53" i="16"/>
  <c r="W58" i="16" s="1"/>
  <c r="W62" i="16" s="1"/>
  <c r="AE53" i="16"/>
  <c r="AE58" i="16" s="1"/>
  <c r="AE62" i="16" s="1"/>
  <c r="AA53" i="16"/>
  <c r="AA58" i="16" s="1"/>
  <c r="AA62" i="16" s="1"/>
  <c r="AB53" i="16"/>
  <c r="U53" i="16"/>
  <c r="U58" i="16" s="1"/>
  <c r="U62" i="16" s="1"/>
  <c r="X53" i="16"/>
  <c r="X58" i="16" s="1"/>
  <c r="X62" i="16" s="1"/>
  <c r="AD53" i="16"/>
  <c r="AD58" i="16" s="1"/>
  <c r="AD62" i="16" s="1"/>
  <c r="Y53" i="16"/>
  <c r="Y58" i="16" s="1"/>
  <c r="Y62" i="16" s="1"/>
  <c r="Z53" i="16"/>
  <c r="Z58" i="16" s="1"/>
  <c r="Z62" i="16" s="1"/>
  <c r="AJ53" i="16"/>
  <c r="AJ58" i="16" s="1"/>
  <c r="AJ62" i="16" s="1"/>
  <c r="AI53" i="16"/>
  <c r="AI58" i="16" s="1"/>
  <c r="AI62" i="16" s="1"/>
  <c r="AS53" i="16"/>
  <c r="AS58" i="16" s="1"/>
  <c r="AS62" i="16" s="1"/>
  <c r="AN53" i="16"/>
  <c r="R53" i="16"/>
  <c r="R58" i="16" s="1"/>
  <c r="R62" i="16" s="1"/>
  <c r="AF53" i="16"/>
  <c r="AF58" i="16" s="1"/>
  <c r="AF62" i="16" s="1"/>
  <c r="T53" i="16"/>
  <c r="T58" i="16" s="1"/>
  <c r="T62" i="16" s="1"/>
  <c r="AG53" i="16"/>
  <c r="AG58" i="16" s="1"/>
  <c r="AG62" i="16" s="1"/>
  <c r="AL53" i="16"/>
  <c r="AL58" i="16" s="1"/>
  <c r="AL62" i="16" s="1"/>
  <c r="AK53" i="16"/>
  <c r="AK58" i="16" s="1"/>
  <c r="AK62" i="16" s="1"/>
  <c r="AC53" i="16"/>
  <c r="AC58" i="16" s="1"/>
  <c r="AC62" i="16" s="1"/>
  <c r="Q53" i="16"/>
  <c r="Q58" i="16" s="1"/>
  <c r="Q62" i="16" s="1"/>
  <c r="AO53" i="16"/>
  <c r="AO58" i="16" s="1"/>
  <c r="AO62" i="16" s="1"/>
  <c r="AR53" i="16"/>
  <c r="AR58" i="16" s="1"/>
  <c r="AR62" i="16" s="1"/>
  <c r="D56" i="16"/>
  <c r="F126" i="13"/>
  <c r="D57" i="16"/>
  <c r="C127" i="13"/>
  <c r="C144" i="13" s="1"/>
  <c r="C150" i="13" s="1"/>
  <c r="I209" i="16"/>
  <c r="K214" i="16"/>
  <c r="I214" i="16" s="1"/>
  <c r="F127" i="13" l="1"/>
  <c r="F145" i="13" s="1"/>
  <c r="F150" i="13" s="1"/>
  <c r="D58" i="16"/>
  <c r="D3" i="1"/>
  <c r="D4" i="1" s="1"/>
  <c r="D5" i="1" s="1"/>
  <c r="D6" i="1" s="1"/>
  <c r="D52" i="6"/>
  <c r="D54" i="6" s="1"/>
  <c r="Z26" i="19"/>
  <c r="Z28" i="19" s="1"/>
  <c r="L26" i="19"/>
  <c r="L28" i="19" s="1"/>
  <c r="C26" i="7"/>
  <c r="AA26" i="19"/>
  <c r="AA28" i="19" s="1"/>
  <c r="L56" i="16"/>
  <c r="M56" i="16"/>
  <c r="O56" i="16"/>
  <c r="N56" i="16"/>
  <c r="J56" i="16"/>
  <c r="K56" i="16"/>
  <c r="X26" i="19"/>
  <c r="X28" i="19" s="1"/>
  <c r="L57" i="16"/>
  <c r="J57" i="16"/>
  <c r="K57" i="16"/>
  <c r="M57" i="16"/>
  <c r="O57" i="16"/>
  <c r="N57" i="16"/>
  <c r="T26" i="19"/>
  <c r="T28" i="19" s="1"/>
  <c r="P58" i="16"/>
  <c r="P62" i="16" s="1"/>
  <c r="K161" i="16"/>
  <c r="I26" i="19"/>
  <c r="I28" i="19" s="1"/>
  <c r="P26" i="19"/>
  <c r="P28" i="19" s="1"/>
  <c r="Y26" i="19"/>
  <c r="Y28" i="19" s="1"/>
  <c r="V26" i="19"/>
  <c r="V28" i="19" s="1"/>
  <c r="N55" i="16"/>
  <c r="L55" i="16"/>
  <c r="K55" i="16"/>
  <c r="K58" i="16" s="1"/>
  <c r="M55" i="16"/>
  <c r="J55" i="16"/>
  <c r="O55" i="16"/>
  <c r="U26" i="19"/>
  <c r="U28" i="19" s="1"/>
  <c r="G26" i="19"/>
  <c r="G28" i="19" s="1"/>
  <c r="J26" i="19"/>
  <c r="J28" i="19" s="1"/>
  <c r="AB26" i="19"/>
  <c r="AB28" i="19" s="1"/>
  <c r="O26" i="19"/>
  <c r="O28" i="19" s="1"/>
  <c r="N26" i="19"/>
  <c r="N28" i="19" s="1"/>
  <c r="AE26" i="19"/>
  <c r="AE28" i="19" s="1"/>
  <c r="AG26" i="19"/>
  <c r="AG28" i="19" s="1"/>
  <c r="S26" i="19"/>
  <c r="S28" i="19" s="1"/>
  <c r="W26" i="19"/>
  <c r="W28" i="19" s="1"/>
  <c r="AD26" i="19"/>
  <c r="AD28" i="19" s="1"/>
  <c r="M26" i="19"/>
  <c r="M28" i="19" s="1"/>
  <c r="H26" i="19"/>
  <c r="H28" i="19" s="1"/>
  <c r="F26" i="19"/>
  <c r="F28" i="19" s="1"/>
  <c r="AN58" i="16"/>
  <c r="AN62" i="16" s="1"/>
  <c r="M161" i="16"/>
  <c r="K26" i="19"/>
  <c r="K28" i="19" s="1"/>
  <c r="R26" i="19"/>
  <c r="R28" i="19" s="1"/>
  <c r="AH26" i="19"/>
  <c r="AH28" i="19" s="1"/>
  <c r="AB58" i="16"/>
  <c r="AB62" i="16" s="1"/>
  <c r="L161" i="16"/>
  <c r="AF26" i="19"/>
  <c r="AF28" i="19" s="1"/>
  <c r="L32" i="17"/>
  <c r="L26" i="17"/>
  <c r="L27" i="17" s="1"/>
  <c r="L31" i="17" s="1"/>
  <c r="L58" i="16" l="1"/>
  <c r="K62" i="16"/>
  <c r="L62" i="16"/>
  <c r="M58" i="16"/>
  <c r="N58" i="16"/>
  <c r="C153" i="13"/>
  <c r="C156" i="13" s="1"/>
  <c r="C9" i="7" s="1"/>
  <c r="B6" i="19"/>
  <c r="J164" i="16"/>
  <c r="I164" i="16" s="1"/>
  <c r="D26" i="7"/>
  <c r="C29" i="7"/>
  <c r="E26" i="7" s="1"/>
  <c r="I161" i="16"/>
  <c r="J165" i="16"/>
  <c r="I165" i="16" s="1"/>
  <c r="L166" i="16"/>
  <c r="L170" i="16" s="1"/>
  <c r="Q26" i="19"/>
  <c r="Q28" i="19" s="1"/>
  <c r="AC26" i="19"/>
  <c r="AC28" i="19" s="1"/>
  <c r="M166" i="16"/>
  <c r="M170" i="16" s="1"/>
  <c r="K166" i="16"/>
  <c r="K170" i="16" s="1"/>
  <c r="E26" i="19"/>
  <c r="E28" i="19" s="1"/>
  <c r="O58" i="16"/>
  <c r="D56" i="6"/>
  <c r="H6" i="17" s="1"/>
  <c r="O32" i="4"/>
  <c r="M32" i="17"/>
  <c r="M26" i="17"/>
  <c r="M27" i="17" s="1"/>
  <c r="M31" i="17" s="1"/>
  <c r="J163" i="16"/>
  <c r="I163" i="16" s="1"/>
  <c r="J58" i="16"/>
  <c r="J62" i="16" s="1"/>
  <c r="D9" i="1"/>
  <c r="D10" i="1" s="1"/>
  <c r="D7" i="1"/>
  <c r="D8" i="1" s="1"/>
  <c r="N62" i="16" l="1"/>
  <c r="M62" i="16"/>
  <c r="O62" i="16"/>
  <c r="C8" i="7"/>
  <c r="C17" i="7"/>
  <c r="N32" i="17"/>
  <c r="N26" i="17"/>
  <c r="N27" i="17" s="1"/>
  <c r="N31" i="17" s="1"/>
  <c r="D9" i="7"/>
  <c r="J166" i="16"/>
  <c r="J170" i="16" s="1"/>
  <c r="E24" i="7"/>
  <c r="E23" i="7"/>
  <c r="D29" i="7"/>
  <c r="E25" i="7"/>
  <c r="E28" i="7"/>
  <c r="E29" i="7"/>
  <c r="E27" i="7"/>
  <c r="H7" i="17" l="1"/>
  <c r="I62" i="16"/>
  <c r="F3" i="20" s="1"/>
  <c r="O32" i="17"/>
  <c r="O26" i="17"/>
  <c r="O27" i="17" s="1"/>
  <c r="O31" i="17" s="1"/>
  <c r="F6" i="19"/>
  <c r="D8" i="7"/>
  <c r="D108" i="16"/>
  <c r="E16" i="19"/>
  <c r="F5" i="20"/>
  <c r="C12" i="7"/>
  <c r="E8" i="7" s="1"/>
  <c r="I170" i="16"/>
  <c r="I166" i="16"/>
  <c r="D17" i="7"/>
  <c r="C20" i="7"/>
  <c r="E17" i="7" s="1"/>
  <c r="E11" i="7" l="1"/>
  <c r="D12" i="7"/>
  <c r="E7" i="7"/>
  <c r="E10" i="7"/>
  <c r="E12" i="7"/>
  <c r="E6" i="7"/>
  <c r="E5" i="7"/>
  <c r="E9" i="7"/>
  <c r="P32" i="17"/>
  <c r="P26" i="17"/>
  <c r="P27" i="17" s="1"/>
  <c r="P31" i="17" s="1"/>
  <c r="J3" i="20"/>
  <c r="F7" i="20"/>
  <c r="F11" i="20" s="1"/>
  <c r="E20" i="7"/>
  <c r="E19" i="7"/>
  <c r="E18" i="7"/>
  <c r="D20" i="7"/>
  <c r="E16" i="7"/>
  <c r="E15" i="7"/>
  <c r="P108" i="16"/>
  <c r="K217" i="16" s="1"/>
  <c r="D109" i="16"/>
  <c r="AT109" i="16" s="1"/>
  <c r="M218" i="16" s="1"/>
  <c r="E57" i="6"/>
  <c r="D57" i="6"/>
  <c r="H8" i="17"/>
  <c r="D6" i="19" s="1"/>
  <c r="M219" i="16" l="1"/>
  <c r="I218" i="16"/>
  <c r="D58" i="6"/>
  <c r="K219" i="16"/>
  <c r="I217" i="16"/>
  <c r="I219" i="16" s="1"/>
  <c r="Q32" i="17"/>
  <c r="Q26" i="17"/>
  <c r="Q27" i="17" s="1"/>
  <c r="Q31" i="17" s="1"/>
  <c r="E6" i="19"/>
  <c r="E7" i="19" s="1"/>
  <c r="F7" i="19" s="1"/>
  <c r="P17" i="19"/>
  <c r="P20" i="19" s="1"/>
  <c r="P30" i="19" s="1"/>
  <c r="V17" i="19"/>
  <c r="V20" i="19" s="1"/>
  <c r="V30" i="19" s="1"/>
  <c r="S17" i="19"/>
  <c r="S20" i="19" s="1"/>
  <c r="S30" i="19" s="1"/>
  <c r="G17" i="19"/>
  <c r="G20" i="19" s="1"/>
  <c r="G30" i="19" s="1"/>
  <c r="X17" i="19"/>
  <c r="X20" i="19" s="1"/>
  <c r="X30" i="19" s="1"/>
  <c r="M17" i="19"/>
  <c r="M20" i="19" s="1"/>
  <c r="M30" i="19" s="1"/>
  <c r="F17" i="19"/>
  <c r="F20" i="19" s="1"/>
  <c r="F30" i="19" s="1"/>
  <c r="AG17" i="19"/>
  <c r="AG20" i="19" s="1"/>
  <c r="AG30" i="19" s="1"/>
  <c r="H17" i="19"/>
  <c r="H20" i="19" s="1"/>
  <c r="H30" i="19" s="1"/>
  <c r="Y17" i="19"/>
  <c r="Y20" i="19" s="1"/>
  <c r="Y30" i="19" s="1"/>
  <c r="L17" i="19"/>
  <c r="L20" i="19" s="1"/>
  <c r="L30" i="19" s="1"/>
  <c r="AB17" i="19"/>
  <c r="AB20" i="19" s="1"/>
  <c r="AB30" i="19" s="1"/>
  <c r="T17" i="19"/>
  <c r="T20" i="19" s="1"/>
  <c r="T30" i="19" s="1"/>
  <c r="W17" i="19"/>
  <c r="W20" i="19" s="1"/>
  <c r="W30" i="19" s="1"/>
  <c r="O17" i="19"/>
  <c r="O20" i="19" s="1"/>
  <c r="O30" i="19" s="1"/>
  <c r="J17" i="19"/>
  <c r="J20" i="19" s="1"/>
  <c r="J30" i="19" s="1"/>
  <c r="I17" i="19"/>
  <c r="I20" i="19" s="1"/>
  <c r="I30" i="19" s="1"/>
  <c r="Z17" i="19"/>
  <c r="Z20" i="19" s="1"/>
  <c r="Z30" i="19" s="1"/>
  <c r="AA17" i="19"/>
  <c r="AA20" i="19" s="1"/>
  <c r="AA30" i="19" s="1"/>
  <c r="AF17" i="19"/>
  <c r="AF20" i="19" s="1"/>
  <c r="AF30" i="19" s="1"/>
  <c r="AD17" i="19"/>
  <c r="AD20" i="19" s="1"/>
  <c r="AD30" i="19" s="1"/>
  <c r="K17" i="19"/>
  <c r="K20" i="19" s="1"/>
  <c r="K30" i="19" s="1"/>
  <c r="N17" i="19"/>
  <c r="N20" i="19" s="1"/>
  <c r="N30" i="19" s="1"/>
  <c r="AE17" i="19"/>
  <c r="AE20" i="19" s="1"/>
  <c r="AE30" i="19" s="1"/>
  <c r="U17" i="19"/>
  <c r="U20" i="19" s="1"/>
  <c r="U30" i="19" s="1"/>
  <c r="R17" i="19"/>
  <c r="R20" i="19" s="1"/>
  <c r="R30" i="19" s="1"/>
  <c r="AH17" i="19"/>
  <c r="AH20" i="19" s="1"/>
  <c r="AH30" i="19" s="1"/>
  <c r="D7" i="19"/>
  <c r="AC17" i="19"/>
  <c r="AC20" i="19" s="1"/>
  <c r="AC30" i="19" s="1"/>
  <c r="E17" i="19"/>
  <c r="Q17" i="19"/>
  <c r="Q20" i="19" s="1"/>
  <c r="Q30" i="19" s="1"/>
  <c r="R26" i="17" l="1"/>
  <c r="R27" i="17" s="1"/>
  <c r="R31" i="17" s="1"/>
  <c r="R32" i="17"/>
  <c r="E20" i="19"/>
  <c r="E30" i="19" s="1"/>
  <c r="C33" i="19" s="1"/>
  <c r="S32" i="17" l="1"/>
  <c r="S26" i="17"/>
  <c r="S27" i="17" s="1"/>
  <c r="S31" i="17" s="1"/>
  <c r="T32" i="17" l="1"/>
  <c r="T29" i="17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T28" i="17"/>
  <c r="U28" i="17" s="1"/>
  <c r="V28" i="17" s="1"/>
  <c r="W28" i="17" s="1"/>
  <c r="X28" i="17" s="1"/>
  <c r="Y28" i="17" s="1"/>
  <c r="Z28" i="17" s="1"/>
  <c r="AA28" i="17" s="1"/>
  <c r="AB28" i="17" s="1"/>
  <c r="AC28" i="17" s="1"/>
  <c r="AD28" i="17" s="1"/>
  <c r="AE28" i="17" s="1"/>
  <c r="T26" i="17"/>
  <c r="T27" i="17" s="1"/>
  <c r="T31" i="17" l="1"/>
  <c r="U32" i="17"/>
  <c r="U26" i="17"/>
  <c r="U27" i="17" s="1"/>
  <c r="U31" i="17" s="1"/>
  <c r="V26" i="17" l="1"/>
  <c r="V27" i="17" s="1"/>
  <c r="V31" i="17" s="1"/>
  <c r="V32" i="17"/>
  <c r="W32" i="17" l="1"/>
  <c r="W26" i="17"/>
  <c r="W27" i="17" s="1"/>
  <c r="W31" i="17" s="1"/>
  <c r="X26" i="17" l="1"/>
  <c r="X27" i="17" s="1"/>
  <c r="X31" i="17" s="1"/>
  <c r="X32" i="17"/>
  <c r="Y32" i="17" l="1"/>
  <c r="Y26" i="17"/>
  <c r="Y27" i="17" s="1"/>
  <c r="Y31" i="17" s="1"/>
  <c r="Z26" i="17" l="1"/>
  <c r="Z27" i="17" s="1"/>
  <c r="Z31" i="17" s="1"/>
  <c r="Z32" i="17"/>
  <c r="AA32" i="17" l="1"/>
  <c r="AA26" i="17"/>
  <c r="AA27" i="17" s="1"/>
  <c r="AA31" i="17" s="1"/>
  <c r="AB26" i="17" l="1"/>
  <c r="AB27" i="17" s="1"/>
  <c r="AB31" i="17" s="1"/>
  <c r="AB32" i="17"/>
  <c r="AC32" i="17" l="1"/>
  <c r="AC26" i="17"/>
  <c r="AC27" i="17" s="1"/>
  <c r="AC31" i="17" s="1"/>
  <c r="AD26" i="17" l="1"/>
  <c r="AD27" i="17" s="1"/>
  <c r="AD31" i="17" s="1"/>
  <c r="AD32" i="17"/>
  <c r="AE32" i="17" l="1"/>
  <c r="AE26" i="17"/>
  <c r="AE27" i="17" s="1"/>
  <c r="AE31" i="17" s="1"/>
  <c r="AF32" i="17" l="1"/>
  <c r="AF29" i="17"/>
  <c r="AG29" i="17" s="1"/>
  <c r="AH29" i="17" s="1"/>
  <c r="AI29" i="17" s="1"/>
  <c r="AJ29" i="17" s="1"/>
  <c r="AK29" i="17" s="1"/>
  <c r="AL29" i="17" s="1"/>
  <c r="AM29" i="17" s="1"/>
  <c r="AN29" i="17" s="1"/>
  <c r="AO29" i="17" s="1"/>
  <c r="AP29" i="17" s="1"/>
  <c r="AQ29" i="17" s="1"/>
  <c r="AF28" i="17"/>
  <c r="AG28" i="17" s="1"/>
  <c r="AH28" i="17" s="1"/>
  <c r="AI28" i="17" s="1"/>
  <c r="AJ28" i="17" s="1"/>
  <c r="AK28" i="17" s="1"/>
  <c r="AL28" i="17" s="1"/>
  <c r="AM28" i="17" s="1"/>
  <c r="AN28" i="17" s="1"/>
  <c r="AO28" i="17" s="1"/>
  <c r="AP28" i="17" s="1"/>
  <c r="AQ28" i="17" s="1"/>
  <c r="AF26" i="17"/>
  <c r="AF27" i="17" s="1"/>
  <c r="AF31" i="17" l="1"/>
  <c r="AG32" i="17"/>
  <c r="AG26" i="17"/>
  <c r="AG27" i="17" s="1"/>
  <c r="AG31" i="17" s="1"/>
  <c r="AH26" i="17" l="1"/>
  <c r="AH27" i="17" s="1"/>
  <c r="AH31" i="17" s="1"/>
  <c r="AH32" i="17"/>
  <c r="AI32" i="17" l="1"/>
  <c r="AI26" i="17"/>
  <c r="AI27" i="17" s="1"/>
  <c r="AI31" i="17" s="1"/>
  <c r="AJ26" i="17" l="1"/>
  <c r="AJ27" i="17" s="1"/>
  <c r="AJ31" i="17" s="1"/>
  <c r="AJ32" i="17"/>
  <c r="AK32" i="17" l="1"/>
  <c r="AK26" i="17"/>
  <c r="AK27" i="17" s="1"/>
  <c r="AK31" i="17" s="1"/>
  <c r="AL26" i="17" l="1"/>
  <c r="AL27" i="17" s="1"/>
  <c r="AL31" i="17" s="1"/>
  <c r="AL32" i="17"/>
  <c r="AM32" i="17" l="1"/>
  <c r="AM26" i="17"/>
  <c r="AM27" i="17" s="1"/>
  <c r="AM31" i="17" s="1"/>
  <c r="AN26" i="17" l="1"/>
  <c r="AN27" i="17" s="1"/>
  <c r="AN31" i="17" s="1"/>
  <c r="AN32" i="17"/>
  <c r="AO32" i="17" l="1"/>
  <c r="AO26" i="17"/>
  <c r="AO27" i="17" s="1"/>
  <c r="AO31" i="17" s="1"/>
  <c r="AP26" i="17" l="1"/>
  <c r="AP27" i="17" s="1"/>
  <c r="AP31" i="17" s="1"/>
  <c r="AP32" i="17"/>
  <c r="AQ32" i="17" l="1"/>
  <c r="AQ26" i="17"/>
  <c r="AQ27" i="17" s="1"/>
  <c r="AQ31" i="17" s="1"/>
  <c r="AR32" i="17" l="1"/>
  <c r="AR28" i="17"/>
  <c r="AS28" i="17" s="1"/>
  <c r="AT28" i="17" s="1"/>
  <c r="AU28" i="17" s="1"/>
  <c r="AV28" i="17" s="1"/>
  <c r="AW28" i="17" s="1"/>
  <c r="AX28" i="17" s="1"/>
  <c r="AY28" i="17" s="1"/>
  <c r="AZ28" i="17" s="1"/>
  <c r="BA28" i="17" s="1"/>
  <c r="BB28" i="17" s="1"/>
  <c r="BC28" i="17" s="1"/>
  <c r="AR29" i="17"/>
  <c r="AS29" i="17" s="1"/>
  <c r="AT29" i="17" s="1"/>
  <c r="AU29" i="17" s="1"/>
  <c r="AV29" i="17" s="1"/>
  <c r="AW29" i="17" s="1"/>
  <c r="AX29" i="17" s="1"/>
  <c r="AY29" i="17" s="1"/>
  <c r="AZ29" i="17" s="1"/>
  <c r="BA29" i="17" s="1"/>
  <c r="BB29" i="17" s="1"/>
  <c r="BC29" i="17" s="1"/>
  <c r="AR26" i="17"/>
  <c r="AR27" i="17" s="1"/>
  <c r="AR31" i="17" s="1"/>
  <c r="AS32" i="17" l="1"/>
  <c r="AS26" i="17"/>
  <c r="AS27" i="17" s="1"/>
  <c r="AS31" i="17" s="1"/>
  <c r="AT26" i="17" l="1"/>
  <c r="AT27" i="17" s="1"/>
  <c r="AT31" i="17" s="1"/>
  <c r="AT32" i="17"/>
  <c r="AU32" i="17" l="1"/>
  <c r="AU26" i="17"/>
  <c r="AU27" i="17" s="1"/>
  <c r="AU31" i="17" s="1"/>
  <c r="AV26" i="17" l="1"/>
  <c r="AV27" i="17" s="1"/>
  <c r="AV31" i="17" s="1"/>
  <c r="AV32" i="17"/>
  <c r="AW32" i="17" l="1"/>
  <c r="AW26" i="17"/>
  <c r="AW27" i="17" s="1"/>
  <c r="AW31" i="17" s="1"/>
  <c r="AX26" i="17" l="1"/>
  <c r="AX27" i="17" s="1"/>
  <c r="AX31" i="17" s="1"/>
  <c r="AX32" i="17"/>
  <c r="AY32" i="17" l="1"/>
  <c r="AY26" i="17"/>
  <c r="AY27" i="17" s="1"/>
  <c r="AY31" i="17" s="1"/>
  <c r="AZ26" i="17" l="1"/>
  <c r="AZ27" i="17" s="1"/>
  <c r="AZ31" i="17" s="1"/>
  <c r="AZ32" i="17"/>
  <c r="BA32" i="17" l="1"/>
  <c r="BA26" i="17"/>
  <c r="BA27" i="17" s="1"/>
  <c r="BA31" i="17" s="1"/>
  <c r="BB26" i="17" l="1"/>
  <c r="BB27" i="17" s="1"/>
  <c r="BB31" i="17" s="1"/>
  <c r="BB32" i="17"/>
  <c r="BC32" i="17" l="1"/>
  <c r="BC26" i="17"/>
  <c r="BC27" i="17" s="1"/>
  <c r="BC31" i="17" s="1"/>
  <c r="BD32" i="17" l="1"/>
  <c r="BD29" i="17"/>
  <c r="BE29" i="17" s="1"/>
  <c r="BF29" i="17" s="1"/>
  <c r="BG29" i="17" s="1"/>
  <c r="BH29" i="17" s="1"/>
  <c r="BI29" i="17" s="1"/>
  <c r="BJ29" i="17" s="1"/>
  <c r="BK29" i="17" s="1"/>
  <c r="BL29" i="17" s="1"/>
  <c r="BM29" i="17" s="1"/>
  <c r="BN29" i="17" s="1"/>
  <c r="BO29" i="17" s="1"/>
  <c r="BD28" i="17"/>
  <c r="BE28" i="17" s="1"/>
  <c r="BF28" i="17" s="1"/>
  <c r="BG28" i="17" s="1"/>
  <c r="BH28" i="17" s="1"/>
  <c r="BI28" i="17" s="1"/>
  <c r="BJ28" i="17" s="1"/>
  <c r="BK28" i="17" s="1"/>
  <c r="BL28" i="17" s="1"/>
  <c r="BM28" i="17" s="1"/>
  <c r="BN28" i="17" s="1"/>
  <c r="BO28" i="17" s="1"/>
  <c r="BD26" i="17"/>
  <c r="BD27" i="17" s="1"/>
  <c r="BD31" i="17" l="1"/>
  <c r="BE32" i="17"/>
  <c r="BE26" i="17"/>
  <c r="BE27" i="17" s="1"/>
  <c r="BE31" i="17" s="1"/>
  <c r="BF26" i="17" l="1"/>
  <c r="BF27" i="17" s="1"/>
  <c r="BF31" i="17" s="1"/>
  <c r="BF32" i="17"/>
  <c r="BG32" i="17" l="1"/>
  <c r="BG26" i="17"/>
  <c r="BG27" i="17" s="1"/>
  <c r="BG31" i="17" s="1"/>
  <c r="BH26" i="17" l="1"/>
  <c r="BH27" i="17" s="1"/>
  <c r="BH31" i="17" s="1"/>
  <c r="BH32" i="17"/>
  <c r="BI32" i="17" l="1"/>
  <c r="BI26" i="17"/>
  <c r="BI27" i="17" s="1"/>
  <c r="BI31" i="17" s="1"/>
  <c r="BJ26" i="17" l="1"/>
  <c r="BJ27" i="17" s="1"/>
  <c r="BJ31" i="17" s="1"/>
  <c r="BJ32" i="17"/>
  <c r="BK32" i="17" l="1"/>
  <c r="BK26" i="17"/>
  <c r="BK27" i="17" s="1"/>
  <c r="BK31" i="17" s="1"/>
  <c r="BL26" i="17" l="1"/>
  <c r="BL27" i="17" s="1"/>
  <c r="BL31" i="17" s="1"/>
  <c r="BL32" i="17"/>
  <c r="BM32" i="17" l="1"/>
  <c r="BM26" i="17"/>
  <c r="BM27" i="17" s="1"/>
  <c r="BM31" i="17" s="1"/>
  <c r="BN26" i="17" l="1"/>
  <c r="BN27" i="17" s="1"/>
  <c r="BN31" i="17" s="1"/>
  <c r="BN32" i="17"/>
  <c r="BO32" i="17" l="1"/>
  <c r="BO26" i="17"/>
  <c r="BO27" i="17" s="1"/>
  <c r="BO31" i="17" s="1"/>
  <c r="BP32" i="17" l="1"/>
  <c r="BP29" i="17"/>
  <c r="BQ29" i="17" s="1"/>
  <c r="BR29" i="17" s="1"/>
  <c r="BS29" i="17" s="1"/>
  <c r="BT29" i="17" s="1"/>
  <c r="BU29" i="17" s="1"/>
  <c r="BV29" i="17" s="1"/>
  <c r="BW29" i="17" s="1"/>
  <c r="BX29" i="17" s="1"/>
  <c r="BY29" i="17" s="1"/>
  <c r="BZ29" i="17" s="1"/>
  <c r="CA29" i="17" s="1"/>
  <c r="BP28" i="17"/>
  <c r="BQ28" i="17" s="1"/>
  <c r="BR28" i="17" s="1"/>
  <c r="BS28" i="17" s="1"/>
  <c r="BT28" i="17" s="1"/>
  <c r="BU28" i="17" s="1"/>
  <c r="BV28" i="17" s="1"/>
  <c r="BW28" i="17" s="1"/>
  <c r="BX28" i="17" s="1"/>
  <c r="BY28" i="17" s="1"/>
  <c r="BZ28" i="17" s="1"/>
  <c r="CA28" i="17" s="1"/>
  <c r="BP26" i="17"/>
  <c r="BP27" i="17" s="1"/>
  <c r="BP31" i="17" l="1"/>
  <c r="BQ32" i="17"/>
  <c r="BQ26" i="17"/>
  <c r="BQ27" i="17" s="1"/>
  <c r="BQ31" i="17" s="1"/>
  <c r="BR26" i="17" l="1"/>
  <c r="BR27" i="17" s="1"/>
  <c r="BR31" i="17" s="1"/>
  <c r="BR32" i="17"/>
  <c r="BS32" i="17" l="1"/>
  <c r="BS26" i="17"/>
  <c r="BS27" i="17" s="1"/>
  <c r="BS31" i="17" s="1"/>
  <c r="BT26" i="17" l="1"/>
  <c r="BT27" i="17" s="1"/>
  <c r="BT31" i="17" s="1"/>
  <c r="BT32" i="17"/>
  <c r="BU32" i="17" l="1"/>
  <c r="BU26" i="17"/>
  <c r="BU27" i="17" s="1"/>
  <c r="BU31" i="17" s="1"/>
  <c r="BV26" i="17" l="1"/>
  <c r="BV27" i="17" s="1"/>
  <c r="BV31" i="17" s="1"/>
  <c r="BV32" i="17"/>
  <c r="BW32" i="17" l="1"/>
  <c r="BW26" i="17"/>
  <c r="BW27" i="17" s="1"/>
  <c r="BW31" i="17" s="1"/>
  <c r="BX26" i="17" l="1"/>
  <c r="BX27" i="17" s="1"/>
  <c r="BX31" i="17" s="1"/>
  <c r="BX32" i="17"/>
  <c r="BY32" i="17" l="1"/>
  <c r="BY26" i="17"/>
  <c r="BY27" i="17" s="1"/>
  <c r="BY31" i="17" s="1"/>
  <c r="BZ26" i="17" l="1"/>
  <c r="BZ27" i="17" s="1"/>
  <c r="BZ31" i="17" s="1"/>
  <c r="BZ32" i="17"/>
  <c r="CA32" i="17" l="1"/>
  <c r="CA26" i="17"/>
  <c r="CA27" i="17" s="1"/>
  <c r="CA31" i="17" s="1"/>
  <c r="CB32" i="17" l="1"/>
  <c r="CB28" i="17"/>
  <c r="CC28" i="17" s="1"/>
  <c r="CD28" i="17" s="1"/>
  <c r="CE28" i="17" s="1"/>
  <c r="CF28" i="17" s="1"/>
  <c r="CG28" i="17" s="1"/>
  <c r="CH28" i="17" s="1"/>
  <c r="CI28" i="17" s="1"/>
  <c r="CJ28" i="17" s="1"/>
  <c r="CK28" i="17" s="1"/>
  <c r="CL28" i="17" s="1"/>
  <c r="CM28" i="17" s="1"/>
  <c r="CB29" i="17"/>
  <c r="CC29" i="17" s="1"/>
  <c r="CD29" i="17" s="1"/>
  <c r="CE29" i="17" s="1"/>
  <c r="CF29" i="17" s="1"/>
  <c r="CG29" i="17" s="1"/>
  <c r="CH29" i="17" s="1"/>
  <c r="CI29" i="17" s="1"/>
  <c r="CJ29" i="17" s="1"/>
  <c r="CK29" i="17" s="1"/>
  <c r="CL29" i="17" s="1"/>
  <c r="CM29" i="17" s="1"/>
  <c r="CB26" i="17"/>
  <c r="CB27" i="17" s="1"/>
  <c r="CB31" i="17" l="1"/>
  <c r="CC32" i="17"/>
  <c r="CC26" i="17"/>
  <c r="CC27" i="17" s="1"/>
  <c r="CC31" i="17" s="1"/>
  <c r="CD26" i="17" l="1"/>
  <c r="CD27" i="17" s="1"/>
  <c r="CD31" i="17" s="1"/>
  <c r="CD32" i="17"/>
  <c r="CE32" i="17" l="1"/>
  <c r="CE26" i="17"/>
  <c r="CE27" i="17" s="1"/>
  <c r="CE31" i="17" s="1"/>
  <c r="CF26" i="17" l="1"/>
  <c r="CF27" i="17" s="1"/>
  <c r="CF31" i="17" s="1"/>
  <c r="CF32" i="17"/>
  <c r="CG32" i="17" l="1"/>
  <c r="CG26" i="17"/>
  <c r="CG27" i="17" s="1"/>
  <c r="CG31" i="17" s="1"/>
  <c r="CH26" i="17" l="1"/>
  <c r="CH27" i="17" s="1"/>
  <c r="CH31" i="17" s="1"/>
  <c r="CH32" i="17"/>
  <c r="CI32" i="17" l="1"/>
  <c r="CI26" i="17"/>
  <c r="CI27" i="17" s="1"/>
  <c r="CI31" i="17" s="1"/>
  <c r="CJ26" i="17" l="1"/>
  <c r="CJ27" i="17" s="1"/>
  <c r="CJ31" i="17" s="1"/>
  <c r="CJ32" i="17"/>
  <c r="CK32" i="17" l="1"/>
  <c r="CK26" i="17"/>
  <c r="CK27" i="17" s="1"/>
  <c r="CK31" i="17" s="1"/>
  <c r="CL26" i="17" l="1"/>
  <c r="CL27" i="17" s="1"/>
  <c r="CL31" i="17" s="1"/>
  <c r="CL32" i="17"/>
  <c r="CM32" i="17" l="1"/>
  <c r="CM26" i="17"/>
  <c r="CM27" i="17" s="1"/>
  <c r="CM31" i="17" s="1"/>
  <c r="CN32" i="17" l="1"/>
  <c r="CN28" i="17"/>
  <c r="CO28" i="17" s="1"/>
  <c r="CP28" i="17" s="1"/>
  <c r="CQ28" i="17" s="1"/>
  <c r="CR28" i="17" s="1"/>
  <c r="CS28" i="17" s="1"/>
  <c r="CT28" i="17" s="1"/>
  <c r="CU28" i="17" s="1"/>
  <c r="CV28" i="17" s="1"/>
  <c r="CW28" i="17" s="1"/>
  <c r="CX28" i="17" s="1"/>
  <c r="CY28" i="17" s="1"/>
  <c r="CN29" i="17"/>
  <c r="CO29" i="17" s="1"/>
  <c r="CP29" i="17" s="1"/>
  <c r="CQ29" i="17" s="1"/>
  <c r="CR29" i="17" s="1"/>
  <c r="CS29" i="17" s="1"/>
  <c r="CT29" i="17" s="1"/>
  <c r="CU29" i="17" s="1"/>
  <c r="CV29" i="17" s="1"/>
  <c r="CW29" i="17" s="1"/>
  <c r="CX29" i="17" s="1"/>
  <c r="CY29" i="17" s="1"/>
  <c r="CN26" i="17"/>
  <c r="CN27" i="17" s="1"/>
  <c r="CN31" i="17" l="1"/>
  <c r="CO32" i="17"/>
  <c r="CO26" i="17"/>
  <c r="CO27" i="17" s="1"/>
  <c r="CO31" i="17" s="1"/>
  <c r="CP26" i="17" l="1"/>
  <c r="CP27" i="17" s="1"/>
  <c r="CP31" i="17" s="1"/>
  <c r="CP32" i="17"/>
  <c r="CQ32" i="17" l="1"/>
  <c r="CQ26" i="17"/>
  <c r="CQ27" i="17" s="1"/>
  <c r="CQ31" i="17" s="1"/>
  <c r="CR26" i="17" l="1"/>
  <c r="CR27" i="17" s="1"/>
  <c r="CR31" i="17" s="1"/>
  <c r="CR32" i="17"/>
  <c r="CS32" i="17" l="1"/>
  <c r="CS26" i="17"/>
  <c r="CS27" i="17" s="1"/>
  <c r="CS31" i="17" s="1"/>
  <c r="CT26" i="17" l="1"/>
  <c r="CT27" i="17" s="1"/>
  <c r="CT31" i="17" s="1"/>
  <c r="CT32" i="17"/>
  <c r="CU32" i="17" l="1"/>
  <c r="CU26" i="17"/>
  <c r="CU27" i="17" s="1"/>
  <c r="CU31" i="17" s="1"/>
  <c r="CV26" i="17" l="1"/>
  <c r="CV27" i="17" s="1"/>
  <c r="CV31" i="17" s="1"/>
  <c r="CV32" i="17"/>
  <c r="CW32" i="17" l="1"/>
  <c r="CW26" i="17"/>
  <c r="CW27" i="17" s="1"/>
  <c r="CW31" i="17" s="1"/>
  <c r="CX26" i="17" l="1"/>
  <c r="CX27" i="17" s="1"/>
  <c r="CX31" i="17" s="1"/>
  <c r="CX32" i="17"/>
  <c r="CY32" i="17" l="1"/>
  <c r="CY26" i="17"/>
  <c r="CY27" i="17" s="1"/>
  <c r="CY31" i="17" s="1"/>
  <c r="CZ32" i="17" l="1"/>
  <c r="CZ29" i="17"/>
  <c r="DA29" i="17" s="1"/>
  <c r="DB29" i="17" s="1"/>
  <c r="DC29" i="17" s="1"/>
  <c r="DD29" i="17" s="1"/>
  <c r="DE29" i="17" s="1"/>
  <c r="DF29" i="17" s="1"/>
  <c r="DG29" i="17" s="1"/>
  <c r="DH29" i="17" s="1"/>
  <c r="DI29" i="17" s="1"/>
  <c r="DJ29" i="17" s="1"/>
  <c r="DK29" i="17" s="1"/>
  <c r="CZ28" i="17"/>
  <c r="DA28" i="17" s="1"/>
  <c r="DB28" i="17" s="1"/>
  <c r="DC28" i="17" s="1"/>
  <c r="DD28" i="17" s="1"/>
  <c r="DE28" i="17" s="1"/>
  <c r="DF28" i="17" s="1"/>
  <c r="DG28" i="17" s="1"/>
  <c r="DH28" i="17" s="1"/>
  <c r="DI28" i="17" s="1"/>
  <c r="DJ28" i="17" s="1"/>
  <c r="DK28" i="17" s="1"/>
  <c r="CZ26" i="17"/>
  <c r="CZ27" i="17" s="1"/>
  <c r="CZ31" i="17" l="1"/>
  <c r="DA32" i="17"/>
  <c r="DA26" i="17"/>
  <c r="DA27" i="17" s="1"/>
  <c r="DA31" i="17" s="1"/>
  <c r="DB26" i="17" l="1"/>
  <c r="DB27" i="17" s="1"/>
  <c r="DB31" i="17" s="1"/>
  <c r="DB32" i="17"/>
  <c r="DC32" i="17" l="1"/>
  <c r="DC26" i="17"/>
  <c r="DC27" i="17" s="1"/>
  <c r="DC31" i="17" s="1"/>
  <c r="DD26" i="17" l="1"/>
  <c r="DD27" i="17" s="1"/>
  <c r="DD31" i="17" s="1"/>
  <c r="DD32" i="17"/>
  <c r="DE32" i="17" l="1"/>
  <c r="DE26" i="17"/>
  <c r="DE27" i="17" s="1"/>
  <c r="DE31" i="17" s="1"/>
  <c r="DF26" i="17" l="1"/>
  <c r="DF27" i="17" s="1"/>
  <c r="DF31" i="17" s="1"/>
  <c r="DF32" i="17"/>
  <c r="DG32" i="17" l="1"/>
  <c r="DG26" i="17"/>
  <c r="DG27" i="17" s="1"/>
  <c r="DG31" i="17" s="1"/>
  <c r="DH26" i="17" l="1"/>
  <c r="DH27" i="17" s="1"/>
  <c r="DH31" i="17" s="1"/>
  <c r="DH32" i="17"/>
  <c r="DI32" i="17" l="1"/>
  <c r="DI26" i="17"/>
  <c r="DI27" i="17" s="1"/>
  <c r="DI31" i="17" s="1"/>
  <c r="DJ26" i="17" l="1"/>
  <c r="DJ27" i="17" s="1"/>
  <c r="DJ31" i="17" s="1"/>
  <c r="DJ32" i="17"/>
  <c r="DK32" i="17" l="1"/>
  <c r="DK26" i="17"/>
  <c r="DK27" i="17" s="1"/>
  <c r="DK31" i="17" s="1"/>
  <c r="DL32" i="17" l="1"/>
  <c r="DL28" i="17"/>
  <c r="DM28" i="17" s="1"/>
  <c r="DN28" i="17" s="1"/>
  <c r="DO28" i="17" s="1"/>
  <c r="DP28" i="17" s="1"/>
  <c r="DQ28" i="17" s="1"/>
  <c r="DR28" i="17" s="1"/>
  <c r="DS28" i="17" s="1"/>
  <c r="DT28" i="17" s="1"/>
  <c r="DU28" i="17" s="1"/>
  <c r="DV28" i="17" s="1"/>
  <c r="DW28" i="17" s="1"/>
  <c r="DL26" i="17"/>
  <c r="DL27" i="17" s="1"/>
  <c r="DL29" i="17"/>
  <c r="DM29" i="17" s="1"/>
  <c r="DN29" i="17" s="1"/>
  <c r="DO29" i="17" s="1"/>
  <c r="DP29" i="17" s="1"/>
  <c r="DQ29" i="17" s="1"/>
  <c r="DR29" i="17" s="1"/>
  <c r="DS29" i="17" s="1"/>
  <c r="DT29" i="17" s="1"/>
  <c r="DU29" i="17" s="1"/>
  <c r="DV29" i="17" s="1"/>
  <c r="DW29" i="17" s="1"/>
  <c r="DL31" i="17" l="1"/>
  <c r="DM26" i="17"/>
  <c r="DM27" i="17" s="1"/>
  <c r="DM31" i="17" s="1"/>
  <c r="DM32" i="17"/>
  <c r="DN32" i="17" l="1"/>
  <c r="DN26" i="17"/>
  <c r="DN27" i="17" s="1"/>
  <c r="DN31" i="17" s="1"/>
  <c r="DO26" i="17" l="1"/>
  <c r="DO27" i="17" s="1"/>
  <c r="DO31" i="17" s="1"/>
  <c r="DO32" i="17"/>
  <c r="DP26" i="17" l="1"/>
  <c r="DP27" i="17" s="1"/>
  <c r="DP31" i="17" s="1"/>
  <c r="DP32" i="17"/>
  <c r="DQ26" i="17" l="1"/>
  <c r="DQ27" i="17" s="1"/>
  <c r="DQ31" i="17" s="1"/>
  <c r="DQ32" i="17"/>
  <c r="DR32" i="17" l="1"/>
  <c r="DR26" i="17"/>
  <c r="DR27" i="17" s="1"/>
  <c r="DR31" i="17" s="1"/>
  <c r="DS26" i="17" l="1"/>
  <c r="DS27" i="17" s="1"/>
  <c r="DS31" i="17" s="1"/>
  <c r="DS32" i="17"/>
  <c r="DT32" i="17" l="1"/>
  <c r="DT26" i="17"/>
  <c r="DT27" i="17" s="1"/>
  <c r="DT31" i="17" s="1"/>
  <c r="DU26" i="17" l="1"/>
  <c r="DU27" i="17" s="1"/>
  <c r="DU31" i="17" s="1"/>
  <c r="DU32" i="17"/>
  <c r="DV32" i="17" l="1"/>
  <c r="DV26" i="17"/>
  <c r="DV27" i="17" s="1"/>
  <c r="DV31" i="17" s="1"/>
  <c r="DW32" i="17" l="1"/>
  <c r="DW26" i="17"/>
  <c r="DW27" i="17" s="1"/>
  <c r="DW31" i="17" s="1"/>
  <c r="DX32" i="17" l="1"/>
  <c r="DX26" i="17"/>
  <c r="DX27" i="17" s="1"/>
  <c r="DX29" i="17"/>
  <c r="DY29" i="17" s="1"/>
  <c r="DZ29" i="17" s="1"/>
  <c r="EA29" i="17" s="1"/>
  <c r="EB29" i="17" s="1"/>
  <c r="EC29" i="17" s="1"/>
  <c r="ED29" i="17" s="1"/>
  <c r="EE29" i="17" s="1"/>
  <c r="EF29" i="17" s="1"/>
  <c r="EG29" i="17" s="1"/>
  <c r="EH29" i="17" s="1"/>
  <c r="EI29" i="17" s="1"/>
  <c r="DX28" i="17"/>
  <c r="DY28" i="17" s="1"/>
  <c r="DZ28" i="17" s="1"/>
  <c r="EA28" i="17" s="1"/>
  <c r="EB28" i="17" s="1"/>
  <c r="EC28" i="17" s="1"/>
  <c r="ED28" i="17" s="1"/>
  <c r="EE28" i="17" s="1"/>
  <c r="EF28" i="17" s="1"/>
  <c r="EG28" i="17" s="1"/>
  <c r="EH28" i="17" s="1"/>
  <c r="EI28" i="17" s="1"/>
  <c r="DX31" i="17" l="1"/>
  <c r="DY26" i="17"/>
  <c r="DY27" i="17" s="1"/>
  <c r="DY31" i="17" s="1"/>
  <c r="DY32" i="17"/>
  <c r="DZ32" i="17" l="1"/>
  <c r="DZ26" i="17"/>
  <c r="DZ27" i="17" s="1"/>
  <c r="DZ31" i="17" s="1"/>
  <c r="EA26" i="17" l="1"/>
  <c r="EA27" i="17" s="1"/>
  <c r="EA31" i="17" s="1"/>
  <c r="EA32" i="17"/>
  <c r="EB26" i="17" l="1"/>
  <c r="EB27" i="17" s="1"/>
  <c r="EB31" i="17" s="1"/>
  <c r="EB32" i="17"/>
  <c r="EC26" i="17" l="1"/>
  <c r="EC27" i="17" s="1"/>
  <c r="EC31" i="17" s="1"/>
  <c r="EC32" i="17"/>
  <c r="ED32" i="17" l="1"/>
  <c r="ED26" i="17"/>
  <c r="ED27" i="17" s="1"/>
  <c r="ED31" i="17" s="1"/>
  <c r="EE26" i="17" l="1"/>
  <c r="EE27" i="17" s="1"/>
  <c r="EE31" i="17" s="1"/>
  <c r="EE32" i="17"/>
  <c r="EF32" i="17" l="1"/>
  <c r="EF26" i="17"/>
  <c r="EF27" i="17" s="1"/>
  <c r="EF31" i="17" s="1"/>
  <c r="EG32" i="17" l="1"/>
  <c r="EG26" i="17"/>
  <c r="EG27" i="17" s="1"/>
  <c r="EG31" i="17" s="1"/>
  <c r="EH32" i="17" l="1"/>
  <c r="EH26" i="17"/>
  <c r="EH27" i="17" s="1"/>
  <c r="EH31" i="17" s="1"/>
  <c r="EI32" i="17" l="1"/>
  <c r="EI26" i="17"/>
  <c r="EI27" i="17" s="1"/>
  <c r="EI31" i="17" s="1"/>
  <c r="EJ26" i="17" l="1"/>
  <c r="EJ27" i="17" s="1"/>
  <c r="EJ32" i="17"/>
  <c r="EJ29" i="17"/>
  <c r="EK29" i="17" s="1"/>
  <c r="EL29" i="17" s="1"/>
  <c r="EM29" i="17" s="1"/>
  <c r="EN29" i="17" s="1"/>
  <c r="EO29" i="17" s="1"/>
  <c r="EP29" i="17" s="1"/>
  <c r="EQ29" i="17" s="1"/>
  <c r="ER29" i="17" s="1"/>
  <c r="ES29" i="17" s="1"/>
  <c r="ET29" i="17" s="1"/>
  <c r="EU29" i="17" s="1"/>
  <c r="EJ28" i="17"/>
  <c r="EK28" i="17" s="1"/>
  <c r="EL28" i="17" s="1"/>
  <c r="EM28" i="17" s="1"/>
  <c r="EN28" i="17" s="1"/>
  <c r="EO28" i="17" s="1"/>
  <c r="EP28" i="17" s="1"/>
  <c r="EQ28" i="17" s="1"/>
  <c r="ER28" i="17" s="1"/>
  <c r="ES28" i="17" s="1"/>
  <c r="ET28" i="17" s="1"/>
  <c r="EU28" i="17" s="1"/>
  <c r="EK32" i="17" l="1"/>
  <c r="EK26" i="17"/>
  <c r="EK27" i="17" s="1"/>
  <c r="EK31" i="17" s="1"/>
  <c r="EJ31" i="17"/>
  <c r="EL32" i="17" l="1"/>
  <c r="EL26" i="17"/>
  <c r="EL27" i="17" s="1"/>
  <c r="EL31" i="17" s="1"/>
  <c r="EM32" i="17" l="1"/>
  <c r="EM26" i="17"/>
  <c r="EM27" i="17" s="1"/>
  <c r="EM31" i="17" s="1"/>
  <c r="EN32" i="17" l="1"/>
  <c r="EN26" i="17"/>
  <c r="EN27" i="17" s="1"/>
  <c r="EN31" i="17" s="1"/>
  <c r="EO32" i="17" l="1"/>
  <c r="EO26" i="17"/>
  <c r="EO27" i="17" s="1"/>
  <c r="EO31" i="17" s="1"/>
  <c r="EP32" i="17" l="1"/>
  <c r="EP26" i="17"/>
  <c r="EP27" i="17" s="1"/>
  <c r="EP31" i="17" s="1"/>
  <c r="EQ32" i="17" l="1"/>
  <c r="EQ26" i="17"/>
  <c r="EQ27" i="17" s="1"/>
  <c r="EQ31" i="17" s="1"/>
  <c r="ER32" i="17" l="1"/>
  <c r="ER26" i="17"/>
  <c r="ER27" i="17" s="1"/>
  <c r="ER31" i="17" s="1"/>
  <c r="ES32" i="17" l="1"/>
  <c r="ES26" i="17"/>
  <c r="ES27" i="17" s="1"/>
  <c r="ES31" i="17" s="1"/>
  <c r="ET26" i="17" l="1"/>
  <c r="ET27" i="17" s="1"/>
  <c r="ET31" i="17" s="1"/>
  <c r="ET32" i="17"/>
  <c r="EU32" i="17" l="1"/>
  <c r="EU26" i="17"/>
  <c r="EU27" i="17" s="1"/>
  <c r="EU31" i="17" s="1"/>
  <c r="EV26" i="17" l="1"/>
  <c r="EV27" i="17" s="1"/>
  <c r="EV32" i="17"/>
  <c r="EV29" i="17"/>
  <c r="EW29" i="17" s="1"/>
  <c r="EX29" i="17" s="1"/>
  <c r="EY29" i="17" s="1"/>
  <c r="EZ29" i="17" s="1"/>
  <c r="FA29" i="17" s="1"/>
  <c r="FB29" i="17" s="1"/>
  <c r="FC29" i="17" s="1"/>
  <c r="FD29" i="17" s="1"/>
  <c r="FE29" i="17" s="1"/>
  <c r="FF29" i="17" s="1"/>
  <c r="FG29" i="17" s="1"/>
  <c r="EV28" i="17"/>
  <c r="EW28" i="17" s="1"/>
  <c r="EX28" i="17" s="1"/>
  <c r="EY28" i="17" s="1"/>
  <c r="EZ28" i="17" s="1"/>
  <c r="FA28" i="17" s="1"/>
  <c r="FB28" i="17" s="1"/>
  <c r="FC28" i="17" s="1"/>
  <c r="FD28" i="17" s="1"/>
  <c r="FE28" i="17" s="1"/>
  <c r="FF28" i="17" s="1"/>
  <c r="FG28" i="17" s="1"/>
  <c r="EW32" i="17" l="1"/>
  <c r="EW26" i="17"/>
  <c r="EW27" i="17" s="1"/>
  <c r="EW31" i="17" s="1"/>
  <c r="EV31" i="17"/>
  <c r="EX26" i="17" l="1"/>
  <c r="EX27" i="17" s="1"/>
  <c r="EX31" i="17" s="1"/>
  <c r="EX32" i="17"/>
  <c r="EY32" i="17" l="1"/>
  <c r="EY26" i="17"/>
  <c r="EY27" i="17" s="1"/>
  <c r="EY31" i="17" s="1"/>
  <c r="EZ26" i="17" l="1"/>
  <c r="EZ27" i="17" s="1"/>
  <c r="EZ31" i="17" s="1"/>
  <c r="EZ32" i="17"/>
  <c r="FA32" i="17" l="1"/>
  <c r="FA26" i="17"/>
  <c r="FA27" i="17" s="1"/>
  <c r="FA31" i="17" s="1"/>
  <c r="FB26" i="17" l="1"/>
  <c r="FB27" i="17" s="1"/>
  <c r="FB31" i="17" s="1"/>
  <c r="FB32" i="17"/>
  <c r="FC32" i="17" l="1"/>
  <c r="FC26" i="17"/>
  <c r="FC27" i="17" s="1"/>
  <c r="FC31" i="17" s="1"/>
  <c r="FD26" i="17" l="1"/>
  <c r="FD27" i="17" s="1"/>
  <c r="FD31" i="17" s="1"/>
  <c r="FD32" i="17"/>
  <c r="FE32" i="17" l="1"/>
  <c r="FE26" i="17"/>
  <c r="FE27" i="17" s="1"/>
  <c r="FE31" i="17" s="1"/>
  <c r="FF26" i="17" l="1"/>
  <c r="FF27" i="17" s="1"/>
  <c r="FF31" i="17" s="1"/>
  <c r="FF32" i="17"/>
  <c r="FG32" i="17" l="1"/>
  <c r="FG26" i="17"/>
  <c r="FG27" i="17" s="1"/>
  <c r="FG31" i="17" s="1"/>
  <c r="FH29" i="17" l="1"/>
  <c r="FI29" i="17" s="1"/>
  <c r="FJ29" i="17" s="1"/>
  <c r="FK29" i="17" s="1"/>
  <c r="FL29" i="17" s="1"/>
  <c r="FM29" i="17" s="1"/>
  <c r="FN29" i="17" s="1"/>
  <c r="FO29" i="17" s="1"/>
  <c r="FP29" i="17" s="1"/>
  <c r="FQ29" i="17" s="1"/>
  <c r="FR29" i="17" s="1"/>
  <c r="FS29" i="17" s="1"/>
  <c r="FH26" i="17"/>
  <c r="FH27" i="17" s="1"/>
  <c r="FH28" i="17"/>
  <c r="FI28" i="17" s="1"/>
  <c r="FJ28" i="17" s="1"/>
  <c r="FK28" i="17" s="1"/>
  <c r="FL28" i="17" s="1"/>
  <c r="FM28" i="17" s="1"/>
  <c r="FN28" i="17" s="1"/>
  <c r="FO28" i="17" s="1"/>
  <c r="FP28" i="17" s="1"/>
  <c r="FQ28" i="17" s="1"/>
  <c r="FR28" i="17" s="1"/>
  <c r="FS28" i="17" s="1"/>
  <c r="FH32" i="17"/>
  <c r="FI32" i="17" l="1"/>
  <c r="FI26" i="17"/>
  <c r="FI27" i="17" s="1"/>
  <c r="FI31" i="17" s="1"/>
  <c r="FH31" i="17"/>
  <c r="FJ26" i="17" l="1"/>
  <c r="FJ27" i="17" s="1"/>
  <c r="FJ31" i="17" s="1"/>
  <c r="FJ32" i="17"/>
  <c r="FK32" i="17" l="1"/>
  <c r="FK26" i="17"/>
  <c r="FK27" i="17" s="1"/>
  <c r="FK31" i="17" s="1"/>
  <c r="FL26" i="17" l="1"/>
  <c r="FL27" i="17" s="1"/>
  <c r="FL31" i="17" s="1"/>
  <c r="FL32" i="17"/>
  <c r="FM32" i="17" l="1"/>
  <c r="FM26" i="17"/>
  <c r="FM27" i="17" s="1"/>
  <c r="FM31" i="17" s="1"/>
  <c r="FN26" i="17" l="1"/>
  <c r="FN27" i="17" s="1"/>
  <c r="FN31" i="17" s="1"/>
  <c r="FN32" i="17"/>
  <c r="FO32" i="17" l="1"/>
  <c r="FO26" i="17"/>
  <c r="FO27" i="17" s="1"/>
  <c r="FO31" i="17" s="1"/>
  <c r="FP26" i="17" l="1"/>
  <c r="FP27" i="17" s="1"/>
  <c r="FP31" i="17" s="1"/>
  <c r="FP32" i="17"/>
  <c r="FQ32" i="17" l="1"/>
  <c r="FQ26" i="17"/>
  <c r="FQ27" i="17" s="1"/>
  <c r="FQ31" i="17" s="1"/>
  <c r="FR26" i="17" l="1"/>
  <c r="FR27" i="17" s="1"/>
  <c r="FR31" i="17" s="1"/>
  <c r="FR32" i="17"/>
  <c r="FS32" i="17" l="1"/>
  <c r="FS26" i="17"/>
  <c r="FS27" i="17" s="1"/>
  <c r="FS31" i="17" s="1"/>
  <c r="FT26" i="17" l="1"/>
  <c r="FT27" i="17" s="1"/>
  <c r="FT32" i="17"/>
  <c r="FT29" i="17"/>
  <c r="FU29" i="17" s="1"/>
  <c r="FV29" i="17" s="1"/>
  <c r="FW29" i="17" s="1"/>
  <c r="FX29" i="17" s="1"/>
  <c r="FY29" i="17" s="1"/>
  <c r="FZ29" i="17" s="1"/>
  <c r="GA29" i="17" s="1"/>
  <c r="GB29" i="17" s="1"/>
  <c r="GC29" i="17" s="1"/>
  <c r="GD29" i="17" s="1"/>
  <c r="GE29" i="17" s="1"/>
  <c r="FT28" i="17"/>
  <c r="FU28" i="17" s="1"/>
  <c r="FV28" i="17" s="1"/>
  <c r="FW28" i="17" s="1"/>
  <c r="FX28" i="17" s="1"/>
  <c r="FY28" i="17" s="1"/>
  <c r="FZ28" i="17" s="1"/>
  <c r="GA28" i="17" s="1"/>
  <c r="GB28" i="17" s="1"/>
  <c r="GC28" i="17" s="1"/>
  <c r="GD28" i="17" s="1"/>
  <c r="GE28" i="17" s="1"/>
  <c r="FU32" i="17" l="1"/>
  <c r="FU26" i="17"/>
  <c r="FU27" i="17" s="1"/>
  <c r="FU31" i="17" s="1"/>
  <c r="FT31" i="17"/>
  <c r="FV26" i="17" l="1"/>
  <c r="FV27" i="17" s="1"/>
  <c r="FV31" i="17" s="1"/>
  <c r="FV32" i="17"/>
  <c r="FW32" i="17" l="1"/>
  <c r="FW26" i="17"/>
  <c r="FW27" i="17" s="1"/>
  <c r="FW31" i="17" s="1"/>
  <c r="FX26" i="17" l="1"/>
  <c r="FX27" i="17" s="1"/>
  <c r="FX31" i="17" s="1"/>
  <c r="FX32" i="17"/>
  <c r="FY32" i="17" l="1"/>
  <c r="FY26" i="17"/>
  <c r="FY27" i="17" s="1"/>
  <c r="FY31" i="17" s="1"/>
  <c r="FZ26" i="17" l="1"/>
  <c r="FZ27" i="17" s="1"/>
  <c r="FZ31" i="17" s="1"/>
  <c r="FZ32" i="17"/>
  <c r="GA32" i="17" l="1"/>
  <c r="GA26" i="17"/>
  <c r="GA27" i="17" s="1"/>
  <c r="GA31" i="17" s="1"/>
  <c r="GB26" i="17" l="1"/>
  <c r="GB27" i="17" s="1"/>
  <c r="GB31" i="17" s="1"/>
  <c r="GB32" i="17"/>
  <c r="GC32" i="17" l="1"/>
  <c r="GC26" i="17"/>
  <c r="GC27" i="17" s="1"/>
  <c r="GC31" i="17" s="1"/>
  <c r="GD26" i="17" l="1"/>
  <c r="GD27" i="17" s="1"/>
  <c r="GD31" i="17" s="1"/>
  <c r="GD32" i="17"/>
  <c r="GE32" i="17" l="1"/>
  <c r="GE26" i="17"/>
  <c r="GE27" i="17" s="1"/>
  <c r="GE31" i="17" s="1"/>
  <c r="GF26" i="17" l="1"/>
  <c r="GF27" i="17" s="1"/>
  <c r="GF32" i="17"/>
  <c r="GF28" i="17"/>
  <c r="GG28" i="17" s="1"/>
  <c r="GH28" i="17" s="1"/>
  <c r="GI28" i="17" s="1"/>
  <c r="GJ28" i="17" s="1"/>
  <c r="GK28" i="17" s="1"/>
  <c r="GL28" i="17" s="1"/>
  <c r="GM28" i="17" s="1"/>
  <c r="GN28" i="17" s="1"/>
  <c r="GO28" i="17" s="1"/>
  <c r="GP28" i="17" s="1"/>
  <c r="GQ28" i="17" s="1"/>
  <c r="GF29" i="17"/>
  <c r="GG29" i="17" s="1"/>
  <c r="GH29" i="17" s="1"/>
  <c r="GI29" i="17" s="1"/>
  <c r="GJ29" i="17" s="1"/>
  <c r="GK29" i="17" s="1"/>
  <c r="GL29" i="17" s="1"/>
  <c r="GM29" i="17" s="1"/>
  <c r="GN29" i="17" s="1"/>
  <c r="GO29" i="17" s="1"/>
  <c r="GP29" i="17" s="1"/>
  <c r="GQ29" i="17" s="1"/>
  <c r="GG32" i="17" l="1"/>
  <c r="GG26" i="17"/>
  <c r="GG27" i="17" s="1"/>
  <c r="GG31" i="17" s="1"/>
  <c r="GF31" i="17"/>
  <c r="GH26" i="17" l="1"/>
  <c r="GH27" i="17" s="1"/>
  <c r="GH31" i="17" s="1"/>
  <c r="GH32" i="17"/>
  <c r="GI32" i="17" l="1"/>
  <c r="GI26" i="17"/>
  <c r="GI27" i="17" s="1"/>
  <c r="GI31" i="17" s="1"/>
  <c r="GJ26" i="17" l="1"/>
  <c r="GJ27" i="17" s="1"/>
  <c r="GJ31" i="17" s="1"/>
  <c r="GJ32" i="17"/>
  <c r="GK32" i="17" l="1"/>
  <c r="GK26" i="17"/>
  <c r="GK27" i="17" s="1"/>
  <c r="GK31" i="17" s="1"/>
  <c r="GL26" i="17" l="1"/>
  <c r="GL27" i="17" s="1"/>
  <c r="GL31" i="17" s="1"/>
  <c r="GL32" i="17"/>
  <c r="GM32" i="17" l="1"/>
  <c r="GM26" i="17"/>
  <c r="GM27" i="17" s="1"/>
  <c r="GM31" i="17" s="1"/>
  <c r="GN26" i="17" l="1"/>
  <c r="GN27" i="17" s="1"/>
  <c r="GN31" i="17" s="1"/>
  <c r="GN32" i="17"/>
  <c r="GO32" i="17" l="1"/>
  <c r="GO26" i="17"/>
  <c r="GO27" i="17" s="1"/>
  <c r="GO31" i="17" s="1"/>
  <c r="GP26" i="17" l="1"/>
  <c r="GP27" i="17" s="1"/>
  <c r="GP31" i="17" s="1"/>
  <c r="GP32" i="17"/>
  <c r="GQ32" i="17" l="1"/>
  <c r="GQ26" i="17"/>
  <c r="GQ27" i="17" s="1"/>
  <c r="GQ31" i="17" s="1"/>
  <c r="GR29" i="17" l="1"/>
  <c r="GS29" i="17" s="1"/>
  <c r="GT29" i="17" s="1"/>
  <c r="GU29" i="17" s="1"/>
  <c r="GV29" i="17" s="1"/>
  <c r="GW29" i="17" s="1"/>
  <c r="GX29" i="17" s="1"/>
  <c r="GY29" i="17" s="1"/>
  <c r="GZ29" i="17" s="1"/>
  <c r="HA29" i="17" s="1"/>
  <c r="HB29" i="17" s="1"/>
  <c r="HC29" i="17" s="1"/>
  <c r="GR26" i="17"/>
  <c r="GR27" i="17" s="1"/>
  <c r="GR28" i="17"/>
  <c r="GS28" i="17" s="1"/>
  <c r="GT28" i="17" s="1"/>
  <c r="GU28" i="17" s="1"/>
  <c r="GV28" i="17" s="1"/>
  <c r="GW28" i="17" s="1"/>
  <c r="GX28" i="17" s="1"/>
  <c r="GY28" i="17" s="1"/>
  <c r="GZ28" i="17" s="1"/>
  <c r="HA28" i="17" s="1"/>
  <c r="HB28" i="17" s="1"/>
  <c r="HC28" i="17" s="1"/>
  <c r="GR32" i="17"/>
  <c r="GS32" i="17" l="1"/>
  <c r="GS26" i="17"/>
  <c r="GS27" i="17" s="1"/>
  <c r="GS31" i="17" s="1"/>
  <c r="GR31" i="17"/>
  <c r="GT26" i="17" l="1"/>
  <c r="GT27" i="17" s="1"/>
  <c r="GT31" i="17" s="1"/>
  <c r="GT32" i="17"/>
  <c r="GU32" i="17" l="1"/>
  <c r="GU26" i="17"/>
  <c r="GU27" i="17" s="1"/>
  <c r="GU31" i="17" s="1"/>
  <c r="GV26" i="17" l="1"/>
  <c r="GV27" i="17" s="1"/>
  <c r="GV31" i="17" s="1"/>
  <c r="GV32" i="17"/>
  <c r="GW32" i="17" l="1"/>
  <c r="GW26" i="17"/>
  <c r="GW27" i="17" s="1"/>
  <c r="GW31" i="17" s="1"/>
  <c r="GX26" i="17" l="1"/>
  <c r="GX27" i="17" s="1"/>
  <c r="GX31" i="17" s="1"/>
  <c r="GX32" i="17"/>
  <c r="GY32" i="17" l="1"/>
  <c r="GY26" i="17"/>
  <c r="GY27" i="17" s="1"/>
  <c r="GY31" i="17" s="1"/>
  <c r="GZ26" i="17" l="1"/>
  <c r="GZ27" i="17" s="1"/>
  <c r="GZ31" i="17" s="1"/>
  <c r="GZ32" i="17"/>
  <c r="HA32" i="17" l="1"/>
  <c r="HA26" i="17"/>
  <c r="HA27" i="17" s="1"/>
  <c r="HA31" i="17" s="1"/>
  <c r="HB26" i="17" l="1"/>
  <c r="HB27" i="17" s="1"/>
  <c r="HB31" i="17" s="1"/>
  <c r="HB32" i="17"/>
  <c r="HC32" i="17" l="1"/>
  <c r="HC26" i="17"/>
  <c r="HC27" i="17" s="1"/>
  <c r="HC31" i="17" s="1"/>
  <c r="HD26" i="17" l="1"/>
  <c r="HD27" i="17" s="1"/>
  <c r="HD32" i="17"/>
  <c r="HD28" i="17"/>
  <c r="HE28" i="17" s="1"/>
  <c r="HF28" i="17" s="1"/>
  <c r="HG28" i="17" s="1"/>
  <c r="HH28" i="17" s="1"/>
  <c r="HI28" i="17" s="1"/>
  <c r="HJ28" i="17" s="1"/>
  <c r="HK28" i="17" s="1"/>
  <c r="HL28" i="17" s="1"/>
  <c r="HM28" i="17" s="1"/>
  <c r="HN28" i="17" s="1"/>
  <c r="HO28" i="17" s="1"/>
  <c r="HD29" i="17"/>
  <c r="HE29" i="17" s="1"/>
  <c r="HF29" i="17" s="1"/>
  <c r="HG29" i="17" s="1"/>
  <c r="HH29" i="17" s="1"/>
  <c r="HI29" i="17" s="1"/>
  <c r="HJ29" i="17" s="1"/>
  <c r="HK29" i="17" s="1"/>
  <c r="HL29" i="17" s="1"/>
  <c r="HM29" i="17" s="1"/>
  <c r="HN29" i="17" s="1"/>
  <c r="HO29" i="17" s="1"/>
  <c r="HE32" i="17" l="1"/>
  <c r="HE26" i="17"/>
  <c r="HE27" i="17" s="1"/>
  <c r="HE31" i="17" s="1"/>
  <c r="HD31" i="17"/>
  <c r="HF26" i="17" l="1"/>
  <c r="HF27" i="17" s="1"/>
  <c r="HF31" i="17" s="1"/>
  <c r="HF32" i="17"/>
  <c r="HG32" i="17" l="1"/>
  <c r="HG26" i="17"/>
  <c r="HG27" i="17" s="1"/>
  <c r="HG31" i="17" s="1"/>
  <c r="HH26" i="17" l="1"/>
  <c r="HH27" i="17" s="1"/>
  <c r="HH31" i="17" s="1"/>
  <c r="HH32" i="17"/>
  <c r="HI32" i="17" l="1"/>
  <c r="HI26" i="17"/>
  <c r="HI27" i="17" s="1"/>
  <c r="HI31" i="17" s="1"/>
  <c r="HJ26" i="17" l="1"/>
  <c r="HJ27" i="17" s="1"/>
  <c r="HJ31" i="17" s="1"/>
  <c r="HJ32" i="17"/>
  <c r="HK32" i="17" l="1"/>
  <c r="HK26" i="17"/>
  <c r="HK27" i="17" s="1"/>
  <c r="HK31" i="17" s="1"/>
  <c r="HL26" i="17" l="1"/>
  <c r="HL27" i="17" s="1"/>
  <c r="HL31" i="17" s="1"/>
  <c r="HL32" i="17"/>
  <c r="HM32" i="17" l="1"/>
  <c r="HM26" i="17"/>
  <c r="HM27" i="17" s="1"/>
  <c r="HM31" i="17" s="1"/>
  <c r="HN26" i="17" l="1"/>
  <c r="HN27" i="17" s="1"/>
  <c r="HN31" i="17" s="1"/>
  <c r="HN32" i="17"/>
  <c r="HO32" i="17" l="1"/>
  <c r="HO26" i="17"/>
  <c r="HO27" i="17" s="1"/>
  <c r="HO31" i="17" s="1"/>
  <c r="HP26" i="17" l="1"/>
  <c r="HP27" i="17" s="1"/>
  <c r="HP32" i="17"/>
  <c r="HP29" i="17"/>
  <c r="HQ29" i="17" s="1"/>
  <c r="HR29" i="17" s="1"/>
  <c r="HS29" i="17" s="1"/>
  <c r="HT29" i="17" s="1"/>
  <c r="HU29" i="17" s="1"/>
  <c r="HV29" i="17" s="1"/>
  <c r="HW29" i="17" s="1"/>
  <c r="HX29" i="17" s="1"/>
  <c r="HY29" i="17" s="1"/>
  <c r="HZ29" i="17" s="1"/>
  <c r="IA29" i="17" s="1"/>
  <c r="HP28" i="17"/>
  <c r="HQ28" i="17" s="1"/>
  <c r="HR28" i="17" s="1"/>
  <c r="HS28" i="17" s="1"/>
  <c r="HT28" i="17" s="1"/>
  <c r="HU28" i="17" s="1"/>
  <c r="HV28" i="17" s="1"/>
  <c r="HW28" i="17" s="1"/>
  <c r="HX28" i="17" s="1"/>
  <c r="HY28" i="17" s="1"/>
  <c r="HZ28" i="17" s="1"/>
  <c r="IA28" i="17" s="1"/>
  <c r="HQ32" i="17" l="1"/>
  <c r="HQ26" i="17"/>
  <c r="HQ27" i="17" s="1"/>
  <c r="HQ31" i="17" s="1"/>
  <c r="HP31" i="17"/>
  <c r="HR26" i="17" l="1"/>
  <c r="HR27" i="17" s="1"/>
  <c r="HR31" i="17" s="1"/>
  <c r="HR32" i="17"/>
  <c r="HS32" i="17" l="1"/>
  <c r="HS26" i="17"/>
  <c r="HS27" i="17" s="1"/>
  <c r="HS31" i="17" s="1"/>
  <c r="HT26" i="17" l="1"/>
  <c r="HT27" i="17" s="1"/>
  <c r="HT31" i="17" s="1"/>
  <c r="HT32" i="17"/>
  <c r="HU32" i="17" l="1"/>
  <c r="HU26" i="17"/>
  <c r="HU27" i="17" s="1"/>
  <c r="HU31" i="17" s="1"/>
  <c r="HV26" i="17" l="1"/>
  <c r="HV27" i="17" s="1"/>
  <c r="HV31" i="17" s="1"/>
  <c r="HV32" i="17"/>
  <c r="HW32" i="17" l="1"/>
  <c r="HW26" i="17"/>
  <c r="HW27" i="17" s="1"/>
  <c r="HW31" i="17" s="1"/>
  <c r="HX26" i="17" l="1"/>
  <c r="HX27" i="17" s="1"/>
  <c r="HX31" i="17" s="1"/>
  <c r="HX32" i="17"/>
  <c r="HY32" i="17" l="1"/>
  <c r="HY26" i="17"/>
  <c r="HY27" i="17" s="1"/>
  <c r="HY31" i="17" s="1"/>
  <c r="HZ26" i="17" l="1"/>
  <c r="HZ27" i="17" s="1"/>
  <c r="HZ31" i="17" s="1"/>
  <c r="HZ32" i="17"/>
  <c r="IA32" i="17" l="1"/>
  <c r="IA26" i="17"/>
  <c r="IA27" i="17" s="1"/>
  <c r="IA31" i="17" s="1"/>
  <c r="IB26" i="17" l="1"/>
  <c r="IB27" i="17" s="1"/>
  <c r="IB32" i="17"/>
  <c r="IB28" i="17"/>
  <c r="IC28" i="17" s="1"/>
  <c r="ID28" i="17" s="1"/>
  <c r="IE28" i="17" s="1"/>
  <c r="IF28" i="17" s="1"/>
  <c r="IG28" i="17" s="1"/>
  <c r="IH28" i="17" s="1"/>
  <c r="II28" i="17" s="1"/>
  <c r="IJ28" i="17" s="1"/>
  <c r="IK28" i="17" s="1"/>
  <c r="IL28" i="17" s="1"/>
  <c r="IM28" i="17" s="1"/>
  <c r="IB29" i="17"/>
  <c r="IC29" i="17" s="1"/>
  <c r="ID29" i="17" s="1"/>
  <c r="IE29" i="17" s="1"/>
  <c r="IF29" i="17" s="1"/>
  <c r="IG29" i="17" s="1"/>
  <c r="IH29" i="17" s="1"/>
  <c r="II29" i="17" s="1"/>
  <c r="IJ29" i="17" s="1"/>
  <c r="IK29" i="17" s="1"/>
  <c r="IL29" i="17" s="1"/>
  <c r="IM29" i="17" s="1"/>
  <c r="IC32" i="17" l="1"/>
  <c r="IC26" i="17"/>
  <c r="IC27" i="17" s="1"/>
  <c r="IC31" i="17" s="1"/>
  <c r="IB31" i="17"/>
  <c r="ID26" i="17" l="1"/>
  <c r="ID27" i="17" s="1"/>
  <c r="ID31" i="17" s="1"/>
  <c r="ID32" i="17"/>
  <c r="IE32" i="17" l="1"/>
  <c r="IE26" i="17"/>
  <c r="IE27" i="17" s="1"/>
  <c r="IE31" i="17" s="1"/>
  <c r="IF26" i="17" l="1"/>
  <c r="IF27" i="17" s="1"/>
  <c r="IF31" i="17" s="1"/>
  <c r="IF32" i="17"/>
  <c r="IG32" i="17" l="1"/>
  <c r="IG26" i="17"/>
  <c r="IG27" i="17" s="1"/>
  <c r="IG31" i="17" s="1"/>
  <c r="IH26" i="17" l="1"/>
  <c r="IH27" i="17" s="1"/>
  <c r="IH31" i="17" s="1"/>
  <c r="IH32" i="17"/>
  <c r="II32" i="17" l="1"/>
  <c r="II26" i="17"/>
  <c r="II27" i="17" s="1"/>
  <c r="II31" i="17" s="1"/>
  <c r="IJ26" i="17" l="1"/>
  <c r="IJ27" i="17" s="1"/>
  <c r="IJ31" i="17" s="1"/>
  <c r="IJ32" i="17"/>
  <c r="IK32" i="17" l="1"/>
  <c r="IK26" i="17"/>
  <c r="IK27" i="17" s="1"/>
  <c r="IK31" i="17" s="1"/>
  <c r="IL26" i="17" l="1"/>
  <c r="IL27" i="17" s="1"/>
  <c r="IL31" i="17" s="1"/>
  <c r="IL32" i="17"/>
  <c r="IM32" i="17" l="1"/>
  <c r="IM26" i="17"/>
  <c r="IM27" i="17" s="1"/>
  <c r="IM31" i="17" s="1"/>
  <c r="IN26" i="17" l="1"/>
  <c r="IN27" i="17" s="1"/>
  <c r="IN32" i="17"/>
  <c r="IN29" i="17"/>
  <c r="IO29" i="17" s="1"/>
  <c r="IP29" i="17" s="1"/>
  <c r="IQ29" i="17" s="1"/>
  <c r="IR29" i="17" s="1"/>
  <c r="IS29" i="17" s="1"/>
  <c r="IT29" i="17" s="1"/>
  <c r="IU29" i="17" s="1"/>
  <c r="IV29" i="17" s="1"/>
  <c r="IW29" i="17" s="1"/>
  <c r="IX29" i="17" s="1"/>
  <c r="IY29" i="17" s="1"/>
  <c r="IN28" i="17"/>
  <c r="IO28" i="17" s="1"/>
  <c r="IP28" i="17" s="1"/>
  <c r="IQ28" i="17" s="1"/>
  <c r="IR28" i="17" s="1"/>
  <c r="IS28" i="17" s="1"/>
  <c r="IT28" i="17" s="1"/>
  <c r="IU28" i="17" s="1"/>
  <c r="IV28" i="17" s="1"/>
  <c r="IW28" i="17" s="1"/>
  <c r="IX28" i="17" s="1"/>
  <c r="IY28" i="17" s="1"/>
  <c r="IO32" i="17" l="1"/>
  <c r="IO26" i="17"/>
  <c r="IO27" i="17" s="1"/>
  <c r="IO31" i="17" s="1"/>
  <c r="IN31" i="17"/>
  <c r="IP26" i="17" l="1"/>
  <c r="IP27" i="17" s="1"/>
  <c r="IP31" i="17" s="1"/>
  <c r="IP32" i="17"/>
  <c r="IQ32" i="17" l="1"/>
  <c r="IQ26" i="17"/>
  <c r="IQ27" i="17" s="1"/>
  <c r="IQ31" i="17" s="1"/>
  <c r="IR26" i="17" l="1"/>
  <c r="IR27" i="17" s="1"/>
  <c r="IR31" i="17" s="1"/>
  <c r="IR32" i="17"/>
  <c r="IS32" i="17" l="1"/>
  <c r="IS26" i="17"/>
  <c r="IS27" i="17" s="1"/>
  <c r="IS31" i="17" s="1"/>
  <c r="IT26" i="17" l="1"/>
  <c r="IT27" i="17" s="1"/>
  <c r="IT31" i="17" s="1"/>
  <c r="IT32" i="17"/>
  <c r="IU32" i="17" l="1"/>
  <c r="IU26" i="17"/>
  <c r="IU27" i="17" s="1"/>
  <c r="IU31" i="17" s="1"/>
  <c r="IV26" i="17" l="1"/>
  <c r="IV27" i="17" s="1"/>
  <c r="IV31" i="17" s="1"/>
  <c r="IV32" i="17"/>
  <c r="IW32" i="17" l="1"/>
  <c r="IW26" i="17"/>
  <c r="IW27" i="17" s="1"/>
  <c r="IW31" i="17" s="1"/>
  <c r="IX26" i="17" l="1"/>
  <c r="IX27" i="17" s="1"/>
  <c r="IX31" i="17" s="1"/>
  <c r="IX32" i="17"/>
  <c r="IY32" i="17" l="1"/>
  <c r="IY26" i="17"/>
  <c r="IY27" i="17" s="1"/>
  <c r="IY31" i="17" s="1"/>
  <c r="IZ26" i="17" l="1"/>
  <c r="IZ27" i="17" s="1"/>
  <c r="IZ32" i="17"/>
  <c r="IZ28" i="17"/>
  <c r="JA28" i="17" s="1"/>
  <c r="JB28" i="17" s="1"/>
  <c r="JC28" i="17" s="1"/>
  <c r="JD28" i="17" s="1"/>
  <c r="JE28" i="17" s="1"/>
  <c r="JF28" i="17" s="1"/>
  <c r="JG28" i="17" s="1"/>
  <c r="JH28" i="17" s="1"/>
  <c r="JI28" i="17" s="1"/>
  <c r="JJ28" i="17" s="1"/>
  <c r="JK28" i="17" s="1"/>
  <c r="IZ29" i="17"/>
  <c r="JA29" i="17" s="1"/>
  <c r="JB29" i="17" s="1"/>
  <c r="JC29" i="17" s="1"/>
  <c r="JD29" i="17" s="1"/>
  <c r="JE29" i="17" s="1"/>
  <c r="JF29" i="17" s="1"/>
  <c r="JG29" i="17" s="1"/>
  <c r="JH29" i="17" s="1"/>
  <c r="JI29" i="17" s="1"/>
  <c r="JJ29" i="17" s="1"/>
  <c r="JK29" i="17" s="1"/>
  <c r="JA32" i="17" l="1"/>
  <c r="JA26" i="17"/>
  <c r="JA27" i="17" s="1"/>
  <c r="JA31" i="17" s="1"/>
  <c r="IZ31" i="17"/>
  <c r="JB26" i="17" l="1"/>
  <c r="JB27" i="17" s="1"/>
  <c r="JB31" i="17" s="1"/>
  <c r="JB32" i="17"/>
  <c r="JC32" i="17" l="1"/>
  <c r="JC26" i="17"/>
  <c r="JC27" i="17" s="1"/>
  <c r="JC31" i="17" s="1"/>
  <c r="JD26" i="17" l="1"/>
  <c r="JD27" i="17" s="1"/>
  <c r="JD31" i="17" s="1"/>
  <c r="JD32" i="17"/>
  <c r="JE32" i="17" l="1"/>
  <c r="JE26" i="17"/>
  <c r="JE27" i="17" s="1"/>
  <c r="JE31" i="17" s="1"/>
  <c r="JF26" i="17" l="1"/>
  <c r="JF27" i="17" s="1"/>
  <c r="JF31" i="17" s="1"/>
  <c r="JF32" i="17"/>
  <c r="JG32" i="17" l="1"/>
  <c r="JG26" i="17"/>
  <c r="JG27" i="17" s="1"/>
  <c r="JG31" i="17" s="1"/>
  <c r="JH26" i="17" l="1"/>
  <c r="JH27" i="17" s="1"/>
  <c r="JH31" i="17" s="1"/>
  <c r="JH32" i="17"/>
  <c r="JI32" i="17" l="1"/>
  <c r="JI26" i="17"/>
  <c r="JI27" i="17" s="1"/>
  <c r="JI31" i="17" s="1"/>
  <c r="JJ26" i="17" l="1"/>
  <c r="JJ27" i="17" s="1"/>
  <c r="JJ31" i="17" s="1"/>
  <c r="JJ32" i="17"/>
  <c r="JK32" i="17" l="1"/>
  <c r="JK26" i="17"/>
  <c r="JK27" i="17" s="1"/>
  <c r="JK31" i="17" s="1"/>
  <c r="JL29" i="17" l="1"/>
  <c r="JM29" i="17" s="1"/>
  <c r="JN29" i="17" s="1"/>
  <c r="JO29" i="17" s="1"/>
  <c r="JP29" i="17" s="1"/>
  <c r="JQ29" i="17" s="1"/>
  <c r="JR29" i="17" s="1"/>
  <c r="JS29" i="17" s="1"/>
  <c r="JT29" i="17" s="1"/>
  <c r="JU29" i="17" s="1"/>
  <c r="JV29" i="17" s="1"/>
  <c r="JW29" i="17" s="1"/>
  <c r="JL26" i="17"/>
  <c r="JL27" i="17" s="1"/>
  <c r="JL28" i="17"/>
  <c r="JM28" i="17" s="1"/>
  <c r="JN28" i="17" s="1"/>
  <c r="JO28" i="17" s="1"/>
  <c r="JP28" i="17" s="1"/>
  <c r="JQ28" i="17" s="1"/>
  <c r="JR28" i="17" s="1"/>
  <c r="JS28" i="17" s="1"/>
  <c r="JT28" i="17" s="1"/>
  <c r="JU28" i="17" s="1"/>
  <c r="JV28" i="17" s="1"/>
  <c r="JW28" i="17" s="1"/>
  <c r="JL32" i="17"/>
  <c r="JM32" i="17" l="1"/>
  <c r="JM26" i="17"/>
  <c r="JM27" i="17" s="1"/>
  <c r="JM31" i="17" s="1"/>
  <c r="JL31" i="17"/>
  <c r="JN26" i="17" l="1"/>
  <c r="JN27" i="17" s="1"/>
  <c r="JN31" i="17" s="1"/>
  <c r="JN32" i="17"/>
  <c r="JO32" i="17" l="1"/>
  <c r="JO26" i="17"/>
  <c r="JO27" i="17" s="1"/>
  <c r="JO31" i="17" s="1"/>
  <c r="JP26" i="17" l="1"/>
  <c r="JP27" i="17" s="1"/>
  <c r="JP31" i="17" s="1"/>
  <c r="JP32" i="17"/>
  <c r="JQ32" i="17" l="1"/>
  <c r="JQ26" i="17"/>
  <c r="JQ27" i="17" s="1"/>
  <c r="JQ31" i="17" s="1"/>
  <c r="JR26" i="17" l="1"/>
  <c r="JR27" i="17" s="1"/>
  <c r="JR31" i="17" s="1"/>
  <c r="JR32" i="17"/>
  <c r="JS32" i="17" l="1"/>
  <c r="JS26" i="17"/>
  <c r="JS27" i="17" s="1"/>
  <c r="JS31" i="17" s="1"/>
  <c r="JT26" i="17" l="1"/>
  <c r="JT27" i="17" s="1"/>
  <c r="JT31" i="17" s="1"/>
  <c r="JT32" i="17"/>
  <c r="JU32" i="17" l="1"/>
  <c r="JU26" i="17"/>
  <c r="JU27" i="17" s="1"/>
  <c r="JU31" i="17" s="1"/>
  <c r="JV26" i="17" l="1"/>
  <c r="JV27" i="17" s="1"/>
  <c r="JV31" i="17" s="1"/>
  <c r="JV32" i="17"/>
  <c r="JW32" i="17" l="1"/>
  <c r="JW26" i="17"/>
  <c r="JW27" i="17" s="1"/>
  <c r="JW31" i="17" s="1"/>
  <c r="JX26" i="17" l="1"/>
  <c r="JX27" i="17" s="1"/>
  <c r="JX32" i="17"/>
  <c r="JX29" i="17"/>
  <c r="JY29" i="17" s="1"/>
  <c r="JZ29" i="17" s="1"/>
  <c r="KA29" i="17" s="1"/>
  <c r="KB29" i="17" s="1"/>
  <c r="KC29" i="17" s="1"/>
  <c r="KD29" i="17" s="1"/>
  <c r="KE29" i="17" s="1"/>
  <c r="KF29" i="17" s="1"/>
  <c r="KG29" i="17" s="1"/>
  <c r="KH29" i="17" s="1"/>
  <c r="KI29" i="17" s="1"/>
  <c r="JX28" i="17"/>
  <c r="JY28" i="17" s="1"/>
  <c r="JZ28" i="17" s="1"/>
  <c r="KA28" i="17" s="1"/>
  <c r="KB28" i="17" s="1"/>
  <c r="KC28" i="17" s="1"/>
  <c r="KD28" i="17" s="1"/>
  <c r="KE28" i="17" s="1"/>
  <c r="KF28" i="17" s="1"/>
  <c r="KG28" i="17" s="1"/>
  <c r="KH28" i="17" s="1"/>
  <c r="KI28" i="17" s="1"/>
  <c r="JY32" i="17" l="1"/>
  <c r="JY26" i="17"/>
  <c r="JY27" i="17" s="1"/>
  <c r="JY31" i="17" s="1"/>
  <c r="JX31" i="17"/>
  <c r="JZ26" i="17" l="1"/>
  <c r="JZ27" i="17" s="1"/>
  <c r="JZ31" i="17" s="1"/>
  <c r="JZ32" i="17"/>
  <c r="KA32" i="17" l="1"/>
  <c r="KA26" i="17"/>
  <c r="KA27" i="17" s="1"/>
  <c r="KA31" i="17" s="1"/>
  <c r="KB26" i="17" l="1"/>
  <c r="KB27" i="17" s="1"/>
  <c r="KB31" i="17" s="1"/>
  <c r="KB32" i="17"/>
  <c r="KC32" i="17" l="1"/>
  <c r="KC26" i="17"/>
  <c r="KC27" i="17" s="1"/>
  <c r="KC31" i="17" s="1"/>
  <c r="KD26" i="17" l="1"/>
  <c r="KD27" i="17" s="1"/>
  <c r="KD31" i="17" s="1"/>
  <c r="KD32" i="17"/>
  <c r="KE32" i="17" l="1"/>
  <c r="KE26" i="17"/>
  <c r="KE27" i="17" s="1"/>
  <c r="KE31" i="17" s="1"/>
  <c r="KF26" i="17" l="1"/>
  <c r="KF27" i="17" s="1"/>
  <c r="KF31" i="17" s="1"/>
  <c r="KF32" i="17"/>
  <c r="KG32" i="17" l="1"/>
  <c r="KG26" i="17"/>
  <c r="KG27" i="17" s="1"/>
  <c r="KG31" i="17" s="1"/>
  <c r="KH26" i="17" l="1"/>
  <c r="KH27" i="17" s="1"/>
  <c r="KH31" i="17" s="1"/>
  <c r="KH32" i="17"/>
  <c r="KI32" i="17" l="1"/>
  <c r="KI26" i="17"/>
  <c r="KI27" i="17" s="1"/>
  <c r="KI31" i="17" s="1"/>
  <c r="KJ29" i="17" l="1"/>
  <c r="KK29" i="17" s="1"/>
  <c r="KL29" i="17" s="1"/>
  <c r="KM29" i="17" s="1"/>
  <c r="KN29" i="17" s="1"/>
  <c r="KO29" i="17" s="1"/>
  <c r="KP29" i="17" s="1"/>
  <c r="KQ29" i="17" s="1"/>
  <c r="KR29" i="17" s="1"/>
  <c r="KS29" i="17" s="1"/>
  <c r="KT29" i="17" s="1"/>
  <c r="KU29" i="17" s="1"/>
  <c r="KJ26" i="17"/>
  <c r="KJ27" i="17" s="1"/>
  <c r="KJ28" i="17"/>
  <c r="KK28" i="17" s="1"/>
  <c r="KL28" i="17" s="1"/>
  <c r="KM28" i="17" s="1"/>
  <c r="KN28" i="17" s="1"/>
  <c r="KO28" i="17" s="1"/>
  <c r="KP28" i="17" s="1"/>
  <c r="KQ28" i="17" s="1"/>
  <c r="KR28" i="17" s="1"/>
  <c r="KS28" i="17" s="1"/>
  <c r="KT28" i="17" s="1"/>
  <c r="KU28" i="17" s="1"/>
  <c r="KJ32" i="17"/>
  <c r="KK32" i="17" l="1"/>
  <c r="KK26" i="17"/>
  <c r="KK27" i="17" s="1"/>
  <c r="KK31" i="17" s="1"/>
  <c r="KJ31" i="17"/>
  <c r="KL26" i="17" l="1"/>
  <c r="KL27" i="17" s="1"/>
  <c r="KL31" i="17" s="1"/>
  <c r="KL32" i="17"/>
  <c r="KM32" i="17" l="1"/>
  <c r="KM26" i="17"/>
  <c r="KM27" i="17" s="1"/>
  <c r="KM31" i="17" s="1"/>
  <c r="KN26" i="17" l="1"/>
  <c r="KN27" i="17" s="1"/>
  <c r="KN31" i="17" s="1"/>
  <c r="KN32" i="17"/>
  <c r="KO32" i="17" l="1"/>
  <c r="KO26" i="17"/>
  <c r="KO27" i="17" s="1"/>
  <c r="KO31" i="17" s="1"/>
  <c r="KP26" i="17" l="1"/>
  <c r="KP27" i="17" s="1"/>
  <c r="KP31" i="17" s="1"/>
  <c r="KP32" i="17"/>
  <c r="KQ32" i="17" l="1"/>
  <c r="KQ26" i="17"/>
  <c r="KQ27" i="17" s="1"/>
  <c r="KQ31" i="17" s="1"/>
  <c r="KR26" i="17" l="1"/>
  <c r="KR27" i="17" s="1"/>
  <c r="KR31" i="17" s="1"/>
  <c r="KR32" i="17"/>
  <c r="KS32" i="17" l="1"/>
  <c r="KS26" i="17"/>
  <c r="KS27" i="17" s="1"/>
  <c r="KS31" i="17" s="1"/>
  <c r="KT26" i="17" l="1"/>
  <c r="KT27" i="17" s="1"/>
  <c r="KT31" i="17" s="1"/>
  <c r="KT32" i="17"/>
  <c r="KU32" i="17" l="1"/>
  <c r="KU26" i="17"/>
  <c r="KU27" i="17" s="1"/>
  <c r="KU31" i="17" s="1"/>
  <c r="KV26" i="17" l="1"/>
  <c r="KV27" i="17" s="1"/>
  <c r="KV32" i="17"/>
  <c r="KV28" i="17"/>
  <c r="KW28" i="17" s="1"/>
  <c r="KX28" i="17" s="1"/>
  <c r="KY28" i="17" s="1"/>
  <c r="KZ28" i="17" s="1"/>
  <c r="LA28" i="17" s="1"/>
  <c r="LB28" i="17" s="1"/>
  <c r="LC28" i="17" s="1"/>
  <c r="LD28" i="17" s="1"/>
  <c r="LE28" i="17" s="1"/>
  <c r="LF28" i="17" s="1"/>
  <c r="LG28" i="17" s="1"/>
  <c r="KV29" i="17"/>
  <c r="KW29" i="17" s="1"/>
  <c r="KX29" i="17" s="1"/>
  <c r="KY29" i="17" s="1"/>
  <c r="KZ29" i="17" s="1"/>
  <c r="LA29" i="17" s="1"/>
  <c r="LB29" i="17" s="1"/>
  <c r="LC29" i="17" s="1"/>
  <c r="LD29" i="17" s="1"/>
  <c r="LE29" i="17" s="1"/>
  <c r="LF29" i="17" s="1"/>
  <c r="LG29" i="17" s="1"/>
  <c r="KW32" i="17" l="1"/>
  <c r="KW26" i="17"/>
  <c r="KW27" i="17" s="1"/>
  <c r="KW31" i="17" s="1"/>
  <c r="KV31" i="17"/>
  <c r="KX26" i="17" l="1"/>
  <c r="KX27" i="17" s="1"/>
  <c r="KX31" i="17" s="1"/>
  <c r="KX32" i="17"/>
  <c r="KY32" i="17" l="1"/>
  <c r="KY26" i="17"/>
  <c r="KY27" i="17" s="1"/>
  <c r="KY31" i="17" s="1"/>
  <c r="KZ26" i="17" l="1"/>
  <c r="KZ27" i="17" s="1"/>
  <c r="KZ31" i="17" s="1"/>
  <c r="KZ32" i="17"/>
  <c r="LA32" i="17" l="1"/>
  <c r="LA26" i="17"/>
  <c r="LA27" i="17" s="1"/>
  <c r="LA31" i="17" s="1"/>
  <c r="LB26" i="17" l="1"/>
  <c r="LB27" i="17" s="1"/>
  <c r="LB31" i="17" s="1"/>
  <c r="LB32" i="17"/>
  <c r="LC32" i="17" l="1"/>
  <c r="LC26" i="17"/>
  <c r="LC27" i="17" s="1"/>
  <c r="LC31" i="17" s="1"/>
  <c r="LD26" i="17" l="1"/>
  <c r="LD27" i="17" s="1"/>
  <c r="LD31" i="17" s="1"/>
  <c r="LD32" i="17"/>
  <c r="LE32" i="17" l="1"/>
  <c r="LE26" i="17"/>
  <c r="LE27" i="17" s="1"/>
  <c r="LE31" i="17" s="1"/>
  <c r="LF26" i="17" l="1"/>
  <c r="LF27" i="17" s="1"/>
  <c r="LF31" i="17" s="1"/>
  <c r="LF32" i="17"/>
  <c r="LG32" i="17" l="1"/>
  <c r="LG26" i="17"/>
  <c r="LG27" i="17" s="1"/>
  <c r="LG31" i="17" s="1"/>
  <c r="LH26" i="17" l="1"/>
  <c r="LH27" i="17" s="1"/>
  <c r="LH32" i="17"/>
  <c r="LH28" i="17"/>
  <c r="LI28" i="17" s="1"/>
  <c r="LJ28" i="17" s="1"/>
  <c r="LK28" i="17" s="1"/>
  <c r="LL28" i="17" s="1"/>
  <c r="LM28" i="17" s="1"/>
  <c r="LN28" i="17" s="1"/>
  <c r="LO28" i="17" s="1"/>
  <c r="LP28" i="17" s="1"/>
  <c r="LQ28" i="17" s="1"/>
  <c r="LR28" i="17" s="1"/>
  <c r="LS28" i="17" s="1"/>
  <c r="LH29" i="17"/>
  <c r="LI29" i="17" s="1"/>
  <c r="LJ29" i="17" s="1"/>
  <c r="LK29" i="17" s="1"/>
  <c r="LL29" i="17" s="1"/>
  <c r="LM29" i="17" s="1"/>
  <c r="LN29" i="17" s="1"/>
  <c r="LO29" i="17" s="1"/>
  <c r="LP29" i="17" s="1"/>
  <c r="LQ29" i="17" s="1"/>
  <c r="LR29" i="17" s="1"/>
  <c r="LS29" i="17" s="1"/>
  <c r="LI32" i="17" l="1"/>
  <c r="LI26" i="17"/>
  <c r="LI27" i="17" s="1"/>
  <c r="LI31" i="17" s="1"/>
  <c r="LH31" i="17"/>
  <c r="LJ26" i="17" l="1"/>
  <c r="LJ27" i="17" s="1"/>
  <c r="LJ31" i="17" s="1"/>
  <c r="LJ32" i="17"/>
  <c r="LK32" i="17" l="1"/>
  <c r="LK26" i="17"/>
  <c r="LK27" i="17" s="1"/>
  <c r="LK31" i="17" s="1"/>
  <c r="LL26" i="17" l="1"/>
  <c r="LL27" i="17" s="1"/>
  <c r="LL31" i="17" s="1"/>
  <c r="LL32" i="17"/>
  <c r="LM32" i="17" l="1"/>
  <c r="LM26" i="17"/>
  <c r="LM27" i="17" s="1"/>
  <c r="LM31" i="17" s="1"/>
  <c r="LN26" i="17" l="1"/>
  <c r="LN27" i="17" s="1"/>
  <c r="LN31" i="17" s="1"/>
  <c r="LN32" i="17"/>
  <c r="LO32" i="17" l="1"/>
  <c r="LO26" i="17"/>
  <c r="LO27" i="17" s="1"/>
  <c r="LO31" i="17" s="1"/>
  <c r="LP26" i="17" l="1"/>
  <c r="LP27" i="17" s="1"/>
  <c r="LP31" i="17" s="1"/>
  <c r="LP32" i="17"/>
  <c r="LQ32" i="17" l="1"/>
  <c r="LQ26" i="17"/>
  <c r="LQ27" i="17" s="1"/>
  <c r="LQ31" i="17" s="1"/>
  <c r="LR26" i="17" l="1"/>
  <c r="LR27" i="17" s="1"/>
  <c r="LR31" i="17" s="1"/>
  <c r="LR32" i="17"/>
  <c r="LS32" i="17" l="1"/>
  <c r="LS26" i="17"/>
  <c r="LS27" i="17" s="1"/>
  <c r="LS31" i="17" s="1"/>
  <c r="LT26" i="17" l="1"/>
  <c r="LT27" i="17" s="1"/>
  <c r="LT32" i="17"/>
  <c r="LT28" i="17"/>
  <c r="LU28" i="17" s="1"/>
  <c r="LV28" i="17" s="1"/>
  <c r="LW28" i="17" s="1"/>
  <c r="LX28" i="17" s="1"/>
  <c r="LY28" i="17" s="1"/>
  <c r="LZ28" i="17" s="1"/>
  <c r="MA28" i="17" s="1"/>
  <c r="MB28" i="17" s="1"/>
  <c r="MC28" i="17" s="1"/>
  <c r="MD28" i="17" s="1"/>
  <c r="ME28" i="17" s="1"/>
  <c r="LT29" i="17"/>
  <c r="LU29" i="17" s="1"/>
  <c r="LV29" i="17" s="1"/>
  <c r="LW29" i="17" s="1"/>
  <c r="LX29" i="17" s="1"/>
  <c r="LY29" i="17" s="1"/>
  <c r="LZ29" i="17" s="1"/>
  <c r="MA29" i="17" s="1"/>
  <c r="MB29" i="17" s="1"/>
  <c r="MC29" i="17" s="1"/>
  <c r="MD29" i="17" s="1"/>
  <c r="ME29" i="17" s="1"/>
  <c r="LU32" i="17" l="1"/>
  <c r="LU26" i="17"/>
  <c r="LU27" i="17" s="1"/>
  <c r="LU31" i="17" s="1"/>
  <c r="LT31" i="17"/>
  <c r="LV26" i="17" l="1"/>
  <c r="LV27" i="17" s="1"/>
  <c r="LV31" i="17" s="1"/>
  <c r="LV32" i="17"/>
  <c r="LW26" i="17" l="1"/>
  <c r="LW27" i="17" s="1"/>
  <c r="LW31" i="17" s="1"/>
  <c r="LW32" i="17"/>
  <c r="LX32" i="17" l="1"/>
  <c r="LX26" i="17"/>
  <c r="LX27" i="17" s="1"/>
  <c r="LX31" i="17" s="1"/>
  <c r="LY26" i="17" l="1"/>
  <c r="LY27" i="17" s="1"/>
  <c r="LY31" i="17" s="1"/>
  <c r="LY32" i="17"/>
  <c r="LZ32" i="17" l="1"/>
  <c r="LZ26" i="17"/>
  <c r="LZ27" i="17" s="1"/>
  <c r="LZ31" i="17" s="1"/>
  <c r="MA26" i="17" l="1"/>
  <c r="MA27" i="17" s="1"/>
  <c r="MA31" i="17" s="1"/>
  <c r="MA32" i="17"/>
  <c r="MB32" i="17" l="1"/>
  <c r="MB26" i="17"/>
  <c r="MB27" i="17" s="1"/>
  <c r="MB31" i="17" s="1"/>
  <c r="MC26" i="17" l="1"/>
  <c r="MC27" i="17" s="1"/>
  <c r="MC31" i="17" s="1"/>
  <c r="MC32" i="17"/>
  <c r="MD32" i="17" l="1"/>
  <c r="MD26" i="17"/>
  <c r="MD27" i="17" s="1"/>
  <c r="MD31" i="17" s="1"/>
  <c r="ME26" i="17" l="1"/>
  <c r="ME27" i="17" s="1"/>
  <c r="ME31" i="17" s="1"/>
  <c r="ME32" i="17"/>
  <c r="MF29" i="17" l="1"/>
  <c r="MG29" i="17" s="1"/>
  <c r="MH29" i="17" s="1"/>
  <c r="MI29" i="17" s="1"/>
  <c r="MJ29" i="17" s="1"/>
  <c r="MK29" i="17" s="1"/>
  <c r="ML29" i="17" s="1"/>
  <c r="MM29" i="17" s="1"/>
  <c r="MN29" i="17" s="1"/>
  <c r="MO29" i="17" s="1"/>
  <c r="MP29" i="17" s="1"/>
  <c r="MQ29" i="17" s="1"/>
  <c r="MF26" i="17"/>
  <c r="MF27" i="17" s="1"/>
  <c r="MF32" i="17"/>
  <c r="MF28" i="17"/>
  <c r="MG28" i="17" s="1"/>
  <c r="MH28" i="17" s="1"/>
  <c r="MI28" i="17" s="1"/>
  <c r="MJ28" i="17" s="1"/>
  <c r="MK28" i="17" s="1"/>
  <c r="ML28" i="17" s="1"/>
  <c r="MM28" i="17" s="1"/>
  <c r="MN28" i="17" s="1"/>
  <c r="MO28" i="17" s="1"/>
  <c r="MP28" i="17" s="1"/>
  <c r="MQ28" i="17" s="1"/>
  <c r="MG32" i="17" l="1"/>
  <c r="MG26" i="17"/>
  <c r="MG27" i="17" s="1"/>
  <c r="MG31" i="17" s="1"/>
  <c r="MF31" i="17"/>
  <c r="MH32" i="17" l="1"/>
  <c r="MH26" i="17"/>
  <c r="MH27" i="17" s="1"/>
  <c r="MH31" i="17" s="1"/>
  <c r="MI26" i="17" l="1"/>
  <c r="MI27" i="17" s="1"/>
  <c r="MI31" i="17" s="1"/>
  <c r="MI32" i="17"/>
  <c r="MJ32" i="17" l="1"/>
  <c r="MJ26" i="17"/>
  <c r="MJ27" i="17" s="1"/>
  <c r="MJ31" i="17" s="1"/>
  <c r="MK26" i="17" l="1"/>
  <c r="MK27" i="17" s="1"/>
  <c r="MK31" i="17" s="1"/>
  <c r="MK32" i="17"/>
  <c r="ML32" i="17" l="1"/>
  <c r="ML26" i="17"/>
  <c r="ML27" i="17" s="1"/>
  <c r="ML31" i="17" s="1"/>
  <c r="MM26" i="17" l="1"/>
  <c r="MM27" i="17" s="1"/>
  <c r="MM31" i="17" s="1"/>
  <c r="MM32" i="17"/>
  <c r="MN32" i="17" l="1"/>
  <c r="MN26" i="17"/>
  <c r="MN27" i="17" s="1"/>
  <c r="MN31" i="17" s="1"/>
  <c r="MO26" i="17" l="1"/>
  <c r="MO27" i="17" s="1"/>
  <c r="MO31" i="17" s="1"/>
  <c r="MO32" i="17"/>
  <c r="MP32" i="17" l="1"/>
  <c r="MP26" i="17"/>
  <c r="MP27" i="17" s="1"/>
  <c r="MP31" i="17" s="1"/>
  <c r="MQ26" i="17" l="1"/>
  <c r="MQ27" i="17" s="1"/>
  <c r="MQ31" i="17" s="1"/>
  <c r="MQ32" i="17"/>
  <c r="MR28" i="17" l="1"/>
  <c r="MS28" i="17" s="1"/>
  <c r="MT28" i="17" s="1"/>
  <c r="MU28" i="17" s="1"/>
  <c r="MV28" i="17" s="1"/>
  <c r="MW28" i="17" s="1"/>
  <c r="MX28" i="17" s="1"/>
  <c r="MY28" i="17" s="1"/>
  <c r="MZ28" i="17" s="1"/>
  <c r="NA28" i="17" s="1"/>
  <c r="NB28" i="17" s="1"/>
  <c r="NC28" i="17" s="1"/>
  <c r="MR26" i="17"/>
  <c r="MR27" i="17" s="1"/>
  <c r="MR32" i="17"/>
  <c r="MR29" i="17"/>
  <c r="MS29" i="17" s="1"/>
  <c r="MT29" i="17" s="1"/>
  <c r="MU29" i="17" s="1"/>
  <c r="MV29" i="17" s="1"/>
  <c r="MW29" i="17" s="1"/>
  <c r="MX29" i="17" s="1"/>
  <c r="MY29" i="17" s="1"/>
  <c r="MZ29" i="17" s="1"/>
  <c r="NA29" i="17" s="1"/>
  <c r="NB29" i="17" s="1"/>
  <c r="NC29" i="17" s="1"/>
  <c r="MS32" i="17" l="1"/>
  <c r="MS26" i="17"/>
  <c r="MS27" i="17" s="1"/>
  <c r="MS31" i="17" s="1"/>
  <c r="MR31" i="17"/>
  <c r="MT26" i="17" l="1"/>
  <c r="MT27" i="17" s="1"/>
  <c r="MT31" i="17" s="1"/>
  <c r="MT32" i="17"/>
  <c r="MU26" i="17" l="1"/>
  <c r="MU27" i="17" s="1"/>
  <c r="MU31" i="17" s="1"/>
  <c r="MU32" i="17"/>
  <c r="MV26" i="17" l="1"/>
  <c r="MV27" i="17" s="1"/>
  <c r="MV31" i="17" s="1"/>
  <c r="MV32" i="17"/>
  <c r="MW26" i="17" l="1"/>
  <c r="MW27" i="17" s="1"/>
  <c r="MW31" i="17" s="1"/>
  <c r="MW32" i="17"/>
  <c r="MX26" i="17" l="1"/>
  <c r="MX27" i="17" s="1"/>
  <c r="MX31" i="17" s="1"/>
  <c r="MX32" i="17"/>
  <c r="MY26" i="17" l="1"/>
  <c r="MY27" i="17" s="1"/>
  <c r="MY31" i="17" s="1"/>
  <c r="MY32" i="17"/>
  <c r="MZ26" i="17" l="1"/>
  <c r="MZ27" i="17" s="1"/>
  <c r="MZ31" i="17" s="1"/>
  <c r="MZ32" i="17"/>
  <c r="NA26" i="17" l="1"/>
  <c r="NA27" i="17" s="1"/>
  <c r="NA31" i="17" s="1"/>
  <c r="NA32" i="17"/>
  <c r="NB26" i="17" l="1"/>
  <c r="NB27" i="17" s="1"/>
  <c r="NB31" i="17" s="1"/>
  <c r="NB32" i="17"/>
  <c r="NC26" i="17" l="1"/>
  <c r="NC27" i="17" s="1"/>
  <c r="NC31" i="17" s="1"/>
  <c r="NC3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tc={1506251F-44D1-49B9-8710-190DEB668084}</author>
  </authors>
  <commentList>
    <comment ref="E73" authorId="0" shapeId="0" xr:uid="{1506251F-44D1-49B9-8710-190DEB6680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this a cost of physically constructing the building, or is this a cost of borrowing the money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tc={019037CE-B40A-455C-ABE9-59E1E085A949}</author>
  </authors>
  <commentList>
    <comment ref="C6" authorId="0" shapeId="0" xr:uid="{019037CE-B40A-455C-ABE9-59E1E085A949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 ‘Mortgage’!D56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Liz Bieber</author>
  </authors>
  <commentList>
    <comment ref="C38" authorId="0" shapeId="0" xr:uid="{D40A5EE3-BDA1-424F-BED3-0D46E91FBDBF}">
      <text>
        <r>
          <rPr>
            <sz val="9"/>
            <color rgb="FF000000"/>
            <rFont val="Tahoma"/>
            <family val="2"/>
          </rPr>
          <t>Due to the method of calculating fees in the amortization schedule, a 1.15 DSCR on the mortgage sheet does not equate to a 1.15 DSCR in cash flow. DSCR should be sized accordingly to meet 1.15 through year 15 in cash flow.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tc={AF4FDAA1-283B-41BE-8B6E-29F60AD58BF0}</author>
  </authors>
  <commentList>
    <comment ref="C26" authorId="0" shapeId="0" xr:uid="{AF4FDAA1-283B-41BE-8B6E-29F60AD58B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 published NYS HCR Term Sheet Guidelines, government subsidy gap financing is fixed at 0.50% interest-only, exempt from AFR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tc={65D037F1-D34C-48C9-891E-56E99EEE5159}</author>
    <author>tc={5C0B4FA6-617C-4944-A08D-46714A0F74AE}</author>
    <author>tc={94689DB8-1981-4C65-991A-3A9632B02449}</author>
    <author>tc={20CF6F20-F797-4808-8593-A59C47E90FF0}</author>
  </authors>
  <commentList>
    <comment ref="F19" authorId="0" shapeId="0" xr:uid="{65D037F1-D34C-48C9-891E-56E99EEE5159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Excluded as per SONYMA</t>
      </text>
    </comment>
    <comment ref="D48" authorId="1" shapeId="0" xr:uid="{5C0B4FA6-617C-4944-A08D-46714A0F74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According to SONYMA criteria figures is high, otherwise use HDC standards 
(total units*$300)</t>
      </text>
    </comment>
    <comment ref="D49" authorId="2" shapeId="0" xr:uid="{94689DB8-1981-4C65-991A-3A9632B024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opted for Our Space Program</t>
      </text>
    </comment>
    <comment ref="D52" authorId="3" shapeId="0" xr:uid="{20CF6F20-F797-4808-8593-A59C47E90F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Vouchers.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tc={2A6DD175-4C49-4591-9FCD-32B30AF33759}</author>
    <author>tc={C81449C6-16EF-4D2D-B1F7-4338F9DCC8F9}</author>
    <author>tc={5D76ADCB-4786-4AA0-BC0A-2B843338C5D2}</author>
    <author>tc={21C9978B-B6ED-415C-AE86-98DE808D674B}</author>
  </authors>
  <commentList>
    <comment ref="C4" authorId="0" shapeId="0" xr:uid="{2A6DD175-4C49-4591-9FCD-32B30AF33759}">
      <text>
        <t>[Threaded comment]
Your version of Excel allows you to read this threaded comment; however, any edits to it will get removed if the file is opened in a newer version of Excel. Learn more: https://go.microsoft.com/fwlink/?linkid=870924
Comment:
    Federal law allows a 30% "basis boost" (multiplying eligible costs by 130%) to generate more equity for projects located in Qualified Census Tracts (QCT), Difficult Development Areas (DDA), or designated by the state agency.</t>
      </text>
    </comment>
    <comment ref="C5" authorId="1" shapeId="0" xr:uid="{C81449C6-16EF-4D2D-B1F7-4338F9DCC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NCF program requires 100% affordable multi-family projects, this fraction is 100% </t>
      </text>
    </comment>
    <comment ref="C6" authorId="2" shapeId="0" xr:uid="{5D76ADCB-4786-4AA0-BC0A-2B843338C5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permanent 4.00% floor was established by the Consolidated Appropriations Act of 2021 </t>
      </text>
    </comment>
    <comment ref="C7" authorId="3" shapeId="0" xr:uid="{21C9978B-B6ED-415C-AE86-98DE808D674B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Market credit repurchase rate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<sst xmlns="http://schemas.openxmlformats.org/spreadsheetml/2006/main" count="928" uniqueCount="538">
  <si>
    <t>Assumptions</t>
  </si>
  <si>
    <t>Model start date</t>
  </si>
  <si>
    <t>Development start date</t>
  </si>
  <si>
    <t>No. of months (Development phase)</t>
  </si>
  <si>
    <t>No. of months (Pre Development phase)</t>
  </si>
  <si>
    <t>Rent start Date (Post construction phase)</t>
  </si>
  <si>
    <t>No. of months</t>
  </si>
  <si>
    <t>Exit date</t>
  </si>
  <si>
    <t>Total Holding Period</t>
  </si>
  <si>
    <t>Studio</t>
  </si>
  <si>
    <t>Net Square Footage</t>
  </si>
  <si>
    <t>Min</t>
  </si>
  <si>
    <t>Max</t>
  </si>
  <si>
    <t>sqft</t>
  </si>
  <si>
    <t>Soft Costs</t>
  </si>
  <si>
    <t>Subtotal</t>
  </si>
  <si>
    <t>Parking</t>
  </si>
  <si>
    <t>General Conditions</t>
  </si>
  <si>
    <t>RESIDENTIAL INCOME UPON OCCUPANCY</t>
  </si>
  <si>
    <t>Unit size</t>
  </si>
  <si>
    <t>Rooms</t>
  </si>
  <si>
    <t>Income Level (AMI)</t>
  </si>
  <si>
    <t>Number of Units</t>
  </si>
  <si>
    <t>LIHTC Rents</t>
  </si>
  <si>
    <t>Utility Allowance</t>
  </si>
  <si>
    <t>Max Net Monthly Rent</t>
  </si>
  <si>
    <t>Annual Rent</t>
  </si>
  <si>
    <t>Sub-Total</t>
  </si>
  <si>
    <t>Total Annual Rental Income</t>
  </si>
  <si>
    <t>Total Revenue units</t>
  </si>
  <si>
    <t>Applicable Fraction:</t>
  </si>
  <si>
    <t>Total LIHTC units</t>
  </si>
  <si>
    <t>UNIT DISTRIBUTION</t>
  </si>
  <si>
    <t>1 Bedroom</t>
  </si>
  <si>
    <t>2 Bedroom</t>
  </si>
  <si>
    <t>3 Bedroom</t>
  </si>
  <si>
    <t>4 Bedroom</t>
  </si>
  <si>
    <t>Super's Unit</t>
  </si>
  <si>
    <t>Total</t>
  </si>
  <si>
    <t>Number of units</t>
  </si>
  <si>
    <t>Number of Rooms per unit</t>
  </si>
  <si>
    <t>Total rooms</t>
  </si>
  <si>
    <t>Total units</t>
  </si>
  <si>
    <t>Summary</t>
  </si>
  <si>
    <t>AMI Tier</t>
  </si>
  <si>
    <t>Units</t>
  </si>
  <si>
    <t>%</t>
  </si>
  <si>
    <t>Design</t>
  </si>
  <si>
    <t>Avg NSF/Unit</t>
  </si>
  <si>
    <t>SF DISTRIBUTION</t>
  </si>
  <si>
    <t>GSF</t>
  </si>
  <si>
    <t>Efficiency</t>
  </si>
  <si>
    <t>NSF</t>
  </si>
  <si>
    <t>Residential GSF</t>
  </si>
  <si>
    <t>Commercial GSF</t>
  </si>
  <si>
    <t>Community GSF</t>
  </si>
  <si>
    <t>Parking GSF</t>
  </si>
  <si>
    <t>Total Project GSF</t>
  </si>
  <si>
    <t>Area</t>
  </si>
  <si>
    <t>Reference</t>
  </si>
  <si>
    <t>HPD New Construction Finance Term Sheet</t>
  </si>
  <si>
    <t>Units Rent</t>
  </si>
  <si>
    <t>Units Size</t>
  </si>
  <si>
    <t>Area Median Income - HPD</t>
  </si>
  <si>
    <t>COMMERICAL AND ANCILLARY INCOME</t>
  </si>
  <si>
    <t># of Spaces</t>
  </si>
  <si>
    <t>Monthly Rent</t>
  </si>
  <si>
    <t>Annual Income</t>
  </si>
  <si>
    <t>Commercial</t>
  </si>
  <si>
    <t>Community Facility</t>
  </si>
  <si>
    <t>Laundry</t>
  </si>
  <si>
    <t>Total Commercial &amp; Ancillary  Income</t>
  </si>
  <si>
    <t>TOTAL ANNUAL PROJECT INCOME:</t>
  </si>
  <si>
    <t>LIHTC Eligible Basis: Definition, Costs, and Calculations - LegalClarity</t>
  </si>
  <si>
    <t>LIHTC eligible cost</t>
  </si>
  <si>
    <t>Development Cost Structure</t>
  </si>
  <si>
    <t>https://ipedconference.com/powerpoints/0200PM_03.21.2024_THURS_Numbers-Panel_Sample%204_%20LIHTC%20Model.pdf</t>
  </si>
  <si>
    <t>Category</t>
  </si>
  <si>
    <t>Sub-Category</t>
  </si>
  <si>
    <t>Line Item</t>
  </si>
  <si>
    <t>Acquisition Costs</t>
  </si>
  <si>
    <t>Building Acquisition</t>
  </si>
  <si>
    <t>Land Acquisition</t>
  </si>
  <si>
    <t>Total Acquisition Costs</t>
  </si>
  <si>
    <t>Hard Costs</t>
  </si>
  <si>
    <t>Site work - Off Site</t>
  </si>
  <si>
    <t>Site work - On site direct</t>
  </si>
  <si>
    <t>Furniture, fixtures</t>
  </si>
  <si>
    <t>Solar</t>
  </si>
  <si>
    <t>Rehab</t>
  </si>
  <si>
    <t>Demolition/Masonry</t>
  </si>
  <si>
    <t>Environmental</t>
  </si>
  <si>
    <t>Roofing</t>
  </si>
  <si>
    <t>Windows</t>
  </si>
  <si>
    <t>Electrical/HVAC</t>
  </si>
  <si>
    <t>Plumbing</t>
  </si>
  <si>
    <t>Drywall</t>
  </si>
  <si>
    <t>Structural</t>
  </si>
  <si>
    <t>Carpentry</t>
  </si>
  <si>
    <t>Flooring</t>
  </si>
  <si>
    <t>Cabinets</t>
  </si>
  <si>
    <t>Permits</t>
  </si>
  <si>
    <t>Painting</t>
  </si>
  <si>
    <t>Finishes</t>
  </si>
  <si>
    <t>Elevator</t>
  </si>
  <si>
    <t>Hard Cost Contingency</t>
  </si>
  <si>
    <t>G.C. Profit &amp; Overhead</t>
  </si>
  <si>
    <t>Total Hard Costs</t>
  </si>
  <si>
    <t>Impact Fees</t>
  </si>
  <si>
    <t>Eligible Fees (H.A. Financing, etc.)</t>
  </si>
  <si>
    <t>Non-Eligible Fees/Costs (Org., Synd., T.C. Fees, etc.)</t>
  </si>
  <si>
    <t>Relocation costs and Lease-up Reserves</t>
  </si>
  <si>
    <t>Loan Issuance Costs</t>
  </si>
  <si>
    <t>Interest</t>
  </si>
  <si>
    <t>Developer Fee</t>
  </si>
  <si>
    <t>Total Soft Costs</t>
  </si>
  <si>
    <t>Reserves</t>
  </si>
  <si>
    <t>TOTAL</t>
  </si>
  <si>
    <t>TOTAL DEVELOPMENT COSTS</t>
  </si>
  <si>
    <t>Construction Costs</t>
  </si>
  <si>
    <t>Contractor Price</t>
  </si>
  <si>
    <t>Residential</t>
  </si>
  <si>
    <t>Commercial Space</t>
  </si>
  <si>
    <t>Community Space</t>
  </si>
  <si>
    <t>Contingent Hard Costs</t>
  </si>
  <si>
    <t>Overhead</t>
  </si>
  <si>
    <t>Contractor Profit</t>
  </si>
  <si>
    <t>Bond Premium</t>
  </si>
  <si>
    <t>Contingency</t>
  </si>
  <si>
    <t>Housing Inventory: Median Listing Price per Square Feet in New York-Newark-Jersey City, NY-NJ-PA (CBSA) (MEDLISPRIPERSQUFEE35620) | FRED | St. Louis Fed</t>
  </si>
  <si>
    <t>Average Price (psf) Residential</t>
  </si>
  <si>
    <t>Residential Price per square foot</t>
  </si>
  <si>
    <t>Non-Residential Price per square foot</t>
  </si>
  <si>
    <t>Average Price (psf) Non-Residential</t>
  </si>
  <si>
    <t>https://www.propertyshark.com/mason/market-trends/commercial/nyc/manhattan</t>
  </si>
  <si>
    <t>HFA Standards</t>
  </si>
  <si>
    <t>Total Hard Cost</t>
  </si>
  <si>
    <t>Accounting &amp; Cost Certification</t>
  </si>
  <si>
    <t>Appraisal</t>
  </si>
  <si>
    <t>Architect / Engineer</t>
  </si>
  <si>
    <t>Permits and Expediting</t>
  </si>
  <si>
    <t>Environmental Phase I &amp; II</t>
  </si>
  <si>
    <t>Geotechnical</t>
  </si>
  <si>
    <t>Insurance</t>
  </si>
  <si>
    <t>Market Study</t>
  </si>
  <si>
    <t>Marketing</t>
  </si>
  <si>
    <t>Permits / Fees</t>
  </si>
  <si>
    <t>Survey</t>
  </si>
  <si>
    <t>Borings</t>
  </si>
  <si>
    <t>Title &amp; Recording</t>
  </si>
  <si>
    <t>Soft Cost Contingency</t>
  </si>
  <si>
    <t>Sub total</t>
  </si>
  <si>
    <t>Legal Fees and Syndication Costs</t>
  </si>
  <si>
    <t>Borrower Legal</t>
  </si>
  <si>
    <t>Bank Legal</t>
  </si>
  <si>
    <t>Tax Credit Certification</t>
  </si>
  <si>
    <t>Construction Lender Fees &amp; Interest</t>
  </si>
  <si>
    <t>Construction Interest: Bonds</t>
  </si>
  <si>
    <t>Lender LC Origination Fee</t>
  </si>
  <si>
    <t>Lender LC Annual Fee</t>
  </si>
  <si>
    <t>MORTGAGE</t>
  </si>
  <si>
    <t>Income</t>
  </si>
  <si>
    <t>Residential Income</t>
  </si>
  <si>
    <t>Potential Gross Income (PGI)</t>
  </si>
  <si>
    <t>Less Vacancies</t>
  </si>
  <si>
    <t>Net Residential Income</t>
  </si>
  <si>
    <t>Net Comm &amp; Ancillary Income</t>
  </si>
  <si>
    <t>Effective Gross Income (EGI)</t>
  </si>
  <si>
    <t>Total Expenses &amp; Reserves</t>
  </si>
  <si>
    <t>NET OPERATING INCOME (NOI)</t>
  </si>
  <si>
    <t xml:space="preserve">Subsidy Type </t>
  </si>
  <si>
    <t xml:space="preserve">Loan Amount </t>
  </si>
  <si>
    <t>Amount (%) Advanced During Construction</t>
  </si>
  <si>
    <t>Mortgage Type</t>
  </si>
  <si>
    <t>Interest Only</t>
  </si>
  <si>
    <t>Construction Interest Rate</t>
  </si>
  <si>
    <t>HFA standard is 0.5%</t>
  </si>
  <si>
    <t>Permanent Interest Rate</t>
  </si>
  <si>
    <t>years</t>
  </si>
  <si>
    <t>Annual Hard Interest Payment</t>
  </si>
  <si>
    <t>NCF</t>
  </si>
  <si>
    <t>Capitalized Operating Reserve</t>
  </si>
  <si>
    <t xml:space="preserve">Total Development Cost: </t>
  </si>
  <si>
    <t>Total soft costs</t>
  </si>
  <si>
    <t xml:space="preserve">  Developer Fee Calculator (enter total units in B16)</t>
  </si>
  <si>
    <t>Input – Total Units (excl. super unit if applicable)</t>
  </si>
  <si>
    <t>Tier 1 Fee (units 1–100)</t>
  </si>
  <si>
    <t>Tier 2 Fee (units 101–250)</t>
  </si>
  <si>
    <t>Tier 3 Fee (units 251+)</t>
  </si>
  <si>
    <t>TOTAL PAID DEVELOPER FEE</t>
  </si>
  <si>
    <t>SUBSIDY LOAN</t>
  </si>
  <si>
    <t>PERMANENT LOAN SIZING</t>
  </si>
  <si>
    <t>SONYMA-MIF</t>
  </si>
  <si>
    <t>Tax-Exempt</t>
  </si>
  <si>
    <t>Self-Amortizing</t>
  </si>
  <si>
    <t>Fixed</t>
  </si>
  <si>
    <t>Sum (All-In Rate):</t>
  </si>
  <si>
    <t>Debt Service Coverage Ratio (DSCR):</t>
  </si>
  <si>
    <t>Avail. debt service (NOI):</t>
  </si>
  <si>
    <t>Max. Loan based on DSCR:</t>
  </si>
  <si>
    <t>HFA/SONYMA Std:</t>
  </si>
  <si>
    <t>SOURCES AND USES</t>
  </si>
  <si>
    <t>Construction Sources</t>
  </si>
  <si>
    <t>Per DU</t>
  </si>
  <si>
    <t>% of Total</t>
  </si>
  <si>
    <t>Deferred Developer Fee</t>
  </si>
  <si>
    <t>Permament Sources</t>
  </si>
  <si>
    <t>Uses</t>
  </si>
  <si>
    <t>Acquisition</t>
  </si>
  <si>
    <t>TOTAL USES</t>
  </si>
  <si>
    <t>HFA First Mortgage</t>
  </si>
  <si>
    <t>HFA Construction Loan</t>
  </si>
  <si>
    <t>Units:</t>
  </si>
  <si>
    <t>Total Construction Sources</t>
  </si>
  <si>
    <t>4% of TDC</t>
  </si>
  <si>
    <t>LIHTC</t>
  </si>
  <si>
    <t>Total Permanent Sources</t>
  </si>
  <si>
    <t>Reserves and Escrows</t>
  </si>
  <si>
    <t>per unit</t>
  </si>
  <si>
    <t>Loan Amount</t>
  </si>
  <si>
    <t>Long Term Bond</t>
  </si>
  <si>
    <t>Short Term Bond</t>
  </si>
  <si>
    <t>Amount</t>
  </si>
  <si>
    <t>Total Bond</t>
  </si>
  <si>
    <t>Construction Period</t>
  </si>
  <si>
    <t>Rent-up and conversion</t>
  </si>
  <si>
    <t>Months</t>
  </si>
  <si>
    <t>Years</t>
  </si>
  <si>
    <t>Subsidy Loan (NCF)</t>
  </si>
  <si>
    <t>Loan Interest Rates during Construction</t>
  </si>
  <si>
    <t>Long Term</t>
  </si>
  <si>
    <t>Short Term</t>
  </si>
  <si>
    <t>% of Bond</t>
  </si>
  <si>
    <t>Construction Loan (Long term) IR</t>
  </si>
  <si>
    <t>Determination of Issue Price in the Case of Certain Debt Instruments Issued for Property</t>
  </si>
  <si>
    <t>AFR (April 26)</t>
  </si>
  <si>
    <t>New York City Housing Development Corporation</t>
  </si>
  <si>
    <t>Interest Rate (Long term)</t>
  </si>
  <si>
    <t>SONYMA premium</t>
  </si>
  <si>
    <t>Base Rate (Municipal Bond)</t>
  </si>
  <si>
    <t>Total Long term IR</t>
  </si>
  <si>
    <t>Construction Loan (NCF) IR</t>
  </si>
  <si>
    <t>Servicing Fee</t>
  </si>
  <si>
    <t>Total NCF IR</t>
  </si>
  <si>
    <t>Construction Interest Calculation</t>
  </si>
  <si>
    <t>Interest Rate</t>
  </si>
  <si>
    <t>Monthly Interest</t>
  </si>
  <si>
    <t>Loan Term (in months)</t>
  </si>
  <si>
    <t>Letter of Credit (LC)</t>
  </si>
  <si>
    <t>Bond amount</t>
  </si>
  <si>
    <t>Days Interest</t>
  </si>
  <si>
    <t>LC amount</t>
  </si>
  <si>
    <t>LC Origination Fee (%)</t>
  </si>
  <si>
    <t>LC Annual Fee (%)</t>
  </si>
  <si>
    <t>HFA stds</t>
  </si>
  <si>
    <t>TAX CREDIT ANALYSIS</t>
  </si>
  <si>
    <t xml:space="preserve">Eligible Basis </t>
  </si>
  <si>
    <t>Eligible Basis with Boost</t>
  </si>
  <si>
    <t>Applicable Fraction</t>
  </si>
  <si>
    <t>Annual Credit Rate</t>
  </si>
  <si>
    <t xml:space="preserve">Amount Raised per Credit </t>
  </si>
  <si>
    <t xml:space="preserve">Amount Raised Total </t>
  </si>
  <si>
    <t>Development Cost</t>
  </si>
  <si>
    <t>LIHTC Eligibility</t>
  </si>
  <si>
    <t>LIHTC Eligible Cost</t>
  </si>
  <si>
    <t>Yes</t>
  </si>
  <si>
    <t>No</t>
  </si>
  <si>
    <t>Construction Interest</t>
  </si>
  <si>
    <t>HFA Mortgage Origination Fee*</t>
  </si>
  <si>
    <t>Please add/modify categories as needed:</t>
  </si>
  <si>
    <t>Multiplier</t>
  </si>
  <si>
    <t>Expenses/ Unit</t>
  </si>
  <si>
    <t>Expenses/ Room</t>
  </si>
  <si>
    <t>Borrower Projected Expenses</t>
  </si>
  <si>
    <t>2024 New Construction Standards Non-Union Building Staff</t>
  </si>
  <si>
    <t>2024 New Construction Standards Union Building Staff</t>
  </si>
  <si>
    <t>Fixed Expenses</t>
  </si>
  <si>
    <t>Real Estate Taxes</t>
  </si>
  <si>
    <t>per total project</t>
  </si>
  <si>
    <t>Fire &amp; Liability Insurance</t>
  </si>
  <si>
    <t xml:space="preserve">Total  </t>
  </si>
  <si>
    <t xml:space="preserve">Administrative  </t>
  </si>
  <si>
    <t xml:space="preserve">Accounting </t>
  </si>
  <si>
    <t>Benchmarking</t>
  </si>
  <si>
    <t xml:space="preserve">Legal </t>
  </si>
  <si>
    <t xml:space="preserve"> Total </t>
  </si>
  <si>
    <t xml:space="preserve"> Management Fee </t>
  </si>
  <si>
    <t>percent of EGI</t>
  </si>
  <si>
    <t>Wi-Fi Service</t>
  </si>
  <si>
    <t>Utilities</t>
  </si>
  <si>
    <t>Heating</t>
  </si>
  <si>
    <t>per room</t>
  </si>
  <si>
    <t>Gas and Electricity</t>
  </si>
  <si>
    <t>Water/Sewer</t>
  </si>
  <si>
    <t xml:space="preserve">Total </t>
  </si>
  <si>
    <t>Repairs and Maintenance</t>
  </si>
  <si>
    <t>Supplies/Cleaning/Exterminating</t>
  </si>
  <si>
    <t>Repairs/Replacement</t>
  </si>
  <si>
    <t>Superintendent &amp; Maintenance Staff Salaries</t>
  </si>
  <si>
    <t>Salaries</t>
  </si>
  <si>
    <t xml:space="preserve">No. </t>
  </si>
  <si>
    <t xml:space="preserve">Super </t>
  </si>
  <si>
    <t xml:space="preserve">Porter </t>
  </si>
  <si>
    <t>Elevator Maintenance and Repairs</t>
  </si>
  <si>
    <t>per elevator</t>
  </si>
  <si>
    <t>Total Operating Expenses</t>
  </si>
  <si>
    <t>Total Expenses Net of Management Fee</t>
  </si>
  <si>
    <t>Replacement Reserves</t>
  </si>
  <si>
    <t>1 Staff Member for every 65 units. As permitted by law, additional FT or PT Supers or Porters may satisfy the operational needs of bulidings between each 65 unit threshold.</t>
  </si>
  <si>
    <t>months</t>
  </si>
  <si>
    <t>Amount Raised per Credit</t>
  </si>
  <si>
    <t>5% of soft cost</t>
  </si>
  <si>
    <t>HFA Bond Issuance &amp; Closing Fees</t>
  </si>
  <si>
    <t>Bond Underwriter Fee**</t>
  </si>
  <si>
    <t>NYS Bond Issuance Fee</t>
  </si>
  <si>
    <t>Financial Advisor Fee</t>
  </si>
  <si>
    <t>SONYMA Application Fee</t>
  </si>
  <si>
    <t>SONYMA MIP (Annual Fee)</t>
  </si>
  <si>
    <t>SONYMA 1 Month Principal &amp; Interest</t>
  </si>
  <si>
    <t>HFA Application Fee</t>
  </si>
  <si>
    <t>HFA Subsidy Fee</t>
  </si>
  <si>
    <t>All input cells are in Yellow</t>
  </si>
  <si>
    <t>Total GSF</t>
  </si>
  <si>
    <t>Gross Sqare foot Distribution</t>
  </si>
  <si>
    <t>Price PSF (Target Location)</t>
  </si>
  <si>
    <t>Project Timeline</t>
  </si>
  <si>
    <t>Super Unit</t>
  </si>
  <si>
    <t>ALL figures are in USD</t>
  </si>
  <si>
    <t>Start</t>
  </si>
  <si>
    <t>End</t>
  </si>
  <si>
    <t>15-30% as per NCF</t>
  </si>
  <si>
    <t>Max. 4 tiers as per NCF</t>
  </si>
  <si>
    <t>Max 25% Studio</t>
  </si>
  <si>
    <t>Min 15% 1BR</t>
  </si>
  <si>
    <t>Min 30% 2BR+</t>
  </si>
  <si>
    <t>CONTENTS</t>
  </si>
  <si>
    <t>Description</t>
  </si>
  <si>
    <t>COLOR CODING</t>
  </si>
  <si>
    <t>TEXT COLOR</t>
  </si>
  <si>
    <t>Inputs/assumptions</t>
  </si>
  <si>
    <t>BLUE</t>
  </si>
  <si>
    <t>Inputs, or any hard-coded data, such as historical values, assumptions, and drivers.</t>
  </si>
  <si>
    <t>Formulas/results</t>
  </si>
  <si>
    <t>BLACK</t>
  </si>
  <si>
    <t>Formulas, calculations, or references deriving from inputs</t>
  </si>
  <si>
    <t>GREEN</t>
  </si>
  <si>
    <t>Upstate House, LLC</t>
  </si>
  <si>
    <t>Regulatory Requirements</t>
  </si>
  <si>
    <t>Requirement as per NCF, HPD or IRS.</t>
  </si>
  <si>
    <t>Requirement as per latest target Market standards</t>
  </si>
  <si>
    <t>Distribution by AMI</t>
  </si>
  <si>
    <t>Maximum average AMI</t>
  </si>
  <si>
    <t>Checklist</t>
  </si>
  <si>
    <t>Unit Allocation Matrix</t>
  </si>
  <si>
    <t>Market Rates</t>
  </si>
  <si>
    <t>Distributed and Allocated Units</t>
  </si>
  <si>
    <t>ORANGE</t>
  </si>
  <si>
    <t>https://www.bing.com/ck/a?!&amp;&amp;p=15c793bea8b209e83ff74b8ddb2a1fa42a0ffd2e2a1a822affad60ff49c850bcJmltdHM9MTc3NzE2MTYwMA&amp;ptn=3&amp;ver=2&amp;hsh=4&amp;fclid=06048e13-886b-6fd4-387b-98a289ea6e3c&amp;u=a1aHR0cHM6Ly93d3cuY29obnJlem5pY2suY29tLy0vbWVkaWEvcmVzb3VyY2VzL3RjYS1ob3VzaW5nLXRheC1jcmVkaXQtbW9uaXRvcl9tYXJjaC0yMDI2LnBkZg&amp;ntb=1</t>
  </si>
  <si>
    <t>Developer Fee Draw Schedule</t>
  </si>
  <si>
    <t>At Construction Loan Closing</t>
  </si>
  <si>
    <t>During Construction</t>
  </si>
  <si>
    <t>Post Construction</t>
  </si>
  <si>
    <t>Total Developer Fee</t>
  </si>
  <si>
    <t>$</t>
  </si>
  <si>
    <t>Executive Order 50 Monitoring Fee</t>
  </si>
  <si>
    <t>Prevailing Wage Monitoring Fee</t>
  </si>
  <si>
    <t>Construction Sign Fee</t>
  </si>
  <si>
    <t>1400 as per NCF</t>
  </si>
  <si>
    <t>3000 as per NCF</t>
  </si>
  <si>
    <t>per buliding as per NCF</t>
  </si>
  <si>
    <t>Max 25% as per NCF</t>
  </si>
  <si>
    <t>Sponsor's Equity</t>
  </si>
  <si>
    <t>TDC</t>
  </si>
  <si>
    <t>Project Average AMI</t>
  </si>
  <si>
    <t>Equity Requirement (% of TDC)</t>
  </si>
  <si>
    <t>Required Sponsors Equity</t>
  </si>
  <si>
    <t>equity required avg. AMI &gt; 60%</t>
  </si>
  <si>
    <t>Operating Reserve</t>
  </si>
  <si>
    <t>Replacement Reserve</t>
  </si>
  <si>
    <t>Social Services Reserve (Our Space)</t>
  </si>
  <si>
    <t>Social Services Reserve Cap</t>
  </si>
  <si>
    <t>Social Services Budget (Initial)</t>
  </si>
  <si>
    <t>Ongoing Social Services Payment</t>
  </si>
  <si>
    <t>Homeless Furnishings Budget (Studio)</t>
  </si>
  <si>
    <t>Homeless Furnishings Budget (Non-Studio)</t>
  </si>
  <si>
    <t>6 months M&amp;O + debt service</t>
  </si>
  <si>
    <t>Per annual HDC M&amp;O standards</t>
  </si>
  <si>
    <t>$15,000 max per Our Space unit</t>
  </si>
  <si>
    <t>3 years × $5,000/unit = $15,000/unit</t>
  </si>
  <si>
    <t>$7,500 per Our Space unit</t>
  </si>
  <si>
    <t>Up to $5,000 per Our Space unit/year</t>
  </si>
  <si>
    <t>$2,000 per studio unit</t>
  </si>
  <si>
    <t>$3,000 per non-studio unit</t>
  </si>
  <si>
    <t>Opertaing Expense</t>
  </si>
  <si>
    <t>Year</t>
  </si>
  <si>
    <t>Development Costs</t>
  </si>
  <si>
    <t>Annually</t>
  </si>
  <si>
    <t>Construction Interest: Subsidy Loan NCF</t>
  </si>
  <si>
    <t>SLIHC</t>
  </si>
  <si>
    <t>Federal</t>
  </si>
  <si>
    <t>Potential Gross Income</t>
  </si>
  <si>
    <t>Total Potential Gross Income:</t>
  </si>
  <si>
    <t>Vacancy Allowance</t>
  </si>
  <si>
    <t>Total Vacancy Allowance:</t>
  </si>
  <si>
    <t>Effective Gross Income</t>
  </si>
  <si>
    <t>Effective Gross Income:</t>
  </si>
  <si>
    <t>Maintenance &amp; Operating Expenses</t>
  </si>
  <si>
    <t>Operating Expenses:</t>
  </si>
  <si>
    <t>Total Operating Expenses:</t>
  </si>
  <si>
    <t>Total Expenses &amp; Reserves:</t>
  </si>
  <si>
    <t>Net Operating Income:</t>
  </si>
  <si>
    <t>Escalator (%)</t>
  </si>
  <si>
    <t>Servicing Fee (optional)</t>
  </si>
  <si>
    <t>Total First Mortgage Debt Service:</t>
  </si>
  <si>
    <t>Debt Service</t>
  </si>
  <si>
    <t>IR (%)</t>
  </si>
  <si>
    <t>Total Debt Service</t>
  </si>
  <si>
    <t>Total Debt Service:</t>
  </si>
  <si>
    <t>Income to Expense Ratio</t>
  </si>
  <si>
    <t>Debt Coverage Ratio (Senior)</t>
  </si>
  <si>
    <t>1.05 (min)</t>
  </si>
  <si>
    <t>Debt Service Coverage Ratio (Global)</t>
  </si>
  <si>
    <t>1.15 (min)</t>
  </si>
  <si>
    <t>Net Cash Flow</t>
  </si>
  <si>
    <t>Rent up an conversion</t>
  </si>
  <si>
    <t>Finance Cost</t>
  </si>
  <si>
    <t>Total Finance Cost</t>
  </si>
  <si>
    <t>Hard Cost &amp; Soft Cost</t>
  </si>
  <si>
    <t>Total Hard &amp; Soft Cost</t>
  </si>
  <si>
    <t>Total Development Cost</t>
  </si>
  <si>
    <t>DEVELOPMENT PHASE</t>
  </si>
  <si>
    <t>POST DEVELOPMENT PHASE</t>
  </si>
  <si>
    <t>Total Potential Gross Income</t>
  </si>
  <si>
    <t>Total Vacancy Allowance</t>
  </si>
  <si>
    <t>Net Operating Income</t>
  </si>
  <si>
    <t>Inflation Rate (%)</t>
  </si>
  <si>
    <t>Short term Bond Sizing</t>
  </si>
  <si>
    <t>Target Total Bond Amount</t>
  </si>
  <si>
    <t>Permanent Bond Amount</t>
  </si>
  <si>
    <t>Required Short-Term Bond Amount</t>
  </si>
  <si>
    <t>HFA First Mortgage (Construction phase)</t>
  </si>
  <si>
    <t>Subsidy Loan (NCF) (Post conversion)</t>
  </si>
  <si>
    <t>First Mortgage Debt Service (Post conversion)</t>
  </si>
  <si>
    <t>Costs</t>
  </si>
  <si>
    <t>IRR</t>
  </si>
  <si>
    <t>DEBT SCHEDULE</t>
  </si>
  <si>
    <t>All Figures are in USD</t>
  </si>
  <si>
    <t>HFA Frist Mortgage (Senior loan)</t>
  </si>
  <si>
    <t>Permanent Credit Enhancer</t>
  </si>
  <si>
    <t>Loan Type</t>
  </si>
  <si>
    <t>Self-Amortizing, Tax-Exempt</t>
  </si>
  <si>
    <t>Loan Commencement Date</t>
  </si>
  <si>
    <t>Loan Term (years)</t>
  </si>
  <si>
    <t>Amortization Period (years)</t>
  </si>
  <si>
    <t>Permanent Rates</t>
  </si>
  <si>
    <t>Base Underwriting Rate</t>
  </si>
  <si>
    <t>Sum (All-In Rate)</t>
  </si>
  <si>
    <t>Period</t>
  </si>
  <si>
    <t>Month</t>
  </si>
  <si>
    <t>Principal</t>
  </si>
  <si>
    <t>Total Mortgage Payment</t>
  </si>
  <si>
    <t>HFA Servicing  Fee</t>
  </si>
  <si>
    <t>SONYMA Servicing Fee</t>
  </si>
  <si>
    <t xml:space="preserve">SONYMA Upfront Fee </t>
  </si>
  <si>
    <t>Total Debt Service Payment</t>
  </si>
  <si>
    <t>Mortgage Balance</t>
  </si>
  <si>
    <t>Loan to Cost</t>
  </si>
  <si>
    <t>Total Loan</t>
  </si>
  <si>
    <t>LTC</t>
  </si>
  <si>
    <t>Max LTC is 90%</t>
  </si>
  <si>
    <t>Servicing Fee (adjusted in soft cost)</t>
  </si>
  <si>
    <t>Inflow</t>
  </si>
  <si>
    <t>Ouflow</t>
  </si>
  <si>
    <t>Soft &amp; Hard Cost</t>
  </si>
  <si>
    <t>LIHTC Equity</t>
  </si>
  <si>
    <t>ANNUAL BUDGET</t>
  </si>
  <si>
    <t>BUDGET</t>
  </si>
  <si>
    <t>LIHTC Equity Distribution</t>
  </si>
  <si>
    <t>Defered Developer Fee</t>
  </si>
  <si>
    <t>Rental Income</t>
  </si>
  <si>
    <t>Total LIHTC</t>
  </si>
  <si>
    <t>Total Inflow</t>
  </si>
  <si>
    <t>Total Outflow</t>
  </si>
  <si>
    <t>Loan draws</t>
  </si>
  <si>
    <t>Acquisition Cost</t>
  </si>
  <si>
    <t>Ballon paymenat short term</t>
  </si>
  <si>
    <t>total amt</t>
  </si>
  <si>
    <t>paid</t>
  </si>
  <si>
    <t>Development amount coverage</t>
  </si>
  <si>
    <t>loan draws %</t>
  </si>
  <si>
    <t>LIHTC + def. developer fee</t>
  </si>
  <si>
    <t>Amt after LIHTC</t>
  </si>
  <si>
    <t>Development CASH FLOW</t>
  </si>
  <si>
    <t>Rental Cash Flow</t>
  </si>
  <si>
    <t>SLIHTC</t>
  </si>
  <si>
    <t>Totl Loan Required</t>
  </si>
  <si>
    <t>Dev</t>
  </si>
  <si>
    <t>Non Debt</t>
  </si>
  <si>
    <t>Total Expenses</t>
  </si>
  <si>
    <t>Avai. Debt service (I-E)</t>
  </si>
  <si>
    <t>Max. Loan based on I-E</t>
  </si>
  <si>
    <t>HFA First Mortgage Amount</t>
  </si>
  <si>
    <t>Interest Rates</t>
  </si>
  <si>
    <t>Income to Expense (I-E) Ratio (min)</t>
  </si>
  <si>
    <t>Servicing Fee (HFA)</t>
  </si>
  <si>
    <t>Loan type</t>
  </si>
  <si>
    <t>Term (years)</t>
  </si>
  <si>
    <t>New Construction Finance (NCF)</t>
  </si>
  <si>
    <t>Management &amp; Operating Expense</t>
  </si>
  <si>
    <t>Term (months)</t>
  </si>
  <si>
    <t>KPI's</t>
  </si>
  <si>
    <t>KPIs</t>
  </si>
  <si>
    <t>Value of Property</t>
  </si>
  <si>
    <t>NOI</t>
  </si>
  <si>
    <t>Debt Services</t>
  </si>
  <si>
    <t>Debt Coverage Ratio</t>
  </si>
  <si>
    <t>Cap Rate</t>
  </si>
  <si>
    <t>Property Value</t>
  </si>
  <si>
    <t>Effective Gross Rental Income</t>
  </si>
  <si>
    <t>Gross Rent Multiplier</t>
  </si>
  <si>
    <t>SONYMA Income to Expense Ratio</t>
  </si>
  <si>
    <t xml:space="preserve"> </t>
  </si>
  <si>
    <t>NYC Cap Rate</t>
  </si>
  <si>
    <t>NYC Cap Rates Explained: A Guide for Property Owners | NYC Property Value</t>
  </si>
  <si>
    <t>Unit Mix</t>
  </si>
  <si>
    <t>Sources and Uses</t>
  </si>
  <si>
    <t>Mortgage</t>
  </si>
  <si>
    <t>Operating Expenses &amp; Reserves</t>
  </si>
  <si>
    <t>Taxcredit Analysis</t>
  </si>
  <si>
    <t>Budget</t>
  </si>
  <si>
    <t>Development Cash flow</t>
  </si>
  <si>
    <t>Rental Cash flow</t>
  </si>
  <si>
    <t>Debt Schedule</t>
  </si>
  <si>
    <t>inflow</t>
  </si>
  <si>
    <t>out flow</t>
  </si>
  <si>
    <t>developer fee</t>
  </si>
  <si>
    <t>lihtc equity</t>
  </si>
  <si>
    <t>loan 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</si>
</sst>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_)"/>
    <numFmt numFmtId="166" formatCode="&quot;$&quot;#,##0"/>
    <numFmt numFmtId="167" formatCode="&quot;$&quot;#,##0.00"/>
    <numFmt numFmtId="168" formatCode="\$#,##0"/>
    <numFmt numFmtId="169" formatCode="_(* #,##0_);_(* \(#,##0\);_(* &quot;-&quot;??_);_(@_)"/>
    <numFmt numFmtId="170" formatCode="_([$$-409]* #,##0.00_);_([$$-409]* \(#,##0.00\);_([$$-409]* &quot;-&quot;??_);_(@_)"/>
    <numFmt numFmtId="171" formatCode="_([$$-409]* #,##0_);_([$$-409]* \(#,##0\);_([$$-409]* &quot;-&quot;??_);_(@_)"/>
    <numFmt numFmtId="172" formatCode="0.0%"/>
    <numFmt numFmtId="173" formatCode="&quot;$&quot;#,##0.0000"/>
    <numFmt numFmtId="174" formatCode="0.0"/>
    <numFmt numFmtId="175" formatCode="[$-409]mmmm\ d&quot;, &quot;yyyy"/>
    <numFmt numFmtId="176" formatCode="&quot;Month &quot;0"/>
  </numFmts>
  <fonts count="8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10"/>
      <name val="MS Sans Serif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12"/>
      <name val="Arial"/>
      <family val="2"/>
    </font>
    <font>
      <sz val="9"/>
      <color rgb="FF000000"/>
      <name val="Tahoma"/>
      <family val="2"/>
    </font>
    <font>
      <sz val="8"/>
      <name val="MS Sans Serif"/>
      <family val="2"/>
    </font>
    <font>
      <sz val="12"/>
      <color indexed="12"/>
      <name val="Arial"/>
      <family val="2"/>
    </font>
    <font>
      <i/>
      <sz val="10"/>
      <name val="Aptos"/>
      <family val="2"/>
    </font>
    <font>
      <b/>
      <sz val="12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b/>
      <sz val="10"/>
      <color indexed="12"/>
      <name val="Aptos"/>
      <family val="2"/>
    </font>
    <font>
      <sz val="10"/>
      <color indexed="12"/>
      <name val="Aptos"/>
      <family val="2"/>
    </font>
    <font>
      <b/>
      <sz val="11"/>
      <color theme="1"/>
      <name val="Aptos"/>
      <family val="2"/>
    </font>
    <font>
      <i/>
      <sz val="10"/>
      <color theme="1"/>
      <name val="Aptos"/>
      <family val="2"/>
    </font>
    <font>
      <b/>
      <i/>
      <sz val="10"/>
      <color theme="1"/>
      <name val="Aptos"/>
      <family val="2"/>
    </font>
    <font>
      <i/>
      <sz val="8"/>
      <color theme="1"/>
      <name val="Aptos"/>
      <family val="2"/>
    </font>
    <font>
      <b/>
      <sz val="11"/>
      <color theme="0"/>
      <name val="Aptos"/>
      <family val="2"/>
    </font>
    <font>
      <sz val="11"/>
      <color theme="0"/>
      <name val="Aptos"/>
      <family val="2"/>
    </font>
    <font>
      <i/>
      <u/>
      <sz val="10"/>
      <name val="Aptos"/>
      <family val="2"/>
    </font>
    <font>
      <sz val="10"/>
      <color indexed="8"/>
      <name val="Aptos"/>
      <family val="2"/>
    </font>
    <font>
      <b/>
      <sz val="10"/>
      <color theme="0"/>
      <name val="Aptos"/>
      <family val="2"/>
    </font>
    <font>
      <b/>
      <sz val="10"/>
      <color theme="1"/>
      <name val="Aptos"/>
      <family val="2"/>
    </font>
    <font>
      <b/>
      <sz val="10"/>
      <color indexed="8"/>
      <name val="Aptos"/>
      <family val="2"/>
    </font>
    <font>
      <sz val="10"/>
      <color theme="0"/>
      <name val="Aptos"/>
      <family val="2"/>
    </font>
    <font>
      <sz val="9"/>
      <color theme="1"/>
      <name val="Aptos"/>
      <family val="2"/>
    </font>
    <font>
      <sz val="9"/>
      <name val="Aptos"/>
      <family val="2"/>
    </font>
    <font>
      <b/>
      <sz val="9"/>
      <color theme="1"/>
      <name val="Aptos"/>
      <family val="2"/>
    </font>
    <font>
      <b/>
      <sz val="10"/>
      <color theme="1"/>
      <name val="Aptos "/>
    </font>
    <font>
      <sz val="10"/>
      <color theme="1"/>
      <name val="Aptos "/>
    </font>
    <font>
      <b/>
      <sz val="10"/>
      <color theme="0"/>
      <name val="Aptos "/>
    </font>
    <font>
      <sz val="10"/>
      <color theme="0"/>
      <name val="Aptos "/>
    </font>
    <font>
      <i/>
      <sz val="10"/>
      <color theme="1"/>
      <name val="Aptos "/>
    </font>
    <font>
      <i/>
      <sz val="10"/>
      <color indexed="8"/>
      <name val="Aptos"/>
      <family val="2"/>
    </font>
    <font>
      <i/>
      <sz val="9"/>
      <color rgb="FF00B050"/>
      <name val="Aptos"/>
      <family val="2"/>
    </font>
    <font>
      <sz val="10"/>
      <color rgb="FF00B050"/>
      <name val="Aptos"/>
      <family val="2"/>
    </font>
    <font>
      <i/>
      <sz val="8"/>
      <color rgb="FF00B050"/>
      <name val="Aptos"/>
      <family val="2"/>
    </font>
    <font>
      <sz val="16"/>
      <color theme="1"/>
      <name val="Aptos"/>
      <family val="2"/>
    </font>
    <font>
      <b/>
      <sz val="16"/>
      <color theme="0"/>
      <name val="Aptos"/>
      <family val="2"/>
    </font>
    <font>
      <sz val="16"/>
      <color theme="0"/>
      <name val="Aptos"/>
      <family val="2"/>
    </font>
    <font>
      <sz val="14"/>
      <color theme="1"/>
      <name val="Aptos"/>
      <family val="2"/>
    </font>
    <font>
      <i/>
      <sz val="14"/>
      <color theme="0"/>
      <name val="Aptos"/>
      <family val="2"/>
    </font>
    <font>
      <sz val="14"/>
      <color theme="0"/>
      <name val="Aptos"/>
      <family val="2"/>
    </font>
    <font>
      <i/>
      <sz val="10"/>
      <color theme="0"/>
      <name val="Aptos"/>
      <family val="2"/>
    </font>
    <font>
      <b/>
      <u/>
      <sz val="10"/>
      <color theme="1"/>
      <name val="Aptos"/>
      <family val="2"/>
    </font>
    <font>
      <sz val="10"/>
      <color rgb="FF000000"/>
      <name val="Aptos"/>
      <family val="2"/>
    </font>
    <font>
      <u/>
      <sz val="10"/>
      <color theme="10"/>
      <name val="Aptos"/>
      <family val="2"/>
    </font>
    <font>
      <sz val="9"/>
      <color rgb="FF2E75B5"/>
      <name val="Aptos"/>
      <family val="2"/>
    </font>
    <font>
      <sz val="9"/>
      <color rgb="FF00B050"/>
      <name val="Aptos"/>
      <family val="2"/>
    </font>
    <font>
      <b/>
      <i/>
      <sz val="9"/>
      <color rgb="FF00B050"/>
      <name val="Aptos"/>
      <family val="2"/>
    </font>
    <font>
      <i/>
      <sz val="10"/>
      <color rgb="FF00B050"/>
      <name val="Aptos"/>
      <family val="2"/>
    </font>
    <font>
      <sz val="9"/>
      <color theme="5" tint="-0.249977111117893"/>
      <name val="Aptos"/>
      <family val="2"/>
    </font>
    <font>
      <sz val="10"/>
      <color theme="5" tint="-0.249977111117893"/>
      <name val="Aptos"/>
      <family val="2"/>
    </font>
    <font>
      <i/>
      <sz val="10"/>
      <color theme="5" tint="-0.249977111117893"/>
      <name val="Aptos"/>
      <family val="2"/>
    </font>
    <font>
      <i/>
      <sz val="8"/>
      <color theme="5" tint="-0.249977111117893"/>
      <name val="Aptos"/>
      <family val="2"/>
    </font>
    <font>
      <b/>
      <sz val="10"/>
      <name val="Aptos "/>
    </font>
    <font>
      <sz val="10"/>
      <color rgb="FF00B050"/>
      <name val="Aptos "/>
    </font>
    <font>
      <i/>
      <sz val="8"/>
      <name val="Aptos "/>
    </font>
    <font>
      <b/>
      <i/>
      <sz val="10"/>
      <name val="Aptos"/>
      <family val="2"/>
    </font>
    <font>
      <b/>
      <i/>
      <sz val="10"/>
      <color theme="0"/>
      <name val="Aptos"/>
      <family val="2"/>
    </font>
    <font>
      <b/>
      <sz val="14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name val="Aptos"/>
      <family val="2"/>
    </font>
    <font>
      <sz val="10"/>
      <name val="Arial Narrow"/>
      <family val="2"/>
    </font>
    <font>
      <u/>
      <sz val="10"/>
      <color theme="1"/>
      <name val="Aptos"/>
      <family val="2"/>
    </font>
    <font>
      <b/>
      <sz val="11"/>
      <color theme="1"/>
      <name val="Aptos "/>
    </font>
    <font>
      <sz val="10"/>
      <color rgb="FFC00000"/>
      <name val="Aptos"/>
      <family val="2"/>
    </font>
    <font>
      <i/>
      <sz val="10"/>
      <color rgb="FF2E75B5"/>
      <name val="Aptos"/>
      <family val="2"/>
    </font>
    <font>
      <sz val="10"/>
      <color rgb="FF2E75B5"/>
      <name val="Aptos"/>
      <family val="2"/>
    </font>
    <font>
      <sz val="8"/>
      <color theme="1"/>
      <name val="Aptos"/>
      <family val="2"/>
    </font>
    <font>
      <sz val="12"/>
      <name val="Arial"/>
      <family val="2"/>
    </font>
    <font>
      <b/>
      <sz val="12"/>
      <color theme="0"/>
      <name val="Aptos"/>
      <family val="2"/>
    </font>
    <font>
      <b/>
      <sz val="12"/>
      <color indexed="8"/>
      <name val="Aptos"/>
      <family val="2"/>
    </font>
    <font>
      <i/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99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rgb="FF0E2841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DEB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hair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thin">
        <color indexed="64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indexed="64"/>
      </right>
      <top/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hair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theme="1"/>
      </left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indexed="64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 style="hair">
        <color theme="1"/>
      </bottom>
      <diagonal/>
    </border>
    <border>
      <left style="hair">
        <color indexed="64"/>
      </left>
      <right style="thin">
        <color indexed="64"/>
      </right>
      <top/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/>
      <top style="thin">
        <color theme="1"/>
      </top>
      <bottom style="hair">
        <color theme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rgb="FF14425E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8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11" fillId="0" borderId="21"/>
    <xf numFmtId="3" fontId="13" fillId="0" borderId="0" applyFont="0" applyFill="0" applyBorder="0" applyAlignment="0" applyProtection="0"/>
    <xf numFmtId="173" fontId="14" fillId="13" borderId="61">
      <alignment horizontal="left" vertical="top" wrapText="1"/>
      <protection locked="0"/>
    </xf>
    <xf numFmtId="173" fontId="14" fillId="14" borderId="62">
      <alignment horizontal="left" vertical="top" wrapText="1"/>
      <protection locked="0"/>
    </xf>
    <xf numFmtId="9" fontId="5" fillId="0" borderId="0" applyFont="0" applyFill="0" applyBorder="0" applyAlignment="0" applyProtection="0"/>
    <xf numFmtId="173" fontId="14" fillId="15" borderId="0" applyNumberFormat="0" applyBorder="0" applyAlignment="0">
      <protection locked="0"/>
    </xf>
    <xf numFmtId="0" fontId="72" fillId="0" borderId="0"/>
    <xf numFmtId="0" fontId="79" fillId="0" borderId="0"/>
    <xf numFmtId="0" fontId="79" fillId="0" borderId="0"/>
  </cellStyleXfs>
  <cellXfs count="787">
    <xf numFmtId="0" fontId="0" fillId="0" borderId="0" xfId="0"/>
    <xf numFmtId="0" fontId="2" fillId="0" borderId="0" xfId="0" applyFont="1"/>
    <xf numFmtId="0" fontId="4" fillId="0" borderId="0" xfId="6"/>
    <xf numFmtId="0" fontId="2" fillId="0" borderId="0" xfId="0" applyFont="1" applyAlignment="1">
      <alignment horizontal="right"/>
    </xf>
    <xf numFmtId="0" fontId="7" fillId="6" borderId="44" xfId="0" applyFont="1" applyFill="1" applyBorder="1" applyAlignment="1">
      <alignment horizontal="left" vertical="center"/>
    </xf>
    <xf numFmtId="0" fontId="9" fillId="8" borderId="44" xfId="0" applyFont="1" applyFill="1" applyBorder="1" applyAlignment="1">
      <alignment horizontal="left" vertical="center"/>
    </xf>
    <xf numFmtId="0" fontId="10" fillId="10" borderId="44" xfId="0" applyFont="1" applyFill="1" applyBorder="1" applyAlignment="1">
      <alignment horizontal="left" vertical="center"/>
    </xf>
    <xf numFmtId="0" fontId="17" fillId="0" borderId="0" xfId="0" applyFont="1"/>
    <xf numFmtId="0" fontId="17" fillId="0" borderId="1" xfId="0" applyFont="1" applyBorder="1"/>
    <xf numFmtId="1" fontId="17" fillId="0" borderId="1" xfId="0" applyNumberFormat="1" applyFont="1" applyBorder="1"/>
    <xf numFmtId="0" fontId="18" fillId="2" borderId="60" xfId="1" applyFont="1" applyFill="1" applyBorder="1" applyAlignment="1">
      <alignment horizontal="center" wrapText="1"/>
    </xf>
    <xf numFmtId="0" fontId="18" fillId="2" borderId="0" xfId="1" applyFont="1" applyFill="1" applyAlignment="1">
      <alignment horizontal="left" vertical="center"/>
    </xf>
    <xf numFmtId="0" fontId="18" fillId="2" borderId="59" xfId="1" applyFont="1" applyFill="1" applyBorder="1" applyAlignment="1">
      <alignment horizontal="center" wrapText="1"/>
    </xf>
    <xf numFmtId="0" fontId="17" fillId="0" borderId="0" xfId="1" applyFont="1" applyAlignment="1">
      <alignment horizontal="left" vertical="center"/>
    </xf>
    <xf numFmtId="37" fontId="17" fillId="2" borderId="20" xfId="1" applyNumberFormat="1" applyFont="1" applyFill="1" applyBorder="1" applyAlignment="1">
      <alignment horizontal="left" vertical="center"/>
    </xf>
    <xf numFmtId="6" fontId="18" fillId="2" borderId="23" xfId="11" applyNumberFormat="1" applyFont="1" applyFill="1" applyBorder="1" applyAlignment="1">
      <alignment vertical="center"/>
    </xf>
    <xf numFmtId="173" fontId="19" fillId="2" borderId="18" xfId="13" applyFont="1" applyFill="1" applyBorder="1">
      <alignment horizontal="left" vertical="top" wrapText="1"/>
      <protection locked="0"/>
    </xf>
    <xf numFmtId="6" fontId="19" fillId="2" borderId="17" xfId="7" applyNumberFormat="1" applyFont="1" applyFill="1" applyBorder="1" applyAlignment="1">
      <alignment vertical="center"/>
    </xf>
    <xf numFmtId="173" fontId="20" fillId="2" borderId="20" xfId="13" applyFont="1" applyFill="1" applyBorder="1">
      <alignment horizontal="left" vertical="top" wrapText="1"/>
      <protection locked="0"/>
    </xf>
    <xf numFmtId="6" fontId="18" fillId="2" borderId="23" xfId="7" applyNumberFormat="1" applyFont="1" applyFill="1" applyBorder="1" applyAlignment="1">
      <alignment vertical="center"/>
    </xf>
    <xf numFmtId="3" fontId="18" fillId="2" borderId="20" xfId="10" applyFont="1" applyFill="1" applyBorder="1" applyAlignment="1">
      <alignment horizontal="left" vertical="center"/>
    </xf>
    <xf numFmtId="172" fontId="15" fillId="0" borderId="61" xfId="14" applyNumberFormat="1" applyFont="1" applyFill="1" applyBorder="1" applyAlignment="1" applyProtection="1">
      <alignment horizontal="left" vertical="top" wrapText="1"/>
      <protection locked="0"/>
    </xf>
    <xf numFmtId="173" fontId="19" fillId="2" borderId="31" xfId="13" applyFont="1" applyFill="1" applyBorder="1">
      <alignment horizontal="left" vertical="top" wrapText="1"/>
      <protection locked="0"/>
    </xf>
    <xf numFmtId="172" fontId="19" fillId="2" borderId="17" xfId="7" applyNumberFormat="1" applyFont="1" applyFill="1" applyBorder="1" applyAlignment="1">
      <alignment vertical="center"/>
    </xf>
    <xf numFmtId="172" fontId="15" fillId="0" borderId="0" xfId="14" applyNumberFormat="1" applyFont="1" applyFill="1" applyBorder="1" applyAlignment="1" applyProtection="1">
      <alignment horizontal="left" vertical="top" wrapText="1"/>
      <protection locked="0"/>
    </xf>
    <xf numFmtId="173" fontId="19" fillId="2" borderId="20" xfId="13" applyFont="1" applyFill="1" applyBorder="1">
      <alignment horizontal="left" vertical="top" wrapText="1"/>
      <protection locked="0"/>
    </xf>
    <xf numFmtId="9" fontId="19" fillId="2" borderId="23" xfId="7" applyNumberFormat="1" applyFont="1" applyFill="1" applyBorder="1" applyAlignment="1">
      <alignment vertical="center"/>
    </xf>
    <xf numFmtId="173" fontId="19" fillId="2" borderId="63" xfId="13" applyFont="1" applyFill="1" applyBorder="1">
      <alignment horizontal="left" vertical="top" wrapText="1"/>
      <protection locked="0"/>
    </xf>
    <xf numFmtId="166" fontId="19" fillId="2" borderId="64" xfId="13" applyNumberFormat="1" applyFont="1" applyFill="1" applyBorder="1" applyAlignment="1">
      <alignment horizontal="right" vertical="top" wrapText="1"/>
      <protection locked="0"/>
    </xf>
    <xf numFmtId="173" fontId="19" fillId="2" borderId="65" xfId="13" applyFont="1" applyFill="1" applyBorder="1">
      <alignment horizontal="left" vertical="top" wrapText="1"/>
      <protection locked="0"/>
    </xf>
    <xf numFmtId="166" fontId="19" fillId="2" borderId="66" xfId="13" applyNumberFormat="1" applyFont="1" applyFill="1" applyBorder="1" applyAlignment="1">
      <alignment horizontal="right" vertical="top" wrapText="1"/>
      <protection locked="0"/>
    </xf>
    <xf numFmtId="3" fontId="19" fillId="2" borderId="20" xfId="10" applyFont="1" applyFill="1" applyBorder="1" applyAlignment="1">
      <alignment horizontal="left" vertical="center"/>
    </xf>
    <xf numFmtId="173" fontId="19" fillId="2" borderId="67" xfId="13" applyFont="1" applyFill="1" applyBorder="1">
      <alignment horizontal="left" vertical="top" wrapText="1"/>
      <protection locked="0"/>
    </xf>
    <xf numFmtId="6" fontId="19" fillId="2" borderId="68" xfId="7" applyNumberFormat="1" applyFont="1" applyFill="1" applyBorder="1" applyAlignment="1">
      <alignment horizontal="right" vertical="center"/>
    </xf>
    <xf numFmtId="3" fontId="19" fillId="2" borderId="69" xfId="10" applyFont="1" applyFill="1" applyBorder="1" applyAlignment="1">
      <alignment horizontal="left" vertical="center"/>
    </xf>
    <xf numFmtId="6" fontId="19" fillId="2" borderId="6" xfId="7" applyNumberFormat="1" applyFont="1" applyFill="1" applyBorder="1" applyAlignment="1">
      <alignment vertical="center"/>
    </xf>
    <xf numFmtId="6" fontId="19" fillId="2" borderId="0" xfId="7" applyNumberFormat="1" applyFont="1" applyFill="1" applyBorder="1" applyAlignment="1">
      <alignment horizontal="left" vertical="center"/>
    </xf>
    <xf numFmtId="1" fontId="19" fillId="2" borderId="6" xfId="7" applyNumberFormat="1" applyFont="1" applyFill="1" applyBorder="1" applyAlignment="1">
      <alignment vertical="center"/>
    </xf>
    <xf numFmtId="1" fontId="19" fillId="2" borderId="70" xfId="7" applyNumberFormat="1" applyFont="1" applyFill="1" applyBorder="1" applyAlignment="1">
      <alignment vertical="center"/>
    </xf>
    <xf numFmtId="173" fontId="19" fillId="2" borderId="71" xfId="13" applyFont="1" applyFill="1" applyBorder="1">
      <alignment horizontal="left" vertical="top" wrapText="1"/>
      <protection locked="0"/>
    </xf>
    <xf numFmtId="6" fontId="19" fillId="2" borderId="72" xfId="7" applyNumberFormat="1" applyFont="1" applyFill="1" applyBorder="1" applyAlignment="1">
      <alignment vertical="center"/>
    </xf>
    <xf numFmtId="6" fontId="18" fillId="2" borderId="23" xfId="7" applyNumberFormat="1" applyFont="1" applyFill="1" applyBorder="1" applyAlignment="1" applyProtection="1">
      <alignment vertical="center"/>
    </xf>
    <xf numFmtId="173" fontId="21" fillId="2" borderId="20" xfId="15" applyFont="1" applyFill="1" applyBorder="1" applyAlignment="1">
      <alignment horizontal="left" vertical="center"/>
      <protection locked="0"/>
    </xf>
    <xf numFmtId="5" fontId="19" fillId="2" borderId="20" xfId="10" applyNumberFormat="1" applyFont="1" applyFill="1" applyBorder="1" applyAlignment="1">
      <alignment horizontal="left" vertical="center"/>
    </xf>
    <xf numFmtId="9" fontId="15" fillId="2" borderId="0" xfId="0" applyNumberFormat="1" applyFont="1" applyFill="1" applyAlignment="1">
      <alignment horizontal="left"/>
    </xf>
    <xf numFmtId="0" fontId="28" fillId="2" borderId="23" xfId="0" applyFont="1" applyFill="1" applyBorder="1" applyAlignment="1">
      <alignment horizontal="left"/>
    </xf>
    <xf numFmtId="10" fontId="15" fillId="2" borderId="30" xfId="4" applyNumberFormat="1" applyFont="1" applyFill="1" applyBorder="1" applyAlignment="1">
      <alignment horizontal="center"/>
    </xf>
    <xf numFmtId="10" fontId="19" fillId="0" borderId="31" xfId="0" applyNumberFormat="1" applyFont="1" applyBorder="1"/>
    <xf numFmtId="10" fontId="19" fillId="0" borderId="16" xfId="0" applyNumberFormat="1" applyFont="1" applyBorder="1"/>
    <xf numFmtId="0" fontId="31" fillId="0" borderId="26" xfId="0" applyFont="1" applyBorder="1"/>
    <xf numFmtId="165" fontId="31" fillId="0" borderId="27" xfId="0" applyNumberFormat="1" applyFont="1" applyBorder="1"/>
    <xf numFmtId="165" fontId="32" fillId="0" borderId="0" xfId="0" applyNumberFormat="1" applyFont="1" applyAlignment="1">
      <alignment horizontal="center"/>
    </xf>
    <xf numFmtId="0" fontId="31" fillId="0" borderId="0" xfId="0" applyFont="1"/>
    <xf numFmtId="165" fontId="31" fillId="0" borderId="0" xfId="0" applyNumberFormat="1" applyFont="1"/>
    <xf numFmtId="0" fontId="31" fillId="0" borderId="5" xfId="0" applyFont="1" applyBorder="1"/>
    <xf numFmtId="0" fontId="31" fillId="0" borderId="6" xfId="0" applyFont="1" applyBorder="1" applyAlignment="1">
      <alignment horizontal="center"/>
    </xf>
    <xf numFmtId="9" fontId="31" fillId="0" borderId="5" xfId="4" applyFont="1" applyBorder="1" applyAlignment="1">
      <alignment horizontal="left"/>
    </xf>
    <xf numFmtId="1" fontId="17" fillId="0" borderId="0" xfId="0" applyNumberFormat="1" applyFont="1" applyAlignment="1">
      <alignment horizontal="center"/>
    </xf>
    <xf numFmtId="9" fontId="17" fillId="0" borderId="6" xfId="4" applyFont="1" applyBorder="1"/>
    <xf numFmtId="0" fontId="31" fillId="0" borderId="7" xfId="0" applyFont="1" applyBorder="1"/>
    <xf numFmtId="1" fontId="17" fillId="0" borderId="8" xfId="0" applyNumberFormat="1" applyFont="1" applyBorder="1"/>
    <xf numFmtId="9" fontId="17" fillId="0" borderId="27" xfId="4" applyFont="1" applyBorder="1"/>
    <xf numFmtId="0" fontId="17" fillId="0" borderId="5" xfId="0" applyFont="1" applyBorder="1"/>
    <xf numFmtId="0" fontId="17" fillId="0" borderId="0" xfId="0" applyFont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6" xfId="0" applyFont="1" applyBorder="1"/>
    <xf numFmtId="165" fontId="32" fillId="2" borderId="0" xfId="0" applyNumberFormat="1" applyFont="1" applyFill="1" applyAlignment="1">
      <alignment horizontal="center"/>
    </xf>
    <xf numFmtId="0" fontId="17" fillId="0" borderId="8" xfId="0" applyFont="1" applyBorder="1"/>
    <xf numFmtId="0" fontId="17" fillId="0" borderId="9" xfId="0" applyFont="1" applyBorder="1"/>
    <xf numFmtId="0" fontId="31" fillId="0" borderId="6" xfId="0" applyFont="1" applyBorder="1" applyAlignment="1">
      <alignment wrapText="1"/>
    </xf>
    <xf numFmtId="165" fontId="17" fillId="0" borderId="0" xfId="0" applyNumberFormat="1" applyFont="1" applyAlignment="1">
      <alignment horizontal="center"/>
    </xf>
    <xf numFmtId="0" fontId="30" fillId="2" borderId="0" xfId="0" applyFont="1" applyFill="1"/>
    <xf numFmtId="0" fontId="33" fillId="2" borderId="0" xfId="0" applyFont="1" applyFill="1"/>
    <xf numFmtId="0" fontId="31" fillId="0" borderId="0" xfId="0" applyFont="1" applyAlignment="1">
      <alignment horizontal="center"/>
    </xf>
    <xf numFmtId="9" fontId="31" fillId="0" borderId="0" xfId="4" applyFont="1" applyBorder="1" applyAlignment="1">
      <alignment horizontal="left"/>
    </xf>
    <xf numFmtId="9" fontId="17" fillId="0" borderId="0" xfId="4" applyFont="1" applyBorder="1"/>
    <xf numFmtId="165" fontId="17" fillId="0" borderId="8" xfId="0" applyNumberFormat="1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165" fontId="31" fillId="0" borderId="4" xfId="0" applyNumberFormat="1" applyFont="1" applyBorder="1"/>
    <xf numFmtId="165" fontId="31" fillId="0" borderId="8" xfId="0" applyNumberFormat="1" applyFont="1" applyBorder="1"/>
    <xf numFmtId="0" fontId="31" fillId="0" borderId="8" xfId="0" applyFont="1" applyBorder="1"/>
    <xf numFmtId="41" fontId="31" fillId="0" borderId="9" xfId="0" applyNumberFormat="1" applyFont="1" applyBorder="1"/>
    <xf numFmtId="1" fontId="17" fillId="0" borderId="0" xfId="0" applyNumberFormat="1" applyFont="1"/>
    <xf numFmtId="0" fontId="18" fillId="0" borderId="15" xfId="5" applyFont="1" applyBorder="1" applyAlignment="1">
      <alignment horizontal="center" wrapText="1"/>
    </xf>
    <xf numFmtId="164" fontId="19" fillId="0" borderId="16" xfId="3" applyNumberFormat="1" applyFont="1" applyFill="1" applyBorder="1" applyAlignment="1">
      <alignment horizontal="center"/>
    </xf>
    <xf numFmtId="164" fontId="19" fillId="0" borderId="17" xfId="3" applyNumberFormat="1" applyFont="1" applyFill="1" applyBorder="1"/>
    <xf numFmtId="10" fontId="19" fillId="2" borderId="20" xfId="0" applyNumberFormat="1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19" fillId="2" borderId="1" xfId="0" applyFont="1" applyFill="1" applyBorder="1" applyAlignment="1">
      <alignment horizontal="center"/>
    </xf>
    <xf numFmtId="3" fontId="19" fillId="2" borderId="1" xfId="0" applyNumberFormat="1" applyFont="1" applyFill="1" applyBorder="1" applyAlignment="1">
      <alignment horizontal="center"/>
    </xf>
    <xf numFmtId="0" fontId="19" fillId="2" borderId="0" xfId="0" applyFont="1" applyFill="1"/>
    <xf numFmtId="0" fontId="19" fillId="2" borderId="22" xfId="0" applyFont="1" applyFill="1" applyBorder="1" applyAlignment="1">
      <alignment horizontal="center"/>
    </xf>
    <xf numFmtId="0" fontId="19" fillId="2" borderId="23" xfId="0" applyFont="1" applyFill="1" applyBorder="1" applyAlignment="1">
      <alignment horizontal="center"/>
    </xf>
    <xf numFmtId="164" fontId="19" fillId="2" borderId="17" xfId="3" applyNumberFormat="1" applyFont="1" applyFill="1" applyBorder="1" applyAlignment="1">
      <alignment horizontal="center"/>
    </xf>
    <xf numFmtId="0" fontId="19" fillId="2" borderId="24" xfId="0" applyFont="1" applyFill="1" applyBorder="1"/>
    <xf numFmtId="0" fontId="32" fillId="2" borderId="25" xfId="0" applyFont="1" applyFill="1" applyBorder="1" applyAlignment="1">
      <alignment horizontal="right"/>
    </xf>
    <xf numFmtId="10" fontId="17" fillId="2" borderId="20" xfId="0" applyNumberFormat="1" applyFont="1" applyFill="1" applyBorder="1" applyAlignment="1">
      <alignment horizontal="center"/>
    </xf>
    <xf numFmtId="0" fontId="17" fillId="2" borderId="0" xfId="0" applyFont="1" applyFill="1"/>
    <xf numFmtId="0" fontId="18" fillId="2" borderId="0" xfId="0" applyFont="1" applyFill="1" applyAlignment="1">
      <alignment horizontal="right"/>
    </xf>
    <xf numFmtId="3" fontId="19" fillId="2" borderId="0" xfId="0" applyNumberFormat="1" applyFont="1" applyFill="1" applyAlignment="1">
      <alignment horizontal="center"/>
    </xf>
    <xf numFmtId="0" fontId="17" fillId="2" borderId="28" xfId="0" applyFont="1" applyFill="1" applyBorder="1"/>
    <xf numFmtId="0" fontId="17" fillId="2" borderId="8" xfId="0" applyFont="1" applyFill="1" applyBorder="1"/>
    <xf numFmtId="0" fontId="19" fillId="2" borderId="8" xfId="0" applyFont="1" applyFill="1" applyBorder="1" applyAlignment="1">
      <alignment horizontal="center"/>
    </xf>
    <xf numFmtId="0" fontId="18" fillId="2" borderId="8" xfId="0" applyFont="1" applyFill="1" applyBorder="1" applyAlignment="1">
      <alignment horizontal="right"/>
    </xf>
    <xf numFmtId="0" fontId="17" fillId="0" borderId="26" xfId="0" applyFont="1" applyBorder="1"/>
    <xf numFmtId="0" fontId="17" fillId="0" borderId="21" xfId="0" applyFont="1" applyBorder="1"/>
    <xf numFmtId="0" fontId="32" fillId="2" borderId="21" xfId="0" applyFont="1" applyFill="1" applyBorder="1" applyAlignment="1">
      <alignment horizontal="right" vertical="center"/>
    </xf>
    <xf numFmtId="164" fontId="31" fillId="0" borderId="27" xfId="0" applyNumberFormat="1" applyFont="1" applyBorder="1"/>
    <xf numFmtId="0" fontId="32" fillId="0" borderId="36" xfId="0" applyFont="1" applyBorder="1" applyAlignment="1">
      <alignment horizontal="left"/>
    </xf>
    <xf numFmtId="0" fontId="32" fillId="0" borderId="14" xfId="0" applyFont="1" applyBorder="1" applyAlignment="1">
      <alignment horizontal="left"/>
    </xf>
    <xf numFmtId="0" fontId="29" fillId="0" borderId="14" xfId="0" applyFont="1" applyBorder="1" applyAlignment="1">
      <alignment horizontal="centerContinuous"/>
    </xf>
    <xf numFmtId="0" fontId="19" fillId="0" borderId="14" xfId="0" applyFont="1" applyBorder="1" applyAlignment="1">
      <alignment horizontal="center" wrapText="1"/>
    </xf>
    <xf numFmtId="0" fontId="19" fillId="0" borderId="37" xfId="0" applyFont="1" applyBorder="1" applyAlignment="1">
      <alignment horizontal="center" wrapText="1"/>
    </xf>
    <xf numFmtId="3" fontId="19" fillId="0" borderId="38" xfId="0" applyNumberFormat="1" applyFont="1" applyBorder="1" applyAlignment="1">
      <alignment horizontal="center"/>
    </xf>
    <xf numFmtId="166" fontId="29" fillId="0" borderId="32" xfId="0" applyNumberFormat="1" applyFont="1" applyBorder="1" applyAlignment="1">
      <alignment horizontal="centerContinuous"/>
    </xf>
    <xf numFmtId="166" fontId="29" fillId="0" borderId="29" xfId="0" applyNumberFormat="1" applyFont="1" applyBorder="1" applyAlignment="1">
      <alignment horizontal="centerContinuous"/>
    </xf>
    <xf numFmtId="3" fontId="18" fillId="0" borderId="29" xfId="0" applyNumberFormat="1" applyFont="1" applyBorder="1" applyAlignment="1">
      <alignment horizontal="center"/>
    </xf>
    <xf numFmtId="3" fontId="18" fillId="0" borderId="41" xfId="0" applyNumberFormat="1" applyFont="1" applyBorder="1" applyAlignment="1">
      <alignment horizontal="center"/>
    </xf>
    <xf numFmtId="0" fontId="29" fillId="0" borderId="18" xfId="0" applyFont="1" applyBorder="1" applyAlignment="1">
      <alignment wrapText="1"/>
    </xf>
    <xf numFmtId="0" fontId="29" fillId="0" borderId="16" xfId="0" applyFont="1" applyBorder="1" applyAlignment="1">
      <alignment horizontal="right"/>
    </xf>
    <xf numFmtId="0" fontId="29" fillId="0" borderId="16" xfId="0" applyFont="1" applyBorder="1" applyAlignment="1">
      <alignment horizontal="center" wrapText="1"/>
    </xf>
    <xf numFmtId="0" fontId="19" fillId="0" borderId="16" xfId="0" applyFont="1" applyBorder="1"/>
    <xf numFmtId="0" fontId="19" fillId="2" borderId="17" xfId="0" applyFont="1" applyFill="1" applyBorder="1" applyAlignment="1">
      <alignment wrapText="1"/>
    </xf>
    <xf numFmtId="3" fontId="19" fillId="2" borderId="16" xfId="0" applyNumberFormat="1" applyFont="1" applyFill="1" applyBorder="1" applyAlignment="1">
      <alignment horizontal="center"/>
    </xf>
    <xf numFmtId="5" fontId="29" fillId="0" borderId="16" xfId="0" applyNumberFormat="1" applyFont="1" applyBorder="1" applyAlignment="1">
      <alignment horizontal="right"/>
    </xf>
    <xf numFmtId="0" fontId="19" fillId="2" borderId="17" xfId="0" applyFont="1" applyFill="1" applyBorder="1"/>
    <xf numFmtId="0" fontId="29" fillId="0" borderId="18" xfId="0" applyFont="1" applyBorder="1" applyAlignment="1">
      <alignment horizontal="right"/>
    </xf>
    <xf numFmtId="5" fontId="29" fillId="0" borderId="16" xfId="0" applyNumberFormat="1" applyFont="1" applyBorder="1" applyAlignment="1">
      <alignment horizontal="center"/>
    </xf>
    <xf numFmtId="0" fontId="29" fillId="2" borderId="18" xfId="0" applyFont="1" applyFill="1" applyBorder="1" applyAlignment="1">
      <alignment horizontal="right"/>
    </xf>
    <xf numFmtId="3" fontId="19" fillId="0" borderId="16" xfId="0" applyNumberFormat="1" applyFont="1" applyBorder="1" applyAlignment="1">
      <alignment horizontal="center"/>
    </xf>
    <xf numFmtId="0" fontId="26" fillId="12" borderId="2" xfId="0" applyFont="1" applyFill="1" applyBorder="1"/>
    <xf numFmtId="0" fontId="26" fillId="12" borderId="3" xfId="0" applyFont="1" applyFill="1" applyBorder="1"/>
    <xf numFmtId="0" fontId="26" fillId="12" borderId="4" xfId="0" applyFont="1" applyFill="1" applyBorder="1"/>
    <xf numFmtId="0" fontId="27" fillId="12" borderId="3" xfId="0" applyFont="1" applyFill="1" applyBorder="1"/>
    <xf numFmtId="0" fontId="27" fillId="12" borderId="4" xfId="0" applyFont="1" applyFill="1" applyBorder="1"/>
    <xf numFmtId="0" fontId="26" fillId="12" borderId="10" xfId="0" applyFont="1" applyFill="1" applyBorder="1"/>
    <xf numFmtId="0" fontId="26" fillId="12" borderId="11" xfId="0" applyFont="1" applyFill="1" applyBorder="1"/>
    <xf numFmtId="0" fontId="27" fillId="12" borderId="11" xfId="0" applyFont="1" applyFill="1" applyBorder="1"/>
    <xf numFmtId="0" fontId="27" fillId="12" borderId="12" xfId="0" applyFont="1" applyFill="1" applyBorder="1"/>
    <xf numFmtId="0" fontId="26" fillId="12" borderId="33" xfId="0" applyFont="1" applyFill="1" applyBorder="1"/>
    <xf numFmtId="0" fontId="34" fillId="0" borderId="0" xfId="0" applyFont="1"/>
    <xf numFmtId="169" fontId="18" fillId="0" borderId="0" xfId="8" applyNumberFormat="1" applyFont="1" applyFill="1" applyBorder="1" applyAlignment="1">
      <alignment horizontal="left"/>
    </xf>
    <xf numFmtId="10" fontId="17" fillId="0" borderId="0" xfId="4" applyNumberFormat="1" applyFont="1" applyFill="1" applyAlignment="1">
      <alignment horizontal="right"/>
    </xf>
    <xf numFmtId="169" fontId="17" fillId="0" borderId="0" xfId="8" applyNumberFormat="1" applyFont="1" applyFill="1" applyAlignment="1">
      <alignment horizontal="right"/>
    </xf>
    <xf numFmtId="0" fontId="18" fillId="0" borderId="0" xfId="0" applyFont="1"/>
    <xf numFmtId="169" fontId="18" fillId="0" borderId="0" xfId="8" applyNumberFormat="1" applyFont="1" applyFill="1" applyBorder="1" applyAlignment="1">
      <alignment horizontal="right"/>
    </xf>
    <xf numFmtId="0" fontId="18" fillId="0" borderId="26" xfId="0" applyFont="1" applyBorder="1" applyAlignment="1">
      <alignment horizontal="center"/>
    </xf>
    <xf numFmtId="169" fontId="29" fillId="0" borderId="27" xfId="9" applyNumberFormat="1" applyFont="1" applyFill="1" applyBorder="1" applyAlignment="1" applyProtection="1">
      <alignment horizontal="center"/>
    </xf>
    <xf numFmtId="0" fontId="17" fillId="0" borderId="48" xfId="0" applyFont="1" applyBorder="1"/>
    <xf numFmtId="169" fontId="17" fillId="0" borderId="48" xfId="8" applyNumberFormat="1" applyFont="1" applyFill="1" applyBorder="1" applyAlignment="1">
      <alignment horizontal="right"/>
    </xf>
    <xf numFmtId="10" fontId="17" fillId="0" borderId="48" xfId="4" applyNumberFormat="1" applyFont="1" applyFill="1" applyBorder="1" applyAlignment="1">
      <alignment horizontal="right"/>
    </xf>
    <xf numFmtId="0" fontId="30" fillId="11" borderId="49" xfId="0" applyFont="1" applyFill="1" applyBorder="1" applyAlignment="1">
      <alignment horizontal="left"/>
    </xf>
    <xf numFmtId="0" fontId="30" fillId="11" borderId="49" xfId="0" applyFont="1" applyFill="1" applyBorder="1" applyAlignment="1">
      <alignment horizontal="right"/>
    </xf>
    <xf numFmtId="0" fontId="33" fillId="11" borderId="49" xfId="0" applyFont="1" applyFill="1" applyBorder="1" applyAlignment="1">
      <alignment horizontal="right"/>
    </xf>
    <xf numFmtId="0" fontId="17" fillId="0" borderId="1" xfId="0" applyFont="1" applyBorder="1" applyAlignment="1">
      <alignment horizontal="left"/>
    </xf>
    <xf numFmtId="166" fontId="19" fillId="0" borderId="1" xfId="8" applyNumberFormat="1" applyFont="1" applyFill="1" applyBorder="1" applyAlignment="1">
      <alignment horizontal="right"/>
    </xf>
    <xf numFmtId="9" fontId="19" fillId="0" borderId="1" xfId="4" applyFont="1" applyFill="1" applyBorder="1" applyAlignment="1">
      <alignment horizontal="right"/>
    </xf>
    <xf numFmtId="167" fontId="17" fillId="0" borderId="0" xfId="0" applyNumberFormat="1" applyFont="1"/>
    <xf numFmtId="0" fontId="31" fillId="0" borderId="1" xfId="0" applyFont="1" applyBorder="1" applyAlignment="1">
      <alignment horizontal="left"/>
    </xf>
    <xf numFmtId="166" fontId="18" fillId="0" borderId="1" xfId="8" applyNumberFormat="1" applyFont="1" applyFill="1" applyBorder="1" applyAlignment="1">
      <alignment horizontal="right"/>
    </xf>
    <xf numFmtId="9" fontId="18" fillId="0" borderId="1" xfId="4" applyFont="1" applyFill="1" applyBorder="1" applyAlignment="1">
      <alignment horizontal="right"/>
    </xf>
    <xf numFmtId="166" fontId="17" fillId="0" borderId="0" xfId="8" applyNumberFormat="1" applyFont="1" applyFill="1" applyBorder="1" applyAlignment="1">
      <alignment horizontal="right"/>
    </xf>
    <xf numFmtId="169" fontId="17" fillId="0" borderId="0" xfId="8" applyNumberFormat="1" applyFont="1" applyFill="1" applyBorder="1" applyAlignment="1">
      <alignment horizontal="right"/>
    </xf>
    <xf numFmtId="0" fontId="19" fillId="0" borderId="1" xfId="0" applyFont="1" applyBorder="1" applyAlignment="1">
      <alignment horizontal="left"/>
    </xf>
    <xf numFmtId="166" fontId="19" fillId="0" borderId="1" xfId="0" applyNumberFormat="1" applyFont="1" applyBorder="1" applyAlignment="1">
      <alignment horizontal="right"/>
    </xf>
    <xf numFmtId="0" fontId="17" fillId="0" borderId="50" xfId="0" applyFont="1" applyBorder="1"/>
    <xf numFmtId="166" fontId="17" fillId="0" borderId="50" xfId="8" applyNumberFormat="1" applyFont="1" applyFill="1" applyBorder="1" applyAlignment="1">
      <alignment horizontal="right"/>
    </xf>
    <xf numFmtId="166" fontId="17" fillId="0" borderId="50" xfId="4" applyNumberFormat="1" applyFont="1" applyFill="1" applyBorder="1" applyAlignment="1">
      <alignment horizontal="right"/>
    </xf>
    <xf numFmtId="169" fontId="17" fillId="0" borderId="50" xfId="8" applyNumberFormat="1" applyFont="1" applyFill="1" applyBorder="1" applyAlignment="1">
      <alignment horizontal="right"/>
    </xf>
    <xf numFmtId="166" fontId="17" fillId="0" borderId="1" xfId="8" applyNumberFormat="1" applyFont="1" applyFill="1" applyBorder="1" applyAlignment="1">
      <alignment horizontal="right"/>
    </xf>
    <xf numFmtId="9" fontId="17" fillId="0" borderId="1" xfId="4" applyFont="1" applyFill="1" applyBorder="1" applyAlignment="1">
      <alignment horizontal="right"/>
    </xf>
    <xf numFmtId="0" fontId="23" fillId="0" borderId="0" xfId="0" applyFont="1"/>
    <xf numFmtId="17" fontId="23" fillId="0" borderId="0" xfId="0" applyNumberFormat="1" applyFont="1"/>
    <xf numFmtId="166" fontId="17" fillId="0" borderId="0" xfId="0" applyNumberFormat="1" applyFont="1"/>
    <xf numFmtId="0" fontId="24" fillId="0" borderId="0" xfId="0" applyFont="1"/>
    <xf numFmtId="41" fontId="15" fillId="2" borderId="0" xfId="0" applyNumberFormat="1" applyFont="1" applyFill="1" applyAlignment="1">
      <alignment horizontal="right"/>
    </xf>
    <xf numFmtId="10" fontId="15" fillId="0" borderId="0" xfId="0" applyNumberFormat="1" applyFont="1" applyAlignment="1">
      <alignment horizontal="left"/>
    </xf>
    <xf numFmtId="9" fontId="17" fillId="0" borderId="0" xfId="4" applyFont="1"/>
    <xf numFmtId="9" fontId="17" fillId="0" borderId="0" xfId="0" applyNumberFormat="1" applyFont="1"/>
    <xf numFmtId="0" fontId="37" fillId="0" borderId="27" xfId="0" applyFont="1" applyBorder="1" applyAlignment="1">
      <alignment horizontal="right"/>
    </xf>
    <xf numFmtId="0" fontId="38" fillId="0" borderId="0" xfId="0" applyFont="1"/>
    <xf numFmtId="0" fontId="39" fillId="12" borderId="2" xfId="0" applyFont="1" applyFill="1" applyBorder="1"/>
    <xf numFmtId="0" fontId="40" fillId="12" borderId="3" xfId="0" applyFont="1" applyFill="1" applyBorder="1"/>
    <xf numFmtId="0" fontId="40" fillId="12" borderId="4" xfId="0" applyFont="1" applyFill="1" applyBorder="1"/>
    <xf numFmtId="0" fontId="38" fillId="0" borderId="26" xfId="0" applyFont="1" applyBorder="1"/>
    <xf numFmtId="0" fontId="37" fillId="0" borderId="21" xfId="0" applyFont="1" applyBorder="1"/>
    <xf numFmtId="0" fontId="38" fillId="0" borderId="5" xfId="0" applyFont="1" applyBorder="1"/>
    <xf numFmtId="166" fontId="38" fillId="0" borderId="0" xfId="3" applyNumberFormat="1" applyFont="1" applyBorder="1" applyAlignment="1">
      <alignment vertical="center"/>
    </xf>
    <xf numFmtId="9" fontId="41" fillId="0" borderId="6" xfId="4" applyFont="1" applyBorder="1"/>
    <xf numFmtId="5" fontId="38" fillId="0" borderId="0" xfId="0" applyNumberFormat="1" applyFont="1" applyAlignment="1">
      <alignment vertical="center"/>
    </xf>
    <xf numFmtId="0" fontId="37" fillId="0" borderId="5" xfId="0" applyFont="1" applyBorder="1"/>
    <xf numFmtId="5" fontId="37" fillId="0" borderId="0" xfId="0" applyNumberFormat="1" applyFont="1" applyAlignment="1">
      <alignment vertical="center"/>
    </xf>
    <xf numFmtId="9" fontId="38" fillId="0" borderId="6" xfId="0" applyNumberFormat="1" applyFont="1" applyBorder="1"/>
    <xf numFmtId="0" fontId="38" fillId="0" borderId="6" xfId="0" applyFont="1" applyBorder="1"/>
    <xf numFmtId="0" fontId="38" fillId="0" borderId="7" xfId="0" applyFont="1" applyBorder="1"/>
    <xf numFmtId="5" fontId="38" fillId="0" borderId="8" xfId="0" applyNumberFormat="1" applyFont="1" applyBorder="1" applyAlignment="1">
      <alignment vertical="center"/>
    </xf>
    <xf numFmtId="0" fontId="38" fillId="0" borderId="9" xfId="0" applyFont="1" applyBorder="1"/>
    <xf numFmtId="0" fontId="39" fillId="12" borderId="3" xfId="0" applyFont="1" applyFill="1" applyBorder="1"/>
    <xf numFmtId="0" fontId="39" fillId="12" borderId="4" xfId="0" applyFont="1" applyFill="1" applyBorder="1"/>
    <xf numFmtId="0" fontId="37" fillId="0" borderId="9" xfId="0" applyFont="1" applyBorder="1"/>
    <xf numFmtId="0" fontId="37" fillId="0" borderId="7" xfId="0" applyFont="1" applyBorder="1"/>
    <xf numFmtId="10" fontId="38" fillId="0" borderId="6" xfId="0" applyNumberFormat="1" applyFont="1" applyBorder="1"/>
    <xf numFmtId="10" fontId="37" fillId="0" borderId="9" xfId="0" applyNumberFormat="1" applyFont="1" applyBorder="1"/>
    <xf numFmtId="0" fontId="37" fillId="0" borderId="0" xfId="0" applyFont="1"/>
    <xf numFmtId="10" fontId="37" fillId="0" borderId="0" xfId="0" applyNumberFormat="1" applyFont="1"/>
    <xf numFmtId="10" fontId="38" fillId="0" borderId="9" xfId="0" applyNumberFormat="1" applyFont="1" applyBorder="1"/>
    <xf numFmtId="0" fontId="37" fillId="0" borderId="8" xfId="0" applyFont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 wrapText="1"/>
    </xf>
    <xf numFmtId="0" fontId="37" fillId="0" borderId="2" xfId="0" applyFont="1" applyBorder="1"/>
    <xf numFmtId="171" fontId="38" fillId="0" borderId="3" xfId="0" applyNumberFormat="1" applyFont="1" applyBorder="1"/>
    <xf numFmtId="10" fontId="38" fillId="0" borderId="3" xfId="0" applyNumberFormat="1" applyFont="1" applyBorder="1"/>
    <xf numFmtId="0" fontId="38" fillId="0" borderId="3" xfId="0" applyFont="1" applyBorder="1"/>
    <xf numFmtId="5" fontId="38" fillId="0" borderId="0" xfId="0" applyNumberFormat="1" applyFont="1"/>
    <xf numFmtId="10" fontId="38" fillId="0" borderId="0" xfId="0" applyNumberFormat="1" applyFont="1"/>
    <xf numFmtId="171" fontId="38" fillId="0" borderId="0" xfId="0" applyNumberFormat="1" applyFont="1"/>
    <xf numFmtId="5" fontId="38" fillId="0" borderId="8" xfId="0" applyNumberFormat="1" applyFont="1" applyBorder="1"/>
    <xf numFmtId="10" fontId="38" fillId="0" borderId="8" xfId="0" applyNumberFormat="1" applyFont="1" applyBorder="1"/>
    <xf numFmtId="171" fontId="38" fillId="0" borderId="8" xfId="0" applyNumberFormat="1" applyFont="1" applyBorder="1"/>
    <xf numFmtId="0" fontId="38" fillId="0" borderId="8" xfId="0" applyFont="1" applyBorder="1"/>
    <xf numFmtId="5" fontId="38" fillId="0" borderId="6" xfId="0" applyNumberFormat="1" applyFont="1" applyBorder="1"/>
    <xf numFmtId="5" fontId="38" fillId="0" borderId="9" xfId="0" applyNumberFormat="1" applyFont="1" applyBorder="1"/>
    <xf numFmtId="0" fontId="38" fillId="0" borderId="2" xfId="0" applyFont="1" applyBorder="1"/>
    <xf numFmtId="0" fontId="31" fillId="0" borderId="2" xfId="0" applyFont="1" applyBorder="1"/>
    <xf numFmtId="0" fontId="17" fillId="0" borderId="3" xfId="0" applyFont="1" applyBorder="1"/>
    <xf numFmtId="0" fontId="17" fillId="0" borderId="4" xfId="0" applyFont="1" applyBorder="1"/>
    <xf numFmtId="37" fontId="32" fillId="2" borderId="0" xfId="0" applyNumberFormat="1" applyFont="1" applyFill="1"/>
    <xf numFmtId="5" fontId="23" fillId="0" borderId="0" xfId="0" applyNumberFormat="1" applyFont="1"/>
    <xf numFmtId="0" fontId="17" fillId="0" borderId="7" xfId="0" applyFont="1" applyBorder="1"/>
    <xf numFmtId="165" fontId="22" fillId="2" borderId="0" xfId="0" applyNumberFormat="1" applyFont="1" applyFill="1"/>
    <xf numFmtId="0" fontId="16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8" fillId="2" borderId="13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 wrapText="1"/>
    </xf>
    <xf numFmtId="0" fontId="18" fillId="2" borderId="14" xfId="5" applyFont="1" applyFill="1" applyBorder="1" applyAlignment="1">
      <alignment horizontal="center" wrapText="1"/>
    </xf>
    <xf numFmtId="3" fontId="19" fillId="2" borderId="13" xfId="0" applyNumberFormat="1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9" fontId="19" fillId="2" borderId="16" xfId="0" applyNumberFormat="1" applyFont="1" applyFill="1" applyBorder="1" applyAlignment="1">
      <alignment horizontal="center"/>
    </xf>
    <xf numFmtId="3" fontId="19" fillId="2" borderId="14" xfId="0" applyNumberFormat="1" applyFont="1" applyFill="1" applyBorder="1" applyAlignment="1">
      <alignment horizontal="center"/>
    </xf>
    <xf numFmtId="164" fontId="19" fillId="2" borderId="16" xfId="3" applyNumberFormat="1" applyFont="1" applyFill="1" applyBorder="1" applyAlignment="1">
      <alignment horizontal="center"/>
    </xf>
    <xf numFmtId="164" fontId="19" fillId="2" borderId="16" xfId="3" applyNumberFormat="1" applyFont="1" applyFill="1" applyBorder="1"/>
    <xf numFmtId="164" fontId="19" fillId="2" borderId="19" xfId="3" applyNumberFormat="1" applyFont="1" applyFill="1" applyBorder="1" applyAlignment="1">
      <alignment horizontal="center"/>
    </xf>
    <xf numFmtId="1" fontId="19" fillId="2" borderId="29" xfId="0" applyNumberFormat="1" applyFont="1" applyFill="1" applyBorder="1" applyAlignment="1">
      <alignment horizontal="center"/>
    </xf>
    <xf numFmtId="0" fontId="17" fillId="2" borderId="26" xfId="0" applyFont="1" applyFill="1" applyBorder="1"/>
    <xf numFmtId="0" fontId="17" fillId="2" borderId="21" xfId="0" applyFont="1" applyFill="1" applyBorder="1"/>
    <xf numFmtId="0" fontId="17" fillId="2" borderId="27" xfId="0" applyFont="1" applyFill="1" applyBorder="1"/>
    <xf numFmtId="165" fontId="26" fillId="12" borderId="0" xfId="0" applyNumberFormat="1" applyFont="1" applyFill="1" applyAlignment="1">
      <alignment horizontal="center"/>
    </xf>
    <xf numFmtId="0" fontId="23" fillId="2" borderId="0" xfId="0" applyFont="1" applyFill="1"/>
    <xf numFmtId="165" fontId="26" fillId="12" borderId="2" xfId="0" applyNumberFormat="1" applyFont="1" applyFill="1" applyBorder="1" applyAlignment="1">
      <alignment horizontal="center"/>
    </xf>
    <xf numFmtId="165" fontId="26" fillId="12" borderId="4" xfId="0" applyNumberFormat="1" applyFont="1" applyFill="1" applyBorder="1" applyAlignment="1">
      <alignment horizontal="center"/>
    </xf>
    <xf numFmtId="0" fontId="23" fillId="0" borderId="6" xfId="0" applyFont="1" applyBorder="1"/>
    <xf numFmtId="165" fontId="26" fillId="12" borderId="2" xfId="0" applyNumberFormat="1" applyFont="1" applyFill="1" applyBorder="1" applyAlignment="1">
      <alignment horizontal="left"/>
    </xf>
    <xf numFmtId="3" fontId="18" fillId="2" borderId="29" xfId="0" applyNumberFormat="1" applyFont="1" applyFill="1" applyBorder="1"/>
    <xf numFmtId="0" fontId="17" fillId="3" borderId="0" xfId="0" applyFont="1" applyFill="1"/>
    <xf numFmtId="17" fontId="17" fillId="0" borderId="0" xfId="0" applyNumberFormat="1" applyFont="1"/>
    <xf numFmtId="0" fontId="23" fillId="0" borderId="5" xfId="0" applyFont="1" applyBorder="1"/>
    <xf numFmtId="17" fontId="23" fillId="0" borderId="6" xfId="0" applyNumberFormat="1" applyFont="1" applyBorder="1"/>
    <xf numFmtId="0" fontId="24" fillId="0" borderId="7" xfId="0" applyFont="1" applyBorder="1"/>
    <xf numFmtId="165" fontId="26" fillId="2" borderId="5" xfId="0" applyNumberFormat="1" applyFont="1" applyFill="1" applyBorder="1" applyAlignment="1">
      <alignment horizontal="left"/>
    </xf>
    <xf numFmtId="165" fontId="26" fillId="2" borderId="6" xfId="0" applyNumberFormat="1" applyFont="1" applyFill="1" applyBorder="1" applyAlignment="1">
      <alignment horizontal="center"/>
    </xf>
    <xf numFmtId="165" fontId="26" fillId="2" borderId="0" xfId="0" applyNumberFormat="1" applyFont="1" applyFill="1" applyAlignment="1">
      <alignment horizontal="center"/>
    </xf>
    <xf numFmtId="165" fontId="26" fillId="12" borderId="3" xfId="0" applyNumberFormat="1" applyFont="1" applyFill="1" applyBorder="1" applyAlignment="1">
      <alignment horizontal="center"/>
    </xf>
    <xf numFmtId="0" fontId="23" fillId="0" borderId="9" xfId="0" applyFont="1" applyBorder="1"/>
    <xf numFmtId="0" fontId="29" fillId="0" borderId="0" xfId="0" applyFont="1" applyAlignment="1">
      <alignment wrapText="1"/>
    </xf>
    <xf numFmtId="5" fontId="29" fillId="0" borderId="0" xfId="0" applyNumberFormat="1" applyFont="1" applyAlignment="1">
      <alignment horizontal="right"/>
    </xf>
    <xf numFmtId="0" fontId="30" fillId="12" borderId="73" xfId="0" applyFont="1" applyFill="1" applyBorder="1" applyAlignment="1">
      <alignment horizontal="left"/>
    </xf>
    <xf numFmtId="0" fontId="30" fillId="12" borderId="74" xfId="0" applyFont="1" applyFill="1" applyBorder="1" applyAlignment="1">
      <alignment horizontal="left"/>
    </xf>
    <xf numFmtId="0" fontId="33" fillId="12" borderId="74" xfId="0" applyFont="1" applyFill="1" applyBorder="1" applyAlignment="1">
      <alignment horizontal="centerContinuous"/>
    </xf>
    <xf numFmtId="0" fontId="33" fillId="12" borderId="3" xfId="0" applyFont="1" applyFill="1" applyBorder="1" applyAlignment="1">
      <alignment horizontal="center"/>
    </xf>
    <xf numFmtId="0" fontId="33" fillId="12" borderId="74" xfId="0" applyFont="1" applyFill="1" applyBorder="1" applyAlignment="1">
      <alignment horizontal="center" wrapText="1"/>
    </xf>
    <xf numFmtId="0" fontId="33" fillId="12" borderId="75" xfId="0" applyFont="1" applyFill="1" applyBorder="1" applyAlignment="1">
      <alignment horizontal="center" wrapText="1"/>
    </xf>
    <xf numFmtId="0" fontId="19" fillId="0" borderId="46" xfId="0" applyFont="1" applyBorder="1"/>
    <xf numFmtId="0" fontId="19" fillId="0" borderId="29" xfId="0" applyFont="1" applyBorder="1"/>
    <xf numFmtId="0" fontId="29" fillId="0" borderId="29" xfId="0" applyFont="1" applyBorder="1"/>
    <xf numFmtId="0" fontId="32" fillId="0" borderId="29" xfId="0" applyFont="1" applyBorder="1" applyAlignment="1">
      <alignment horizontal="right"/>
    </xf>
    <xf numFmtId="5" fontId="32" fillId="0" borderId="29" xfId="0" applyNumberFormat="1" applyFont="1" applyBorder="1"/>
    <xf numFmtId="10" fontId="29" fillId="2" borderId="47" xfId="0" applyNumberFormat="1" applyFont="1" applyFill="1" applyBorder="1" applyAlignment="1">
      <alignment horizontal="right"/>
    </xf>
    <xf numFmtId="0" fontId="26" fillId="12" borderId="76" xfId="0" applyFont="1" applyFill="1" applyBorder="1"/>
    <xf numFmtId="37" fontId="27" fillId="12" borderId="11" xfId="0" applyNumberFormat="1" applyFont="1" applyFill="1" applyBorder="1"/>
    <xf numFmtId="165" fontId="32" fillId="2" borderId="5" xfId="0" applyNumberFormat="1" applyFont="1" applyFill="1" applyBorder="1" applyAlignment="1">
      <alignment horizontal="right"/>
    </xf>
    <xf numFmtId="165" fontId="32" fillId="0" borderId="7" xfId="0" applyNumberFormat="1" applyFont="1" applyBorder="1" applyAlignment="1">
      <alignment horizontal="right"/>
    </xf>
    <xf numFmtId="165" fontId="32" fillId="2" borderId="7" xfId="0" applyNumberFormat="1" applyFont="1" applyFill="1" applyBorder="1" applyAlignment="1">
      <alignment horizontal="right"/>
    </xf>
    <xf numFmtId="0" fontId="30" fillId="16" borderId="0" xfId="0" applyFont="1" applyFill="1"/>
    <xf numFmtId="17" fontId="30" fillId="16" borderId="0" xfId="0" applyNumberFormat="1" applyFont="1" applyFill="1"/>
    <xf numFmtId="0" fontId="34" fillId="4" borderId="0" xfId="0" applyFont="1" applyFill="1" applyAlignment="1">
      <alignment horizontal="center"/>
    </xf>
    <xf numFmtId="10" fontId="17" fillId="0" borderId="0" xfId="4" applyNumberFormat="1" applyFont="1"/>
    <xf numFmtId="164" fontId="17" fillId="0" borderId="0" xfId="0" applyNumberFormat="1" applyFont="1"/>
    <xf numFmtId="9" fontId="31" fillId="0" borderId="6" xfId="4" applyFont="1" applyBorder="1"/>
    <xf numFmtId="0" fontId="34" fillId="0" borderId="8" xfId="0" applyFont="1" applyBorder="1"/>
    <xf numFmtId="165" fontId="30" fillId="12" borderId="4" xfId="0" applyNumberFormat="1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3" fillId="0" borderId="8" xfId="0" applyFont="1" applyBorder="1" applyAlignment="1">
      <alignment horizontal="center"/>
    </xf>
    <xf numFmtId="9" fontId="17" fillId="0" borderId="9" xfId="4" applyFont="1" applyBorder="1"/>
    <xf numFmtId="0" fontId="43" fillId="4" borderId="0" xfId="0" applyFont="1" applyFill="1"/>
    <xf numFmtId="0" fontId="44" fillId="4" borderId="0" xfId="0" applyFont="1" applyFill="1"/>
    <xf numFmtId="0" fontId="45" fillId="4" borderId="0" xfId="0" applyFont="1" applyFill="1"/>
    <xf numFmtId="9" fontId="17" fillId="2" borderId="6" xfId="4" applyFont="1" applyFill="1" applyBorder="1"/>
    <xf numFmtId="0" fontId="31" fillId="0" borderId="5" xfId="0" applyFont="1" applyBorder="1" applyAlignment="1">
      <alignment horizontal="center"/>
    </xf>
    <xf numFmtId="165" fontId="29" fillId="0" borderId="0" xfId="0" applyNumberFormat="1" applyFont="1" applyAlignment="1">
      <alignment horizontal="center"/>
    </xf>
    <xf numFmtId="0" fontId="23" fillId="0" borderId="8" xfId="0" applyFont="1" applyBorder="1"/>
    <xf numFmtId="0" fontId="17" fillId="0" borderId="77" xfId="0" applyFont="1" applyBorder="1"/>
    <xf numFmtId="0" fontId="17" fillId="0" borderId="78" xfId="0" applyFont="1" applyBorder="1"/>
    <xf numFmtId="0" fontId="17" fillId="0" borderId="79" xfId="0" applyFont="1" applyBorder="1"/>
    <xf numFmtId="3" fontId="30" fillId="17" borderId="0" xfId="0" applyNumberFormat="1" applyFont="1" applyFill="1"/>
    <xf numFmtId="3" fontId="33" fillId="17" borderId="0" xfId="0" applyNumberFormat="1" applyFont="1" applyFill="1" applyAlignment="1">
      <alignment horizontal="center"/>
    </xf>
    <xf numFmtId="0" fontId="46" fillId="0" borderId="78" xfId="0" applyFont="1" applyBorder="1"/>
    <xf numFmtId="3" fontId="47" fillId="17" borderId="0" xfId="0" applyNumberFormat="1" applyFont="1" applyFill="1"/>
    <xf numFmtId="3" fontId="48" fillId="17" borderId="0" xfId="0" applyNumberFormat="1" applyFont="1" applyFill="1" applyAlignment="1">
      <alignment horizontal="center"/>
    </xf>
    <xf numFmtId="0" fontId="46" fillId="0" borderId="79" xfId="0" applyFont="1" applyBorder="1"/>
    <xf numFmtId="0" fontId="46" fillId="0" borderId="0" xfId="0" applyFont="1"/>
    <xf numFmtId="0" fontId="49" fillId="0" borderId="78" xfId="0" applyFont="1" applyBorder="1"/>
    <xf numFmtId="175" fontId="50" fillId="17" borderId="0" xfId="0" applyNumberFormat="1" applyFont="1" applyFill="1" applyAlignment="1">
      <alignment horizontal="left"/>
    </xf>
    <xf numFmtId="3" fontId="51" fillId="17" borderId="0" xfId="0" applyNumberFormat="1" applyFont="1" applyFill="1" applyAlignment="1">
      <alignment horizontal="center"/>
    </xf>
    <xf numFmtId="0" fontId="49" fillId="0" borderId="79" xfId="0" applyFont="1" applyBorder="1"/>
    <xf numFmtId="0" fontId="49" fillId="0" borderId="0" xfId="0" applyFont="1"/>
    <xf numFmtId="175" fontId="52" fillId="17" borderId="0" xfId="0" applyNumberFormat="1" applyFont="1" applyFill="1" applyAlignment="1">
      <alignment horizontal="left"/>
    </xf>
    <xf numFmtId="3" fontId="52" fillId="17" borderId="0" xfId="0" applyNumberFormat="1" applyFont="1" applyFill="1" applyAlignment="1">
      <alignment horizontal="right"/>
    </xf>
    <xf numFmtId="3" fontId="17" fillId="0" borderId="0" xfId="0" applyNumberFormat="1" applyFont="1"/>
    <xf numFmtId="3" fontId="53" fillId="0" borderId="0" xfId="0" applyNumberFormat="1" applyFont="1" applyAlignment="1">
      <alignment horizontal="center"/>
    </xf>
    <xf numFmtId="176" fontId="30" fillId="0" borderId="0" xfId="0" applyNumberFormat="1" applyFont="1" applyAlignment="1">
      <alignment horizontal="center"/>
    </xf>
    <xf numFmtId="3" fontId="30" fillId="17" borderId="80" xfId="0" applyNumberFormat="1" applyFont="1" applyFill="1" applyBorder="1"/>
    <xf numFmtId="3" fontId="30" fillId="17" borderId="80" xfId="0" applyNumberFormat="1" applyFont="1" applyFill="1" applyBorder="1" applyAlignment="1">
      <alignment horizontal="left"/>
    </xf>
    <xf numFmtId="3" fontId="30" fillId="17" borderId="80" xfId="0" applyNumberFormat="1" applyFont="1" applyFill="1" applyBorder="1" applyAlignment="1">
      <alignment horizontal="center"/>
    </xf>
    <xf numFmtId="3" fontId="30" fillId="17" borderId="0" xfId="0" applyNumberFormat="1" applyFont="1" applyFill="1" applyAlignment="1">
      <alignment horizontal="center"/>
    </xf>
    <xf numFmtId="37" fontId="54" fillId="0" borderId="0" xfId="0" applyNumberFormat="1" applyFont="1"/>
    <xf numFmtId="0" fontId="55" fillId="0" borderId="0" xfId="0" applyFont="1"/>
    <xf numFmtId="0" fontId="34" fillId="0" borderId="78" xfId="0" applyFont="1" applyBorder="1"/>
    <xf numFmtId="3" fontId="56" fillId="18" borderId="0" xfId="0" applyNumberFormat="1" applyFont="1" applyFill="1"/>
    <xf numFmtId="37" fontId="56" fillId="18" borderId="0" xfId="0" applyNumberFormat="1" applyFont="1" applyFill="1" applyAlignment="1">
      <alignment horizontal="center"/>
    </xf>
    <xf numFmtId="0" fontId="34" fillId="0" borderId="79" xfId="0" applyFont="1" applyBorder="1"/>
    <xf numFmtId="3" fontId="35" fillId="2" borderId="0" xfId="0" applyNumberFormat="1" applyFont="1" applyFill="1"/>
    <xf numFmtId="37" fontId="35" fillId="2" borderId="0" xfId="0" applyNumberFormat="1" applyFont="1" applyFill="1" applyAlignment="1">
      <alignment horizontal="center"/>
    </xf>
    <xf numFmtId="0" fontId="36" fillId="0" borderId="79" xfId="0" applyFont="1" applyBorder="1"/>
    <xf numFmtId="0" fontId="36" fillId="0" borderId="0" xfId="0" applyFont="1"/>
    <xf numFmtId="0" fontId="57" fillId="4" borderId="0" xfId="0" applyFont="1" applyFill="1" applyAlignment="1">
      <alignment horizontal="left"/>
    </xf>
    <xf numFmtId="0" fontId="57" fillId="4" borderId="0" xfId="0" applyFont="1" applyFill="1" applyAlignment="1">
      <alignment horizontal="center"/>
    </xf>
    <xf numFmtId="0" fontId="57" fillId="4" borderId="0" xfId="0" applyFont="1" applyFill="1"/>
    <xf numFmtId="0" fontId="17" fillId="0" borderId="81" xfId="0" applyFont="1" applyBorder="1"/>
    <xf numFmtId="0" fontId="17" fillId="0" borderId="82" xfId="0" applyFont="1" applyBorder="1"/>
    <xf numFmtId="0" fontId="58" fillId="4" borderId="0" xfId="0" applyFont="1" applyFill="1"/>
    <xf numFmtId="0" fontId="30" fillId="12" borderId="0" xfId="0" applyFont="1" applyFill="1"/>
    <xf numFmtId="9" fontId="17" fillId="0" borderId="8" xfId="4" applyFont="1" applyBorder="1"/>
    <xf numFmtId="0" fontId="26" fillId="12" borderId="0" xfId="0" applyFont="1" applyFill="1"/>
    <xf numFmtId="0" fontId="27" fillId="12" borderId="0" xfId="0" applyFont="1" applyFill="1"/>
    <xf numFmtId="165" fontId="26" fillId="12" borderId="0" xfId="0" applyNumberFormat="1" applyFont="1" applyFill="1" applyAlignment="1">
      <alignment horizontal="left"/>
    </xf>
    <xf numFmtId="0" fontId="29" fillId="2" borderId="0" xfId="0" applyFont="1" applyFill="1" applyAlignment="1">
      <alignment horizontal="right"/>
    </xf>
    <xf numFmtId="9" fontId="17" fillId="0" borderId="0" xfId="4" applyFont="1" applyBorder="1" applyAlignment="1">
      <alignment horizontal="center"/>
    </xf>
    <xf numFmtId="0" fontId="17" fillId="0" borderId="0" xfId="0" applyFont="1" applyAlignment="1">
      <alignment horizontal="right"/>
    </xf>
    <xf numFmtId="0" fontId="44" fillId="4" borderId="6" xfId="0" applyFont="1" applyFill="1" applyBorder="1"/>
    <xf numFmtId="0" fontId="44" fillId="4" borderId="8" xfId="0" applyFont="1" applyFill="1" applyBorder="1"/>
    <xf numFmtId="0" fontId="44" fillId="4" borderId="9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vertical="center"/>
    </xf>
    <xf numFmtId="0" fontId="44" fillId="2" borderId="0" xfId="0" applyFont="1" applyFill="1"/>
    <xf numFmtId="0" fontId="45" fillId="2" borderId="0" xfId="0" applyFont="1" applyFill="1"/>
    <xf numFmtId="164" fontId="44" fillId="4" borderId="14" xfId="3" applyNumberFormat="1" applyFont="1" applyFill="1" applyBorder="1"/>
    <xf numFmtId="164" fontId="44" fillId="4" borderId="16" xfId="3" applyNumberFormat="1" applyFont="1" applyFill="1" applyBorder="1"/>
    <xf numFmtId="41" fontId="31" fillId="0" borderId="0" xfId="0" applyNumberFormat="1" applyFont="1"/>
    <xf numFmtId="9" fontId="58" fillId="4" borderId="0" xfId="0" applyNumberFormat="1" applyFont="1" applyFill="1"/>
    <xf numFmtId="2" fontId="17" fillId="0" borderId="0" xfId="0" applyNumberFormat="1" applyFont="1"/>
    <xf numFmtId="9" fontId="31" fillId="0" borderId="0" xfId="0" applyNumberFormat="1" applyFont="1"/>
    <xf numFmtId="1" fontId="58" fillId="4" borderId="0" xfId="0" applyNumberFormat="1" applyFont="1" applyFill="1" applyAlignment="1">
      <alignment horizontal="right"/>
    </xf>
    <xf numFmtId="0" fontId="60" fillId="4" borderId="0" xfId="0" applyFont="1" applyFill="1" applyAlignment="1">
      <alignment horizontal="left"/>
    </xf>
    <xf numFmtId="0" fontId="60" fillId="4" borderId="0" xfId="0" applyFont="1" applyFill="1" applyAlignment="1">
      <alignment horizontal="center"/>
    </xf>
    <xf numFmtId="0" fontId="60" fillId="4" borderId="0" xfId="0" applyFont="1" applyFill="1"/>
    <xf numFmtId="0" fontId="60" fillId="4" borderId="0" xfId="0" applyFont="1" applyFill="1" applyAlignment="1">
      <alignment horizontal="right"/>
    </xf>
    <xf numFmtId="164" fontId="61" fillId="4" borderId="14" xfId="3" applyNumberFormat="1" applyFont="1" applyFill="1" applyBorder="1" applyAlignment="1">
      <alignment horizontal="center"/>
    </xf>
    <xf numFmtId="164" fontId="61" fillId="4" borderId="16" xfId="3" applyNumberFormat="1" applyFont="1" applyFill="1" applyBorder="1" applyAlignment="1">
      <alignment horizontal="center"/>
    </xf>
    <xf numFmtId="0" fontId="61" fillId="2" borderId="0" xfId="0" applyFont="1" applyFill="1" applyAlignment="1">
      <alignment horizontal="center"/>
    </xf>
    <xf numFmtId="0" fontId="61" fillId="2" borderId="0" xfId="0" applyFont="1" applyFill="1"/>
    <xf numFmtId="0" fontId="38" fillId="2" borderId="0" xfId="0" applyFont="1" applyFill="1"/>
    <xf numFmtId="0" fontId="64" fillId="2" borderId="8" xfId="0" applyFont="1" applyFill="1" applyBorder="1"/>
    <xf numFmtId="10" fontId="65" fillId="4" borderId="4" xfId="4" applyNumberFormat="1" applyFont="1" applyFill="1" applyBorder="1"/>
    <xf numFmtId="10" fontId="65" fillId="4" borderId="9" xfId="4" applyNumberFormat="1" applyFont="1" applyFill="1" applyBorder="1"/>
    <xf numFmtId="0" fontId="66" fillId="2" borderId="0" xfId="0" applyFont="1" applyFill="1"/>
    <xf numFmtId="10" fontId="65" fillId="4" borderId="6" xfId="0" applyNumberFormat="1" applyFont="1" applyFill="1" applyBorder="1"/>
    <xf numFmtId="0" fontId="65" fillId="0" borderId="0" xfId="0" applyFont="1"/>
    <xf numFmtId="9" fontId="44" fillId="4" borderId="0" xfId="0" applyNumberFormat="1" applyFont="1" applyFill="1"/>
    <xf numFmtId="0" fontId="31" fillId="0" borderId="21" xfId="0" applyFont="1" applyBorder="1"/>
    <xf numFmtId="170" fontId="17" fillId="0" borderId="0" xfId="0" applyNumberFormat="1" applyFont="1"/>
    <xf numFmtId="3" fontId="23" fillId="0" borderId="0" xfId="0" applyNumberFormat="1" applyFont="1"/>
    <xf numFmtId="170" fontId="44" fillId="4" borderId="0" xfId="0" applyNumberFormat="1" applyFont="1" applyFill="1"/>
    <xf numFmtId="9" fontId="59" fillId="4" borderId="0" xfId="0" applyNumberFormat="1" applyFont="1" applyFill="1" applyAlignment="1">
      <alignment horizontal="left"/>
    </xf>
    <xf numFmtId="10" fontId="59" fillId="4" borderId="0" xfId="0" applyNumberFormat="1" applyFont="1" applyFill="1" applyAlignment="1">
      <alignment horizontal="left"/>
    </xf>
    <xf numFmtId="3" fontId="31" fillId="0" borderId="0" xfId="0" applyNumberFormat="1" applyFont="1"/>
    <xf numFmtId="9" fontId="62" fillId="4" borderId="0" xfId="0" applyNumberFormat="1" applyFont="1" applyFill="1"/>
    <xf numFmtId="3" fontId="24" fillId="0" borderId="0" xfId="0" applyNumberFormat="1" applyFont="1"/>
    <xf numFmtId="5" fontId="17" fillId="0" borderId="0" xfId="0" applyNumberFormat="1" applyFont="1"/>
    <xf numFmtId="172" fontId="45" fillId="4" borderId="0" xfId="4" applyNumberFormat="1" applyFont="1" applyFill="1" applyBorder="1"/>
    <xf numFmtId="44" fontId="63" fillId="4" borderId="0" xfId="3" applyFont="1" applyFill="1" applyBorder="1"/>
    <xf numFmtId="0" fontId="25" fillId="4" borderId="0" xfId="0" applyFont="1" applyFill="1"/>
    <xf numFmtId="44" fontId="31" fillId="0" borderId="0" xfId="3" applyFont="1" applyBorder="1"/>
    <xf numFmtId="0" fontId="24" fillId="0" borderId="5" xfId="0" applyFont="1" applyBorder="1"/>
    <xf numFmtId="0" fontId="24" fillId="0" borderId="5" xfId="0" applyFont="1" applyBorder="1" applyAlignment="1">
      <alignment horizontal="right"/>
    </xf>
    <xf numFmtId="170" fontId="31" fillId="0" borderId="8" xfId="0" applyNumberFormat="1" applyFont="1" applyBorder="1"/>
    <xf numFmtId="166" fontId="31" fillId="0" borderId="8" xfId="0" applyNumberFormat="1" applyFont="1" applyBorder="1"/>
    <xf numFmtId="166" fontId="24" fillId="0" borderId="8" xfId="0" applyNumberFormat="1" applyFont="1" applyBorder="1"/>
    <xf numFmtId="0" fontId="68" fillId="12" borderId="2" xfId="0" applyFont="1" applyFill="1" applyBorder="1"/>
    <xf numFmtId="0" fontId="33" fillId="12" borderId="3" xfId="0" applyFont="1" applyFill="1" applyBorder="1"/>
    <xf numFmtId="0" fontId="33" fillId="12" borderId="4" xfId="0" applyFont="1" applyFill="1" applyBorder="1"/>
    <xf numFmtId="0" fontId="23" fillId="0" borderId="7" xfId="0" applyFont="1" applyBorder="1"/>
    <xf numFmtId="0" fontId="31" fillId="0" borderId="9" xfId="0" applyFont="1" applyBorder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72" fontId="44" fillId="4" borderId="0" xfId="0" applyNumberFormat="1" applyFont="1" applyFill="1"/>
    <xf numFmtId="171" fontId="61" fillId="4" borderId="0" xfId="0" applyNumberFormat="1" applyFont="1" applyFill="1"/>
    <xf numFmtId="171" fontId="19" fillId="2" borderId="0" xfId="0" applyNumberFormat="1" applyFont="1" applyFill="1"/>
    <xf numFmtId="171" fontId="17" fillId="0" borderId="0" xfId="0" applyNumberFormat="1" applyFont="1"/>
    <xf numFmtId="171" fontId="31" fillId="0" borderId="0" xfId="0" applyNumberFormat="1" applyFont="1"/>
    <xf numFmtId="171" fontId="31" fillId="0" borderId="8" xfId="0" applyNumberFormat="1" applyFont="1" applyBorder="1"/>
    <xf numFmtId="171" fontId="17" fillId="0" borderId="6" xfId="0" applyNumberFormat="1" applyFont="1" applyBorder="1"/>
    <xf numFmtId="171" fontId="31" fillId="0" borderId="6" xfId="0" applyNumberFormat="1" applyFont="1" applyBorder="1"/>
    <xf numFmtId="171" fontId="31" fillId="0" borderId="9" xfId="0" applyNumberFormat="1" applyFont="1" applyBorder="1"/>
    <xf numFmtId="0" fontId="63" fillId="4" borderId="0" xfId="0" applyFont="1" applyFill="1"/>
    <xf numFmtId="9" fontId="45" fillId="4" borderId="0" xfId="0" applyNumberFormat="1" applyFont="1" applyFill="1"/>
    <xf numFmtId="41" fontId="15" fillId="2" borderId="0" xfId="0" applyNumberFormat="1" applyFont="1" applyFill="1"/>
    <xf numFmtId="170" fontId="38" fillId="0" borderId="0" xfId="0" applyNumberFormat="1" applyFont="1"/>
    <xf numFmtId="0" fontId="30" fillId="12" borderId="2" xfId="0" applyFont="1" applyFill="1" applyBorder="1"/>
    <xf numFmtId="0" fontId="30" fillId="12" borderId="4" xfId="0" applyFont="1" applyFill="1" applyBorder="1"/>
    <xf numFmtId="9" fontId="17" fillId="0" borderId="6" xfId="0" applyNumberFormat="1" applyFont="1" applyBorder="1"/>
    <xf numFmtId="170" fontId="17" fillId="0" borderId="9" xfId="0" applyNumberFormat="1" applyFont="1" applyBorder="1"/>
    <xf numFmtId="10" fontId="59" fillId="4" borderId="6" xfId="4" applyNumberFormat="1" applyFont="1" applyFill="1" applyBorder="1"/>
    <xf numFmtId="6" fontId="17" fillId="0" borderId="0" xfId="0" applyNumberFormat="1" applyFont="1"/>
    <xf numFmtId="8" fontId="17" fillId="0" borderId="0" xfId="0" applyNumberFormat="1" applyFont="1"/>
    <xf numFmtId="9" fontId="0" fillId="0" borderId="0" xfId="0" applyNumberFormat="1"/>
    <xf numFmtId="0" fontId="59" fillId="2" borderId="0" xfId="0" applyFont="1" applyFill="1"/>
    <xf numFmtId="0" fontId="0" fillId="0" borderId="42" xfId="0" applyBorder="1"/>
    <xf numFmtId="0" fontId="70" fillId="4" borderId="42" xfId="0" applyFont="1" applyFill="1" applyBorder="1" applyAlignment="1">
      <alignment horizontal="center" vertical="center"/>
    </xf>
    <xf numFmtId="0" fontId="69" fillId="0" borderId="51" xfId="0" applyFont="1" applyBorder="1"/>
    <xf numFmtId="0" fontId="17" fillId="0" borderId="52" xfId="0" applyFont="1" applyBorder="1"/>
    <xf numFmtId="0" fontId="17" fillId="0" borderId="53" xfId="0" applyFont="1" applyBorder="1"/>
    <xf numFmtId="0" fontId="69" fillId="0" borderId="54" xfId="0" applyFont="1" applyBorder="1"/>
    <xf numFmtId="0" fontId="2" fillId="0" borderId="54" xfId="0" applyFont="1" applyBorder="1"/>
    <xf numFmtId="6" fontId="0" fillId="0" borderId="55" xfId="0" applyNumberFormat="1" applyBorder="1"/>
    <xf numFmtId="0" fontId="2" fillId="0" borderId="56" xfId="0" applyFont="1" applyBorder="1"/>
    <xf numFmtId="0" fontId="70" fillId="4" borderId="57" xfId="0" applyFont="1" applyFill="1" applyBorder="1" applyAlignment="1">
      <alignment horizontal="center" vertical="center"/>
    </xf>
    <xf numFmtId="6" fontId="0" fillId="0" borderId="58" xfId="0" applyNumberFormat="1" applyBorder="1"/>
    <xf numFmtId="0" fontId="2" fillId="0" borderId="55" xfId="0" applyFont="1" applyBorder="1"/>
    <xf numFmtId="0" fontId="22" fillId="0" borderId="0" xfId="0" applyFont="1"/>
    <xf numFmtId="9" fontId="59" fillId="4" borderId="0" xfId="0" applyNumberFormat="1" applyFont="1" applyFill="1" applyAlignment="1">
      <alignment horizontal="center"/>
    </xf>
    <xf numFmtId="0" fontId="24" fillId="0" borderId="0" xfId="0" applyFont="1" applyAlignment="1">
      <alignment horizontal="right"/>
    </xf>
    <xf numFmtId="41" fontId="17" fillId="0" borderId="0" xfId="0" applyNumberFormat="1" applyFont="1"/>
    <xf numFmtId="42" fontId="17" fillId="0" borderId="0" xfId="0" applyNumberFormat="1" applyFont="1"/>
    <xf numFmtId="169" fontId="17" fillId="0" borderId="0" xfId="0" applyNumberFormat="1" applyFont="1"/>
    <xf numFmtId="0" fontId="23" fillId="0" borderId="21" xfId="0" applyFont="1" applyBorder="1" applyAlignment="1">
      <alignment horizontal="right"/>
    </xf>
    <xf numFmtId="0" fontId="23" fillId="0" borderId="21" xfId="0" applyFont="1" applyBorder="1"/>
    <xf numFmtId="41" fontId="17" fillId="0" borderId="21" xfId="0" applyNumberFormat="1" applyFont="1" applyBorder="1"/>
    <xf numFmtId="169" fontId="17" fillId="0" borderId="21" xfId="0" applyNumberFormat="1" applyFont="1" applyBorder="1"/>
    <xf numFmtId="43" fontId="17" fillId="0" borderId="0" xfId="0" applyNumberFormat="1" applyFont="1"/>
    <xf numFmtId="10" fontId="44" fillId="4" borderId="0" xfId="0" applyNumberFormat="1" applyFont="1" applyFill="1" applyAlignment="1">
      <alignment horizontal="center"/>
    </xf>
    <xf numFmtId="0" fontId="31" fillId="0" borderId="3" xfId="0" applyFont="1" applyBorder="1" applyAlignment="1">
      <alignment horizontal="center"/>
    </xf>
    <xf numFmtId="43" fontId="17" fillId="0" borderId="3" xfId="0" applyNumberFormat="1" applyFont="1" applyBorder="1"/>
    <xf numFmtId="41" fontId="17" fillId="0" borderId="6" xfId="0" applyNumberFormat="1" applyFont="1" applyBorder="1"/>
    <xf numFmtId="0" fontId="23" fillId="0" borderId="26" xfId="0" applyFont="1" applyBorder="1" applyAlignment="1">
      <alignment horizontal="right"/>
    </xf>
    <xf numFmtId="41" fontId="17" fillId="0" borderId="27" xfId="0" applyNumberFormat="1" applyFont="1" applyBorder="1"/>
    <xf numFmtId="0" fontId="24" fillId="0" borderId="26" xfId="0" applyFont="1" applyBorder="1" applyAlignment="1">
      <alignment horizontal="right"/>
    </xf>
    <xf numFmtId="0" fontId="26" fillId="16" borderId="0" xfId="0" applyFont="1" applyFill="1"/>
    <xf numFmtId="0" fontId="31" fillId="0" borderId="83" xfId="0" applyFont="1" applyBorder="1"/>
    <xf numFmtId="0" fontId="31" fillId="0" borderId="84" xfId="0" applyFont="1" applyBorder="1"/>
    <xf numFmtId="41" fontId="31" fillId="0" borderId="84" xfId="0" applyNumberFormat="1" applyFont="1" applyBorder="1"/>
    <xf numFmtId="41" fontId="31" fillId="0" borderId="85" xfId="0" applyNumberFormat="1" applyFont="1" applyBorder="1"/>
    <xf numFmtId="0" fontId="31" fillId="0" borderId="86" xfId="0" applyFont="1" applyBorder="1"/>
    <xf numFmtId="10" fontId="44" fillId="4" borderId="87" xfId="0" applyNumberFormat="1" applyFont="1" applyFill="1" applyBorder="1" applyAlignment="1">
      <alignment horizontal="center"/>
    </xf>
    <xf numFmtId="0" fontId="17" fillId="0" borderId="87" xfId="0" applyFont="1" applyBorder="1"/>
    <xf numFmtId="43" fontId="17" fillId="0" borderId="87" xfId="0" applyNumberFormat="1" applyFont="1" applyBorder="1"/>
    <xf numFmtId="43" fontId="17" fillId="0" borderId="88" xfId="0" applyNumberFormat="1" applyFont="1" applyBorder="1"/>
    <xf numFmtId="0" fontId="31" fillId="0" borderId="78" xfId="0" applyFont="1" applyBorder="1"/>
    <xf numFmtId="43" fontId="17" fillId="0" borderId="79" xfId="0" applyNumberFormat="1" applyFont="1" applyBorder="1"/>
    <xf numFmtId="0" fontId="31" fillId="0" borderId="81" xfId="0" applyFont="1" applyBorder="1"/>
    <xf numFmtId="43" fontId="17" fillId="0" borderId="77" xfId="0" applyNumberFormat="1" applyFont="1" applyBorder="1"/>
    <xf numFmtId="43" fontId="17" fillId="0" borderId="82" xfId="0" applyNumberFormat="1" applyFont="1" applyBorder="1"/>
    <xf numFmtId="9" fontId="62" fillId="4" borderId="0" xfId="0" applyNumberFormat="1" applyFont="1" applyFill="1" applyAlignment="1">
      <alignment horizontal="center"/>
    </xf>
    <xf numFmtId="9" fontId="61" fillId="4" borderId="0" xfId="0" applyNumberFormat="1" applyFont="1" applyFill="1" applyAlignment="1">
      <alignment horizontal="center"/>
    </xf>
    <xf numFmtId="0" fontId="61" fillId="0" borderId="21" xfId="0" applyFont="1" applyBorder="1"/>
    <xf numFmtId="1" fontId="31" fillId="0" borderId="8" xfId="0" applyNumberFormat="1" applyFont="1" applyBorder="1"/>
    <xf numFmtId="0" fontId="23" fillId="0" borderId="0" xfId="0" applyFont="1" applyAlignment="1">
      <alignment horizontal="right"/>
    </xf>
    <xf numFmtId="0" fontId="31" fillId="2" borderId="0" xfId="0" applyFont="1" applyFill="1"/>
    <xf numFmtId="9" fontId="62" fillId="2" borderId="0" xfId="0" applyNumberFormat="1" applyFont="1" applyFill="1" applyAlignment="1">
      <alignment horizontal="center"/>
    </xf>
    <xf numFmtId="41" fontId="17" fillId="2" borderId="0" xfId="0" applyNumberFormat="1" applyFont="1" applyFill="1"/>
    <xf numFmtId="0" fontId="23" fillId="2" borderId="0" xfId="0" applyFont="1" applyFill="1" applyAlignment="1">
      <alignment horizontal="right"/>
    </xf>
    <xf numFmtId="9" fontId="59" fillId="2" borderId="0" xfId="0" applyNumberFormat="1" applyFont="1" applyFill="1" applyAlignment="1">
      <alignment horizontal="center"/>
    </xf>
    <xf numFmtId="169" fontId="17" fillId="2" borderId="0" xfId="0" applyNumberFormat="1" applyFont="1" applyFill="1"/>
    <xf numFmtId="0" fontId="24" fillId="2" borderId="0" xfId="0" applyFont="1" applyFill="1" applyAlignment="1">
      <alignment horizontal="right"/>
    </xf>
    <xf numFmtId="41" fontId="31" fillId="2" borderId="0" xfId="0" applyNumberFormat="1" applyFont="1" applyFill="1"/>
    <xf numFmtId="0" fontId="31" fillId="2" borderId="0" xfId="0" applyFont="1" applyFill="1" applyAlignment="1">
      <alignment horizontal="center"/>
    </xf>
    <xf numFmtId="43" fontId="17" fillId="2" borderId="0" xfId="0" applyNumberFormat="1" applyFont="1" applyFill="1"/>
    <xf numFmtId="10" fontId="44" fillId="2" borderId="0" xfId="0" applyNumberFormat="1" applyFont="1" applyFill="1" applyAlignment="1">
      <alignment horizontal="center"/>
    </xf>
    <xf numFmtId="170" fontId="17" fillId="0" borderId="21" xfId="0" applyNumberFormat="1" applyFont="1" applyBorder="1"/>
    <xf numFmtId="170" fontId="17" fillId="0" borderId="27" xfId="0" applyNumberFormat="1" applyFont="1" applyBorder="1"/>
    <xf numFmtId="0" fontId="24" fillId="0" borderId="26" xfId="0" applyFont="1" applyBorder="1"/>
    <xf numFmtId="171" fontId="17" fillId="0" borderId="27" xfId="0" applyNumberFormat="1" applyFont="1" applyBorder="1"/>
    <xf numFmtId="3" fontId="17" fillId="0" borderId="21" xfId="0" applyNumberFormat="1" applyFont="1" applyBorder="1"/>
    <xf numFmtId="3" fontId="23" fillId="0" borderId="21" xfId="0" applyNumberFormat="1" applyFont="1" applyBorder="1"/>
    <xf numFmtId="171" fontId="31" fillId="0" borderId="21" xfId="0" applyNumberFormat="1" applyFont="1" applyBorder="1"/>
    <xf numFmtId="3" fontId="31" fillId="0" borderId="21" xfId="0" applyNumberFormat="1" applyFont="1" applyBorder="1"/>
    <xf numFmtId="3" fontId="24" fillId="0" borderId="21" xfId="0" applyNumberFormat="1" applyFont="1" applyBorder="1"/>
    <xf numFmtId="171" fontId="31" fillId="0" borderId="27" xfId="0" applyNumberFormat="1" applyFont="1" applyBorder="1"/>
    <xf numFmtId="171" fontId="17" fillId="0" borderId="21" xfId="0" applyNumberFormat="1" applyFont="1" applyBorder="1"/>
    <xf numFmtId="0" fontId="24" fillId="0" borderId="26" xfId="0" applyFont="1" applyBorder="1" applyAlignment="1">
      <alignment horizontal="left"/>
    </xf>
    <xf numFmtId="41" fontId="15" fillId="2" borderId="0" xfId="0" applyNumberFormat="1" applyFont="1" applyFill="1" applyAlignment="1">
      <alignment horizontal="center"/>
    </xf>
    <xf numFmtId="0" fontId="26" fillId="2" borderId="0" xfId="0" applyFont="1" applyFill="1"/>
    <xf numFmtId="17" fontId="30" fillId="2" borderId="0" xfId="0" applyNumberFormat="1" applyFont="1" applyFill="1"/>
    <xf numFmtId="41" fontId="17" fillId="2" borderId="8" xfId="0" applyNumberFormat="1" applyFont="1" applyFill="1" applyBorder="1"/>
    <xf numFmtId="41" fontId="15" fillId="2" borderId="21" xfId="0" applyNumberFormat="1" applyFont="1" applyFill="1" applyBorder="1" applyAlignment="1">
      <alignment horizontal="center"/>
    </xf>
    <xf numFmtId="41" fontId="17" fillId="2" borderId="21" xfId="0" applyNumberFormat="1" applyFont="1" applyFill="1" applyBorder="1"/>
    <xf numFmtId="0" fontId="31" fillId="2" borderId="21" xfId="0" applyFont="1" applyFill="1" applyBorder="1"/>
    <xf numFmtId="17" fontId="17" fillId="2" borderId="0" xfId="0" applyNumberFormat="1" applyFont="1" applyFill="1"/>
    <xf numFmtId="0" fontId="23" fillId="2" borderId="21" xfId="0" applyFont="1" applyFill="1" applyBorder="1"/>
    <xf numFmtId="0" fontId="34" fillId="2" borderId="0" xfId="0" applyFont="1" applyFill="1" applyAlignment="1">
      <alignment horizontal="center"/>
    </xf>
    <xf numFmtId="0" fontId="30" fillId="20" borderId="0" xfId="0" applyFont="1" applyFill="1"/>
    <xf numFmtId="0" fontId="34" fillId="20" borderId="0" xfId="0" applyFont="1" applyFill="1" applyAlignment="1">
      <alignment horizontal="center"/>
    </xf>
    <xf numFmtId="17" fontId="30" fillId="20" borderId="0" xfId="0" applyNumberFormat="1" applyFont="1" applyFill="1"/>
    <xf numFmtId="0" fontId="71" fillId="20" borderId="0" xfId="0" applyFont="1" applyFill="1"/>
    <xf numFmtId="0" fontId="18" fillId="20" borderId="0" xfId="0" applyFont="1" applyFill="1"/>
    <xf numFmtId="0" fontId="24" fillId="2" borderId="77" xfId="0" applyFont="1" applyFill="1" applyBorder="1" applyAlignment="1">
      <alignment horizontal="left"/>
    </xf>
    <xf numFmtId="0" fontId="24" fillId="0" borderId="21" xfId="0" applyFont="1" applyBorder="1" applyAlignment="1">
      <alignment horizontal="left"/>
    </xf>
    <xf numFmtId="0" fontId="31" fillId="0" borderId="21" xfId="0" applyFont="1" applyBorder="1" applyAlignment="1">
      <alignment horizontal="left"/>
    </xf>
    <xf numFmtId="0" fontId="24" fillId="0" borderId="77" xfId="0" applyFont="1" applyBorder="1" applyAlignment="1">
      <alignment horizontal="left"/>
    </xf>
    <xf numFmtId="0" fontId="31" fillId="2" borderId="77" xfId="0" applyFont="1" applyFill="1" applyBorder="1"/>
    <xf numFmtId="41" fontId="31" fillId="2" borderId="77" xfId="0" applyNumberFormat="1" applyFont="1" applyFill="1" applyBorder="1"/>
    <xf numFmtId="41" fontId="31" fillId="0" borderId="77" xfId="0" applyNumberFormat="1" applyFont="1" applyBorder="1"/>
    <xf numFmtId="5" fontId="19" fillId="2" borderId="16" xfId="0" applyNumberFormat="1" applyFont="1" applyFill="1" applyBorder="1"/>
    <xf numFmtId="169" fontId="17" fillId="2" borderId="0" xfId="2" applyNumberFormat="1" applyFont="1" applyFill="1" applyBorder="1"/>
    <xf numFmtId="169" fontId="17" fillId="0" borderId="0" xfId="2" applyNumberFormat="1" applyFont="1"/>
    <xf numFmtId="41" fontId="17" fillId="2" borderId="0" xfId="2" applyNumberFormat="1" applyFont="1" applyFill="1" applyBorder="1"/>
    <xf numFmtId="0" fontId="30" fillId="16" borderId="0" xfId="0" applyFont="1" applyFill="1" applyAlignment="1">
      <alignment horizontal="right"/>
    </xf>
    <xf numFmtId="17" fontId="30" fillId="16" borderId="0" xfId="0" applyNumberFormat="1" applyFont="1" applyFill="1" applyAlignment="1">
      <alignment horizontal="right"/>
    </xf>
    <xf numFmtId="41" fontId="17" fillId="2" borderId="6" xfId="0" applyNumberFormat="1" applyFont="1" applyFill="1" applyBorder="1"/>
    <xf numFmtId="0" fontId="68" fillId="16" borderId="0" xfId="0" applyFont="1" applyFill="1"/>
    <xf numFmtId="0" fontId="24" fillId="2" borderId="0" xfId="0" applyFont="1" applyFill="1"/>
    <xf numFmtId="0" fontId="31" fillId="2" borderId="21" xfId="0" applyFont="1" applyFill="1" applyBorder="1" applyAlignment="1">
      <alignment horizontal="left"/>
    </xf>
    <xf numFmtId="0" fontId="24" fillId="2" borderId="21" xfId="0" applyFont="1" applyFill="1" applyBorder="1" applyAlignment="1">
      <alignment horizontal="left"/>
    </xf>
    <xf numFmtId="9" fontId="61" fillId="2" borderId="0" xfId="0" applyNumberFormat="1" applyFont="1" applyFill="1" applyAlignment="1">
      <alignment horizontal="center"/>
    </xf>
    <xf numFmtId="0" fontId="17" fillId="2" borderId="3" xfId="0" applyFont="1" applyFill="1" applyBorder="1"/>
    <xf numFmtId="169" fontId="15" fillId="2" borderId="0" xfId="0" applyNumberFormat="1" applyFont="1" applyFill="1" applyAlignment="1">
      <alignment horizontal="center"/>
    </xf>
    <xf numFmtId="9" fontId="31" fillId="0" borderId="27" xfId="0" applyNumberFormat="1" applyFont="1" applyBorder="1"/>
    <xf numFmtId="41" fontId="23" fillId="2" borderId="0" xfId="0" applyNumberFormat="1" applyFont="1" applyFill="1"/>
    <xf numFmtId="0" fontId="23" fillId="0" borderId="77" xfId="0" applyFont="1" applyBorder="1"/>
    <xf numFmtId="0" fontId="23" fillId="0" borderId="3" xfId="0" applyFont="1" applyBorder="1"/>
    <xf numFmtId="169" fontId="15" fillId="2" borderId="0" xfId="0" applyNumberFormat="1" applyFont="1" applyFill="1"/>
    <xf numFmtId="169" fontId="15" fillId="2" borderId="21" xfId="0" applyNumberFormat="1" applyFont="1" applyFill="1" applyBorder="1"/>
    <xf numFmtId="169" fontId="67" fillId="2" borderId="0" xfId="0" applyNumberFormat="1" applyFont="1" applyFill="1"/>
    <xf numFmtId="169" fontId="67" fillId="2" borderId="77" xfId="0" applyNumberFormat="1" applyFont="1" applyFill="1" applyBorder="1"/>
    <xf numFmtId="169" fontId="67" fillId="20" borderId="0" xfId="0" applyNumberFormat="1" applyFont="1" applyFill="1"/>
    <xf numFmtId="169" fontId="15" fillId="2" borderId="77" xfId="0" applyNumberFormat="1" applyFont="1" applyFill="1" applyBorder="1"/>
    <xf numFmtId="169" fontId="15" fillId="2" borderId="3" xfId="0" applyNumberFormat="1" applyFont="1" applyFill="1" applyBorder="1"/>
    <xf numFmtId="41" fontId="31" fillId="0" borderId="21" xfId="0" applyNumberFormat="1" applyFont="1" applyBorder="1"/>
    <xf numFmtId="9" fontId="38" fillId="0" borderId="0" xfId="4" applyFont="1"/>
    <xf numFmtId="0" fontId="31" fillId="20" borderId="0" xfId="0" applyFont="1" applyFill="1"/>
    <xf numFmtId="0" fontId="17" fillId="21" borderId="0" xfId="0" applyFont="1" applyFill="1"/>
    <xf numFmtId="17" fontId="17" fillId="21" borderId="0" xfId="0" applyNumberFormat="1" applyFont="1" applyFill="1"/>
    <xf numFmtId="0" fontId="73" fillId="21" borderId="0" xfId="0" applyFont="1" applyFill="1"/>
    <xf numFmtId="10" fontId="17" fillId="21" borderId="0" xfId="0" applyNumberFormat="1" applyFont="1" applyFill="1"/>
    <xf numFmtId="0" fontId="23" fillId="21" borderId="0" xfId="0" applyFont="1" applyFill="1"/>
    <xf numFmtId="10" fontId="23" fillId="21" borderId="0" xfId="0" applyNumberFormat="1" applyFont="1" applyFill="1"/>
    <xf numFmtId="41" fontId="17" fillId="21" borderId="0" xfId="0" applyNumberFormat="1" applyFont="1" applyFill="1"/>
    <xf numFmtId="0" fontId="30" fillId="22" borderId="0" xfId="0" applyFont="1" applyFill="1"/>
    <xf numFmtId="174" fontId="17" fillId="21" borderId="0" xfId="0" applyNumberFormat="1" applyFont="1" applyFill="1"/>
    <xf numFmtId="0" fontId="30" fillId="22" borderId="0" xfId="0" applyFont="1" applyFill="1" applyAlignment="1">
      <alignment horizontal="center" vertical="center"/>
    </xf>
    <xf numFmtId="9" fontId="17" fillId="21" borderId="0" xfId="4" applyFont="1" applyFill="1"/>
    <xf numFmtId="9" fontId="23" fillId="21" borderId="0" xfId="4" applyFont="1" applyFill="1"/>
    <xf numFmtId="0" fontId="17" fillId="23" borderId="0" xfId="0" applyFont="1" applyFill="1"/>
    <xf numFmtId="14" fontId="30" fillId="22" borderId="0" xfId="0" applyNumberFormat="1" applyFont="1" applyFill="1"/>
    <xf numFmtId="14" fontId="68" fillId="22" borderId="0" xfId="0" applyNumberFormat="1" applyFont="1" applyFill="1"/>
    <xf numFmtId="0" fontId="30" fillId="22" borderId="0" xfId="0" applyFont="1" applyFill="1" applyAlignment="1">
      <alignment horizontal="right" vertical="center"/>
    </xf>
    <xf numFmtId="0" fontId="52" fillId="22" borderId="0" xfId="0" applyFont="1" applyFill="1" applyAlignment="1">
      <alignment horizontal="right" vertical="center"/>
    </xf>
    <xf numFmtId="0" fontId="68" fillId="2" borderId="0" xfId="0" applyFont="1" applyFill="1"/>
    <xf numFmtId="172" fontId="0" fillId="0" borderId="0" xfId="0" applyNumberFormat="1"/>
    <xf numFmtId="10" fontId="17" fillId="0" borderId="9" xfId="0" applyNumberFormat="1" applyFont="1" applyBorder="1"/>
    <xf numFmtId="17" fontId="17" fillId="2" borderId="8" xfId="0" applyNumberFormat="1" applyFont="1" applyFill="1" applyBorder="1"/>
    <xf numFmtId="41" fontId="23" fillId="0" borderId="0" xfId="0" applyNumberFormat="1" applyFont="1"/>
    <xf numFmtId="41" fontId="23" fillId="0" borderId="8" xfId="0" applyNumberFormat="1" applyFont="1" applyBorder="1"/>
    <xf numFmtId="41" fontId="17" fillId="0" borderId="3" xfId="0" applyNumberFormat="1" applyFont="1" applyBorder="1"/>
    <xf numFmtId="41" fontId="17" fillId="0" borderId="4" xfId="0" applyNumberFormat="1" applyFont="1" applyBorder="1"/>
    <xf numFmtId="41" fontId="31" fillId="0" borderId="27" xfId="0" applyNumberFormat="1" applyFont="1" applyBorder="1"/>
    <xf numFmtId="169" fontId="23" fillId="0" borderId="21" xfId="0" applyNumberFormat="1" applyFont="1" applyBorder="1"/>
    <xf numFmtId="0" fontId="68" fillId="16" borderId="0" xfId="0" applyFont="1" applyFill="1" applyAlignment="1">
      <alignment horizontal="right"/>
    </xf>
    <xf numFmtId="171" fontId="19" fillId="0" borderId="0" xfId="0" applyNumberFormat="1" applyFont="1"/>
    <xf numFmtId="169" fontId="17" fillId="0" borderId="0" xfId="2" applyNumberFormat="1" applyFont="1" applyBorder="1"/>
    <xf numFmtId="41" fontId="23" fillId="0" borderId="21" xfId="0" applyNumberFormat="1" applyFont="1" applyBorder="1"/>
    <xf numFmtId="0" fontId="31" fillId="0" borderId="89" xfId="0" applyFont="1" applyBorder="1"/>
    <xf numFmtId="0" fontId="17" fillId="0" borderId="89" xfId="0" applyFont="1" applyBorder="1"/>
    <xf numFmtId="41" fontId="17" fillId="0" borderId="89" xfId="0" applyNumberFormat="1" applyFont="1" applyBorder="1"/>
    <xf numFmtId="37" fontId="56" fillId="24" borderId="0" xfId="0" applyNumberFormat="1" applyFont="1" applyFill="1" applyAlignment="1">
      <alignment horizontal="center"/>
    </xf>
    <xf numFmtId="5" fontId="19" fillId="0" borderId="0" xfId="0" applyNumberFormat="1" applyFont="1" applyAlignment="1">
      <alignment horizontal="right"/>
    </xf>
    <xf numFmtId="9" fontId="17" fillId="19" borderId="0" xfId="0" applyNumberFormat="1" applyFont="1" applyFill="1"/>
    <xf numFmtId="41" fontId="0" fillId="0" borderId="0" xfId="0" applyNumberFormat="1"/>
    <xf numFmtId="169" fontId="0" fillId="0" borderId="0" xfId="2" applyNumberFormat="1" applyFont="1"/>
    <xf numFmtId="164" fontId="32" fillId="2" borderId="0" xfId="3" applyNumberFormat="1" applyFont="1" applyFill="1" applyBorder="1" applyProtection="1"/>
    <xf numFmtId="164" fontId="32" fillId="2" borderId="90" xfId="3" applyNumberFormat="1" applyFont="1" applyFill="1" applyBorder="1" applyProtection="1"/>
    <xf numFmtId="0" fontId="17" fillId="0" borderId="88" xfId="0" applyFont="1" applyBorder="1"/>
    <xf numFmtId="167" fontId="17" fillId="0" borderId="79" xfId="0" applyNumberFormat="1" applyFont="1" applyBorder="1"/>
    <xf numFmtId="167" fontId="31" fillId="0" borderId="79" xfId="0" applyNumberFormat="1" applyFont="1" applyBorder="1"/>
    <xf numFmtId="7" fontId="19" fillId="0" borderId="79" xfId="0" applyNumberFormat="1" applyFont="1" applyBorder="1"/>
    <xf numFmtId="167" fontId="23" fillId="0" borderId="79" xfId="0" applyNumberFormat="1" applyFont="1" applyBorder="1"/>
    <xf numFmtId="0" fontId="31" fillId="0" borderId="79" xfId="0" applyFont="1" applyBorder="1"/>
    <xf numFmtId="167" fontId="31" fillId="0" borderId="82" xfId="0" applyNumberFormat="1" applyFont="1" applyBorder="1"/>
    <xf numFmtId="0" fontId="17" fillId="0" borderId="91" xfId="0" applyFont="1" applyBorder="1"/>
    <xf numFmtId="167" fontId="17" fillId="0" borderId="92" xfId="0" applyNumberFormat="1" applyFont="1" applyBorder="1"/>
    <xf numFmtId="7" fontId="19" fillId="0" borderId="92" xfId="0" applyNumberFormat="1" applyFont="1" applyBorder="1"/>
    <xf numFmtId="0" fontId="31" fillId="0" borderId="93" xfId="0" applyFont="1" applyBorder="1"/>
    <xf numFmtId="167" fontId="31" fillId="0" borderId="94" xfId="0" applyNumberFormat="1" applyFont="1" applyBorder="1"/>
    <xf numFmtId="6" fontId="31" fillId="0" borderId="82" xfId="0" applyNumberFormat="1" applyFont="1" applyBorder="1"/>
    <xf numFmtId="37" fontId="45" fillId="4" borderId="0" xfId="0" applyNumberFormat="1" applyFont="1" applyFill="1" applyAlignment="1">
      <alignment horizontal="center"/>
    </xf>
    <xf numFmtId="9" fontId="45" fillId="4" borderId="0" xfId="0" applyNumberFormat="1" applyFont="1" applyFill="1" applyAlignment="1">
      <alignment horizontal="center"/>
    </xf>
    <xf numFmtId="9" fontId="45" fillId="4" borderId="8" xfId="0" applyNumberFormat="1" applyFont="1" applyFill="1" applyBorder="1" applyAlignment="1">
      <alignment horizontal="center"/>
    </xf>
    <xf numFmtId="167" fontId="23" fillId="0" borderId="82" xfId="0" applyNumberFormat="1" applyFont="1" applyBorder="1"/>
    <xf numFmtId="0" fontId="17" fillId="2" borderId="0" xfId="0" applyFont="1" applyFill="1" applyAlignment="1">
      <alignment horizontal="center"/>
    </xf>
    <xf numFmtId="0" fontId="29" fillId="2" borderId="0" xfId="0" applyFont="1" applyFill="1"/>
    <xf numFmtId="2" fontId="29" fillId="2" borderId="0" xfId="4" applyNumberFormat="1" applyFont="1" applyFill="1" applyBorder="1" applyProtection="1"/>
    <xf numFmtId="10" fontId="29" fillId="2" borderId="0" xfId="0" applyNumberFormat="1" applyFont="1" applyFill="1" applyAlignment="1">
      <alignment horizontal="center"/>
    </xf>
    <xf numFmtId="37" fontId="29" fillId="0" borderId="78" xfId="0" applyNumberFormat="1" applyFont="1" applyBorder="1" applyAlignment="1">
      <alignment horizontal="right"/>
    </xf>
    <xf numFmtId="0" fontId="17" fillId="2" borderId="79" xfId="0" applyFont="1" applyFill="1" applyBorder="1" applyAlignment="1">
      <alignment horizontal="center"/>
    </xf>
    <xf numFmtId="0" fontId="19" fillId="0" borderId="78" xfId="0" applyFont="1" applyBorder="1" applyAlignment="1">
      <alignment horizontal="right"/>
    </xf>
    <xf numFmtId="0" fontId="17" fillId="2" borderId="79" xfId="0" applyFont="1" applyFill="1" applyBorder="1"/>
    <xf numFmtId="0" fontId="15" fillId="2" borderId="79" xfId="0" applyFont="1" applyFill="1" applyBorder="1"/>
    <xf numFmtId="0" fontId="19" fillId="0" borderId="78" xfId="0" applyFont="1" applyBorder="1" applyAlignment="1">
      <alignment horizontal="left"/>
    </xf>
    <xf numFmtId="10" fontId="42" fillId="2" borderId="79" xfId="0" applyNumberFormat="1" applyFont="1" applyFill="1" applyBorder="1" applyAlignment="1">
      <alignment horizontal="center"/>
    </xf>
    <xf numFmtId="49" fontId="29" fillId="2" borderId="79" xfId="0" applyNumberFormat="1" applyFont="1" applyFill="1" applyBorder="1" applyAlignment="1">
      <alignment horizontal="center"/>
    </xf>
    <xf numFmtId="0" fontId="29" fillId="2" borderId="79" xfId="0" applyFont="1" applyFill="1" applyBorder="1"/>
    <xf numFmtId="0" fontId="17" fillId="2" borderId="78" xfId="0" applyFont="1" applyFill="1" applyBorder="1"/>
    <xf numFmtId="37" fontId="29" fillId="0" borderId="78" xfId="0" applyNumberFormat="1" applyFont="1" applyBorder="1" applyAlignment="1">
      <alignment horizontal="left"/>
    </xf>
    <xf numFmtId="37" fontId="29" fillId="0" borderId="78" xfId="0" applyNumberFormat="1" applyFont="1" applyBorder="1"/>
    <xf numFmtId="37" fontId="29" fillId="0" borderId="78" xfId="0" applyNumberFormat="1" applyFont="1" applyBorder="1" applyAlignment="1">
      <alignment horizontal="center"/>
    </xf>
    <xf numFmtId="0" fontId="15" fillId="2" borderId="79" xfId="0" applyFont="1" applyFill="1" applyBorder="1" applyAlignment="1">
      <alignment vertical="center"/>
    </xf>
    <xf numFmtId="37" fontId="29" fillId="0" borderId="78" xfId="0" applyNumberFormat="1" applyFont="1" applyBorder="1" applyAlignment="1">
      <alignment horizontal="left" indent="3"/>
    </xf>
    <xf numFmtId="0" fontId="29" fillId="2" borderId="78" xfId="0" applyFont="1" applyFill="1" applyBorder="1"/>
    <xf numFmtId="0" fontId="18" fillId="0" borderId="81" xfId="0" applyFont="1" applyBorder="1" applyAlignment="1">
      <alignment horizontal="center" vertical="center"/>
    </xf>
    <xf numFmtId="164" fontId="18" fillId="0" borderId="82" xfId="0" quotePrefix="1" applyNumberFormat="1" applyFont="1" applyBorder="1" applyAlignment="1">
      <alignment horizontal="right" vertical="center"/>
    </xf>
    <xf numFmtId="37" fontId="32" fillId="0" borderId="78" xfId="0" applyNumberFormat="1" applyFont="1" applyBorder="1" applyAlignment="1">
      <alignment horizontal="left"/>
    </xf>
    <xf numFmtId="0" fontId="18" fillId="2" borderId="0" xfId="0" applyFont="1" applyFill="1" applyAlignment="1">
      <alignment horizontal="center"/>
    </xf>
    <xf numFmtId="37" fontId="32" fillId="25" borderId="95" xfId="0" applyNumberFormat="1" applyFont="1" applyFill="1" applyBorder="1"/>
    <xf numFmtId="0" fontId="17" fillId="25" borderId="96" xfId="0" applyFont="1" applyFill="1" applyBorder="1"/>
    <xf numFmtId="37" fontId="32" fillId="25" borderId="97" xfId="0" applyNumberFormat="1" applyFont="1" applyFill="1" applyBorder="1"/>
    <xf numFmtId="37" fontId="29" fillId="0" borderId="91" xfId="0" applyNumberFormat="1" applyFont="1" applyBorder="1" applyAlignment="1">
      <alignment horizontal="right"/>
    </xf>
    <xf numFmtId="10" fontId="29" fillId="2" borderId="8" xfId="0" applyNumberFormat="1" applyFont="1" applyFill="1" applyBorder="1" applyAlignment="1">
      <alignment horizontal="center"/>
    </xf>
    <xf numFmtId="0" fontId="29" fillId="2" borderId="92" xfId="0" applyFont="1" applyFill="1" applyBorder="1"/>
    <xf numFmtId="2" fontId="29" fillId="2" borderId="0" xfId="4" applyNumberFormat="1" applyFont="1" applyFill="1" applyBorder="1" applyAlignment="1" applyProtection="1">
      <alignment horizontal="right" vertical="top"/>
    </xf>
    <xf numFmtId="166" fontId="29" fillId="0" borderId="0" xfId="2" applyNumberFormat="1" applyFont="1" applyFill="1" applyBorder="1" applyProtection="1"/>
    <xf numFmtId="166" fontId="29" fillId="2" borderId="0" xfId="2" applyNumberFormat="1" applyFont="1" applyFill="1" applyBorder="1"/>
    <xf numFmtId="166" fontId="32" fillId="2" borderId="77" xfId="2" applyNumberFormat="1" applyFont="1" applyFill="1" applyBorder="1"/>
    <xf numFmtId="166" fontId="29" fillId="2" borderId="0" xfId="3" applyNumberFormat="1" applyFont="1" applyFill="1" applyBorder="1" applyProtection="1"/>
    <xf numFmtId="37" fontId="42" fillId="0" borderId="91" xfId="0" applyNumberFormat="1" applyFont="1" applyBorder="1"/>
    <xf numFmtId="166" fontId="29" fillId="2" borderId="8" xfId="4" applyNumberFormat="1" applyFont="1" applyFill="1" applyBorder="1" applyProtection="1"/>
    <xf numFmtId="0" fontId="17" fillId="2" borderId="92" xfId="0" applyFont="1" applyFill="1" applyBorder="1"/>
    <xf numFmtId="37" fontId="42" fillId="0" borderId="91" xfId="0" applyNumberFormat="1" applyFont="1" applyBorder="1" applyAlignment="1">
      <alignment horizontal="right"/>
    </xf>
    <xf numFmtId="166" fontId="29" fillId="0" borderId="8" xfId="2" applyNumberFormat="1" applyFont="1" applyFill="1" applyBorder="1" applyProtection="1"/>
    <xf numFmtId="5" fontId="19" fillId="2" borderId="0" xfId="0" applyNumberFormat="1" applyFont="1" applyFill="1" applyAlignment="1">
      <alignment horizontal="center"/>
    </xf>
    <xf numFmtId="9" fontId="19" fillId="2" borderId="0" xfId="0" applyNumberFormat="1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37" fontId="19" fillId="2" borderId="78" xfId="0" applyNumberFormat="1" applyFont="1" applyFill="1" applyBorder="1" applyAlignment="1">
      <alignment horizontal="right"/>
    </xf>
    <xf numFmtId="0" fontId="19" fillId="2" borderId="78" xfId="0" applyFont="1" applyFill="1" applyBorder="1" applyAlignment="1">
      <alignment horizontal="right"/>
    </xf>
    <xf numFmtId="5" fontId="19" fillId="2" borderId="79" xfId="0" applyNumberFormat="1" applyFont="1" applyFill="1" applyBorder="1"/>
    <xf numFmtId="49" fontId="15" fillId="2" borderId="79" xfId="0" applyNumberFormat="1" applyFont="1" applyFill="1" applyBorder="1" applyAlignment="1">
      <alignment horizontal="center"/>
    </xf>
    <xf numFmtId="49" fontId="15" fillId="2" borderId="79" xfId="0" applyNumberFormat="1" applyFont="1" applyFill="1" applyBorder="1" applyAlignment="1">
      <alignment horizontal="left"/>
    </xf>
    <xf numFmtId="37" fontId="19" fillId="2" borderId="81" xfId="0" applyNumberFormat="1" applyFont="1" applyFill="1" applyBorder="1" applyAlignment="1">
      <alignment horizontal="right"/>
    </xf>
    <xf numFmtId="166" fontId="19" fillId="2" borderId="77" xfId="0" applyNumberFormat="1" applyFont="1" applyFill="1" applyBorder="1" applyAlignment="1">
      <alignment horizontal="center"/>
    </xf>
    <xf numFmtId="49" fontId="15" fillId="2" borderId="82" xfId="0" applyNumberFormat="1" applyFont="1" applyFill="1" applyBorder="1" applyAlignment="1">
      <alignment horizontal="left"/>
    </xf>
    <xf numFmtId="37" fontId="18" fillId="2" borderId="78" xfId="0" applyNumberFormat="1" applyFont="1" applyFill="1" applyBorder="1" applyAlignment="1">
      <alignment horizontal="left"/>
    </xf>
    <xf numFmtId="9" fontId="44" fillId="4" borderId="0" xfId="0" applyNumberFormat="1" applyFont="1" applyFill="1" applyAlignment="1">
      <alignment horizontal="center"/>
    </xf>
    <xf numFmtId="5" fontId="15" fillId="2" borderId="79" xfId="0" applyNumberFormat="1" applyFont="1" applyFill="1" applyBorder="1"/>
    <xf numFmtId="10" fontId="61" fillId="4" borderId="0" xfId="0" applyNumberFormat="1" applyFont="1" applyFill="1" applyAlignment="1">
      <alignment horizontal="center"/>
    </xf>
    <xf numFmtId="0" fontId="17" fillId="0" borderId="78" xfId="0" applyFont="1" applyBorder="1" applyAlignment="1">
      <alignment horizontal="right"/>
    </xf>
    <xf numFmtId="164" fontId="17" fillId="0" borderId="79" xfId="0" applyNumberFormat="1" applyFont="1" applyBorder="1"/>
    <xf numFmtId="0" fontId="17" fillId="0" borderId="81" xfId="0" applyFont="1" applyBorder="1" applyAlignment="1">
      <alignment horizontal="right"/>
    </xf>
    <xf numFmtId="164" fontId="31" fillId="0" borderId="82" xfId="0" applyNumberFormat="1" applyFont="1" applyBorder="1"/>
    <xf numFmtId="0" fontId="31" fillId="25" borderId="95" xfId="0" applyFont="1" applyFill="1" applyBorder="1"/>
    <xf numFmtId="0" fontId="17" fillId="25" borderId="97" xfId="0" applyFont="1" applyFill="1" applyBorder="1"/>
    <xf numFmtId="0" fontId="37" fillId="0" borderId="6" xfId="0" applyFont="1" applyBorder="1"/>
    <xf numFmtId="0" fontId="74" fillId="0" borderId="0" xfId="0" applyFont="1"/>
    <xf numFmtId="0" fontId="17" fillId="0" borderId="6" xfId="1" applyFont="1" applyBorder="1" applyAlignment="1">
      <alignment horizontal="left" vertical="center"/>
    </xf>
    <xf numFmtId="173" fontId="19" fillId="2" borderId="98" xfId="12" applyFont="1" applyFill="1" applyBorder="1" applyAlignment="1">
      <alignment horizontal="left" vertical="top" wrapText="1" indent="1"/>
      <protection locked="0"/>
    </xf>
    <xf numFmtId="173" fontId="19" fillId="2" borderId="98" xfId="13" applyFont="1" applyFill="1" applyBorder="1">
      <alignment horizontal="left" vertical="top" wrapText="1"/>
      <protection locked="0"/>
    </xf>
    <xf numFmtId="6" fontId="19" fillId="2" borderId="98" xfId="7" applyNumberFormat="1" applyFont="1" applyFill="1" applyBorder="1" applyAlignment="1">
      <alignment vertical="center"/>
    </xf>
    <xf numFmtId="173" fontId="20" fillId="2" borderId="98" xfId="13" applyFont="1" applyFill="1" applyBorder="1">
      <alignment horizontal="left" vertical="top" wrapText="1"/>
      <protection locked="0"/>
    </xf>
    <xf numFmtId="6" fontId="18" fillId="2" borderId="98" xfId="7" applyNumberFormat="1" applyFont="1" applyFill="1" applyBorder="1" applyAlignment="1">
      <alignment horizontal="right" vertical="center"/>
    </xf>
    <xf numFmtId="37" fontId="17" fillId="2" borderId="98" xfId="1" applyNumberFormat="1" applyFont="1" applyFill="1" applyBorder="1" applyAlignment="1">
      <alignment vertical="center"/>
    </xf>
    <xf numFmtId="6" fontId="19" fillId="2" borderId="98" xfId="7" applyNumberFormat="1" applyFont="1" applyFill="1" applyBorder="1" applyAlignment="1">
      <alignment horizontal="right" vertical="center"/>
    </xf>
    <xf numFmtId="3" fontId="18" fillId="2" borderId="98" xfId="10" applyFont="1" applyFill="1" applyBorder="1" applyAlignment="1">
      <alignment vertical="center"/>
    </xf>
    <xf numFmtId="166" fontId="18" fillId="2" borderId="98" xfId="7" applyNumberFormat="1" applyFont="1" applyFill="1" applyBorder="1" applyAlignment="1">
      <alignment horizontal="right" vertical="center"/>
    </xf>
    <xf numFmtId="0" fontId="17" fillId="2" borderId="98" xfId="1" applyFont="1" applyFill="1" applyBorder="1" applyAlignment="1">
      <alignment horizontal="left" vertical="center"/>
    </xf>
    <xf numFmtId="3" fontId="19" fillId="2" borderId="98" xfId="10" applyFont="1" applyFill="1" applyBorder="1" applyAlignment="1">
      <alignment vertical="center"/>
    </xf>
    <xf numFmtId="167" fontId="19" fillId="2" borderId="98" xfId="7" applyNumberFormat="1" applyFont="1" applyFill="1" applyBorder="1" applyAlignment="1">
      <alignment vertical="center"/>
    </xf>
    <xf numFmtId="1" fontId="19" fillId="2" borderId="98" xfId="7" applyNumberFormat="1" applyFont="1" applyFill="1" applyBorder="1" applyAlignment="1">
      <alignment horizontal="center" vertical="center"/>
    </xf>
    <xf numFmtId="3" fontId="18" fillId="2" borderId="98" xfId="10" applyFont="1" applyFill="1" applyBorder="1"/>
    <xf numFmtId="6" fontId="18" fillId="2" borderId="98" xfId="7" applyNumberFormat="1" applyFont="1" applyFill="1" applyBorder="1" applyAlignment="1">
      <alignment horizontal="right"/>
    </xf>
    <xf numFmtId="5" fontId="19" fillId="2" borderId="98" xfId="10" applyNumberFormat="1" applyFont="1" applyFill="1" applyBorder="1" applyAlignment="1">
      <alignment horizontal="center" vertical="center"/>
    </xf>
    <xf numFmtId="6" fontId="19" fillId="2" borderId="98" xfId="7" applyNumberFormat="1" applyFont="1" applyFill="1" applyBorder="1" applyAlignment="1" applyProtection="1">
      <alignment horizontal="center" vertical="center"/>
    </xf>
    <xf numFmtId="173" fontId="19" fillId="2" borderId="99" xfId="12" applyFont="1" applyFill="1" applyBorder="1" applyAlignment="1">
      <alignment horizontal="left" vertical="top" wrapText="1" indent="1"/>
      <protection locked="0"/>
    </xf>
    <xf numFmtId="6" fontId="19" fillId="2" borderId="100" xfId="7" applyNumberFormat="1" applyFont="1" applyFill="1" applyBorder="1" applyAlignment="1">
      <alignment vertical="center"/>
    </xf>
    <xf numFmtId="3" fontId="18" fillId="2" borderId="99" xfId="10" applyFont="1" applyFill="1" applyBorder="1" applyAlignment="1">
      <alignment horizontal="right" vertical="center"/>
    </xf>
    <xf numFmtId="6" fontId="18" fillId="2" borderId="100" xfId="7" applyNumberFormat="1" applyFont="1" applyFill="1" applyBorder="1" applyAlignment="1">
      <alignment vertical="center"/>
    </xf>
    <xf numFmtId="37" fontId="18" fillId="2" borderId="99" xfId="1" applyNumberFormat="1" applyFont="1" applyFill="1" applyBorder="1" applyAlignment="1">
      <alignment vertical="center"/>
    </xf>
    <xf numFmtId="3" fontId="19" fillId="2" borderId="99" xfId="10" applyFont="1" applyFill="1" applyBorder="1" applyAlignment="1">
      <alignment horizontal="left" vertical="center"/>
    </xf>
    <xf numFmtId="3" fontId="18" fillId="2" borderId="99" xfId="10" applyFont="1" applyFill="1" applyBorder="1" applyAlignment="1">
      <alignment horizontal="left" vertical="center"/>
    </xf>
    <xf numFmtId="173" fontId="19" fillId="2" borderId="99" xfId="12" applyFont="1" applyFill="1" applyBorder="1" applyAlignment="1">
      <alignment horizontal="right" vertical="top" wrapText="1" indent="1"/>
      <protection locked="0"/>
    </xf>
    <xf numFmtId="167" fontId="19" fillId="2" borderId="100" xfId="7" applyNumberFormat="1" applyFont="1" applyFill="1" applyBorder="1" applyAlignment="1">
      <alignment vertical="center"/>
    </xf>
    <xf numFmtId="3" fontId="18" fillId="2" borderId="99" xfId="10" applyFont="1" applyFill="1" applyBorder="1" applyAlignment="1">
      <alignment horizontal="left"/>
    </xf>
    <xf numFmtId="6" fontId="18" fillId="2" borderId="100" xfId="7" applyNumberFormat="1" applyFont="1" applyFill="1" applyBorder="1" applyAlignment="1"/>
    <xf numFmtId="6" fontId="18" fillId="2" borderId="100" xfId="7" applyNumberFormat="1" applyFont="1" applyFill="1" applyBorder="1" applyAlignment="1" applyProtection="1">
      <alignment vertical="center"/>
    </xf>
    <xf numFmtId="3" fontId="18" fillId="2" borderId="101" xfId="10" applyFont="1" applyFill="1" applyBorder="1" applyAlignment="1">
      <alignment horizontal="right" vertical="center"/>
    </xf>
    <xf numFmtId="5" fontId="19" fillId="2" borderId="102" xfId="10" applyNumberFormat="1" applyFont="1" applyFill="1" applyBorder="1" applyAlignment="1">
      <alignment horizontal="center" vertical="center"/>
    </xf>
    <xf numFmtId="6" fontId="18" fillId="2" borderId="102" xfId="7" applyNumberFormat="1" applyFont="1" applyFill="1" applyBorder="1" applyAlignment="1" applyProtection="1">
      <alignment horizontal="center" vertical="center"/>
    </xf>
    <xf numFmtId="6" fontId="18" fillId="2" borderId="103" xfId="7" applyNumberFormat="1" applyFont="1" applyFill="1" applyBorder="1" applyAlignment="1" applyProtection="1">
      <alignment vertical="center"/>
    </xf>
    <xf numFmtId="3" fontId="18" fillId="0" borderId="104" xfId="10" applyFont="1" applyBorder="1" applyAlignment="1">
      <alignment vertical="center"/>
    </xf>
    <xf numFmtId="37" fontId="17" fillId="0" borderId="105" xfId="1" applyNumberFormat="1" applyFont="1" applyBorder="1" applyAlignment="1">
      <alignment vertical="center"/>
    </xf>
    <xf numFmtId="6" fontId="19" fillId="0" borderId="105" xfId="11" applyNumberFormat="1" applyFont="1" applyFill="1" applyBorder="1" applyAlignment="1">
      <alignment vertical="center"/>
    </xf>
    <xf numFmtId="6" fontId="18" fillId="0" borderId="106" xfId="11" applyNumberFormat="1" applyFont="1" applyFill="1" applyBorder="1" applyAlignment="1">
      <alignment vertical="center"/>
    </xf>
    <xf numFmtId="0" fontId="15" fillId="2" borderId="107" xfId="1" applyFont="1" applyFill="1" applyBorder="1" applyAlignment="1">
      <alignment wrapText="1"/>
    </xf>
    <xf numFmtId="0" fontId="18" fillId="2" borderId="108" xfId="1" applyFont="1" applyFill="1" applyBorder="1" applyAlignment="1">
      <alignment horizontal="left" wrapText="1"/>
    </xf>
    <xf numFmtId="0" fontId="18" fillId="2" borderId="108" xfId="1" quotePrefix="1" applyFont="1" applyFill="1" applyBorder="1" applyAlignment="1">
      <alignment horizontal="center" wrapText="1"/>
    </xf>
    <xf numFmtId="0" fontId="18" fillId="2" borderId="108" xfId="1" applyFont="1" applyFill="1" applyBorder="1" applyAlignment="1">
      <alignment horizontal="center" wrapText="1"/>
    </xf>
    <xf numFmtId="0" fontId="18" fillId="2" borderId="109" xfId="1" applyFont="1" applyFill="1" applyBorder="1" applyAlignment="1">
      <alignment horizontal="center" wrapText="1"/>
    </xf>
    <xf numFmtId="3" fontId="18" fillId="2" borderId="104" xfId="10" applyFont="1" applyFill="1" applyBorder="1" applyAlignment="1">
      <alignment horizontal="right" vertical="center"/>
    </xf>
    <xf numFmtId="3" fontId="18" fillId="2" borderId="105" xfId="10" applyFont="1" applyFill="1" applyBorder="1" applyAlignment="1">
      <alignment vertical="center"/>
    </xf>
    <xf numFmtId="6" fontId="18" fillId="2" borderId="105" xfId="7" applyNumberFormat="1" applyFont="1" applyFill="1" applyBorder="1" applyAlignment="1">
      <alignment horizontal="right" vertical="center"/>
    </xf>
    <xf numFmtId="6" fontId="18" fillId="2" borderId="106" xfId="7" applyNumberFormat="1" applyFont="1" applyFill="1" applyBorder="1" applyAlignment="1">
      <alignment vertical="center"/>
    </xf>
    <xf numFmtId="3" fontId="18" fillId="2" borderId="102" xfId="10" applyFont="1" applyFill="1" applyBorder="1" applyAlignment="1">
      <alignment vertical="center"/>
    </xf>
    <xf numFmtId="6" fontId="18" fillId="2" borderId="102" xfId="7" applyNumberFormat="1" applyFont="1" applyFill="1" applyBorder="1" applyAlignment="1">
      <alignment horizontal="right" vertical="center"/>
    </xf>
    <xf numFmtId="6" fontId="18" fillId="2" borderId="103" xfId="7" applyNumberFormat="1" applyFont="1" applyFill="1" applyBorder="1" applyAlignment="1">
      <alignment vertical="center"/>
    </xf>
    <xf numFmtId="3" fontId="18" fillId="2" borderId="104" xfId="10" applyFont="1" applyFill="1" applyBorder="1" applyAlignment="1">
      <alignment horizontal="left" vertical="center"/>
    </xf>
    <xf numFmtId="3" fontId="18" fillId="2" borderId="105" xfId="10" applyFont="1" applyFill="1" applyBorder="1" applyAlignment="1">
      <alignment horizontal="center" vertical="center"/>
    </xf>
    <xf numFmtId="6" fontId="18" fillId="2" borderId="105" xfId="7" applyNumberFormat="1" applyFont="1" applyFill="1" applyBorder="1" applyAlignment="1" applyProtection="1">
      <alignment horizontal="right" vertical="center"/>
    </xf>
    <xf numFmtId="6" fontId="18" fillId="2" borderId="106" xfId="7" applyNumberFormat="1" applyFont="1" applyFill="1" applyBorder="1" applyAlignment="1" applyProtection="1">
      <alignment vertical="center"/>
    </xf>
    <xf numFmtId="3" fontId="18" fillId="2" borderId="110" xfId="10" applyFont="1" applyFill="1" applyBorder="1" applyAlignment="1">
      <alignment horizontal="left" vertical="center"/>
    </xf>
    <xf numFmtId="3" fontId="18" fillId="2" borderId="111" xfId="10" applyFont="1" applyFill="1" applyBorder="1" applyAlignment="1">
      <alignment horizontal="center" vertical="center"/>
    </xf>
    <xf numFmtId="6" fontId="18" fillId="2" borderId="111" xfId="7" applyNumberFormat="1" applyFont="1" applyFill="1" applyBorder="1" applyAlignment="1" applyProtection="1">
      <alignment horizontal="right" vertical="center"/>
    </xf>
    <xf numFmtId="6" fontId="18" fillId="2" borderId="112" xfId="7" applyNumberFormat="1" applyFont="1" applyFill="1" applyBorder="1" applyAlignment="1" applyProtection="1">
      <alignment vertical="center"/>
    </xf>
    <xf numFmtId="9" fontId="75" fillId="4" borderId="0" xfId="4" applyFont="1" applyFill="1"/>
    <xf numFmtId="166" fontId="17" fillId="21" borderId="0" xfId="0" applyNumberFormat="1" applyFont="1" applyFill="1"/>
    <xf numFmtId="17" fontId="76" fillId="3" borderId="0" xfId="0" applyNumberFormat="1" applyFont="1" applyFill="1"/>
    <xf numFmtId="0" fontId="77" fillId="3" borderId="0" xfId="0" applyFont="1" applyFill="1"/>
    <xf numFmtId="165" fontId="77" fillId="3" borderId="0" xfId="0" applyNumberFormat="1" applyFont="1" applyFill="1" applyAlignment="1">
      <alignment horizontal="center"/>
    </xf>
    <xf numFmtId="165" fontId="77" fillId="3" borderId="8" xfId="0" applyNumberFormat="1" applyFont="1" applyFill="1" applyBorder="1" applyAlignment="1">
      <alignment horizontal="center"/>
    </xf>
    <xf numFmtId="9" fontId="77" fillId="3" borderId="0" xfId="4" applyFont="1" applyFill="1" applyBorder="1"/>
    <xf numFmtId="3" fontId="77" fillId="3" borderId="0" xfId="0" applyNumberFormat="1" applyFont="1" applyFill="1" applyAlignment="1">
      <alignment horizontal="center"/>
    </xf>
    <xf numFmtId="164" fontId="77" fillId="3" borderId="0" xfId="3" applyNumberFormat="1" applyFont="1" applyFill="1" applyBorder="1"/>
    <xf numFmtId="9" fontId="77" fillId="3" borderId="6" xfId="4" applyFont="1" applyFill="1" applyBorder="1"/>
    <xf numFmtId="0" fontId="77" fillId="3" borderId="0" xfId="0" applyFont="1" applyFill="1" applyAlignment="1">
      <alignment horizontal="center"/>
    </xf>
    <xf numFmtId="0" fontId="77" fillId="3" borderId="8" xfId="0" applyFont="1" applyFill="1" applyBorder="1" applyAlignment="1">
      <alignment horizontal="center"/>
    </xf>
    <xf numFmtId="164" fontId="77" fillId="3" borderId="16" xfId="3" applyNumberFormat="1" applyFont="1" applyFill="1" applyBorder="1"/>
    <xf numFmtId="9" fontId="77" fillId="3" borderId="0" xfId="4" applyFont="1" applyFill="1"/>
    <xf numFmtId="7" fontId="38" fillId="0" borderId="0" xfId="0" applyNumberFormat="1" applyFont="1"/>
    <xf numFmtId="10" fontId="78" fillId="0" borderId="0" xfId="4" applyNumberFormat="1" applyFont="1"/>
    <xf numFmtId="43" fontId="31" fillId="2" borderId="77" xfId="0" applyNumberFormat="1" applyFont="1" applyFill="1" applyBorder="1"/>
    <xf numFmtId="41" fontId="23" fillId="2" borderId="21" xfId="0" applyNumberFormat="1" applyFont="1" applyFill="1" applyBorder="1"/>
    <xf numFmtId="17" fontId="17" fillId="2" borderId="21" xfId="0" applyNumberFormat="1" applyFont="1" applyFill="1" applyBorder="1"/>
    <xf numFmtId="0" fontId="31" fillId="0" borderId="0" xfId="0" applyFont="1" applyAlignment="1">
      <alignment horizontal="center" wrapText="1"/>
    </xf>
    <xf numFmtId="0" fontId="80" fillId="26" borderId="2" xfId="17" applyFont="1" applyFill="1" applyBorder="1"/>
    <xf numFmtId="0" fontId="81" fillId="0" borderId="5" xfId="17" applyFont="1" applyBorder="1"/>
    <xf numFmtId="0" fontId="32" fillId="0" borderId="5" xfId="17" applyFont="1" applyBorder="1" applyAlignment="1">
      <alignment horizontal="left"/>
    </xf>
    <xf numFmtId="0" fontId="17" fillId="0" borderId="2" xfId="0" applyFont="1" applyBorder="1"/>
    <xf numFmtId="9" fontId="61" fillId="4" borderId="3" xfId="0" applyNumberFormat="1" applyFont="1" applyFill="1" applyBorder="1" applyAlignment="1">
      <alignment horizontal="center"/>
    </xf>
    <xf numFmtId="41" fontId="17" fillId="0" borderId="8" xfId="0" applyNumberFormat="1" applyFont="1" applyBorder="1"/>
    <xf numFmtId="41" fontId="17" fillId="0" borderId="9" xfId="0" applyNumberFormat="1" applyFont="1" applyBorder="1"/>
    <xf numFmtId="0" fontId="32" fillId="0" borderId="5" xfId="18" applyFont="1" applyBorder="1" applyAlignment="1">
      <alignment horizontal="left"/>
    </xf>
    <xf numFmtId="0" fontId="31" fillId="0" borderId="5" xfId="18" applyFont="1" applyBorder="1" applyAlignment="1">
      <alignment horizontal="left"/>
    </xf>
    <xf numFmtId="0" fontId="30" fillId="12" borderId="3" xfId="0" applyFont="1" applyFill="1" applyBorder="1"/>
    <xf numFmtId="17" fontId="30" fillId="12" borderId="3" xfId="0" applyNumberFormat="1" applyFont="1" applyFill="1" applyBorder="1"/>
    <xf numFmtId="17" fontId="30" fillId="12" borderId="4" xfId="0" applyNumberFormat="1" applyFont="1" applyFill="1" applyBorder="1"/>
    <xf numFmtId="174" fontId="17" fillId="0" borderId="0" xfId="0" applyNumberFormat="1" applyFont="1"/>
    <xf numFmtId="174" fontId="17" fillId="0" borderId="6" xfId="0" applyNumberFormat="1" applyFont="1" applyBorder="1"/>
    <xf numFmtId="43" fontId="17" fillId="0" borderId="6" xfId="0" applyNumberFormat="1" applyFont="1" applyBorder="1"/>
    <xf numFmtId="0" fontId="32" fillId="0" borderId="7" xfId="18" applyFont="1" applyBorder="1" applyAlignment="1">
      <alignment horizontal="left"/>
    </xf>
    <xf numFmtId="0" fontId="82" fillId="0" borderId="0" xfId="6" applyFont="1"/>
    <xf numFmtId="9" fontId="25" fillId="0" borderId="0" xfId="4" applyFont="1" applyAlignment="1">
      <alignment horizontal="left"/>
    </xf>
    <xf numFmtId="0" fontId="43" fillId="4" borderId="0" xfId="0" applyFont="1" applyFill="1" applyAlignment="1">
      <alignment horizontal="left" vertical="center"/>
    </xf>
    <xf numFmtId="0" fontId="18" fillId="2" borderId="39" xfId="0" applyFont="1" applyFill="1" applyBorder="1" applyAlignment="1">
      <alignment horizontal="center"/>
    </xf>
    <xf numFmtId="0" fontId="18" fillId="2" borderId="40" xfId="0" applyFont="1" applyFill="1" applyBorder="1" applyAlignment="1">
      <alignment horizontal="center"/>
    </xf>
    <xf numFmtId="0" fontId="26" fillId="12" borderId="3" xfId="0" applyFont="1" applyFill="1" applyBorder="1" applyAlignment="1">
      <alignment horizontal="center"/>
    </xf>
    <xf numFmtId="0" fontId="26" fillId="12" borderId="4" xfId="0" applyFont="1" applyFill="1" applyBorder="1" applyAlignment="1">
      <alignment horizontal="center"/>
    </xf>
    <xf numFmtId="0" fontId="29" fillId="2" borderId="34" xfId="0" applyFont="1" applyFill="1" applyBorder="1" applyAlignment="1">
      <alignment horizontal="center"/>
    </xf>
    <xf numFmtId="0" fontId="29" fillId="2" borderId="35" xfId="0" applyFont="1" applyFill="1" applyBorder="1" applyAlignment="1">
      <alignment horizontal="center"/>
    </xf>
    <xf numFmtId="0" fontId="19" fillId="0" borderId="34" xfId="0" applyFont="1" applyBorder="1" applyAlignment="1">
      <alignment horizontal="center"/>
    </xf>
    <xf numFmtId="0" fontId="19" fillId="0" borderId="35" xfId="0" applyFont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79" xfId="0" applyFont="1" applyFill="1" applyBorder="1" applyAlignment="1">
      <alignment horizontal="center"/>
    </xf>
    <xf numFmtId="0" fontId="17" fillId="2" borderId="1" xfId="1" applyFont="1" applyFill="1" applyBorder="1" applyAlignment="1">
      <alignment horizontal="center" vertical="center" wrapText="1"/>
    </xf>
    <xf numFmtId="168" fontId="6" fillId="10" borderId="0" xfId="0" applyNumberFormat="1" applyFont="1" applyFill="1"/>
    <xf numFmtId="0" fontId="6" fillId="5" borderId="43" xfId="0" applyFont="1" applyFill="1" applyBorder="1" applyAlignment="1">
      <alignment horizontal="left" vertical="center"/>
    </xf>
    <xf numFmtId="1" fontId="8" fillId="7" borderId="45" xfId="0" applyNumberFormat="1" applyFont="1" applyFill="1" applyBorder="1" applyAlignment="1">
      <alignment horizontal="center" vertical="center"/>
    </xf>
    <xf numFmtId="0" fontId="8" fillId="7" borderId="45" xfId="0" applyFont="1" applyFill="1" applyBorder="1" applyAlignment="1">
      <alignment horizontal="center" vertical="center"/>
    </xf>
    <xf numFmtId="168" fontId="9" fillId="9" borderId="0" xfId="0" applyNumberFormat="1" applyFont="1" applyFill="1"/>
    <xf numFmtId="17" fontId="0" fillId="0" borderId="0" xfId="0" applyNumberFormat="1"/>
    <xf numFmtId="41" fontId="31" fillId="2" borderId="0" xfId="0" applyNumberFormat="1" applyFont="1" applyFill="1" applyBorder="1"/>
    <xf numFmtId="6" fontId="83" fillId="0" borderId="55" xfId="0" applyNumberFormat="1" applyFont="1" applyBorder="1"/>
  </cellXfs>
  <cellStyles count="19">
    <cellStyle name="Comma" xfId="2" builtinId="3"/>
    <cellStyle name="Comma 10" xfId="9" xr:uid="{EBFE4A43-60AF-44A3-8702-65188D42CA2E}"/>
    <cellStyle name="Comma 2 4" xfId="8" xr:uid="{5E86C306-78DC-4708-A16B-C3C6A2CBFECD}"/>
    <cellStyle name="Comma 3" xfId="11" xr:uid="{E23689D3-FB2A-4E86-8A57-9F6BD9105F31}"/>
    <cellStyle name="Currency" xfId="3" builtinId="4"/>
    <cellStyle name="Currency 3" xfId="7" xr:uid="{175C6F42-6837-4F3B-8F35-FD2064AADA55}"/>
    <cellStyle name="drop down" xfId="13" xr:uid="{14713404-E58F-4CF3-9C42-4EF14798D004}"/>
    <cellStyle name="Hyperlink" xfId="6" builtinId="8"/>
    <cellStyle name="input cells" xfId="15" xr:uid="{D0A039D7-8380-4BB5-A3F6-326FC07C115F}"/>
    <cellStyle name="Normal" xfId="0" builtinId="0"/>
    <cellStyle name="Normal 2" xfId="16" xr:uid="{35C952C0-768B-40C8-894A-81DD795BC409}"/>
    <cellStyle name="Normal 3" xfId="1" xr:uid="{2D98F1EE-5333-4AEB-933F-5720D380BBF2}"/>
    <cellStyle name="Normal 5" xfId="17" xr:uid="{CC989763-6EBB-4565-89EF-CFF8102EA33A}"/>
    <cellStyle name="Normal 5 2" xfId="18" xr:uid="{1F832F5A-04D5-434C-9962-BC8E82F044CD}"/>
    <cellStyle name="Normal_coop sale price analysis v2" xfId="5" xr:uid="{F1E490EB-9D03-410B-B258-1708EAA5A15E}"/>
    <cellStyle name="Per cent" xfId="4" builtinId="5"/>
    <cellStyle name="Percent 3" xfId="14" xr:uid="{9139E5F9-B78C-466E-86E3-393A93837499}"/>
    <cellStyle name="Subtotal" xfId="10" xr:uid="{B76A49CD-992E-4DA5-BA59-F037AE880219}"/>
    <cellStyle name="text cells" xfId="12" xr:uid="{C95F9A3C-B2D7-4740-BB93-9C9D2232AE9B}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2E75B5"/>
      <color rgb="FFFFFF99"/>
      <color rgb="FFFFDEBD"/>
      <color rgb="FFFFCC99"/>
      <color rgb="FFFFCC66"/>
      <color rgb="FFFF9933"/>
      <color rgb="FFFF99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Value of Property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'KPI''s'!$D$4:$AG$4</c:f>
              <c:numCache>
                <c:formatCode>mmm\-yy</c:formatCode>
                <c:ptCount val="30"/>
                <c:pt idx="0">
                  <c:v>47330</c:v>
                </c:pt>
                <c:pt idx="1">
                  <c:v>47695</c:v>
                </c:pt>
                <c:pt idx="2">
                  <c:v>48060</c:v>
                </c:pt>
                <c:pt idx="3">
                  <c:v>48426</c:v>
                </c:pt>
                <c:pt idx="4">
                  <c:v>48791</c:v>
                </c:pt>
                <c:pt idx="5">
                  <c:v>49156</c:v>
                </c:pt>
                <c:pt idx="6">
                  <c:v>49521</c:v>
                </c:pt>
                <c:pt idx="7">
                  <c:v>49887</c:v>
                </c:pt>
                <c:pt idx="8">
                  <c:v>50252</c:v>
                </c:pt>
                <c:pt idx="9">
                  <c:v>50617</c:v>
                </c:pt>
                <c:pt idx="10">
                  <c:v>50982</c:v>
                </c:pt>
                <c:pt idx="11">
                  <c:v>51348</c:v>
                </c:pt>
                <c:pt idx="12">
                  <c:v>51713</c:v>
                </c:pt>
                <c:pt idx="13">
                  <c:v>52078</c:v>
                </c:pt>
                <c:pt idx="14">
                  <c:v>52443</c:v>
                </c:pt>
                <c:pt idx="15">
                  <c:v>52809</c:v>
                </c:pt>
                <c:pt idx="16">
                  <c:v>53174</c:v>
                </c:pt>
                <c:pt idx="17">
                  <c:v>53539</c:v>
                </c:pt>
                <c:pt idx="18">
                  <c:v>53904</c:v>
                </c:pt>
                <c:pt idx="19">
                  <c:v>54270</c:v>
                </c:pt>
                <c:pt idx="20">
                  <c:v>54635</c:v>
                </c:pt>
                <c:pt idx="21">
                  <c:v>55000</c:v>
                </c:pt>
                <c:pt idx="22">
                  <c:v>55365</c:v>
                </c:pt>
                <c:pt idx="23">
                  <c:v>55731</c:v>
                </c:pt>
                <c:pt idx="24">
                  <c:v>56096</c:v>
                </c:pt>
                <c:pt idx="25">
                  <c:v>56461</c:v>
                </c:pt>
                <c:pt idx="26">
                  <c:v>56826</c:v>
                </c:pt>
                <c:pt idx="27">
                  <c:v>57192</c:v>
                </c:pt>
                <c:pt idx="28">
                  <c:v>57557</c:v>
                </c:pt>
                <c:pt idx="29">
                  <c:v>57922</c:v>
                </c:pt>
              </c:numCache>
            </c:numRef>
          </c:cat>
          <c:val>
            <c:numRef>
              <c:f>'KPI''s'!$D$6:$AG$6</c:f>
              <c:numCache>
                <c:formatCode>_(* #,##0_);_(* \(#,##0\);_(* "-"_);_(@_)</c:formatCode>
                <c:ptCount val="30"/>
                <c:pt idx="0">
                  <c:v>58597050.426132396</c:v>
                </c:pt>
                <c:pt idx="1">
                  <c:v>59291720.397017419</c:v>
                </c:pt>
                <c:pt idx="2">
                  <c:v>59985965.636191003</c:v>
                </c:pt>
                <c:pt idx="3">
                  <c:v>60679348.105085053</c:v>
                </c:pt>
                <c:pt idx="4">
                  <c:v>61371408.118042104</c:v>
                </c:pt>
                <c:pt idx="5">
                  <c:v>62061663.52278395</c:v>
                </c:pt>
                <c:pt idx="6">
                  <c:v>62749608.852892041</c:v>
                </c:pt>
                <c:pt idx="7">
                  <c:v>63434714.451391906</c:v>
                </c:pt>
                <c:pt idx="8">
                  <c:v>64116425.564505033</c:v>
                </c:pt>
                <c:pt idx="9">
                  <c:v>64794161.404602945</c:v>
                </c:pt>
                <c:pt idx="10">
                  <c:v>65467314.181367092</c:v>
                </c:pt>
                <c:pt idx="11">
                  <c:v>66135248.100126646</c:v>
                </c:pt>
                <c:pt idx="12">
                  <c:v>66797298.326315366</c:v>
                </c:pt>
                <c:pt idx="13">
                  <c:v>67452769.914953426</c:v>
                </c:pt>
                <c:pt idx="14">
                  <c:v>68100936.704027653</c:v>
                </c:pt>
                <c:pt idx="15">
                  <c:v>68741040.170606598</c:v>
                </c:pt>
                <c:pt idx="16">
                  <c:v>69372288.248492077</c:v>
                </c:pt>
                <c:pt idx="17">
                  <c:v>69993854.106169447</c:v>
                </c:pt>
                <c:pt idx="18">
                  <c:v>70604874.883781567</c:v>
                </c:pt>
                <c:pt idx="19">
                  <c:v>71204450.387810633</c:v>
                </c:pt>
                <c:pt idx="20">
                  <c:v>71791641.742110863</c:v>
                </c:pt>
                <c:pt idx="21">
                  <c:v>72365469.99389343</c:v>
                </c:pt>
                <c:pt idx="22">
                  <c:v>72924914.673219845</c:v>
                </c:pt>
                <c:pt idx="23">
                  <c:v>73468912.304516271</c:v>
                </c:pt>
                <c:pt idx="24">
                  <c:v>73996354.868573576</c:v>
                </c:pt>
                <c:pt idx="25">
                  <c:v>74506088.213451028</c:v>
                </c:pt>
                <c:pt idx="26">
                  <c:v>74996910.412651241</c:v>
                </c:pt>
                <c:pt idx="27">
                  <c:v>75467570.068883345</c:v>
                </c:pt>
                <c:pt idx="28">
                  <c:v>75916764.561679453</c:v>
                </c:pt>
                <c:pt idx="29">
                  <c:v>76343138.237074092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1-40FF-A0C0-A73B82D69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274879"/>
        <c:axId val="517275839"/>
      </c:barChart>
      <c:dateAx>
        <c:axId val="5172748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5839"/>
        <c:crosses val="autoZero"/>
        <c:auto val="0"/>
        <c:lblOffset val="100"/>
        <c:baseTimeUnit val="years"/>
      </c:dateAx>
      <c:valAx>
        <c:axId val="5172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Potential</a:t>
            </a:r>
            <a:r>
              <a:rPr lang="en-IN" baseline="0"/>
              <a:t> Gross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'KPI''s'!$D$4:$AG$4</c:f>
              <c:numCache>
                <c:formatCode>mmm\-yy</c:formatCode>
                <c:ptCount val="30"/>
                <c:pt idx="0">
                  <c:v>47330</c:v>
                </c:pt>
                <c:pt idx="1">
                  <c:v>47695</c:v>
                </c:pt>
                <c:pt idx="2">
                  <c:v>48060</c:v>
                </c:pt>
                <c:pt idx="3">
                  <c:v>48426</c:v>
                </c:pt>
                <c:pt idx="4">
                  <c:v>48791</c:v>
                </c:pt>
                <c:pt idx="5">
                  <c:v>49156</c:v>
                </c:pt>
                <c:pt idx="6">
                  <c:v>49521</c:v>
                </c:pt>
                <c:pt idx="7">
                  <c:v>49887</c:v>
                </c:pt>
                <c:pt idx="8">
                  <c:v>50252</c:v>
                </c:pt>
                <c:pt idx="9">
                  <c:v>50617</c:v>
                </c:pt>
                <c:pt idx="10">
                  <c:v>50982</c:v>
                </c:pt>
                <c:pt idx="11">
                  <c:v>51348</c:v>
                </c:pt>
                <c:pt idx="12">
                  <c:v>51713</c:v>
                </c:pt>
                <c:pt idx="13">
                  <c:v>52078</c:v>
                </c:pt>
                <c:pt idx="14">
                  <c:v>52443</c:v>
                </c:pt>
                <c:pt idx="15">
                  <c:v>52809</c:v>
                </c:pt>
                <c:pt idx="16">
                  <c:v>53174</c:v>
                </c:pt>
                <c:pt idx="17">
                  <c:v>53539</c:v>
                </c:pt>
                <c:pt idx="18">
                  <c:v>53904</c:v>
                </c:pt>
                <c:pt idx="19">
                  <c:v>54270</c:v>
                </c:pt>
                <c:pt idx="20">
                  <c:v>54635</c:v>
                </c:pt>
                <c:pt idx="21">
                  <c:v>55000</c:v>
                </c:pt>
                <c:pt idx="22">
                  <c:v>55365</c:v>
                </c:pt>
                <c:pt idx="23">
                  <c:v>55731</c:v>
                </c:pt>
                <c:pt idx="24">
                  <c:v>56096</c:v>
                </c:pt>
                <c:pt idx="25">
                  <c:v>56461</c:v>
                </c:pt>
                <c:pt idx="26">
                  <c:v>56826</c:v>
                </c:pt>
                <c:pt idx="27">
                  <c:v>57192</c:v>
                </c:pt>
                <c:pt idx="28">
                  <c:v>57557</c:v>
                </c:pt>
                <c:pt idx="29">
                  <c:v>57922</c:v>
                </c:pt>
              </c:numCache>
            </c:numRef>
          </c:cat>
          <c:val>
            <c:numRef>
              <c:f>'KPI''s'!$D$7:$AG$7</c:f>
              <c:numCache>
                <c:formatCode>_(* #,##0_);_(* \(#,##0\);_(* "-"_);_(@_)</c:formatCode>
                <c:ptCount val="30"/>
                <c:pt idx="0">
                  <c:v>7836489.2560975607</c:v>
                </c:pt>
                <c:pt idx="1">
                  <c:v>7993219.041219512</c:v>
                </c:pt>
                <c:pt idx="2">
                  <c:v>8153083.4220439019</c:v>
                </c:pt>
                <c:pt idx="3">
                  <c:v>8316145.0904847812</c:v>
                </c:pt>
                <c:pt idx="4">
                  <c:v>8482467.9922944754</c:v>
                </c:pt>
                <c:pt idx="5">
                  <c:v>8652117.3521403652</c:v>
                </c:pt>
                <c:pt idx="6">
                  <c:v>8825159.6991831735</c:v>
                </c:pt>
                <c:pt idx="7">
                  <c:v>9001662.8931668364</c:v>
                </c:pt>
                <c:pt idx="8">
                  <c:v>9181696.1510301735</c:v>
                </c:pt>
                <c:pt idx="9">
                  <c:v>9365330.0740507767</c:v>
                </c:pt>
                <c:pt idx="10">
                  <c:v>9552636.6755317897</c:v>
                </c:pt>
                <c:pt idx="11">
                  <c:v>9743689.4090424273</c:v>
                </c:pt>
                <c:pt idx="12">
                  <c:v>9938563.1972232759</c:v>
                </c:pt>
                <c:pt idx="13">
                  <c:v>10137334.461167742</c:v>
                </c:pt>
                <c:pt idx="14">
                  <c:v>10340081.150391098</c:v>
                </c:pt>
                <c:pt idx="15">
                  <c:v>10546882.773398919</c:v>
                </c:pt>
                <c:pt idx="16">
                  <c:v>10757820.428866899</c:v>
                </c:pt>
                <c:pt idx="17">
                  <c:v>10972976.837444237</c:v>
                </c:pt>
                <c:pt idx="18">
                  <c:v>11192436.374193121</c:v>
                </c:pt>
                <c:pt idx="19">
                  <c:v>11416285.101676982</c:v>
                </c:pt>
                <c:pt idx="20">
                  <c:v>11644610.803710522</c:v>
                </c:pt>
                <c:pt idx="21">
                  <c:v>11877503.019784732</c:v>
                </c:pt>
                <c:pt idx="22">
                  <c:v>12115053.080180427</c:v>
                </c:pt>
                <c:pt idx="23">
                  <c:v>12357354.141784035</c:v>
                </c:pt>
                <c:pt idx="24">
                  <c:v>12604501.224619716</c:v>
                </c:pt>
                <c:pt idx="25">
                  <c:v>12856591.249112112</c:v>
                </c:pt>
                <c:pt idx="26">
                  <c:v>13113723.074094353</c:v>
                </c:pt>
                <c:pt idx="27">
                  <c:v>13375997.535576241</c:v>
                </c:pt>
                <c:pt idx="28">
                  <c:v>13643517.486287765</c:v>
                </c:pt>
                <c:pt idx="29">
                  <c:v>13916387.836013522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1-40FF-A0C0-A73B82D69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274879"/>
        <c:axId val="517275839"/>
      </c:barChart>
      <c:dateAx>
        <c:axId val="5172748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5839"/>
        <c:crosses val="autoZero"/>
        <c:auto val="0"/>
        <c:lblOffset val="100"/>
        <c:baseTimeUnit val="years"/>
      </c:dateAx>
      <c:valAx>
        <c:axId val="5172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Effective Gross Rental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'KPI''s'!$D$4:$AG$4</c:f>
              <c:numCache>
                <c:formatCode>mmm\-yy</c:formatCode>
                <c:ptCount val="30"/>
                <c:pt idx="0">
                  <c:v>47330</c:v>
                </c:pt>
                <c:pt idx="1">
                  <c:v>47695</c:v>
                </c:pt>
                <c:pt idx="2">
                  <c:v>48060</c:v>
                </c:pt>
                <c:pt idx="3">
                  <c:v>48426</c:v>
                </c:pt>
                <c:pt idx="4">
                  <c:v>48791</c:v>
                </c:pt>
                <c:pt idx="5">
                  <c:v>49156</c:v>
                </c:pt>
                <c:pt idx="6">
                  <c:v>49521</c:v>
                </c:pt>
                <c:pt idx="7">
                  <c:v>49887</c:v>
                </c:pt>
                <c:pt idx="8">
                  <c:v>50252</c:v>
                </c:pt>
                <c:pt idx="9">
                  <c:v>50617</c:v>
                </c:pt>
                <c:pt idx="10">
                  <c:v>50982</c:v>
                </c:pt>
                <c:pt idx="11">
                  <c:v>51348</c:v>
                </c:pt>
                <c:pt idx="12">
                  <c:v>51713</c:v>
                </c:pt>
                <c:pt idx="13">
                  <c:v>52078</c:v>
                </c:pt>
                <c:pt idx="14">
                  <c:v>52443</c:v>
                </c:pt>
                <c:pt idx="15">
                  <c:v>52809</c:v>
                </c:pt>
                <c:pt idx="16">
                  <c:v>53174</c:v>
                </c:pt>
                <c:pt idx="17">
                  <c:v>53539</c:v>
                </c:pt>
                <c:pt idx="18">
                  <c:v>53904</c:v>
                </c:pt>
                <c:pt idx="19">
                  <c:v>54270</c:v>
                </c:pt>
                <c:pt idx="20">
                  <c:v>54635</c:v>
                </c:pt>
                <c:pt idx="21">
                  <c:v>55000</c:v>
                </c:pt>
                <c:pt idx="22">
                  <c:v>55365</c:v>
                </c:pt>
                <c:pt idx="23">
                  <c:v>55731</c:v>
                </c:pt>
                <c:pt idx="24">
                  <c:v>56096</c:v>
                </c:pt>
                <c:pt idx="25">
                  <c:v>56461</c:v>
                </c:pt>
                <c:pt idx="26">
                  <c:v>56826</c:v>
                </c:pt>
                <c:pt idx="27">
                  <c:v>57192</c:v>
                </c:pt>
                <c:pt idx="28">
                  <c:v>57557</c:v>
                </c:pt>
                <c:pt idx="29">
                  <c:v>57922</c:v>
                </c:pt>
              </c:numCache>
            </c:numRef>
          </c:cat>
          <c:val>
            <c:numRef>
              <c:f>'KPI''s'!$D$8:$AG$8</c:f>
              <c:numCache>
                <c:formatCode>_(* #,##0_);_(* \(#,##0\);_(* "-"_);_(@_)</c:formatCode>
                <c:ptCount val="30"/>
                <c:pt idx="0">
                  <c:v>7442690.7932926826</c:v>
                </c:pt>
                <c:pt idx="1">
                  <c:v>7591544.6091585364</c:v>
                </c:pt>
                <c:pt idx="2">
                  <c:v>7743375.5013417071</c:v>
                </c:pt>
                <c:pt idx="3">
                  <c:v>7898243.011368541</c:v>
                </c:pt>
                <c:pt idx="4">
                  <c:v>8056207.8715959117</c:v>
                </c:pt>
                <c:pt idx="5">
                  <c:v>8217332.0290278299</c:v>
                </c:pt>
                <c:pt idx="6">
                  <c:v>8381678.6696083853</c:v>
                </c:pt>
                <c:pt idx="7">
                  <c:v>8549312.2430005539</c:v>
                </c:pt>
                <c:pt idx="8">
                  <c:v>8720298.487860566</c:v>
                </c:pt>
                <c:pt idx="9">
                  <c:v>8894704.4576177765</c:v>
                </c:pt>
                <c:pt idx="10">
                  <c:v>9072598.5467701331</c:v>
                </c:pt>
                <c:pt idx="11">
                  <c:v>9254050.5177055355</c:v>
                </c:pt>
                <c:pt idx="12">
                  <c:v>9439131.5280596465</c:v>
                </c:pt>
                <c:pt idx="13">
                  <c:v>9627914.1586208381</c:v>
                </c:pt>
                <c:pt idx="14">
                  <c:v>9820472.4417932555</c:v>
                </c:pt>
                <c:pt idx="15">
                  <c:v>10016881.890629122</c:v>
                </c:pt>
                <c:pt idx="16">
                  <c:v>10217219.528441705</c:v>
                </c:pt>
                <c:pt idx="17">
                  <c:v>10421563.919010539</c:v>
                </c:pt>
                <c:pt idx="18">
                  <c:v>10629995.197390748</c:v>
                </c:pt>
                <c:pt idx="19">
                  <c:v>10842595.101338563</c:v>
                </c:pt>
                <c:pt idx="20">
                  <c:v>11059447.003365334</c:v>
                </c:pt>
                <c:pt idx="21">
                  <c:v>11280635.943432642</c:v>
                </c:pt>
                <c:pt idx="22">
                  <c:v>11506248.662301293</c:v>
                </c:pt>
                <c:pt idx="23">
                  <c:v>11736373.635547321</c:v>
                </c:pt>
                <c:pt idx="24">
                  <c:v>11971101.108258268</c:v>
                </c:pt>
                <c:pt idx="25">
                  <c:v>12210523.130423432</c:v>
                </c:pt>
                <c:pt idx="26">
                  <c:v>12454733.593031902</c:v>
                </c:pt>
                <c:pt idx="27">
                  <c:v>12703828.264892539</c:v>
                </c:pt>
                <c:pt idx="28">
                  <c:v>12957904.830190388</c:v>
                </c:pt>
                <c:pt idx="29">
                  <c:v>13217062.926794197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1-40FF-A0C0-A73B82D69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274879"/>
        <c:axId val="517275839"/>
      </c:barChart>
      <c:dateAx>
        <c:axId val="5172748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5839"/>
        <c:crosses val="autoZero"/>
        <c:auto val="0"/>
        <c:lblOffset val="100"/>
        <c:baseTimeUnit val="years"/>
      </c:dateAx>
      <c:valAx>
        <c:axId val="5172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Gross Rent Multiplier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'KPI''s'!$D$4:$AG$4</c:f>
              <c:numCache>
                <c:formatCode>mmm\-yy</c:formatCode>
                <c:ptCount val="30"/>
                <c:pt idx="0">
                  <c:v>47330</c:v>
                </c:pt>
                <c:pt idx="1">
                  <c:v>47695</c:v>
                </c:pt>
                <c:pt idx="2">
                  <c:v>48060</c:v>
                </c:pt>
                <c:pt idx="3">
                  <c:v>48426</c:v>
                </c:pt>
                <c:pt idx="4">
                  <c:v>48791</c:v>
                </c:pt>
                <c:pt idx="5">
                  <c:v>49156</c:v>
                </c:pt>
                <c:pt idx="6">
                  <c:v>49521</c:v>
                </c:pt>
                <c:pt idx="7">
                  <c:v>49887</c:v>
                </c:pt>
                <c:pt idx="8">
                  <c:v>50252</c:v>
                </c:pt>
                <c:pt idx="9">
                  <c:v>50617</c:v>
                </c:pt>
                <c:pt idx="10">
                  <c:v>50982</c:v>
                </c:pt>
                <c:pt idx="11">
                  <c:v>51348</c:v>
                </c:pt>
                <c:pt idx="12">
                  <c:v>51713</c:v>
                </c:pt>
                <c:pt idx="13">
                  <c:v>52078</c:v>
                </c:pt>
                <c:pt idx="14">
                  <c:v>52443</c:v>
                </c:pt>
                <c:pt idx="15">
                  <c:v>52809</c:v>
                </c:pt>
                <c:pt idx="16">
                  <c:v>53174</c:v>
                </c:pt>
                <c:pt idx="17">
                  <c:v>53539</c:v>
                </c:pt>
                <c:pt idx="18">
                  <c:v>53904</c:v>
                </c:pt>
                <c:pt idx="19">
                  <c:v>54270</c:v>
                </c:pt>
                <c:pt idx="20">
                  <c:v>54635</c:v>
                </c:pt>
                <c:pt idx="21">
                  <c:v>55000</c:v>
                </c:pt>
                <c:pt idx="22">
                  <c:v>55365</c:v>
                </c:pt>
                <c:pt idx="23">
                  <c:v>55731</c:v>
                </c:pt>
                <c:pt idx="24">
                  <c:v>56096</c:v>
                </c:pt>
                <c:pt idx="25">
                  <c:v>56461</c:v>
                </c:pt>
                <c:pt idx="26">
                  <c:v>56826</c:v>
                </c:pt>
                <c:pt idx="27">
                  <c:v>57192</c:v>
                </c:pt>
                <c:pt idx="28">
                  <c:v>57557</c:v>
                </c:pt>
                <c:pt idx="29">
                  <c:v>57922</c:v>
                </c:pt>
              </c:numCache>
            </c:numRef>
          </c:cat>
          <c:val>
            <c:numRef>
              <c:f>'KPI''s'!$D$9:$AG$9</c:f>
              <c:numCache>
                <c:formatCode>0.0</c:formatCode>
                <c:ptCount val="30"/>
                <c:pt idx="0">
                  <c:v>7.8731002071105491</c:v>
                </c:pt>
                <c:pt idx="1">
                  <c:v>7.8102314416340421</c:v>
                </c:pt>
                <c:pt idx="2">
                  <c:v>7.7467463157116869</c:v>
                </c:pt>
                <c:pt idx="3">
                  <c:v>7.6826387865940129</c:v>
                </c:pt>
                <c:pt idx="4">
                  <c:v>7.6179027522889129</c:v>
                </c:pt>
                <c:pt idx="5">
                  <c:v>7.5525320509808216</c:v>
                </c:pt>
                <c:pt idx="6">
                  <c:v>7.4865204604442166</c:v>
                </c:pt>
                <c:pt idx="7">
                  <c:v>7.419861697451374</c:v>
                </c:pt>
                <c:pt idx="8">
                  <c:v>7.3525494171742887</c:v>
                </c:pt>
                <c:pt idx="9">
                  <c:v>7.284577212580758</c:v>
                </c:pt>
                <c:pt idx="10">
                  <c:v>7.2159386138245489</c:v>
                </c:pt>
                <c:pt idx="11">
                  <c:v>7.1466270876295503</c:v>
                </c:pt>
                <c:pt idx="12">
                  <c:v>7.0766360366679351</c:v>
                </c:pt>
                <c:pt idx="13">
                  <c:v>7.005958798932185</c:v>
                </c:pt>
                <c:pt idx="14">
                  <c:v>6.9345886471009903</c:v>
                </c:pt>
                <c:pt idx="15">
                  <c:v>6.8625187878988996</c:v>
                </c:pt>
                <c:pt idx="16">
                  <c:v>6.7897423614497301</c:v>
                </c:pt>
                <c:pt idx="17">
                  <c:v>6.7162524406236068</c:v>
                </c:pt>
                <c:pt idx="18">
                  <c:v>6.6420420303776178</c:v>
                </c:pt>
                <c:pt idx="19">
                  <c:v>6.5671040670900043</c:v>
                </c:pt>
                <c:pt idx="20">
                  <c:v>6.4914314178878048</c:v>
                </c:pt>
                <c:pt idx="21">
                  <c:v>6.4150168799679363</c:v>
                </c:pt>
                <c:pt idx="22">
                  <c:v>6.3378531799116002</c:v>
                </c:pt>
                <c:pt idx="23">
                  <c:v>6.2599329729919662</c:v>
                </c:pt>
                <c:pt idx="24">
                  <c:v>6.1812488424750809</c:v>
                </c:pt>
                <c:pt idx="25">
                  <c:v>6.1017932989139121</c:v>
                </c:pt>
                <c:pt idx="26">
                  <c:v>6.0215587794354795</c:v>
                </c:pt>
                <c:pt idx="27">
                  <c:v>5.9405376470209799</c:v>
                </c:pt>
                <c:pt idx="28">
                  <c:v>5.858722189778887</c:v>
                </c:pt>
                <c:pt idx="29">
                  <c:v>5.7761046202108943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1-40FF-A0C0-A73B82D69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274879"/>
        <c:axId val="517275839"/>
      </c:barChart>
      <c:dateAx>
        <c:axId val="5172748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5839"/>
        <c:crosses val="autoZero"/>
        <c:auto val="0"/>
        <c:lblOffset val="100"/>
        <c:baseTimeUnit val="years"/>
      </c:dateAx>
      <c:valAx>
        <c:axId val="5172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Income to Expense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'KPI''s'!$D$4:$AG$4</c:f>
              <c:numCache>
                <c:formatCode>mmm\-yy</c:formatCode>
                <c:ptCount val="30"/>
                <c:pt idx="0">
                  <c:v>47330</c:v>
                </c:pt>
                <c:pt idx="1">
                  <c:v>47695</c:v>
                </c:pt>
                <c:pt idx="2">
                  <c:v>48060</c:v>
                </c:pt>
                <c:pt idx="3">
                  <c:v>48426</c:v>
                </c:pt>
                <c:pt idx="4">
                  <c:v>48791</c:v>
                </c:pt>
                <c:pt idx="5">
                  <c:v>49156</c:v>
                </c:pt>
                <c:pt idx="6">
                  <c:v>49521</c:v>
                </c:pt>
                <c:pt idx="7">
                  <c:v>49887</c:v>
                </c:pt>
                <c:pt idx="8">
                  <c:v>50252</c:v>
                </c:pt>
                <c:pt idx="9">
                  <c:v>50617</c:v>
                </c:pt>
                <c:pt idx="10">
                  <c:v>50982</c:v>
                </c:pt>
                <c:pt idx="11">
                  <c:v>51348</c:v>
                </c:pt>
                <c:pt idx="12">
                  <c:v>51713</c:v>
                </c:pt>
                <c:pt idx="13">
                  <c:v>52078</c:v>
                </c:pt>
                <c:pt idx="14">
                  <c:v>52443</c:v>
                </c:pt>
                <c:pt idx="15">
                  <c:v>52809</c:v>
                </c:pt>
                <c:pt idx="16">
                  <c:v>53174</c:v>
                </c:pt>
                <c:pt idx="17">
                  <c:v>53539</c:v>
                </c:pt>
                <c:pt idx="18">
                  <c:v>53904</c:v>
                </c:pt>
                <c:pt idx="19">
                  <c:v>54270</c:v>
                </c:pt>
                <c:pt idx="20">
                  <c:v>54635</c:v>
                </c:pt>
                <c:pt idx="21">
                  <c:v>55000</c:v>
                </c:pt>
                <c:pt idx="22">
                  <c:v>55365</c:v>
                </c:pt>
                <c:pt idx="23">
                  <c:v>55731</c:v>
                </c:pt>
                <c:pt idx="24">
                  <c:v>56096</c:v>
                </c:pt>
                <c:pt idx="25">
                  <c:v>56461</c:v>
                </c:pt>
                <c:pt idx="26">
                  <c:v>56826</c:v>
                </c:pt>
                <c:pt idx="27">
                  <c:v>57192</c:v>
                </c:pt>
                <c:pt idx="28">
                  <c:v>57557</c:v>
                </c:pt>
                <c:pt idx="29">
                  <c:v>57922</c:v>
                </c:pt>
              </c:numCache>
            </c:numRef>
          </c:cat>
          <c:val>
            <c:numRef>
              <c:f>'KPI''s'!$D$10:$AG$10</c:f>
              <c:numCache>
                <c:formatCode>_(* #,##0.00_);_(* \(#,##0.00\);_(* "-"??_);_(@_)</c:formatCode>
                <c:ptCount val="30"/>
                <c:pt idx="0">
                  <c:v>1.1782948162516469</c:v>
                </c:pt>
                <c:pt idx="1">
                  <c:v>1.1830880687416339</c:v>
                </c:pt>
                <c:pt idx="2">
                  <c:v>1.1876427489719432</c:v>
                </c:pt>
                <c:pt idx="3">
                  <c:v>1.1919565664837857</c:v>
                </c:pt>
                <c:pt idx="4">
                  <c:v>1.1960274966241755</c:v>
                </c:pt>
                <c:pt idx="5">
                  <c:v>1.1998537827358298</c:v>
                </c:pt>
                <c:pt idx="6">
                  <c:v>1.2034339376250374</c:v>
                </c:pt>
                <c:pt idx="7">
                  <c:v>1.2067667443086141</c:v>
                </c:pt>
                <c:pt idx="8">
                  <c:v>1.2098512560445625</c:v>
                </c:pt>
                <c:pt idx="9">
                  <c:v>1.2126867956545235</c:v>
                </c:pt>
                <c:pt idx="10">
                  <c:v>1.215272954149418</c:v>
                </c:pt>
                <c:pt idx="11">
                  <c:v>1.2176095886729092</c:v>
                </c:pt>
                <c:pt idx="12">
                  <c:v>1.2196968197803872</c:v>
                </c:pt>
                <c:pt idx="13">
                  <c:v>1.2215350280740538</c:v>
                </c:pt>
                <c:pt idx="14">
                  <c:v>1.2231248502174181</c:v>
                </c:pt>
                <c:pt idx="15">
                  <c:v>1.2244671743550082</c:v>
                </c:pt>
                <c:pt idx="16">
                  <c:v>1.2255631349653873</c:v>
                </c:pt>
                <c:pt idx="17">
                  <c:v>1.22641410717763</c:v>
                </c:pt>
                <c:pt idx="18">
                  <c:v>1.2270217005832276</c:v>
                </c:pt>
                <c:pt idx="19">
                  <c:v>1.227387752576959</c:v>
                </c:pt>
                <c:pt idx="20">
                  <c:v>1.2275143212615944</c:v>
                </c:pt>
                <c:pt idx="21">
                  <c:v>1.2274036779523689</c:v>
                </c:pt>
                <c:pt idx="22">
                  <c:v>1.2270582993179759</c:v>
                </c:pt>
                <c:pt idx="23">
                  <c:v>1.2264808591954164</c:v>
                </c:pt>
                <c:pt idx="24">
                  <c:v>1.2256742201163535</c:v>
                </c:pt>
                <c:pt idx="25">
                  <c:v>1.2246414245827382</c:v>
                </c:pt>
                <c:pt idx="26">
                  <c:v>1.2233856861293182</c:v>
                </c:pt>
                <c:pt idx="27">
                  <c:v>1.2219103802103084</c:v>
                </c:pt>
                <c:pt idx="28">
                  <c:v>1.2202190349469519</c:v>
                </c:pt>
                <c:pt idx="29">
                  <c:v>1.2183153217719409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1-40FF-A0C0-A73B82D69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274879"/>
        <c:axId val="517275839"/>
      </c:barChart>
      <c:dateAx>
        <c:axId val="5172748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5839"/>
        <c:crosses val="autoZero"/>
        <c:auto val="0"/>
        <c:lblOffset val="100"/>
        <c:baseTimeUnit val="years"/>
      </c:dateAx>
      <c:valAx>
        <c:axId val="5172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Operating</a:t>
            </a:r>
            <a:r>
              <a:rPr lang="en-IN" baseline="0"/>
              <a:t> Income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'KPI''s'!$D$4:$AG$4</c:f>
              <c:numCache>
                <c:formatCode>mmm\-yy</c:formatCode>
                <c:ptCount val="30"/>
                <c:pt idx="0">
                  <c:v>47330</c:v>
                </c:pt>
                <c:pt idx="1">
                  <c:v>47695</c:v>
                </c:pt>
                <c:pt idx="2">
                  <c:v>48060</c:v>
                </c:pt>
                <c:pt idx="3">
                  <c:v>48426</c:v>
                </c:pt>
                <c:pt idx="4">
                  <c:v>48791</c:v>
                </c:pt>
                <c:pt idx="5">
                  <c:v>49156</c:v>
                </c:pt>
                <c:pt idx="6">
                  <c:v>49521</c:v>
                </c:pt>
                <c:pt idx="7">
                  <c:v>49887</c:v>
                </c:pt>
                <c:pt idx="8">
                  <c:v>50252</c:v>
                </c:pt>
                <c:pt idx="9">
                  <c:v>50617</c:v>
                </c:pt>
                <c:pt idx="10">
                  <c:v>50982</c:v>
                </c:pt>
                <c:pt idx="11">
                  <c:v>51348</c:v>
                </c:pt>
                <c:pt idx="12">
                  <c:v>51713</c:v>
                </c:pt>
                <c:pt idx="13">
                  <c:v>52078</c:v>
                </c:pt>
                <c:pt idx="14">
                  <c:v>52443</c:v>
                </c:pt>
                <c:pt idx="15">
                  <c:v>52809</c:v>
                </c:pt>
                <c:pt idx="16">
                  <c:v>53174</c:v>
                </c:pt>
                <c:pt idx="17">
                  <c:v>53539</c:v>
                </c:pt>
                <c:pt idx="18">
                  <c:v>53904</c:v>
                </c:pt>
                <c:pt idx="19">
                  <c:v>54270</c:v>
                </c:pt>
                <c:pt idx="20">
                  <c:v>54635</c:v>
                </c:pt>
                <c:pt idx="21">
                  <c:v>55000</c:v>
                </c:pt>
                <c:pt idx="22">
                  <c:v>55365</c:v>
                </c:pt>
                <c:pt idx="23">
                  <c:v>55731</c:v>
                </c:pt>
                <c:pt idx="24">
                  <c:v>56096</c:v>
                </c:pt>
                <c:pt idx="25">
                  <c:v>56461</c:v>
                </c:pt>
                <c:pt idx="26">
                  <c:v>56826</c:v>
                </c:pt>
                <c:pt idx="27">
                  <c:v>57192</c:v>
                </c:pt>
                <c:pt idx="28">
                  <c:v>57557</c:v>
                </c:pt>
                <c:pt idx="29">
                  <c:v>57922</c:v>
                </c:pt>
              </c:numCache>
            </c:numRef>
          </c:cat>
          <c:val>
            <c:numRef>
              <c:f>'KPI''s'!$D$11:$AG$11</c:f>
              <c:numCache>
                <c:formatCode>_(* #,##0_);_(* \(#,##0\);_(* "-"_);_(@_)</c:formatCode>
                <c:ptCount val="30"/>
                <c:pt idx="0">
                  <c:v>4101793.5298292679</c:v>
                </c:pt>
                <c:pt idx="1">
                  <c:v>4150420.4277912197</c:v>
                </c:pt>
                <c:pt idx="2">
                  <c:v>4199017.5945333708</c:v>
                </c:pt>
                <c:pt idx="3">
                  <c:v>4247554.3673559539</c:v>
                </c:pt>
                <c:pt idx="4">
                  <c:v>4295998.5682629477</c:v>
                </c:pt>
                <c:pt idx="5">
                  <c:v>4344316.4465948772</c:v>
                </c:pt>
                <c:pt idx="6">
                  <c:v>4392472.6197024435</c:v>
                </c:pt>
                <c:pt idx="7">
                  <c:v>4440430.0115974341</c:v>
                </c:pt>
                <c:pt idx="8">
                  <c:v>4488149.7895153528</c:v>
                </c:pt>
                <c:pt idx="9">
                  <c:v>4535591.2983222064</c:v>
                </c:pt>
                <c:pt idx="10">
                  <c:v>4582711.9926956967</c:v>
                </c:pt>
                <c:pt idx="11">
                  <c:v>4629467.3670088658</c:v>
                </c:pt>
                <c:pt idx="12">
                  <c:v>4675810.882842076</c:v>
                </c:pt>
                <c:pt idx="13">
                  <c:v>4721693.8940467406</c:v>
                </c:pt>
                <c:pt idx="14">
                  <c:v>4767065.5692819357</c:v>
                </c:pt>
                <c:pt idx="15">
                  <c:v>4811872.8119424628</c:v>
                </c:pt>
                <c:pt idx="16">
                  <c:v>4856060.177394446</c:v>
                </c:pt>
                <c:pt idx="17">
                  <c:v>4899569.7874318622</c:v>
                </c:pt>
                <c:pt idx="18">
                  <c:v>4942341.2418647101</c:v>
                </c:pt>
                <c:pt idx="19">
                  <c:v>4984311.5271467445</c:v>
                </c:pt>
                <c:pt idx="20">
                  <c:v>5025414.9219477605</c:v>
                </c:pt>
                <c:pt idx="21">
                  <c:v>5065582.899572541</c:v>
                </c:pt>
                <c:pt idx="22">
                  <c:v>5104744.0271253893</c:v>
                </c:pt>
                <c:pt idx="23">
                  <c:v>5142823.8613161398</c:v>
                </c:pt>
                <c:pt idx="24">
                  <c:v>5179744.8408001512</c:v>
                </c:pt>
                <c:pt idx="25">
                  <c:v>5215426.1749415724</c:v>
                </c:pt>
                <c:pt idx="26">
                  <c:v>5249783.7288855873</c:v>
                </c:pt>
                <c:pt idx="27">
                  <c:v>5282729.9048218345</c:v>
                </c:pt>
                <c:pt idx="28">
                  <c:v>5314173.5193175627</c:v>
                </c:pt>
                <c:pt idx="29">
                  <c:v>5344019.6765951868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1-40FF-A0C0-A73B82D69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274879"/>
        <c:axId val="517275839"/>
      </c:barChart>
      <c:dateAx>
        <c:axId val="5172748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5839"/>
        <c:crosses val="autoZero"/>
        <c:auto val="0"/>
        <c:lblOffset val="100"/>
        <c:baseTimeUnit val="years"/>
      </c:dateAx>
      <c:valAx>
        <c:axId val="5172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Debt</a:t>
            </a:r>
            <a:r>
              <a:rPr lang="en-IN" baseline="0"/>
              <a:t> Services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'KPI''s'!$D$4:$AG$4</c:f>
              <c:numCache>
                <c:formatCode>mmm\-yy</c:formatCode>
                <c:ptCount val="30"/>
                <c:pt idx="0">
                  <c:v>47330</c:v>
                </c:pt>
                <c:pt idx="1">
                  <c:v>47695</c:v>
                </c:pt>
                <c:pt idx="2">
                  <c:v>48060</c:v>
                </c:pt>
                <c:pt idx="3">
                  <c:v>48426</c:v>
                </c:pt>
                <c:pt idx="4">
                  <c:v>48791</c:v>
                </c:pt>
                <c:pt idx="5">
                  <c:v>49156</c:v>
                </c:pt>
                <c:pt idx="6">
                  <c:v>49521</c:v>
                </c:pt>
                <c:pt idx="7">
                  <c:v>49887</c:v>
                </c:pt>
                <c:pt idx="8">
                  <c:v>50252</c:v>
                </c:pt>
                <c:pt idx="9">
                  <c:v>50617</c:v>
                </c:pt>
                <c:pt idx="10">
                  <c:v>50982</c:v>
                </c:pt>
                <c:pt idx="11">
                  <c:v>51348</c:v>
                </c:pt>
                <c:pt idx="12">
                  <c:v>51713</c:v>
                </c:pt>
                <c:pt idx="13">
                  <c:v>52078</c:v>
                </c:pt>
                <c:pt idx="14">
                  <c:v>52443</c:v>
                </c:pt>
                <c:pt idx="15">
                  <c:v>52809</c:v>
                </c:pt>
                <c:pt idx="16">
                  <c:v>53174</c:v>
                </c:pt>
                <c:pt idx="17">
                  <c:v>53539</c:v>
                </c:pt>
                <c:pt idx="18">
                  <c:v>53904</c:v>
                </c:pt>
                <c:pt idx="19">
                  <c:v>54270</c:v>
                </c:pt>
                <c:pt idx="20">
                  <c:v>54635</c:v>
                </c:pt>
                <c:pt idx="21">
                  <c:v>55000</c:v>
                </c:pt>
                <c:pt idx="22">
                  <c:v>55365</c:v>
                </c:pt>
                <c:pt idx="23">
                  <c:v>55731</c:v>
                </c:pt>
                <c:pt idx="24">
                  <c:v>56096</c:v>
                </c:pt>
                <c:pt idx="25">
                  <c:v>56461</c:v>
                </c:pt>
                <c:pt idx="26">
                  <c:v>56826</c:v>
                </c:pt>
                <c:pt idx="27">
                  <c:v>57192</c:v>
                </c:pt>
                <c:pt idx="28">
                  <c:v>57557</c:v>
                </c:pt>
                <c:pt idx="29">
                  <c:v>57922</c:v>
                </c:pt>
              </c:numCache>
            </c:numRef>
          </c:cat>
          <c:val>
            <c:numRef>
              <c:f>'KPI''s'!$D$12:$AG$12</c:f>
              <c:numCache>
                <c:formatCode>_(* #,##0_);_(* \(#,##0\);_(* "-"_);_(@_)</c:formatCode>
                <c:ptCount val="30"/>
                <c:pt idx="0">
                  <c:v>2975595.5960818124</c:v>
                </c:pt>
                <c:pt idx="1">
                  <c:v>2975595.5960818124</c:v>
                </c:pt>
                <c:pt idx="2">
                  <c:v>2975595.5960818124</c:v>
                </c:pt>
                <c:pt idx="3">
                  <c:v>2975595.5960818124</c:v>
                </c:pt>
                <c:pt idx="4">
                  <c:v>2975595.5960818124</c:v>
                </c:pt>
                <c:pt idx="5">
                  <c:v>2975595.5960818124</c:v>
                </c:pt>
                <c:pt idx="6">
                  <c:v>2975595.5960818124</c:v>
                </c:pt>
                <c:pt idx="7">
                  <c:v>2975595.5960818124</c:v>
                </c:pt>
                <c:pt idx="8">
                  <c:v>2975595.5960818124</c:v>
                </c:pt>
                <c:pt idx="9">
                  <c:v>2975595.5960818124</c:v>
                </c:pt>
                <c:pt idx="10">
                  <c:v>2975595.5960818124</c:v>
                </c:pt>
                <c:pt idx="11">
                  <c:v>2975595.5960818124</c:v>
                </c:pt>
                <c:pt idx="12">
                  <c:v>2975595.5960818124</c:v>
                </c:pt>
                <c:pt idx="13">
                  <c:v>2975595.5960818124</c:v>
                </c:pt>
                <c:pt idx="14">
                  <c:v>2975595.5960818124</c:v>
                </c:pt>
                <c:pt idx="15">
                  <c:v>2975595.5960818124</c:v>
                </c:pt>
                <c:pt idx="16">
                  <c:v>2975595.5960818124</c:v>
                </c:pt>
                <c:pt idx="17">
                  <c:v>2975595.5960818124</c:v>
                </c:pt>
                <c:pt idx="18">
                  <c:v>2975595.5960818124</c:v>
                </c:pt>
                <c:pt idx="19">
                  <c:v>2975595.5960818124</c:v>
                </c:pt>
                <c:pt idx="20">
                  <c:v>2975595.5960818124</c:v>
                </c:pt>
                <c:pt idx="21">
                  <c:v>2975595.5960818124</c:v>
                </c:pt>
                <c:pt idx="22">
                  <c:v>2975595.5960818124</c:v>
                </c:pt>
                <c:pt idx="23">
                  <c:v>2975595.5960818124</c:v>
                </c:pt>
                <c:pt idx="24">
                  <c:v>2975595.5960818124</c:v>
                </c:pt>
                <c:pt idx="25">
                  <c:v>2975595.5960818124</c:v>
                </c:pt>
                <c:pt idx="26">
                  <c:v>2975595.5960818124</c:v>
                </c:pt>
                <c:pt idx="27">
                  <c:v>2975595.5960818124</c:v>
                </c:pt>
                <c:pt idx="28">
                  <c:v>2975595.5960818124</c:v>
                </c:pt>
                <c:pt idx="29">
                  <c:v>2975595.5960818124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1-40FF-A0C0-A73B82D69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274879"/>
        <c:axId val="517275839"/>
      </c:barChart>
      <c:dateAx>
        <c:axId val="5172748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5839"/>
        <c:crosses val="autoZero"/>
        <c:auto val="0"/>
        <c:lblOffset val="100"/>
        <c:baseTimeUnit val="years"/>
      </c:dateAx>
      <c:valAx>
        <c:axId val="5172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Debt Coverage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'KPI''s'!$D$4:$AG$4</c:f>
              <c:numCache>
                <c:formatCode>mmm\-yy</c:formatCode>
                <c:ptCount val="30"/>
                <c:pt idx="0">
                  <c:v>47330</c:v>
                </c:pt>
                <c:pt idx="1">
                  <c:v>47695</c:v>
                </c:pt>
                <c:pt idx="2">
                  <c:v>48060</c:v>
                </c:pt>
                <c:pt idx="3">
                  <c:v>48426</c:v>
                </c:pt>
                <c:pt idx="4">
                  <c:v>48791</c:v>
                </c:pt>
                <c:pt idx="5">
                  <c:v>49156</c:v>
                </c:pt>
                <c:pt idx="6">
                  <c:v>49521</c:v>
                </c:pt>
                <c:pt idx="7">
                  <c:v>49887</c:v>
                </c:pt>
                <c:pt idx="8">
                  <c:v>50252</c:v>
                </c:pt>
                <c:pt idx="9">
                  <c:v>50617</c:v>
                </c:pt>
                <c:pt idx="10">
                  <c:v>50982</c:v>
                </c:pt>
                <c:pt idx="11">
                  <c:v>51348</c:v>
                </c:pt>
                <c:pt idx="12">
                  <c:v>51713</c:v>
                </c:pt>
                <c:pt idx="13">
                  <c:v>52078</c:v>
                </c:pt>
                <c:pt idx="14">
                  <c:v>52443</c:v>
                </c:pt>
                <c:pt idx="15">
                  <c:v>52809</c:v>
                </c:pt>
                <c:pt idx="16">
                  <c:v>53174</c:v>
                </c:pt>
                <c:pt idx="17">
                  <c:v>53539</c:v>
                </c:pt>
                <c:pt idx="18">
                  <c:v>53904</c:v>
                </c:pt>
                <c:pt idx="19">
                  <c:v>54270</c:v>
                </c:pt>
                <c:pt idx="20">
                  <c:v>54635</c:v>
                </c:pt>
                <c:pt idx="21">
                  <c:v>55000</c:v>
                </c:pt>
                <c:pt idx="22">
                  <c:v>55365</c:v>
                </c:pt>
                <c:pt idx="23">
                  <c:v>55731</c:v>
                </c:pt>
                <c:pt idx="24">
                  <c:v>56096</c:v>
                </c:pt>
                <c:pt idx="25">
                  <c:v>56461</c:v>
                </c:pt>
                <c:pt idx="26">
                  <c:v>56826</c:v>
                </c:pt>
                <c:pt idx="27">
                  <c:v>57192</c:v>
                </c:pt>
                <c:pt idx="28">
                  <c:v>57557</c:v>
                </c:pt>
                <c:pt idx="29">
                  <c:v>57922</c:v>
                </c:pt>
              </c:numCache>
            </c:numRef>
          </c:cat>
          <c:val>
            <c:numRef>
              <c:f>'KPI''s'!$D$13:$AG$13</c:f>
              <c:numCache>
                <c:formatCode>_(* #,##0.00_);_(* \(#,##0.00\);_(* "-"??_);_(@_)</c:formatCode>
                <c:ptCount val="30"/>
                <c:pt idx="0">
                  <c:v>1.3784781558456412</c:v>
                </c:pt>
                <c:pt idx="1">
                  <c:v>1.3948200599760217</c:v>
                </c:pt>
                <c:pt idx="2">
                  <c:v>1.4111519724194137</c:v>
                </c:pt>
                <c:pt idx="3">
                  <c:v>1.4274635884489895</c:v>
                </c:pt>
                <c:pt idx="4">
                  <c:v>1.4437440940965929</c:v>
                </c:pt>
                <c:pt idx="5">
                  <c:v>1.459982146873507</c:v>
                </c:pt>
                <c:pt idx="6">
                  <c:v>1.4761658558328081</c:v>
                </c:pt>
                <c:pt idx="7">
                  <c:v>1.4922827609519511</c:v>
                </c:pt>
                <c:pt idx="8">
                  <c:v>1.5083198118135519</c:v>
                </c:pt>
                <c:pt idx="9">
                  <c:v>1.5242633455616603</c:v>
                </c:pt>
                <c:pt idx="10">
                  <c:v>1.5400990641100873</c:v>
                </c:pt>
                <c:pt idx="11">
                  <c:v>1.5558120105785977</c:v>
                </c:pt>
                <c:pt idx="12">
                  <c:v>1.5713865449320679</c:v>
                </c:pt>
                <c:pt idx="13">
                  <c:v>1.586806318796864</c:v>
                </c:pt>
                <c:pt idx="14">
                  <c:v>1.6020542494279413</c:v>
                </c:pt>
                <c:pt idx="15">
                  <c:v>1.6171124927992946</c:v>
                </c:pt>
                <c:pt idx="16">
                  <c:v>1.6319624157895585</c:v>
                </c:pt>
                <c:pt idx="17">
                  <c:v>1.6465845674336559</c:v>
                </c:pt>
                <c:pt idx="18">
                  <c:v>1.6609586492104833</c:v>
                </c:pt>
                <c:pt idx="19">
                  <c:v>1.6750634843356931</c:v>
                </c:pt>
                <c:pt idx="20">
                  <c:v>1.6888769860276367</c:v>
                </c:pt>
                <c:pt idx="21">
                  <c:v>1.7023761247135767</c:v>
                </c:pt>
                <c:pt idx="22">
                  <c:v>1.7155368941421962</c:v>
                </c:pt>
                <c:pt idx="23">
                  <c:v>1.7283342763674197</c:v>
                </c:pt>
                <c:pt idx="24">
                  <c:v>1.7407422055674184</c:v>
                </c:pt>
                <c:pt idx="25">
                  <c:v>1.7527335306615963</c:v>
                </c:pt>
                <c:pt idx="26">
                  <c:v>1.7642799766871438</c:v>
                </c:pt>
                <c:pt idx="27">
                  <c:v>1.7753521048955703</c:v>
                </c:pt>
                <c:pt idx="28">
                  <c:v>1.7859192715284058</c:v>
                </c:pt>
                <c:pt idx="29">
                  <c:v>1.7959495852299467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1-40FF-A0C0-A73B82D69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274879"/>
        <c:axId val="517275839"/>
      </c:barChart>
      <c:dateAx>
        <c:axId val="5172748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5839"/>
        <c:crosses val="autoZero"/>
        <c:auto val="0"/>
        <c:lblOffset val="100"/>
        <c:baseTimeUnit val="years"/>
      </c:dateAx>
      <c:valAx>
        <c:axId val="5172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operating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'KPI''s'!$D$4:$AG$4</c:f>
              <c:numCache>
                <c:formatCode>mmm\-yy</c:formatCode>
                <c:ptCount val="30"/>
                <c:pt idx="0">
                  <c:v>47330</c:v>
                </c:pt>
                <c:pt idx="1">
                  <c:v>47695</c:v>
                </c:pt>
                <c:pt idx="2">
                  <c:v>48060</c:v>
                </c:pt>
                <c:pt idx="3">
                  <c:v>48426</c:v>
                </c:pt>
                <c:pt idx="4">
                  <c:v>48791</c:v>
                </c:pt>
                <c:pt idx="5">
                  <c:v>49156</c:v>
                </c:pt>
                <c:pt idx="6">
                  <c:v>49521</c:v>
                </c:pt>
                <c:pt idx="7">
                  <c:v>49887</c:v>
                </c:pt>
                <c:pt idx="8">
                  <c:v>50252</c:v>
                </c:pt>
                <c:pt idx="9">
                  <c:v>50617</c:v>
                </c:pt>
                <c:pt idx="10">
                  <c:v>50982</c:v>
                </c:pt>
                <c:pt idx="11">
                  <c:v>51348</c:v>
                </c:pt>
                <c:pt idx="12">
                  <c:v>51713</c:v>
                </c:pt>
                <c:pt idx="13">
                  <c:v>52078</c:v>
                </c:pt>
                <c:pt idx="14">
                  <c:v>52443</c:v>
                </c:pt>
                <c:pt idx="15">
                  <c:v>52809</c:v>
                </c:pt>
                <c:pt idx="16">
                  <c:v>53174</c:v>
                </c:pt>
                <c:pt idx="17">
                  <c:v>53539</c:v>
                </c:pt>
                <c:pt idx="18">
                  <c:v>53904</c:v>
                </c:pt>
                <c:pt idx="19">
                  <c:v>54270</c:v>
                </c:pt>
                <c:pt idx="20">
                  <c:v>54635</c:v>
                </c:pt>
                <c:pt idx="21">
                  <c:v>55000</c:v>
                </c:pt>
                <c:pt idx="22">
                  <c:v>55365</c:v>
                </c:pt>
                <c:pt idx="23">
                  <c:v>55731</c:v>
                </c:pt>
                <c:pt idx="24">
                  <c:v>56096</c:v>
                </c:pt>
                <c:pt idx="25">
                  <c:v>56461</c:v>
                </c:pt>
                <c:pt idx="26">
                  <c:v>56826</c:v>
                </c:pt>
                <c:pt idx="27">
                  <c:v>57192</c:v>
                </c:pt>
                <c:pt idx="28">
                  <c:v>57557</c:v>
                </c:pt>
                <c:pt idx="29">
                  <c:v>57922</c:v>
                </c:pt>
              </c:numCache>
            </c:numRef>
          </c:cat>
          <c:val>
            <c:numRef>
              <c:f>'KPI''s'!$D$14:$AG$14</c:f>
              <c:numCache>
                <c:formatCode>_(* #,##0_);_(* \(#,##0\);_(* "-"_);_(@_)</c:formatCode>
                <c:ptCount val="30"/>
                <c:pt idx="0">
                  <c:v>1126197.9337474555</c:v>
                </c:pt>
                <c:pt idx="1">
                  <c:v>1174824.8317094073</c:v>
                </c:pt>
                <c:pt idx="2">
                  <c:v>1223421.9984515584</c:v>
                </c:pt>
                <c:pt idx="3">
                  <c:v>1271958.7712741415</c:v>
                </c:pt>
                <c:pt idx="4">
                  <c:v>1320402.9721811353</c:v>
                </c:pt>
                <c:pt idx="5">
                  <c:v>1368720.8505130648</c:v>
                </c:pt>
                <c:pt idx="6">
                  <c:v>1416877.0236206311</c:v>
                </c:pt>
                <c:pt idx="7">
                  <c:v>1464834.4155156217</c:v>
                </c:pt>
                <c:pt idx="8">
                  <c:v>1512554.1934335404</c:v>
                </c:pt>
                <c:pt idx="9">
                  <c:v>1559995.702240394</c:v>
                </c:pt>
                <c:pt idx="10">
                  <c:v>1607116.3966138843</c:v>
                </c:pt>
                <c:pt idx="11">
                  <c:v>1653871.7709270534</c:v>
                </c:pt>
                <c:pt idx="12">
                  <c:v>1700215.2867602636</c:v>
                </c:pt>
                <c:pt idx="13">
                  <c:v>1746098.2979649282</c:v>
                </c:pt>
                <c:pt idx="14">
                  <c:v>1791469.9732001233</c:v>
                </c:pt>
                <c:pt idx="15">
                  <c:v>1836277.2158606504</c:v>
                </c:pt>
                <c:pt idx="16">
                  <c:v>1880464.5813126336</c:v>
                </c:pt>
                <c:pt idx="17">
                  <c:v>1923974.1913500498</c:v>
                </c:pt>
                <c:pt idx="18">
                  <c:v>1966745.6457828977</c:v>
                </c:pt>
                <c:pt idx="19">
                  <c:v>2008715.9310649321</c:v>
                </c:pt>
                <c:pt idx="20">
                  <c:v>2049819.3258659481</c:v>
                </c:pt>
                <c:pt idx="21">
                  <c:v>2089987.3034907286</c:v>
                </c:pt>
                <c:pt idx="22">
                  <c:v>2129148.4310435769</c:v>
                </c:pt>
                <c:pt idx="23">
                  <c:v>2167228.2652343274</c:v>
                </c:pt>
                <c:pt idx="24">
                  <c:v>2204149.2447183388</c:v>
                </c:pt>
                <c:pt idx="25">
                  <c:v>2239830.57885976</c:v>
                </c:pt>
                <c:pt idx="26">
                  <c:v>2274188.1328037749</c:v>
                </c:pt>
                <c:pt idx="27">
                  <c:v>2307134.3087400221</c:v>
                </c:pt>
                <c:pt idx="28">
                  <c:v>2338577.9232357503</c:v>
                </c:pt>
                <c:pt idx="29">
                  <c:v>2368424.0805133744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1-40FF-A0C0-A73B82D69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274879"/>
        <c:axId val="517275839"/>
      </c:barChart>
      <c:dateAx>
        <c:axId val="5172748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5839"/>
        <c:crosses val="autoZero"/>
        <c:auto val="0"/>
        <c:lblOffset val="100"/>
        <c:baseTimeUnit val="years"/>
      </c:dateAx>
      <c:valAx>
        <c:axId val="5172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7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2</xdr:col>
      <xdr:colOff>0</xdr:colOff>
      <xdr:row>6</xdr:row>
      <xdr:rowOff>0</xdr:rowOff>
    </xdr:to>
    <xdr:sp macro="" textlink="">
      <xdr:nvSpPr>
        <xdr:cNvPr id="22" name="Text 74">
          <a:extLst>
            <a:ext uri="{FF2B5EF4-FFF2-40B4-BE49-F238E27FC236}">
              <a16:creationId xmlns:a16="http://schemas.microsoft.com/office/drawing/2014/main" id="{3A04D4DD-8EBF-44C8-AB22-31F221CD8EFA}"/>
            </a:ext>
          </a:extLst>
        </xdr:cNvPr>
        <xdr:cNvSpPr txBox="1">
          <a:spLocks noChangeArrowheads="1"/>
        </xdr:cNvSpPr>
      </xdr:nvSpPr>
      <xdr:spPr bwMode="auto">
        <a:xfrm>
          <a:off x="4200525" y="1952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Note: 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 Column D text options for Soft Costs include: </a:t>
          </a: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"total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project cost" 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"per square foot"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.  Column H automatically adjusts according to the text entered into column D.   Any other text entered into column D will yield a null value in Column H</a:t>
          </a:r>
        </a:p>
        <a:p>
          <a:pPr algn="l" rtl="0">
            <a:defRPr sz="1000"/>
          </a:pP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 fPrintsWithSheet="0"/>
  </xdr:twoCellAnchor>
  <xdr:twoCellAnchor>
    <xdr:from>
      <xdr:col>2</xdr:col>
      <xdr:colOff>0</xdr:colOff>
      <xdr:row>6</xdr:row>
      <xdr:rowOff>0</xdr:rowOff>
    </xdr:from>
    <xdr:to>
      <xdr:col>2</xdr:col>
      <xdr:colOff>0</xdr:colOff>
      <xdr:row>6</xdr:row>
      <xdr:rowOff>0</xdr:rowOff>
    </xdr:to>
    <xdr:sp macro="" textlink="">
      <xdr:nvSpPr>
        <xdr:cNvPr id="23" name="Text 75">
          <a:extLst>
            <a:ext uri="{FF2B5EF4-FFF2-40B4-BE49-F238E27FC236}">
              <a16:creationId xmlns:a16="http://schemas.microsoft.com/office/drawing/2014/main" id="{BE0D9EF9-04DF-4F40-95D4-C56FF6F3ABD1}"/>
            </a:ext>
          </a:extLst>
        </xdr:cNvPr>
        <xdr:cNvSpPr txBox="1">
          <a:spLocks noChangeArrowheads="1"/>
        </xdr:cNvSpPr>
      </xdr:nvSpPr>
      <xdr:spPr bwMode="auto">
        <a:xfrm>
          <a:off x="4200525" y="1952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Note: 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Column D text options for Operating Expenses include: </a:t>
          </a: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"per total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project", "per unit" 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"per square foot"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.  Column H automatically adjusts according to the text entered into column D.   Any other text entered into column D will yield a null value in Column H.</a:t>
          </a:r>
        </a:p>
        <a:p>
          <a:pPr algn="l" rtl="0">
            <a:defRPr sz="1000"/>
          </a:pP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Use the Alternate Inflation Rate for those line items whose inflation rate is expected to vary from the standard Operating Expense Inflation Rate, entered below.</a:t>
          </a:r>
        </a:p>
      </xdr:txBody>
    </xdr:sp>
    <xdr:clientData fPrintsWithSheet="0"/>
  </xdr:twoCellAnchor>
  <xdr:twoCellAnchor>
    <xdr:from>
      <xdr:col>2</xdr:col>
      <xdr:colOff>0</xdr:colOff>
      <xdr:row>6</xdr:row>
      <xdr:rowOff>0</xdr:rowOff>
    </xdr:from>
    <xdr:to>
      <xdr:col>2</xdr:col>
      <xdr:colOff>0</xdr:colOff>
      <xdr:row>6</xdr:row>
      <xdr:rowOff>0</xdr:rowOff>
    </xdr:to>
    <xdr:sp macro="" textlink="">
      <xdr:nvSpPr>
        <xdr:cNvPr id="24" name="Text 76">
          <a:extLst>
            <a:ext uri="{FF2B5EF4-FFF2-40B4-BE49-F238E27FC236}">
              <a16:creationId xmlns:a16="http://schemas.microsoft.com/office/drawing/2014/main" id="{042BF6A7-C0B0-49CE-B6AF-3902E8020E06}"/>
            </a:ext>
          </a:extLst>
        </xdr:cNvPr>
        <xdr:cNvSpPr txBox="1">
          <a:spLocks noChangeArrowheads="1"/>
        </xdr:cNvSpPr>
      </xdr:nvSpPr>
      <xdr:spPr bwMode="auto">
        <a:xfrm>
          <a:off x="4200525" y="1952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Note: 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 Column D text options for Land Acquisition/Pre-Development Expenses include:</a:t>
          </a: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"per total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project", "per unit" 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and </a:t>
          </a: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"per square foot"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.  Column H automatically adjusts according to the text entered into column D.   Any other text entered into column D will yield a null value in Column H.</a:t>
          </a:r>
        </a:p>
      </xdr:txBody>
    </xdr:sp>
    <xdr:clientData fPrintsWithSheet="0"/>
  </xdr:twoCellAnchor>
  <xdr:twoCellAnchor>
    <xdr:from>
      <xdr:col>2</xdr:col>
      <xdr:colOff>0</xdr:colOff>
      <xdr:row>6</xdr:row>
      <xdr:rowOff>0</xdr:rowOff>
    </xdr:from>
    <xdr:to>
      <xdr:col>2</xdr:col>
      <xdr:colOff>0</xdr:colOff>
      <xdr:row>6</xdr:row>
      <xdr:rowOff>0</xdr:rowOff>
    </xdr:to>
    <xdr:sp macro="" textlink="">
      <xdr:nvSpPr>
        <xdr:cNvPr id="25" name="Text 77">
          <a:extLst>
            <a:ext uri="{FF2B5EF4-FFF2-40B4-BE49-F238E27FC236}">
              <a16:creationId xmlns:a16="http://schemas.microsoft.com/office/drawing/2014/main" id="{80654443-8CC0-4BE8-A54B-AED766EB08DA}"/>
            </a:ext>
          </a:extLst>
        </xdr:cNvPr>
        <xdr:cNvSpPr txBox="1">
          <a:spLocks noChangeArrowheads="1"/>
        </xdr:cNvSpPr>
      </xdr:nvSpPr>
      <xdr:spPr bwMode="auto">
        <a:xfrm>
          <a:off x="4200525" y="1952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Note: 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Column D text options for Improvements include: </a:t>
          </a: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"per total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project", "per unit", and "per gross residential square foot".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 Column H automatically adjusts according to the text entered into column D.   Any other text entered into column D will yield a null value in Column H.</a:t>
          </a:r>
        </a:p>
      </xdr:txBody>
    </xdr:sp>
    <xdr:clientData fPrintsWithSheet="0"/>
  </xdr:twoCellAnchor>
  <xdr:twoCellAnchor>
    <xdr:from>
      <xdr:col>2</xdr:col>
      <xdr:colOff>0</xdr:colOff>
      <xdr:row>6</xdr:row>
      <xdr:rowOff>0</xdr:rowOff>
    </xdr:from>
    <xdr:to>
      <xdr:col>2</xdr:col>
      <xdr:colOff>0</xdr:colOff>
      <xdr:row>6</xdr:row>
      <xdr:rowOff>0</xdr:rowOff>
    </xdr:to>
    <xdr:sp macro="" textlink="">
      <xdr:nvSpPr>
        <xdr:cNvPr id="26" name="Text 78">
          <a:extLst>
            <a:ext uri="{FF2B5EF4-FFF2-40B4-BE49-F238E27FC236}">
              <a16:creationId xmlns:a16="http://schemas.microsoft.com/office/drawing/2014/main" id="{09F8F61A-3D76-4742-B45A-105BC4538A9C}"/>
            </a:ext>
          </a:extLst>
        </xdr:cNvPr>
        <xdr:cNvSpPr txBox="1">
          <a:spLocks noChangeArrowheads="1"/>
        </xdr:cNvSpPr>
      </xdr:nvSpPr>
      <xdr:spPr bwMode="auto">
        <a:xfrm>
          <a:off x="4200525" y="1952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Note: 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Column D text options for Improvements include: </a:t>
          </a: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"per total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0" i="1" strike="noStrike">
              <a:solidFill>
                <a:srgbClr val="000000"/>
              </a:solidFill>
              <a:latin typeface="Arial"/>
              <a:cs typeface="Arial"/>
            </a:rPr>
            <a:t>project", "per unit", and "per gross commercial square foot".</a:t>
          </a: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  Column H automatically adjusts according to the text entered into column D.   Any other text entered into column D will yield a null value in Column H.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33337</xdr:rowOff>
    </xdr:from>
    <xdr:to>
      <xdr:col>5</xdr:col>
      <xdr:colOff>209550</xdr:colOff>
      <xdr:row>31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4BF79E-B64F-0673-AB00-725744BCD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15</xdr:row>
      <xdr:rowOff>14287</xdr:rowOff>
    </xdr:from>
    <xdr:to>
      <xdr:col>11</xdr:col>
      <xdr:colOff>457200</xdr:colOff>
      <xdr:row>31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F565B8-158C-70D4-119E-7CEBA450B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609600</xdr:colOff>
      <xdr:row>15</xdr:row>
      <xdr:rowOff>23812</xdr:rowOff>
    </xdr:from>
    <xdr:to>
      <xdr:col>18</xdr:col>
      <xdr:colOff>47625</xdr:colOff>
      <xdr:row>31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D6B8E3-D426-E44E-80ED-7FB390198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31</xdr:row>
      <xdr:rowOff>138112</xdr:rowOff>
    </xdr:from>
    <xdr:to>
      <xdr:col>5</xdr:col>
      <xdr:colOff>219075</xdr:colOff>
      <xdr:row>47</xdr:row>
      <xdr:rowOff>138112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ACEF28-960E-90F5-4F15-0E081655F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323850</xdr:colOff>
      <xdr:row>31</xdr:row>
      <xdr:rowOff>166687</xdr:rowOff>
    </xdr:from>
    <xdr:to>
      <xdr:col>11</xdr:col>
      <xdr:colOff>495300</xdr:colOff>
      <xdr:row>47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E4E943-9AA9-C59D-B4BF-45DC1DD63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657225</xdr:colOff>
      <xdr:row>32</xdr:row>
      <xdr:rowOff>33337</xdr:rowOff>
    </xdr:from>
    <xdr:to>
      <xdr:col>18</xdr:col>
      <xdr:colOff>95250</xdr:colOff>
      <xdr:row>48</xdr:row>
      <xdr:rowOff>33337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39523A-67AD-FCB1-2AAC-F96F20C2E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28575</xdr:colOff>
      <xdr:row>48</xdr:row>
      <xdr:rowOff>33337</xdr:rowOff>
    </xdr:from>
    <xdr:to>
      <xdr:col>5</xdr:col>
      <xdr:colOff>238125</xdr:colOff>
      <xdr:row>64</xdr:row>
      <xdr:rowOff>33337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C25A3B9-B9D3-99D3-1989-BC915D1E6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314325</xdr:colOff>
      <xdr:row>48</xdr:row>
      <xdr:rowOff>100012</xdr:rowOff>
    </xdr:from>
    <xdr:to>
      <xdr:col>11</xdr:col>
      <xdr:colOff>485775</xdr:colOff>
      <xdr:row>64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6519D8-EEE0-4A60-302C-20C97C435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609600</xdr:colOff>
      <xdr:row>48</xdr:row>
      <xdr:rowOff>138112</xdr:rowOff>
    </xdr:from>
    <xdr:to>
      <xdr:col>18</xdr:col>
      <xdr:colOff>47625</xdr:colOff>
      <xdr:row>64</xdr:row>
      <xdr:rowOff>138112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B20963-E015-2D6D-E80C-AC95755B3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8</xdr:col>
      <xdr:colOff>86286</xdr:colOff>
      <xdr:row>14</xdr:row>
      <xdr:rowOff>143001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651603-A1A6-27CC-C99F-216DD8AF3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1866900"/>
          <a:ext cx="4020111" cy="90500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BDULLAH KHIZR" id="{AF8E2AD0-87D5-4DF9-9707-70E1EBFF9495}" userId="4a5c15848bb75848" providerId="Windows Live"/>
  <person displayName="ABDULLAH KHIZR" id="{81BD4BDB-F032-4B5F-8659-18A7C9E08B70}" userId="S::abdullah2403798@st.jmi.ac.in::3e78944a-2c91-4c06-8493-e59e348f637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3" dT="2026-04-27T06:59:10.54" personId="{AF8E2AD0-87D5-4DF9-9707-70E1EBFF9495}" id="{1506251F-44D1-49B9-8710-190DEB668084}">
    <text xml:space="preserve">Is this a cost of physically constructing the building, or is this a cost of borrowing the money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" dT="2026-05-05T03:28:43.49" personId="{81BD4BDB-F032-4B5F-8659-18A7C9E08B70}" id="{019037CE-B40A-455C-ABE9-59E1E085A949}">
    <text>Reference ‘Mortgage’!D56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6" dT="2026-04-27T11:05:38.57" personId="{AF8E2AD0-87D5-4DF9-9707-70E1EBFF9495}" id="{AF4FDAA1-283B-41BE-8B6E-29F60AD58BF0}">
    <text xml:space="preserve">Per published NYS HCR Term Sheet Guidelines, government subsidy gap financing is fixed at 0.50% interest-only, exempt from AFR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9" dT="2026-04-26T10:40:01.30" personId="{AF8E2AD0-87D5-4DF9-9707-70E1EBFF9495}" id="{65D037F1-D34C-48C9-891E-56E99EEE5159}">
    <text>Excluded as per SONYMA</text>
  </threadedComment>
  <threadedComment ref="D48" dT="2026-04-27T10:37:53.54" personId="{AF8E2AD0-87D5-4DF9-9707-70E1EBFF9495}" id="{5C0B4FA6-617C-4944-A08D-46714A0F74AE}">
    <text>According to SONYMA criteria figures is high, otherwise use HDC standards 
(total units*$300)</text>
  </threadedComment>
  <threadedComment ref="D49" dT="2026-04-27T06:38:42.97" personId="{AF8E2AD0-87D5-4DF9-9707-70E1EBFF9495}" id="{94689DB8-1981-4C65-991A-3A9632B02449}">
    <text>Not opted for Our Space Program</text>
  </threadedComment>
  <threadedComment ref="D52" dT="2026-04-27T06:39:09.97" personId="{AF8E2AD0-87D5-4DF9-9707-70E1EBFF9495}" id="{20CF6F20-F797-4808-8593-A59C47E90FF0}">
    <text>No Vouchers.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4" dT="2026-04-23T11:00:56.05" personId="{AF8E2AD0-87D5-4DF9-9707-70E1EBFF9495}" id="{2A6DD175-4C49-4591-9FCD-32B30AF33759}">
    <text>Federal law allows a 30% "basis boost" (multiplying eligible costs by 130%) to generate more equity for projects located in Qualified Census Tracts (QCT), Difficult Development Areas (DDA), or designated by the state agency.</text>
  </threadedComment>
  <threadedComment ref="C5" dT="2026-04-23T11:05:00.03" personId="{AF8E2AD0-87D5-4DF9-9707-70E1EBFF9495}" id="{C81449C6-16EF-4D2D-B1F7-4338F9DCC8F9}">
    <text xml:space="preserve">The NCF program requires 100% affordable multi-family projects, this fraction is 100% </text>
  </threadedComment>
  <threadedComment ref="C6" dT="2026-04-26T10:44:08.26" personId="{AF8E2AD0-87D5-4DF9-9707-70E1EBFF9495}" id="{5D76ADCB-4786-4AA0-BC0A-2B843338C5D2}">
    <text xml:space="preserve">The permanent 4.00% floor was established by the Consolidated Appropriations Act of 2021 </text>
  </threadedComment>
  <threadedComment ref="C7" dT="2026-04-23T11:13:32.72" personId="{AF8E2AD0-87D5-4DF9-9707-70E1EBFF9495}" id="{21C9978B-B6ED-415C-AE86-98DE808D674B}">
    <text>Market credit repurchase rate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s://legalclarity.org/lihtc-eligible-basis-costs-exclusions-and-rules/" TargetMode="External"/><Relationship Id="rId7" Type="http://schemas.openxmlformats.org/officeDocument/2006/relationships/hyperlink" Target="https://nycpropertyvalue.org/articles/cap-rates-nyc-guide" TargetMode="External"/><Relationship Id="rId2" Type="http://schemas.openxmlformats.org/officeDocument/2006/relationships/hyperlink" Target="https://www.nyc.gov/site/hpd/services-and-information/area-median-income.page" TargetMode="External"/><Relationship Id="rId1" Type="http://schemas.openxmlformats.org/officeDocument/2006/relationships/hyperlink" Target="https://www.nyc.gov/assets/hpd/downloads/pdfs/services/hpd-ncf-term-sheet.pdf" TargetMode="External"/><Relationship Id="rId6" Type="http://schemas.openxmlformats.org/officeDocument/2006/relationships/hyperlink" Target="https://emma.msrb.org/P11921658-P11467776-P11917121.pdf" TargetMode="External"/><Relationship Id="rId5" Type="http://schemas.openxmlformats.org/officeDocument/2006/relationships/hyperlink" Target="https://www.irs.gov/pub/irs-drop/rr-26-07.pdf" TargetMode="External"/><Relationship Id="rId4" Type="http://schemas.openxmlformats.org/officeDocument/2006/relationships/hyperlink" Target="https://fred.stlouisfed.org/series/MEDLISPRIPERSQUFEE356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A905-DD38-44E7-94E9-AA54F7EDB66F}">
  <sheetPr>
    <tabColor theme="0" tint="-0.499984740745262"/>
  </sheetPr>
  <dimension ref="B1:AD955"/>
  <sheetViews>
    <sheetView showGridLines="0" tabSelected="1" workbookViewId="0"/>
  </sheetViews>
  <sheetFormatPr defaultColWidth="14.42578125" defaultRowHeight="15" customHeight="1"/>
  <cols>
    <col min="1" max="1" width="2.5703125" style="7" customWidth="1"/>
    <col min="2" max="2" width="0.42578125" style="7" customWidth="1"/>
    <col min="3" max="3" width="27.5703125" style="7" customWidth="1"/>
    <col min="4" max="4" width="44.28515625" style="7" customWidth="1"/>
    <col min="5" max="5" width="72" style="7" customWidth="1"/>
    <col min="6" max="6" width="47.7109375" style="7" customWidth="1"/>
    <col min="7" max="7" width="12.85546875" style="7" customWidth="1"/>
    <col min="8" max="8" width="0.42578125" style="7" customWidth="1"/>
    <col min="9" max="30" width="30.42578125" style="7" customWidth="1"/>
    <col min="31" max="16384" width="14.42578125" style="7"/>
  </cols>
  <sheetData>
    <row r="1" spans="2:8" ht="15" customHeight="1" thickBot="1">
      <c r="B1" s="301"/>
      <c r="C1" s="301"/>
      <c r="D1" s="301"/>
      <c r="E1" s="301"/>
      <c r="F1" s="301"/>
      <c r="G1" s="301"/>
      <c r="H1" s="301"/>
    </row>
    <row r="2" spans="2:8" ht="1.5" customHeight="1">
      <c r="B2" s="302"/>
      <c r="H2" s="303"/>
    </row>
    <row r="3" spans="2:8" ht="13.5" customHeight="1">
      <c r="B3" s="302"/>
      <c r="C3" s="304"/>
      <c r="D3" s="305"/>
      <c r="E3" s="305"/>
      <c r="F3" s="305"/>
      <c r="G3" s="305"/>
      <c r="H3" s="303"/>
    </row>
    <row r="4" spans="2:8" s="310" customFormat="1" ht="20.25" customHeight="1">
      <c r="B4" s="306"/>
      <c r="C4" s="307" t="s">
        <v>346</v>
      </c>
      <c r="D4" s="308"/>
      <c r="E4" s="308"/>
      <c r="F4" s="308"/>
      <c r="G4" s="308"/>
      <c r="H4" s="309"/>
    </row>
    <row r="5" spans="2:8" s="315" customFormat="1" ht="18.75" customHeight="1">
      <c r="B5" s="311"/>
      <c r="C5" s="312">
        <v>46113</v>
      </c>
      <c r="D5" s="313"/>
      <c r="E5" s="313"/>
      <c r="F5" s="313"/>
      <c r="G5" s="313"/>
      <c r="H5" s="314"/>
    </row>
    <row r="6" spans="2:8" ht="13.5" customHeight="1">
      <c r="B6" s="302"/>
      <c r="C6" s="316"/>
      <c r="D6" s="317"/>
      <c r="E6" s="317"/>
      <c r="F6" s="317"/>
      <c r="G6" s="317"/>
      <c r="H6" s="303"/>
    </row>
    <row r="7" spans="2:8" ht="13.5" customHeight="1">
      <c r="B7" s="302"/>
      <c r="C7" s="318"/>
      <c r="D7" s="319"/>
      <c r="F7" s="320"/>
      <c r="G7" s="320"/>
      <c r="H7" s="303"/>
    </row>
    <row r="8" spans="2:8" ht="13.5" customHeight="1" thickBot="1">
      <c r="B8" s="302"/>
      <c r="C8" s="321" t="s">
        <v>335</v>
      </c>
      <c r="D8" s="322" t="s">
        <v>336</v>
      </c>
      <c r="E8" s="323"/>
      <c r="F8" s="323"/>
      <c r="G8" s="324"/>
      <c r="H8" s="303"/>
    </row>
    <row r="9" spans="2:8" ht="13.5" customHeight="1">
      <c r="B9" s="302"/>
      <c r="C9" s="765" t="s">
        <v>0</v>
      </c>
      <c r="F9" s="325"/>
      <c r="G9" s="325"/>
      <c r="H9" s="303"/>
    </row>
    <row r="10" spans="2:8" ht="13.5" customHeight="1">
      <c r="B10" s="302"/>
      <c r="C10" s="765" t="s">
        <v>524</v>
      </c>
      <c r="F10" s="325"/>
      <c r="G10" s="325"/>
      <c r="H10" s="303"/>
    </row>
    <row r="11" spans="2:8" ht="13.5" customHeight="1">
      <c r="B11" s="302"/>
      <c r="C11" s="765" t="s">
        <v>525</v>
      </c>
      <c r="F11" s="325"/>
      <c r="G11" s="325"/>
      <c r="H11" s="303"/>
    </row>
    <row r="12" spans="2:8" ht="13.5" customHeight="1">
      <c r="B12" s="302"/>
      <c r="C12" s="765" t="s">
        <v>526</v>
      </c>
      <c r="F12" s="325"/>
      <c r="G12" s="325"/>
      <c r="H12" s="303"/>
    </row>
    <row r="13" spans="2:8" ht="13.5" customHeight="1">
      <c r="B13" s="302"/>
      <c r="C13" s="765" t="s">
        <v>267</v>
      </c>
      <c r="F13" s="325"/>
      <c r="G13" s="325"/>
      <c r="H13" s="303"/>
    </row>
    <row r="14" spans="2:8" ht="13.5" customHeight="1">
      <c r="B14" s="302"/>
      <c r="C14" s="765" t="s">
        <v>527</v>
      </c>
      <c r="F14" s="325"/>
      <c r="G14" s="325"/>
      <c r="H14" s="303"/>
    </row>
    <row r="15" spans="2:8" ht="13.5" customHeight="1">
      <c r="B15" s="302"/>
      <c r="C15" s="765" t="s">
        <v>528</v>
      </c>
      <c r="F15" s="325"/>
      <c r="G15" s="325"/>
      <c r="H15" s="303"/>
    </row>
    <row r="16" spans="2:8" ht="13.5" customHeight="1">
      <c r="B16" s="302"/>
      <c r="C16" s="765" t="s">
        <v>529</v>
      </c>
      <c r="F16" s="325"/>
      <c r="G16" s="325"/>
      <c r="H16" s="303"/>
    </row>
    <row r="17" spans="2:30" ht="13.5" customHeight="1">
      <c r="B17" s="302"/>
      <c r="C17" s="765" t="s">
        <v>530</v>
      </c>
      <c r="F17" s="325"/>
      <c r="G17" s="325"/>
      <c r="H17" s="303"/>
    </row>
    <row r="18" spans="2:30" ht="13.5" customHeight="1">
      <c r="B18" s="302"/>
      <c r="C18" s="765" t="s">
        <v>531</v>
      </c>
      <c r="F18" s="325"/>
      <c r="G18" s="325"/>
      <c r="H18" s="303"/>
    </row>
    <row r="19" spans="2:30" ht="13.5" customHeight="1">
      <c r="B19" s="302"/>
      <c r="C19" s="765" t="s">
        <v>532</v>
      </c>
      <c r="F19" s="325"/>
      <c r="G19" s="325"/>
      <c r="H19" s="303"/>
    </row>
    <row r="20" spans="2:30" ht="13.5" customHeight="1">
      <c r="B20" s="302"/>
      <c r="C20" s="765" t="s">
        <v>510</v>
      </c>
      <c r="F20" s="325"/>
      <c r="G20" s="325"/>
      <c r="H20" s="303"/>
    </row>
    <row r="21" spans="2:30" ht="13.5" customHeight="1">
      <c r="B21" s="302"/>
      <c r="C21" s="326"/>
      <c r="F21" s="325"/>
      <c r="G21" s="325"/>
      <c r="H21" s="303"/>
    </row>
    <row r="22" spans="2:30" ht="13.5" customHeight="1" thickBot="1">
      <c r="B22" s="302"/>
      <c r="C22" s="321" t="s">
        <v>337</v>
      </c>
      <c r="D22" s="323" t="s">
        <v>338</v>
      </c>
      <c r="E22" s="323"/>
      <c r="F22" s="323"/>
      <c r="G22" s="323"/>
      <c r="H22" s="303"/>
    </row>
    <row r="23" spans="2:30" s="140" customFormat="1" ht="13.5" customHeight="1">
      <c r="B23" s="327"/>
      <c r="C23" s="328" t="s">
        <v>339</v>
      </c>
      <c r="D23" s="329" t="s">
        <v>340</v>
      </c>
      <c r="E23" s="328" t="s">
        <v>341</v>
      </c>
      <c r="F23" s="328"/>
      <c r="G23" s="328"/>
      <c r="H23" s="330"/>
    </row>
    <row r="24" spans="2:30" s="140" customFormat="1" ht="13.5" customHeight="1">
      <c r="B24" s="327"/>
      <c r="C24" s="331" t="s">
        <v>342</v>
      </c>
      <c r="D24" s="332" t="s">
        <v>343</v>
      </c>
      <c r="E24" s="331" t="s">
        <v>344</v>
      </c>
      <c r="F24" s="331"/>
      <c r="G24" s="331"/>
      <c r="H24" s="333"/>
      <c r="I24" s="334"/>
      <c r="J24" s="334"/>
      <c r="K24" s="334"/>
      <c r="L24" s="334"/>
      <c r="M24" s="334"/>
      <c r="N24" s="334"/>
      <c r="O24" s="334"/>
      <c r="P24" s="334"/>
      <c r="Q24" s="334"/>
      <c r="R24" s="334"/>
      <c r="S24" s="334"/>
      <c r="T24" s="334"/>
      <c r="U24" s="334"/>
      <c r="V24" s="334"/>
      <c r="W24" s="334"/>
      <c r="X24" s="334"/>
      <c r="Y24" s="334"/>
      <c r="Z24" s="334"/>
      <c r="AA24" s="334"/>
      <c r="AB24" s="334"/>
      <c r="AC24" s="334"/>
      <c r="AD24" s="334"/>
    </row>
    <row r="25" spans="2:30" s="140" customFormat="1" ht="13.5" customHeight="1">
      <c r="B25" s="327"/>
      <c r="C25" s="335" t="s">
        <v>347</v>
      </c>
      <c r="D25" s="336" t="s">
        <v>345</v>
      </c>
      <c r="E25" s="335" t="s">
        <v>348</v>
      </c>
      <c r="F25" s="337"/>
      <c r="G25" s="337"/>
      <c r="H25" s="330"/>
    </row>
    <row r="26" spans="2:30" s="140" customFormat="1" ht="13.5" customHeight="1">
      <c r="B26" s="327"/>
      <c r="C26" s="363" t="s">
        <v>354</v>
      </c>
      <c r="D26" s="364" t="s">
        <v>356</v>
      </c>
      <c r="E26" s="363" t="s">
        <v>349</v>
      </c>
      <c r="F26" s="365"/>
      <c r="G26" s="365"/>
      <c r="H26" s="330"/>
    </row>
    <row r="27" spans="2:30" ht="13.5" customHeight="1" thickBot="1">
      <c r="B27" s="338"/>
      <c r="C27" s="301"/>
      <c r="D27" s="301"/>
      <c r="E27" s="301"/>
      <c r="F27" s="301"/>
      <c r="G27" s="301"/>
      <c r="H27" s="339"/>
    </row>
    <row r="28" spans="2:30" ht="13.5" customHeight="1"/>
    <row r="29" spans="2:30" ht="13.5" customHeight="1"/>
    <row r="30" spans="2:30" ht="13.5" customHeight="1"/>
    <row r="31" spans="2:30" ht="13.5" customHeight="1"/>
    <row r="32" spans="2:3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</sheetData>
  <hyperlinks>
    <hyperlink ref="C9" location="Assumptions!A1" display="Assumptions" xr:uid="{C03930FD-ADCD-4217-8987-81271EF6C55A}"/>
    <hyperlink ref="C10" location="'Unit Mix'!A1" display="Unit Mix" xr:uid="{691262C5-211B-4E62-BADD-0E354D3E8562}"/>
    <hyperlink ref="C11" location="'Sources and Uses'!A1" display="Sources and Uses" xr:uid="{91A39793-7D9F-4F12-BBED-5E3FD6152646}"/>
    <hyperlink ref="C12" location="Mortgage!A1" display="Mortgage" xr:uid="{02DAFC30-F565-48B8-9289-ACF17FF86423}"/>
    <hyperlink ref="C13" location="'Construction Interest'!A1" display="Construction Interest" xr:uid="{51183DE0-76B2-4625-A1A3-B192E22A4F40}"/>
    <hyperlink ref="C14" location="'Operating Expenses &amp; Reserves'!A1" display="Operating Expenses &amp; Reserves" xr:uid="{F6BD74BB-CBF5-47C9-87E5-EA30E0E6B347}"/>
    <hyperlink ref="C15" location="'Tax Credit Analysis'!A1" display="Taxcredit Analysis" xr:uid="{F01069F5-C0F1-4511-9601-B1A0DB4C7385}"/>
    <hyperlink ref="C16" location="Budget!A1" display="Budget" xr:uid="{B5C42DB5-BB4E-4A40-A361-818E673622CD}"/>
    <hyperlink ref="C17" location="'Development CF'!A1" display="Development Cash flow" xr:uid="{B37E73A0-BA99-48B3-8369-6708ACE42CC7}"/>
    <hyperlink ref="C18" location="'Rental CF'!A1" display="Rental Cash flow" xr:uid="{1C296BCA-3775-4C22-924C-0A9386CDAFA3}"/>
    <hyperlink ref="C19" location="'Debt Schedule'!A1" display="Debt Schedule" xr:uid="{8D71BE7E-36F1-4BCA-8780-AA9C0457B05D}"/>
    <hyperlink ref="C20" location="'KPI''s'!A1" display="KPI's" xr:uid="{C4107D94-1D81-462A-B5C2-3DB9A4EE25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A03C-7C1E-4F5D-BF14-68B3E70486B5}">
  <sheetPr>
    <tabColor theme="0" tint="-0.499984740745262"/>
  </sheetPr>
  <dimension ref="B2:J160"/>
  <sheetViews>
    <sheetView showGridLines="0" zoomScale="115" zoomScaleNormal="115" workbookViewId="0"/>
  </sheetViews>
  <sheetFormatPr defaultRowHeight="13.5"/>
  <cols>
    <col min="1" max="1" width="2.85546875" style="7" customWidth="1"/>
    <col min="2" max="2" width="31.5703125" style="7" customWidth="1"/>
    <col min="3" max="3" width="16" style="7" customWidth="1"/>
    <col min="4" max="4" width="10.7109375" style="7" customWidth="1"/>
    <col min="5" max="5" width="17.28515625" style="7" bestFit="1" customWidth="1"/>
    <col min="6" max="6" width="17.42578125" style="7" bestFit="1" customWidth="1"/>
    <col min="7" max="7" width="13.42578125" style="7" bestFit="1" customWidth="1"/>
    <col min="8" max="8" width="14" style="7" bestFit="1" customWidth="1"/>
    <col min="9" max="9" width="13.42578125" style="7" bestFit="1" customWidth="1"/>
    <col min="10" max="10" width="10.7109375" style="7" bestFit="1" customWidth="1"/>
    <col min="11" max="16384" width="9.140625" style="7"/>
  </cols>
  <sheetData>
    <row r="2" spans="2:5" ht="24.75" customHeight="1">
      <c r="B2" s="229" t="s">
        <v>0</v>
      </c>
      <c r="C2" s="230"/>
      <c r="D2" s="230"/>
      <c r="E2" s="230"/>
    </row>
    <row r="4" spans="2:5">
      <c r="B4" s="329" t="s">
        <v>321</v>
      </c>
    </row>
    <row r="5" spans="2:5" s="97" customFormat="1">
      <c r="B5" s="584"/>
    </row>
    <row r="6" spans="2:5" s="97" customFormat="1" ht="15">
      <c r="B6" s="251" t="s">
        <v>325</v>
      </c>
      <c r="C6" s="261"/>
      <c r="D6" s="249"/>
    </row>
    <row r="7" spans="2:5" s="97" customFormat="1" ht="15">
      <c r="B7" s="258"/>
      <c r="C7" s="260"/>
      <c r="D7" s="259"/>
    </row>
    <row r="8" spans="2:5" s="97" customFormat="1">
      <c r="B8" s="255" t="s">
        <v>1</v>
      </c>
      <c r="C8" s="731">
        <v>46204</v>
      </c>
      <c r="D8" s="256"/>
    </row>
    <row r="9" spans="2:5" s="97" customFormat="1">
      <c r="B9" s="255" t="s">
        <v>4</v>
      </c>
      <c r="C9" s="732">
        <v>6</v>
      </c>
      <c r="D9" s="250" t="s">
        <v>309</v>
      </c>
    </row>
    <row r="10" spans="2:5" s="97" customFormat="1">
      <c r="B10" s="255" t="s">
        <v>2</v>
      </c>
      <c r="C10" s="254">
        <f>EOMONTH(C8,C9)</f>
        <v>46418</v>
      </c>
      <c r="D10" s="65"/>
    </row>
    <row r="11" spans="2:5" s="97" customFormat="1">
      <c r="B11" s="255" t="s">
        <v>3</v>
      </c>
      <c r="C11" s="732">
        <v>24</v>
      </c>
      <c r="D11" s="250" t="s">
        <v>309</v>
      </c>
    </row>
    <row r="12" spans="2:5" s="97" customFormat="1">
      <c r="B12" s="255" t="s">
        <v>424</v>
      </c>
      <c r="C12" s="732">
        <v>6</v>
      </c>
      <c r="D12" s="250" t="s">
        <v>309</v>
      </c>
    </row>
    <row r="13" spans="2:5" s="97" customFormat="1">
      <c r="B13" s="255" t="s">
        <v>5</v>
      </c>
      <c r="C13" s="254">
        <f>EOMONTH(C10,(C11+C12))</f>
        <v>47330</v>
      </c>
      <c r="D13" s="250"/>
    </row>
    <row r="14" spans="2:5" s="97" customFormat="1">
      <c r="B14" s="255" t="s">
        <v>6</v>
      </c>
      <c r="C14" s="7">
        <f>30*12</f>
        <v>360</v>
      </c>
      <c r="D14" s="250" t="s">
        <v>309</v>
      </c>
    </row>
    <row r="15" spans="2:5" s="97" customFormat="1">
      <c r="B15" s="255" t="s">
        <v>7</v>
      </c>
      <c r="C15" s="254">
        <f>EOMONTH(C13,C14)</f>
        <v>58287</v>
      </c>
      <c r="D15" s="65"/>
    </row>
    <row r="16" spans="2:5" s="97" customFormat="1">
      <c r="B16" s="257" t="s">
        <v>8</v>
      </c>
      <c r="C16" s="475">
        <f>ROUND((C15-C8)/365.25,0)</f>
        <v>33</v>
      </c>
      <c r="D16" s="262" t="s">
        <v>178</v>
      </c>
    </row>
    <row r="17" spans="2:5" s="97" customFormat="1">
      <c r="B17" s="584"/>
    </row>
    <row r="18" spans="2:5">
      <c r="B18" s="247"/>
    </row>
    <row r="19" spans="2:5">
      <c r="B19" s="341" t="s">
        <v>352</v>
      </c>
      <c r="C19" s="341"/>
      <c r="D19" s="341"/>
    </row>
    <row r="20" spans="2:5">
      <c r="B20" s="340" t="s">
        <v>351</v>
      </c>
      <c r="C20" s="359">
        <f>(D34*B34)+(D35*B35)+(B36*D36)+(B37*D37)+(B38*D38)</f>
        <v>0.57499999999999996</v>
      </c>
      <c r="D20" s="340" t="str">
        <f>IF(C20&lt;=60%,"OK","check")</f>
        <v>OK</v>
      </c>
    </row>
    <row r="21" spans="2:5">
      <c r="B21" s="340" t="s">
        <v>355</v>
      </c>
      <c r="C21" s="362" t="str">
        <f>IF(C39='Unit Mix'!H82,"EQUAL","UNEQUAL")</f>
        <v>EQUAL</v>
      </c>
      <c r="D21" s="340" t="str">
        <f>IF(C21="EQUAL","OK","check")</f>
        <v>OK</v>
      </c>
    </row>
    <row r="23" spans="2:5" ht="15">
      <c r="B23" s="246" t="s">
        <v>47</v>
      </c>
      <c r="C23" s="246"/>
      <c r="D23" s="246"/>
    </row>
    <row r="24" spans="2:5">
      <c r="B24" s="733">
        <v>63</v>
      </c>
      <c r="C24" s="247" t="s">
        <v>9</v>
      </c>
      <c r="D24" s="75">
        <f>B24/$B$28</f>
        <v>0.19207317073170732</v>
      </c>
      <c r="E24" s="294" t="s">
        <v>332</v>
      </c>
    </row>
    <row r="25" spans="2:5">
      <c r="B25" s="733">
        <v>58</v>
      </c>
      <c r="C25" s="171" t="s">
        <v>33</v>
      </c>
      <c r="D25" s="75">
        <f>B25/$B$28</f>
        <v>0.17682926829268292</v>
      </c>
      <c r="E25" s="294" t="s">
        <v>333</v>
      </c>
    </row>
    <row r="26" spans="2:5">
      <c r="B26" s="733">
        <v>128</v>
      </c>
      <c r="C26" s="171" t="s">
        <v>34</v>
      </c>
      <c r="D26" s="75">
        <f>B26/$B$28</f>
        <v>0.3902439024390244</v>
      </c>
      <c r="E26" s="767" t="s">
        <v>334</v>
      </c>
    </row>
    <row r="27" spans="2:5">
      <c r="B27" s="734">
        <v>79</v>
      </c>
      <c r="C27" s="300" t="s">
        <v>35</v>
      </c>
      <c r="D27" s="342">
        <f>B27/$B$28</f>
        <v>0.24085365853658536</v>
      </c>
      <c r="E27" s="767"/>
    </row>
    <row r="28" spans="2:5">
      <c r="B28" s="299">
        <f>SUM(B24:B27)</f>
        <v>328</v>
      </c>
      <c r="C28" s="171"/>
      <c r="D28" s="75">
        <f>B28/$B$28</f>
        <v>1</v>
      </c>
    </row>
    <row r="29" spans="2:5">
      <c r="B29" s="734">
        <v>1</v>
      </c>
      <c r="C29" s="300" t="s">
        <v>37</v>
      </c>
      <c r="D29" s="67"/>
    </row>
    <row r="30" spans="2:5">
      <c r="B30" s="299">
        <f>SUM(B28:B29)</f>
        <v>329</v>
      </c>
    </row>
    <row r="31" spans="2:5">
      <c r="B31" s="299"/>
    </row>
    <row r="32" spans="2:5" ht="15">
      <c r="B32" s="343" t="s">
        <v>350</v>
      </c>
      <c r="C32" s="344"/>
      <c r="D32" s="344"/>
    </row>
    <row r="33" spans="2:5">
      <c r="B33" s="63" t="s">
        <v>44</v>
      </c>
      <c r="C33" s="63" t="s">
        <v>45</v>
      </c>
      <c r="D33" s="63" t="s">
        <v>46</v>
      </c>
    </row>
    <row r="34" spans="2:5">
      <c r="B34" s="347">
        <v>0.3</v>
      </c>
      <c r="C34" s="57">
        <f>ROUND($B$28*D34,0)</f>
        <v>49</v>
      </c>
      <c r="D34" s="735">
        <v>0.15</v>
      </c>
      <c r="E34" s="294" t="s">
        <v>330</v>
      </c>
    </row>
    <row r="35" spans="2:5">
      <c r="B35" s="347">
        <v>0.4</v>
      </c>
      <c r="C35" s="57">
        <f>ROUND($B$28*D35,0)</f>
        <v>82</v>
      </c>
      <c r="D35" s="735">
        <v>0.25</v>
      </c>
      <c r="E35" s="295"/>
    </row>
    <row r="36" spans="2:5">
      <c r="B36" s="347">
        <v>0.6</v>
      </c>
      <c r="C36" s="57">
        <f>ROUND($B$28*D36,0)</f>
        <v>82</v>
      </c>
      <c r="D36" s="735">
        <v>0.25</v>
      </c>
      <c r="E36" s="295"/>
    </row>
    <row r="37" spans="2:5">
      <c r="B37" s="347">
        <v>0.8</v>
      </c>
      <c r="C37" s="57">
        <f>B28-SUM(C34:C36)</f>
        <v>115</v>
      </c>
      <c r="D37" s="735">
        <v>0.35</v>
      </c>
      <c r="E37" s="295"/>
    </row>
    <row r="38" spans="2:5">
      <c r="B38" s="347">
        <v>0</v>
      </c>
      <c r="C38" s="57">
        <f>$B$28*D38</f>
        <v>0</v>
      </c>
      <c r="D38" s="735">
        <f>0</f>
        <v>0</v>
      </c>
      <c r="E38" s="296" t="s">
        <v>331</v>
      </c>
    </row>
    <row r="39" spans="2:5">
      <c r="B39" s="348" t="s">
        <v>38</v>
      </c>
      <c r="C39" s="82">
        <f>SUM(C34:C38)</f>
        <v>328</v>
      </c>
      <c r="D39" s="75">
        <f>SUM(D34:D38)</f>
        <v>1</v>
      </c>
    </row>
    <row r="40" spans="2:5">
      <c r="B40" s="299"/>
    </row>
    <row r="42" spans="2:5" ht="15">
      <c r="B42" s="345" t="s">
        <v>323</v>
      </c>
      <c r="C42" s="246"/>
    </row>
    <row r="43" spans="2:5">
      <c r="B43" s="7" t="s">
        <v>53</v>
      </c>
      <c r="C43" s="732">
        <v>305300</v>
      </c>
    </row>
    <row r="44" spans="2:5">
      <c r="B44" s="7" t="s">
        <v>54</v>
      </c>
      <c r="C44" s="732">
        <v>0</v>
      </c>
    </row>
    <row r="45" spans="2:5">
      <c r="B45" s="7" t="s">
        <v>55</v>
      </c>
      <c r="C45" s="732">
        <v>18000</v>
      </c>
    </row>
    <row r="46" spans="2:5">
      <c r="B46" s="7" t="s">
        <v>56</v>
      </c>
      <c r="C46" s="732">
        <v>0</v>
      </c>
    </row>
    <row r="47" spans="2:5">
      <c r="B47" s="7" t="s">
        <v>322</v>
      </c>
      <c r="C47" s="7">
        <f>SUM(C43:C46)</f>
        <v>323300</v>
      </c>
    </row>
    <row r="49" spans="2:8" ht="15">
      <c r="B49" s="345" t="s">
        <v>324</v>
      </c>
      <c r="C49" s="246"/>
    </row>
    <row r="50" spans="2:8">
      <c r="B50" s="7" t="s">
        <v>131</v>
      </c>
      <c r="C50" s="366">
        <v>540</v>
      </c>
    </row>
    <row r="51" spans="2:8">
      <c r="B51" s="7" t="s">
        <v>132</v>
      </c>
      <c r="C51" s="366">
        <v>350</v>
      </c>
    </row>
    <row r="53" spans="2:8">
      <c r="B53" s="341" t="s">
        <v>64</v>
      </c>
      <c r="C53" s="341"/>
      <c r="D53" s="341"/>
      <c r="E53" s="341"/>
    </row>
    <row r="54" spans="2:8" ht="27">
      <c r="B54" s="263"/>
      <c r="C54" s="403" t="s">
        <v>65</v>
      </c>
      <c r="D54" s="404" t="s">
        <v>66</v>
      </c>
      <c r="E54" s="404" t="s">
        <v>67</v>
      </c>
    </row>
    <row r="55" spans="2:8">
      <c r="B55" s="346" t="s">
        <v>16</v>
      </c>
      <c r="C55" s="736">
        <v>75</v>
      </c>
      <c r="D55" s="737">
        <v>50</v>
      </c>
      <c r="E55" s="264">
        <f>C55*D55*12</f>
        <v>45000</v>
      </c>
    </row>
    <row r="56" spans="2:8">
      <c r="B56" s="346" t="s">
        <v>68</v>
      </c>
      <c r="C56" s="736">
        <v>0</v>
      </c>
      <c r="D56" s="737">
        <v>30</v>
      </c>
      <c r="E56" s="264">
        <f>D56*C56</f>
        <v>0</v>
      </c>
    </row>
    <row r="57" spans="2:8">
      <c r="B57" s="346" t="s">
        <v>69</v>
      </c>
      <c r="C57" s="736">
        <f>C45</f>
        <v>18000</v>
      </c>
      <c r="D57" s="737">
        <v>0</v>
      </c>
      <c r="E57" s="264">
        <f>D57*C57</f>
        <v>0</v>
      </c>
    </row>
    <row r="58" spans="2:8">
      <c r="B58" s="346" t="s">
        <v>70</v>
      </c>
      <c r="C58" s="99">
        <f>B30</f>
        <v>329</v>
      </c>
      <c r="D58" s="737">
        <v>120</v>
      </c>
      <c r="E58" s="264">
        <f>D58*C58</f>
        <v>39480</v>
      </c>
    </row>
    <row r="60" spans="2:8" ht="15">
      <c r="B60" s="343" t="s">
        <v>358</v>
      </c>
      <c r="C60" s="341"/>
      <c r="D60" s="341"/>
    </row>
    <row r="61" spans="2:8">
      <c r="C61" s="63" t="s">
        <v>46</v>
      </c>
      <c r="D61" s="63" t="s">
        <v>363</v>
      </c>
    </row>
    <row r="62" spans="2:8">
      <c r="B62" s="7" t="s">
        <v>362</v>
      </c>
      <c r="C62" s="178">
        <f>SUM(C63:C65)</f>
        <v>1</v>
      </c>
      <c r="D62" s="585">
        <f>References!C26</f>
        <v>8780000</v>
      </c>
      <c r="E62" s="414" t="s">
        <v>214</v>
      </c>
    </row>
    <row r="63" spans="2:8">
      <c r="B63" s="7" t="s">
        <v>359</v>
      </c>
      <c r="C63" s="378">
        <v>0</v>
      </c>
      <c r="D63" s="264">
        <f>D62*C63</f>
        <v>0</v>
      </c>
      <c r="E63" s="415" t="s">
        <v>370</v>
      </c>
    </row>
    <row r="64" spans="2:8">
      <c r="B64" s="7" t="s">
        <v>360</v>
      </c>
      <c r="C64" s="378">
        <v>0.1</v>
      </c>
      <c r="D64" s="264">
        <f>D62*C64</f>
        <v>878000</v>
      </c>
      <c r="E64" s="415" t="s">
        <v>370</v>
      </c>
      <c r="H64" s="524"/>
    </row>
    <row r="65" spans="2:6">
      <c r="B65" s="7" t="s">
        <v>361</v>
      </c>
      <c r="C65" s="405">
        <f>100%-SUM(C63:C64)</f>
        <v>0.9</v>
      </c>
      <c r="D65" s="264">
        <f>D62*C65</f>
        <v>7902000</v>
      </c>
      <c r="E65" s="7">
        <f>12*15</f>
        <v>180</v>
      </c>
    </row>
    <row r="69" spans="2:6">
      <c r="B69" s="398" t="s">
        <v>395</v>
      </c>
      <c r="C69" s="399"/>
      <c r="D69" s="399"/>
      <c r="E69" s="399"/>
      <c r="F69" s="400"/>
    </row>
    <row r="70" spans="2:6">
      <c r="B70" s="62" t="s">
        <v>131</v>
      </c>
      <c r="C70" s="97">
        <f>Assumptions!C50</f>
        <v>540</v>
      </c>
      <c r="F70" s="65"/>
    </row>
    <row r="71" spans="2:6">
      <c r="B71" s="62" t="s">
        <v>132</v>
      </c>
      <c r="C71" s="97">
        <f>Assumptions!C51</f>
        <v>350</v>
      </c>
      <c r="F71" s="65"/>
    </row>
    <row r="72" spans="2:6">
      <c r="B72" s="255"/>
      <c r="F72" s="65"/>
    </row>
    <row r="73" spans="2:6">
      <c r="B73" s="401"/>
      <c r="C73" s="395" t="s">
        <v>262</v>
      </c>
      <c r="D73" s="80"/>
      <c r="E73" s="80" t="s">
        <v>263</v>
      </c>
      <c r="F73" s="402" t="s">
        <v>264</v>
      </c>
    </row>
    <row r="74" spans="2:6">
      <c r="B74" s="49" t="s">
        <v>80</v>
      </c>
      <c r="C74" s="488"/>
      <c r="D74" s="105"/>
      <c r="E74" s="446"/>
      <c r="F74" s="489"/>
    </row>
    <row r="75" spans="2:6">
      <c r="B75" s="255" t="s">
        <v>81</v>
      </c>
      <c r="C75" s="380">
        <v>0</v>
      </c>
      <c r="D75" s="318"/>
      <c r="E75" s="381" t="s">
        <v>266</v>
      </c>
      <c r="F75" s="411">
        <f>IF(E75="Yes",C75,0)</f>
        <v>0</v>
      </c>
    </row>
    <row r="76" spans="2:6">
      <c r="B76" s="255" t="s">
        <v>82</v>
      </c>
      <c r="C76" s="382">
        <v>1</v>
      </c>
      <c r="D76" s="318"/>
      <c r="E76" s="381" t="s">
        <v>265</v>
      </c>
      <c r="F76" s="411">
        <f>IF(E76="Yes",C76,0)</f>
        <v>1</v>
      </c>
    </row>
    <row r="77" spans="2:6">
      <c r="B77" s="393" t="s">
        <v>83</v>
      </c>
      <c r="C77" s="380">
        <f>SUM(C75:C76)</f>
        <v>1</v>
      </c>
      <c r="D77" s="318"/>
      <c r="E77" s="381"/>
      <c r="F77" s="412">
        <f>SUM(F75:F76)</f>
        <v>1</v>
      </c>
    </row>
    <row r="78" spans="2:6">
      <c r="B78" s="255"/>
      <c r="C78" s="380"/>
      <c r="E78" s="171"/>
      <c r="F78" s="411"/>
    </row>
    <row r="79" spans="2:6">
      <c r="B79" s="490" t="s">
        <v>119</v>
      </c>
      <c r="C79" s="488"/>
      <c r="D79" s="105"/>
      <c r="E79" s="446"/>
      <c r="F79" s="491"/>
    </row>
    <row r="80" spans="2:6">
      <c r="B80" s="255" t="s">
        <v>120</v>
      </c>
      <c r="C80" s="380"/>
      <c r="D80" s="318"/>
      <c r="E80" s="381"/>
      <c r="F80" s="411"/>
    </row>
    <row r="81" spans="2:6">
      <c r="B81" s="255" t="s">
        <v>121</v>
      </c>
      <c r="C81" s="408">
        <f>Assumptions!$C$70*'Unit Mix'!D88</f>
        <v>164862000</v>
      </c>
      <c r="D81" s="318"/>
      <c r="E81" s="381" t="s">
        <v>265</v>
      </c>
      <c r="F81" s="411">
        <f>IF(E81="Yes",C81,0)</f>
        <v>164862000</v>
      </c>
    </row>
    <row r="82" spans="2:6">
      <c r="B82" s="255" t="s">
        <v>122</v>
      </c>
      <c r="C82" s="408">
        <f>Assumptions!$C$71*'Unit Mix'!D89</f>
        <v>0</v>
      </c>
      <c r="D82" s="318"/>
      <c r="E82" s="381" t="s">
        <v>266</v>
      </c>
      <c r="F82" s="411">
        <f>IF(E82="Yes",C82,0)</f>
        <v>0</v>
      </c>
    </row>
    <row r="83" spans="2:6">
      <c r="B83" s="255" t="s">
        <v>123</v>
      </c>
      <c r="C83" s="408">
        <f>Assumptions!$C$71*'Unit Mix'!D90</f>
        <v>6300000</v>
      </c>
      <c r="D83" s="318"/>
      <c r="E83" s="381" t="s">
        <v>265</v>
      </c>
      <c r="F83" s="411">
        <f>IF(E83="Yes",C83,0)</f>
        <v>6300000</v>
      </c>
    </row>
    <row r="84" spans="2:6">
      <c r="B84" s="255" t="s">
        <v>16</v>
      </c>
      <c r="C84" s="408">
        <f>Assumptions!$C$71*'Unit Mix'!D91</f>
        <v>0</v>
      </c>
      <c r="D84" s="318"/>
      <c r="E84" s="381" t="s">
        <v>266</v>
      </c>
      <c r="F84" s="411">
        <f>IF(E84="Yes",C84,0)</f>
        <v>0</v>
      </c>
    </row>
    <row r="85" spans="2:6">
      <c r="B85" s="255" t="s">
        <v>114</v>
      </c>
      <c r="C85" s="408">
        <f>D64</f>
        <v>878000</v>
      </c>
      <c r="D85" s="318"/>
      <c r="E85" s="381" t="s">
        <v>265</v>
      </c>
      <c r="F85" s="411">
        <f>IF(E85="Yes",C85,0)</f>
        <v>878000</v>
      </c>
    </row>
    <row r="86" spans="2:6">
      <c r="B86" s="255" t="s">
        <v>124</v>
      </c>
      <c r="C86" s="408"/>
      <c r="D86" s="416" t="s">
        <v>135</v>
      </c>
      <c r="E86" s="381"/>
      <c r="F86" s="411"/>
    </row>
    <row r="87" spans="2:6">
      <c r="B87" s="255" t="s">
        <v>17</v>
      </c>
      <c r="C87" s="408">
        <f>D87*($C$81+$C$82+$C$83+$C$84)</f>
        <v>10269720</v>
      </c>
      <c r="D87" s="383">
        <v>0.06</v>
      </c>
      <c r="E87" s="381" t="s">
        <v>265</v>
      </c>
      <c r="F87" s="411">
        <f>IF(E87="Yes",C87,0)</f>
        <v>10269720</v>
      </c>
    </row>
    <row r="88" spans="2:6">
      <c r="B88" s="255" t="s">
        <v>125</v>
      </c>
      <c r="C88" s="408">
        <f>D88*($C$81+$C$82+$C$83+$C$84)</f>
        <v>3423240</v>
      </c>
      <c r="D88" s="383">
        <v>0.02</v>
      </c>
      <c r="E88" s="381" t="s">
        <v>265</v>
      </c>
      <c r="F88" s="411">
        <f>IF(E88="Yes",C88,0)</f>
        <v>3423240</v>
      </c>
    </row>
    <row r="89" spans="2:6">
      <c r="B89" s="255" t="s">
        <v>126</v>
      </c>
      <c r="C89" s="408">
        <f>D89*($C$81+$C$82+$C$83+$C$84)</f>
        <v>10269720</v>
      </c>
      <c r="D89" s="383">
        <v>0.06</v>
      </c>
      <c r="E89" s="381" t="s">
        <v>265</v>
      </c>
      <c r="F89" s="411">
        <f>IF(E89="Yes",C89,0)</f>
        <v>10269720</v>
      </c>
    </row>
    <row r="90" spans="2:6">
      <c r="B90" s="255" t="s">
        <v>127</v>
      </c>
      <c r="C90" s="408">
        <f>D90*($C$81+$C$82+$C$83+$C$84)</f>
        <v>1711620</v>
      </c>
      <c r="D90" s="384">
        <v>0.01</v>
      </c>
      <c r="E90" s="381" t="s">
        <v>265</v>
      </c>
      <c r="F90" s="411">
        <f>IF(E90="Yes",C90,0)</f>
        <v>1711620</v>
      </c>
    </row>
    <row r="91" spans="2:6">
      <c r="B91" s="255" t="s">
        <v>128</v>
      </c>
      <c r="C91" s="408">
        <f>D91*($C$81+$C$82+$C$83+$C$84)</f>
        <v>8558100</v>
      </c>
      <c r="D91" s="383">
        <v>0.05</v>
      </c>
      <c r="E91" s="381" t="s">
        <v>265</v>
      </c>
      <c r="F91" s="411">
        <f>IF(E91="Yes",C91,0)</f>
        <v>8558100</v>
      </c>
    </row>
    <row r="92" spans="2:6">
      <c r="B92" s="394" t="s">
        <v>136</v>
      </c>
      <c r="C92" s="409">
        <f>SUM(C81:C91)</f>
        <v>206272400</v>
      </c>
      <c r="D92" s="385"/>
      <c r="E92" s="381"/>
      <c r="F92" s="412">
        <f>SUM(F81:F91)</f>
        <v>206272400</v>
      </c>
    </row>
    <row r="93" spans="2:6">
      <c r="B93" s="255"/>
      <c r="C93" s="380"/>
      <c r="D93" s="318"/>
      <c r="E93" s="381"/>
      <c r="F93" s="411"/>
    </row>
    <row r="94" spans="2:6">
      <c r="B94" s="490" t="s">
        <v>14</v>
      </c>
      <c r="C94" s="488"/>
      <c r="D94" s="492"/>
      <c r="E94" s="493"/>
      <c r="F94" s="491"/>
    </row>
    <row r="95" spans="2:6">
      <c r="B95" s="255" t="s">
        <v>137</v>
      </c>
      <c r="C95" s="406">
        <v>30000</v>
      </c>
      <c r="D95" s="318"/>
      <c r="E95" s="381" t="s">
        <v>265</v>
      </c>
      <c r="F95" s="411">
        <f t="shared" ref="F95:F109" si="0">IF(E95="Yes",C95,0)</f>
        <v>30000</v>
      </c>
    </row>
    <row r="96" spans="2:6">
      <c r="B96" s="255" t="s">
        <v>138</v>
      </c>
      <c r="C96" s="406">
        <v>10000</v>
      </c>
      <c r="D96" s="318"/>
      <c r="E96" s="381" t="s">
        <v>265</v>
      </c>
      <c r="F96" s="411">
        <f t="shared" si="0"/>
        <v>10000</v>
      </c>
    </row>
    <row r="97" spans="2:6">
      <c r="B97" s="255" t="s">
        <v>139</v>
      </c>
      <c r="C97" s="406">
        <v>2400000</v>
      </c>
      <c r="D97" s="318"/>
      <c r="E97" s="381" t="s">
        <v>265</v>
      </c>
      <c r="F97" s="411">
        <f t="shared" si="0"/>
        <v>2400000</v>
      </c>
    </row>
    <row r="98" spans="2:6">
      <c r="B98" s="255" t="s">
        <v>140</v>
      </c>
      <c r="C98" s="406">
        <v>95000</v>
      </c>
      <c r="D98" s="318"/>
      <c r="E98" s="381" t="s">
        <v>265</v>
      </c>
      <c r="F98" s="411">
        <f t="shared" si="0"/>
        <v>95000</v>
      </c>
    </row>
    <row r="99" spans="2:6">
      <c r="B99" s="255" t="s">
        <v>141</v>
      </c>
      <c r="C99" s="406">
        <v>35000</v>
      </c>
      <c r="D99" s="318"/>
      <c r="E99" s="381" t="s">
        <v>265</v>
      </c>
      <c r="F99" s="411">
        <f t="shared" si="0"/>
        <v>35000</v>
      </c>
    </row>
    <row r="100" spans="2:6">
      <c r="B100" s="255" t="s">
        <v>142</v>
      </c>
      <c r="C100" s="406">
        <v>0</v>
      </c>
      <c r="D100" s="318"/>
      <c r="E100" s="381" t="s">
        <v>265</v>
      </c>
      <c r="F100" s="411">
        <f t="shared" si="0"/>
        <v>0</v>
      </c>
    </row>
    <row r="101" spans="2:6">
      <c r="B101" s="255" t="s">
        <v>143</v>
      </c>
      <c r="C101" s="406">
        <v>1000000</v>
      </c>
      <c r="D101" s="318"/>
      <c r="E101" s="381" t="s">
        <v>265</v>
      </c>
      <c r="F101" s="411">
        <f t="shared" si="0"/>
        <v>1000000</v>
      </c>
    </row>
    <row r="102" spans="2:6">
      <c r="B102" s="255" t="s">
        <v>144</v>
      </c>
      <c r="C102" s="406">
        <v>7500</v>
      </c>
      <c r="D102" s="318"/>
      <c r="E102" s="381" t="s">
        <v>265</v>
      </c>
      <c r="F102" s="411">
        <f t="shared" si="0"/>
        <v>7500</v>
      </c>
    </row>
    <row r="103" spans="2:6">
      <c r="B103" s="255" t="s">
        <v>145</v>
      </c>
      <c r="C103" s="406">
        <v>329000</v>
      </c>
      <c r="E103" s="381" t="s">
        <v>266</v>
      </c>
      <c r="F103" s="411">
        <f t="shared" si="0"/>
        <v>0</v>
      </c>
    </row>
    <row r="104" spans="2:6">
      <c r="B104" s="255" t="s">
        <v>146</v>
      </c>
      <c r="C104" s="406">
        <v>75000</v>
      </c>
      <c r="E104" s="381" t="s">
        <v>265</v>
      </c>
      <c r="F104" s="411">
        <f t="shared" si="0"/>
        <v>75000</v>
      </c>
    </row>
    <row r="105" spans="2:6">
      <c r="B105" s="255" t="s">
        <v>147</v>
      </c>
      <c r="C105" s="406">
        <v>7500</v>
      </c>
      <c r="D105" s="318"/>
      <c r="E105" s="381" t="s">
        <v>265</v>
      </c>
      <c r="F105" s="411">
        <f t="shared" si="0"/>
        <v>7500</v>
      </c>
    </row>
    <row r="106" spans="2:6">
      <c r="B106" s="255" t="s">
        <v>148</v>
      </c>
      <c r="C106" s="406">
        <v>125000</v>
      </c>
      <c r="D106" s="318"/>
      <c r="E106" s="381" t="s">
        <v>265</v>
      </c>
      <c r="F106" s="411">
        <f t="shared" si="0"/>
        <v>125000</v>
      </c>
    </row>
    <row r="107" spans="2:6">
      <c r="B107" s="255" t="s">
        <v>149</v>
      </c>
      <c r="C107" s="406">
        <v>866708.31737188937</v>
      </c>
      <c r="D107" s="318"/>
      <c r="E107" s="381" t="s">
        <v>265</v>
      </c>
      <c r="F107" s="411">
        <f t="shared" si="0"/>
        <v>866708.31737188937</v>
      </c>
    </row>
    <row r="108" spans="2:6">
      <c r="B108" s="255" t="s">
        <v>114</v>
      </c>
      <c r="C108" s="407">
        <f>D63</f>
        <v>0</v>
      </c>
      <c r="D108" s="318"/>
      <c r="E108" s="381" t="s">
        <v>265</v>
      </c>
      <c r="F108" s="411">
        <f t="shared" si="0"/>
        <v>0</v>
      </c>
    </row>
    <row r="109" spans="2:6">
      <c r="B109" s="255" t="s">
        <v>150</v>
      </c>
      <c r="C109" s="408">
        <v>1885875.5059627844</v>
      </c>
      <c r="D109" s="386" t="s">
        <v>311</v>
      </c>
      <c r="E109" s="381" t="s">
        <v>265</v>
      </c>
      <c r="F109" s="411">
        <f t="shared" si="0"/>
        <v>1885875.5059627844</v>
      </c>
    </row>
    <row r="110" spans="2:6">
      <c r="B110" s="394" t="s">
        <v>151</v>
      </c>
      <c r="C110" s="409">
        <f>SUM(C95:C109)</f>
        <v>6866583.8233346734</v>
      </c>
      <c r="D110" s="385"/>
      <c r="E110" s="387"/>
      <c r="F110" s="412">
        <f>SUM(F95:F109)</f>
        <v>6537583.8233346734</v>
      </c>
    </row>
    <row r="111" spans="2:6">
      <c r="B111" s="255"/>
      <c r="C111" s="408"/>
      <c r="D111" s="318"/>
      <c r="E111" s="381"/>
      <c r="F111" s="411"/>
    </row>
    <row r="112" spans="2:6">
      <c r="B112" s="393" t="s">
        <v>152</v>
      </c>
      <c r="C112" s="408"/>
      <c r="D112" s="318"/>
      <c r="E112" s="381"/>
      <c r="F112" s="411"/>
    </row>
    <row r="113" spans="2:6">
      <c r="B113" s="255" t="s">
        <v>153</v>
      </c>
      <c r="C113" s="406">
        <v>375000</v>
      </c>
      <c r="D113" s="318"/>
      <c r="E113" s="381" t="s">
        <v>265</v>
      </c>
      <c r="F113" s="411">
        <f>IF(E113="Yes",C113,0)</f>
        <v>375000</v>
      </c>
    </row>
    <row r="114" spans="2:6">
      <c r="B114" s="255" t="s">
        <v>154</v>
      </c>
      <c r="C114" s="406">
        <v>40000</v>
      </c>
      <c r="E114" s="381" t="s">
        <v>265</v>
      </c>
      <c r="F114" s="411">
        <f>IF(E114="Yes",C114,0)</f>
        <v>40000</v>
      </c>
    </row>
    <row r="115" spans="2:6">
      <c r="B115" s="255" t="s">
        <v>155</v>
      </c>
      <c r="C115" s="406">
        <v>421496</v>
      </c>
      <c r="D115" s="318"/>
      <c r="E115" s="381" t="s">
        <v>266</v>
      </c>
      <c r="F115" s="411">
        <f>IF(E115="Yes",C115,0)</f>
        <v>0</v>
      </c>
    </row>
    <row r="116" spans="2:6">
      <c r="B116" s="394" t="s">
        <v>151</v>
      </c>
      <c r="C116" s="409">
        <f>SUM(C113:C115)</f>
        <v>836496</v>
      </c>
      <c r="D116" s="385"/>
      <c r="E116" s="387"/>
      <c r="F116" s="412">
        <f>SUM(F113:F115)</f>
        <v>415000</v>
      </c>
    </row>
    <row r="117" spans="2:6">
      <c r="B117" s="394"/>
      <c r="C117" s="409"/>
      <c r="D117" s="385"/>
      <c r="E117" s="387"/>
      <c r="F117" s="412"/>
    </row>
    <row r="118" spans="2:6">
      <c r="B118" s="394" t="s">
        <v>183</v>
      </c>
      <c r="C118" s="409">
        <f>C116+C110</f>
        <v>7703079.8233346734</v>
      </c>
      <c r="D118" s="385"/>
      <c r="E118" s="381" t="s">
        <v>265</v>
      </c>
      <c r="F118" s="412"/>
    </row>
    <row r="119" spans="2:6">
      <c r="B119" s="394"/>
      <c r="C119" s="409"/>
      <c r="D119" s="385"/>
      <c r="E119" s="387"/>
      <c r="F119" s="412"/>
    </row>
    <row r="120" spans="2:6">
      <c r="B120" s="499" t="s">
        <v>425</v>
      </c>
      <c r="C120" s="494"/>
      <c r="D120" s="495"/>
      <c r="E120" s="496"/>
      <c r="F120" s="497"/>
    </row>
    <row r="121" spans="2:6">
      <c r="B121" s="394"/>
      <c r="C121" s="409"/>
      <c r="D121" s="385"/>
      <c r="E121" s="387"/>
      <c r="F121" s="412"/>
    </row>
    <row r="122" spans="2:6">
      <c r="B122" s="393" t="s">
        <v>156</v>
      </c>
      <c r="C122" s="408"/>
      <c r="E122" s="171"/>
      <c r="F122" s="411"/>
    </row>
    <row r="123" spans="2:6">
      <c r="B123" s="255" t="s">
        <v>157</v>
      </c>
      <c r="C123" s="408">
        <f>SUM('Construction Interest'!G38:G39)</f>
        <v>20076858.056897923</v>
      </c>
      <c r="E123" s="381" t="s">
        <v>265</v>
      </c>
      <c r="F123" s="411">
        <f>IF(E123="Yes",C123,0)</f>
        <v>20076858.056897923</v>
      </c>
    </row>
    <row r="124" spans="2:6">
      <c r="B124" s="255" t="s">
        <v>397</v>
      </c>
      <c r="C124" s="408">
        <f>'Construction Interest'!G40</f>
        <v>590400</v>
      </c>
      <c r="E124" s="381" t="s">
        <v>265</v>
      </c>
      <c r="F124" s="411">
        <f>IF(E124="Yes",C124,0)</f>
        <v>590400</v>
      </c>
    </row>
    <row r="125" spans="2:6">
      <c r="B125" s="255" t="s">
        <v>158</v>
      </c>
      <c r="C125" s="408">
        <f>'Construction Interest'!C46*'Construction Interest'!C48</f>
        <v>1828895.8907394533</v>
      </c>
      <c r="D125" s="388"/>
      <c r="E125" s="381" t="s">
        <v>265</v>
      </c>
      <c r="F125" s="411">
        <f>IF(E125="Yes",C125,0)</f>
        <v>1828895.8907394533</v>
      </c>
    </row>
    <row r="126" spans="2:6">
      <c r="B126" s="62" t="s">
        <v>159</v>
      </c>
      <c r="C126" s="408">
        <f>'Construction Interest'!C46*'Construction Interest'!C49*'Construction Interest'!D17</f>
        <v>5029463.6995334961</v>
      </c>
      <c r="D126" s="388"/>
      <c r="E126" s="381" t="s">
        <v>265</v>
      </c>
      <c r="F126" s="411">
        <f>IF(E126="Yes",C126,0)</f>
        <v>5029463.6995334961</v>
      </c>
    </row>
    <row r="127" spans="2:6">
      <c r="B127" s="394" t="s">
        <v>151</v>
      </c>
      <c r="C127" s="409">
        <f>SUM(C123:C126)</f>
        <v>27525617.647170871</v>
      </c>
      <c r="D127" s="52"/>
      <c r="E127" s="381"/>
      <c r="F127" s="412">
        <f>SUM(F123:F126)</f>
        <v>27525617.647170871</v>
      </c>
    </row>
    <row r="128" spans="2:6">
      <c r="B128" s="394"/>
      <c r="C128" s="409"/>
      <c r="D128" s="52"/>
      <c r="E128" s="381"/>
      <c r="F128" s="412"/>
    </row>
    <row r="129" spans="2:6">
      <c r="B129" s="393" t="s">
        <v>312</v>
      </c>
      <c r="C129" s="409"/>
      <c r="D129" s="52"/>
      <c r="E129" s="381"/>
      <c r="F129" s="412"/>
    </row>
    <row r="130" spans="2:6">
      <c r="B130" s="62" t="s">
        <v>268</v>
      </c>
      <c r="C130" s="578">
        <f>1%*'Construction Interest'!C8</f>
        <v>1822203.6047204873</v>
      </c>
      <c r="D130" s="389">
        <v>0.01</v>
      </c>
      <c r="E130" s="381" t="s">
        <v>265</v>
      </c>
      <c r="F130" s="411">
        <f t="shared" ref="F130:F136" si="1">IF(E130="Yes",C130,0)</f>
        <v>1822203.6047204873</v>
      </c>
    </row>
    <row r="131" spans="2:6">
      <c r="B131" s="255" t="s">
        <v>313</v>
      </c>
      <c r="C131" s="578">
        <f>D131*'Construction Interest'!C8</f>
        <v>1639983.2442484384</v>
      </c>
      <c r="D131" s="389">
        <v>8.9999999999999993E-3</v>
      </c>
      <c r="E131" s="381" t="s">
        <v>266</v>
      </c>
      <c r="F131" s="411">
        <f t="shared" si="1"/>
        <v>0</v>
      </c>
    </row>
    <row r="132" spans="2:6">
      <c r="B132" s="255" t="s">
        <v>314</v>
      </c>
      <c r="C132" s="578">
        <f>D132*SUM('Sources and Uses'!C5,'Sources and Uses'!C6)</f>
        <v>1530651.0279652092</v>
      </c>
      <c r="D132" s="389">
        <v>8.3999999999999995E-3</v>
      </c>
      <c r="E132" s="381" t="s">
        <v>266</v>
      </c>
      <c r="F132" s="411">
        <f t="shared" si="1"/>
        <v>0</v>
      </c>
    </row>
    <row r="133" spans="2:6">
      <c r="B133" s="255" t="s">
        <v>315</v>
      </c>
      <c r="C133" s="578">
        <v>0</v>
      </c>
      <c r="D133" s="390">
        <v>0</v>
      </c>
      <c r="E133" s="381" t="s">
        <v>266</v>
      </c>
      <c r="F133" s="411">
        <f t="shared" si="1"/>
        <v>0</v>
      </c>
    </row>
    <row r="134" spans="2:6">
      <c r="B134" s="255" t="s">
        <v>316</v>
      </c>
      <c r="C134" s="578">
        <f>D134*Mortgage!C48</f>
        <v>47186.010366640214</v>
      </c>
      <c r="D134" s="389">
        <v>1E-3</v>
      </c>
      <c r="E134" s="381" t="s">
        <v>266</v>
      </c>
      <c r="F134" s="411">
        <f t="shared" si="1"/>
        <v>0</v>
      </c>
    </row>
    <row r="135" spans="2:6">
      <c r="B135" s="255" t="s">
        <v>317</v>
      </c>
      <c r="C135" s="578">
        <f>D135*Mortgage!C48</f>
        <v>235930.05183320105</v>
      </c>
      <c r="D135" s="389">
        <v>5.0000000000000001E-3</v>
      </c>
      <c r="E135" s="381" t="s">
        <v>266</v>
      </c>
      <c r="F135" s="411">
        <f t="shared" si="1"/>
        <v>0</v>
      </c>
    </row>
    <row r="136" spans="2:6">
      <c r="B136" s="255" t="s">
        <v>318</v>
      </c>
      <c r="C136" s="578">
        <v>0</v>
      </c>
      <c r="D136" s="391"/>
      <c r="E136" s="381" t="s">
        <v>266</v>
      </c>
      <c r="F136" s="411">
        <f t="shared" si="1"/>
        <v>0</v>
      </c>
    </row>
    <row r="137" spans="2:6">
      <c r="B137" s="255" t="s">
        <v>364</v>
      </c>
      <c r="C137" s="578">
        <v>1400</v>
      </c>
      <c r="D137" s="296" t="s">
        <v>367</v>
      </c>
      <c r="E137" s="381" t="s">
        <v>265</v>
      </c>
      <c r="F137" s="411">
        <f t="shared" ref="F137:F139" si="2">IF(E137="Yes",C137,0)</f>
        <v>1400</v>
      </c>
    </row>
    <row r="138" spans="2:6">
      <c r="B138" s="255" t="s">
        <v>365</v>
      </c>
      <c r="C138" s="578">
        <v>3000</v>
      </c>
      <c r="D138" s="296" t="s">
        <v>368</v>
      </c>
      <c r="E138" s="381" t="s">
        <v>265</v>
      </c>
      <c r="F138" s="411">
        <f t="shared" si="2"/>
        <v>3000</v>
      </c>
    </row>
    <row r="139" spans="2:6">
      <c r="B139" s="255" t="s">
        <v>366</v>
      </c>
      <c r="C139" s="578">
        <v>100</v>
      </c>
      <c r="D139" s="296" t="s">
        <v>369</v>
      </c>
      <c r="E139" s="381" t="s">
        <v>265</v>
      </c>
      <c r="F139" s="411">
        <f t="shared" si="2"/>
        <v>100</v>
      </c>
    </row>
    <row r="140" spans="2:6">
      <c r="B140" s="255" t="s">
        <v>319</v>
      </c>
      <c r="C140" s="578">
        <v>45000</v>
      </c>
      <c r="D140" s="390">
        <v>45000</v>
      </c>
      <c r="E140" s="381" t="s">
        <v>265</v>
      </c>
      <c r="F140" s="411">
        <f>IF(E140="Yes",C140,0)</f>
        <v>45000</v>
      </c>
    </row>
    <row r="141" spans="2:6">
      <c r="B141" s="255" t="s">
        <v>320</v>
      </c>
      <c r="C141" s="578">
        <v>5000</v>
      </c>
      <c r="D141" s="390">
        <v>5000</v>
      </c>
      <c r="E141" s="381" t="s">
        <v>266</v>
      </c>
      <c r="F141" s="411">
        <f>IF(E141="Yes",C141,0)</f>
        <v>0</v>
      </c>
    </row>
    <row r="142" spans="2:6">
      <c r="B142" s="394" t="s">
        <v>151</v>
      </c>
      <c r="C142" s="409">
        <f>SUM(C130:C141)</f>
        <v>5330453.9391339766</v>
      </c>
      <c r="D142" s="392"/>
      <c r="E142" s="381"/>
      <c r="F142" s="412">
        <f>SUM(F130:F141)</f>
        <v>1871703.6047204873</v>
      </c>
    </row>
    <row r="143" spans="2:6">
      <c r="B143" s="394"/>
      <c r="C143" s="409"/>
      <c r="D143" s="52"/>
      <c r="E143" s="381"/>
      <c r="F143" s="412"/>
    </row>
    <row r="144" spans="2:6">
      <c r="B144" s="394" t="s">
        <v>426</v>
      </c>
      <c r="C144" s="408">
        <f>C142+C127</f>
        <v>32856071.586304847</v>
      </c>
      <c r="E144" s="171"/>
      <c r="F144" s="411"/>
    </row>
    <row r="145" spans="2:10">
      <c r="B145" s="62"/>
      <c r="D145" s="385"/>
      <c r="E145" s="381"/>
      <c r="F145" s="412">
        <f>F127+F116+F110+F142</f>
        <v>36349905.075226031</v>
      </c>
    </row>
    <row r="146" spans="2:10">
      <c r="B146" s="49" t="s">
        <v>181</v>
      </c>
      <c r="C146" s="498"/>
      <c r="D146" s="105"/>
      <c r="E146" s="446"/>
      <c r="F146" s="491"/>
    </row>
    <row r="147" spans="2:10">
      <c r="B147" s="62" t="s">
        <v>377</v>
      </c>
      <c r="C147" s="408">
        <f>'Operating Expenses &amp; Reserves'!D47</f>
        <v>1949898.751730311</v>
      </c>
      <c r="E147" s="381" t="s">
        <v>266</v>
      </c>
      <c r="F147" s="411">
        <f t="shared" ref="F147" si="3">IF(E147="Yes",C147,0)</f>
        <v>0</v>
      </c>
    </row>
    <row r="148" spans="2:10">
      <c r="B148" s="394" t="s">
        <v>151</v>
      </c>
      <c r="C148" s="409">
        <f>SUM(C147:C147)</f>
        <v>1949898.751730311</v>
      </c>
      <c r="D148" s="426"/>
      <c r="E148" s="381" t="s">
        <v>266</v>
      </c>
      <c r="F148" s="412">
        <f>IF(E148="Yes",C148,0)</f>
        <v>0</v>
      </c>
      <c r="G148" s="744">
        <v>9.8495811007116903E-3</v>
      </c>
    </row>
    <row r="149" spans="2:10">
      <c r="B149" s="54"/>
      <c r="C149" s="408"/>
      <c r="E149" s="171"/>
      <c r="F149" s="411"/>
      <c r="I149" s="408"/>
      <c r="J149" s="388"/>
    </row>
    <row r="150" spans="2:10">
      <c r="B150" s="59" t="s">
        <v>182</v>
      </c>
      <c r="C150" s="410">
        <f>C148+C118+C92+C144+C77</f>
        <v>248781451.16136983</v>
      </c>
      <c r="D150" s="396"/>
      <c r="E150" s="397"/>
      <c r="F150" s="413">
        <f>F148+F145+F92</f>
        <v>242622305.07522604</v>
      </c>
      <c r="I150" s="177"/>
    </row>
    <row r="151" spans="2:10">
      <c r="G151" s="177"/>
      <c r="I151" s="177"/>
    </row>
    <row r="152" spans="2:10">
      <c r="B152" s="418" t="s">
        <v>371</v>
      </c>
      <c r="C152" s="419"/>
    </row>
    <row r="153" spans="2:10">
      <c r="B153" s="62" t="s">
        <v>372</v>
      </c>
      <c r="C153" s="411">
        <f>C150</f>
        <v>248781451.16136983</v>
      </c>
    </row>
    <row r="154" spans="2:10">
      <c r="B154" s="62" t="s">
        <v>373</v>
      </c>
      <c r="C154" s="420">
        <f>C20</f>
        <v>0.57499999999999996</v>
      </c>
    </row>
    <row r="155" spans="2:10">
      <c r="B155" s="62" t="s">
        <v>374</v>
      </c>
      <c r="C155" s="422">
        <f>MAX(0,CEILING(C154*100-60,1))*0.0025</f>
        <v>0</v>
      </c>
      <c r="D155" s="296" t="s">
        <v>376</v>
      </c>
    </row>
    <row r="156" spans="2:10">
      <c r="B156" s="227" t="s">
        <v>375</v>
      </c>
      <c r="C156" s="421">
        <f>C153*C155</f>
        <v>0</v>
      </c>
    </row>
    <row r="158" spans="2:10">
      <c r="B158" s="418" t="s">
        <v>477</v>
      </c>
      <c r="C158" s="419"/>
    </row>
    <row r="159" spans="2:10">
      <c r="B159" s="62" t="s">
        <v>360</v>
      </c>
      <c r="C159" s="738">
        <v>0.1</v>
      </c>
    </row>
    <row r="160" spans="2:10">
      <c r="B160" s="227" t="s">
        <v>361</v>
      </c>
      <c r="C160" s="569">
        <f>100%-C159</f>
        <v>0.9</v>
      </c>
    </row>
  </sheetData>
  <mergeCells count="1">
    <mergeCell ref="E26:E27"/>
  </mergeCells>
  <conditionalFormatting sqref="D39">
    <cfRule type="cellIs" dxfId="3" priority="2" operator="equal">
      <formula>1</formula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2A13C8C2-9394-41B7-BCAC-92EDB91FB73B}">
          <x14:formula1>
            <xm:f>References!$P$20:$P$21</xm:f>
          </x14:formula1>
          <xm:sqref>E75:E77 E81:E85 E145 E87:E92 E113:E115 E95:E109 E123:E143 E118 E147:E148</xm:sqref>
        </x14:dataValidation>
        <x14:dataValidation type="list" allowBlank="1" showInputMessage="1" showErrorMessage="1" xr:uid="{3D5D1DF5-5122-4886-99C1-AF35A2DB879F}">
          <x14:formula1>
            <xm:f>References!$Q$20:$Q$27</xm:f>
          </x14:formula1>
          <xm:sqref>C159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E2E2-918A-4280-9D0F-4CF4B6FCAF7B}">
  <sheetPr>
    <tabColor theme="0" tint="-0.499984740745262"/>
  </sheetPr>
  <dimension ref="B3:L105"/>
  <sheetViews>
    <sheetView showGridLines="0" zoomScaleNormal="100" workbookViewId="0"/>
  </sheetViews>
  <sheetFormatPr defaultRowHeight="13.5"/>
  <cols>
    <col min="1" max="1" width="4.140625" style="7" customWidth="1"/>
    <col min="2" max="2" width="22.85546875" style="7" customWidth="1"/>
    <col min="3" max="3" width="17.42578125" style="7" bestFit="1" customWidth="1"/>
    <col min="4" max="4" width="19.5703125" style="7" customWidth="1"/>
    <col min="5" max="5" width="16" style="7" customWidth="1"/>
    <col min="6" max="6" width="13.28515625" style="7" customWidth="1"/>
    <col min="7" max="7" width="23.42578125" style="7" bestFit="1" customWidth="1"/>
    <col min="8" max="8" width="31.85546875" style="7" bestFit="1" customWidth="1"/>
    <col min="9" max="9" width="18.42578125" style="7" bestFit="1" customWidth="1"/>
    <col min="10" max="10" width="12.28515625" style="7" bestFit="1" customWidth="1"/>
    <col min="11" max="11" width="19.7109375" style="7" customWidth="1"/>
    <col min="12" max="16384" width="9.140625" style="7"/>
  </cols>
  <sheetData>
    <row r="3" spans="2:7" ht="15">
      <c r="B3" s="248" t="s">
        <v>47</v>
      </c>
      <c r="C3" s="261"/>
      <c r="D3" s="289"/>
      <c r="F3" s="49" t="s">
        <v>42</v>
      </c>
      <c r="G3" s="50">
        <f>C19</f>
        <v>328</v>
      </c>
    </row>
    <row r="4" spans="2:7">
      <c r="B4" s="279">
        <f>Assumptions!B24</f>
        <v>63</v>
      </c>
      <c r="C4" s="290" t="s">
        <v>9</v>
      </c>
      <c r="D4" s="58">
        <f>B4/SUM($B$4:$B$7)</f>
        <v>0.19207317073170732</v>
      </c>
      <c r="E4" s="352"/>
      <c r="F4" s="285"/>
    </row>
    <row r="5" spans="2:7">
      <c r="B5" s="279">
        <f>Assumptions!B25</f>
        <v>58</v>
      </c>
      <c r="C5" s="291" t="s">
        <v>33</v>
      </c>
      <c r="D5" s="58">
        <f>B5/SUM($B$4:$B$7)</f>
        <v>0.17682926829268292</v>
      </c>
      <c r="E5" s="352"/>
      <c r="F5" s="285"/>
    </row>
    <row r="6" spans="2:7">
      <c r="B6" s="279">
        <f>Assumptions!B26</f>
        <v>128</v>
      </c>
      <c r="C6" s="291" t="s">
        <v>34</v>
      </c>
      <c r="D6" s="58">
        <f>B6/SUM($B$4:$B$7)</f>
        <v>0.3902439024390244</v>
      </c>
      <c r="E6" s="353"/>
      <c r="F6" s="285"/>
    </row>
    <row r="7" spans="2:7">
      <c r="B7" s="281">
        <f>Assumptions!B27</f>
        <v>79</v>
      </c>
      <c r="C7" s="292" t="s">
        <v>35</v>
      </c>
      <c r="D7" s="293">
        <f>B7/SUM($B$4:$B$7)</f>
        <v>0.24085365853658536</v>
      </c>
      <c r="E7" s="353"/>
      <c r="F7" s="285"/>
    </row>
    <row r="8" spans="2:7">
      <c r="B8" s="279">
        <f>SUM(B4:B7)</f>
        <v>328</v>
      </c>
      <c r="C8" s="291"/>
      <c r="D8" s="287">
        <f>B8/SUM($B$4:$B$7)</f>
        <v>1</v>
      </c>
      <c r="E8" s="97"/>
    </row>
    <row r="9" spans="2:7">
      <c r="B9" s="281">
        <f>Assumptions!B29</f>
        <v>1</v>
      </c>
      <c r="C9" s="292" t="s">
        <v>326</v>
      </c>
      <c r="D9" s="68"/>
      <c r="E9" s="97"/>
    </row>
    <row r="10" spans="2:7">
      <c r="B10" s="280">
        <f>SUM(B8:B9)</f>
        <v>329</v>
      </c>
      <c r="C10" s="288"/>
      <c r="D10" s="68"/>
      <c r="E10" s="97"/>
    </row>
    <row r="11" spans="2:7">
      <c r="B11" s="51"/>
      <c r="E11" s="97"/>
      <c r="F11" s="52"/>
      <c r="G11" s="53"/>
    </row>
    <row r="12" spans="2:7" ht="15">
      <c r="B12" s="130" t="s">
        <v>43</v>
      </c>
      <c r="C12" s="133"/>
      <c r="D12" s="134"/>
      <c r="E12" s="97"/>
      <c r="F12" s="52"/>
      <c r="G12" s="53"/>
    </row>
    <row r="13" spans="2:7">
      <c r="B13" s="298" t="s">
        <v>44</v>
      </c>
      <c r="C13" s="73" t="s">
        <v>45</v>
      </c>
      <c r="D13" s="55" t="s">
        <v>46</v>
      </c>
      <c r="E13" s="97"/>
      <c r="F13" s="52"/>
      <c r="G13" s="53"/>
    </row>
    <row r="14" spans="2:7">
      <c r="B14" s="56">
        <f>Assumptions!B34</f>
        <v>0.3</v>
      </c>
      <c r="C14" s="57">
        <f>Assumptions!C34</f>
        <v>49</v>
      </c>
      <c r="D14" s="297">
        <f>Assumptions!D34</f>
        <v>0.15</v>
      </c>
      <c r="E14" s="352"/>
      <c r="F14" s="52"/>
      <c r="G14" s="53"/>
    </row>
    <row r="15" spans="2:7">
      <c r="B15" s="56">
        <f>Assumptions!B35</f>
        <v>0.4</v>
      </c>
      <c r="C15" s="57">
        <f>Assumptions!C35</f>
        <v>82</v>
      </c>
      <c r="D15" s="297">
        <f>Assumptions!D35</f>
        <v>0.25</v>
      </c>
      <c r="E15" s="354"/>
      <c r="F15" s="52"/>
      <c r="G15" s="53"/>
    </row>
    <row r="16" spans="2:7">
      <c r="B16" s="56">
        <f>Assumptions!B36</f>
        <v>0.6</v>
      </c>
      <c r="C16" s="57">
        <f>Assumptions!C36</f>
        <v>82</v>
      </c>
      <c r="D16" s="297">
        <f>Assumptions!D36</f>
        <v>0.25</v>
      </c>
      <c r="E16" s="354"/>
      <c r="F16" s="52"/>
      <c r="G16" s="53"/>
    </row>
    <row r="17" spans="2:11" ht="15">
      <c r="B17" s="56">
        <f>Assumptions!B37</f>
        <v>0.8</v>
      </c>
      <c r="C17" s="57">
        <f>Assumptions!C37</f>
        <v>115</v>
      </c>
      <c r="D17" s="297">
        <f>Assumptions!D37</f>
        <v>0.35</v>
      </c>
      <c r="E17" s="354"/>
      <c r="F17" s="52"/>
      <c r="G17" s="228"/>
    </row>
    <row r="18" spans="2:11">
      <c r="B18" s="56">
        <f>Assumptions!B38</f>
        <v>0</v>
      </c>
      <c r="C18" s="57">
        <f>Assumptions!C38</f>
        <v>0</v>
      </c>
      <c r="D18" s="297">
        <f>Assumptions!D38</f>
        <v>0</v>
      </c>
      <c r="E18" s="355"/>
      <c r="F18" s="52"/>
      <c r="G18" s="53"/>
    </row>
    <row r="19" spans="2:11">
      <c r="B19" s="59" t="s">
        <v>38</v>
      </c>
      <c r="C19" s="60">
        <f>SUM(C14:C18)</f>
        <v>328</v>
      </c>
      <c r="D19" s="61">
        <f>SUM(D14:D18)</f>
        <v>1</v>
      </c>
      <c r="F19" s="52"/>
      <c r="G19" s="53"/>
    </row>
    <row r="20" spans="2:11">
      <c r="B20" s="51"/>
      <c r="F20" s="52"/>
      <c r="G20" s="53"/>
    </row>
    <row r="21" spans="2:11" ht="15">
      <c r="B21" s="130" t="s">
        <v>19</v>
      </c>
      <c r="C21" s="770" t="s">
        <v>10</v>
      </c>
      <c r="D21" s="771"/>
    </row>
    <row r="22" spans="2:11">
      <c r="B22" s="62"/>
      <c r="C22" s="63" t="s">
        <v>11</v>
      </c>
      <c r="D22" s="64" t="s">
        <v>12</v>
      </c>
    </row>
    <row r="23" spans="2:11">
      <c r="B23" s="54" t="s">
        <v>9</v>
      </c>
      <c r="C23" s="295">
        <v>350</v>
      </c>
      <c r="D23" s="349">
        <v>400</v>
      </c>
      <c r="E23" s="7" t="s">
        <v>13</v>
      </c>
      <c r="I23" s="66"/>
    </row>
    <row r="24" spans="2:11">
      <c r="B24" s="54" t="s">
        <v>33</v>
      </c>
      <c r="C24" s="295">
        <v>500</v>
      </c>
      <c r="D24" s="349">
        <v>550</v>
      </c>
      <c r="E24" s="7" t="s">
        <v>13</v>
      </c>
      <c r="I24" s="66"/>
    </row>
    <row r="25" spans="2:11">
      <c r="B25" s="54" t="s">
        <v>34</v>
      </c>
      <c r="C25" s="295">
        <v>650</v>
      </c>
      <c r="D25" s="349">
        <v>725</v>
      </c>
      <c r="E25" s="7" t="s">
        <v>13</v>
      </c>
      <c r="I25" s="66"/>
    </row>
    <row r="26" spans="2:11">
      <c r="B26" s="54" t="s">
        <v>35</v>
      </c>
      <c r="C26" s="295">
        <v>850</v>
      </c>
      <c r="D26" s="349">
        <v>950</v>
      </c>
      <c r="E26" s="7" t="s">
        <v>13</v>
      </c>
      <c r="I26" s="66"/>
    </row>
    <row r="27" spans="2:11">
      <c r="B27" s="59" t="s">
        <v>36</v>
      </c>
      <c r="C27" s="350">
        <v>950</v>
      </c>
      <c r="D27" s="351">
        <v>1075</v>
      </c>
      <c r="E27" s="7" t="s">
        <v>13</v>
      </c>
      <c r="I27" s="66"/>
    </row>
    <row r="28" spans="2:11">
      <c r="I28" s="66"/>
    </row>
    <row r="29" spans="2:11">
      <c r="I29" s="66"/>
    </row>
    <row r="30" spans="2:11" ht="15">
      <c r="B30" s="130" t="s">
        <v>32</v>
      </c>
      <c r="C30" s="131"/>
      <c r="D30" s="131"/>
      <c r="E30" s="131"/>
      <c r="F30" s="132"/>
      <c r="I30" s="66"/>
    </row>
    <row r="31" spans="2:11" ht="43.5" customHeight="1">
      <c r="B31" s="54"/>
      <c r="C31" s="52" t="s">
        <v>39</v>
      </c>
      <c r="D31" s="748" t="s">
        <v>40</v>
      </c>
      <c r="E31" s="52" t="s">
        <v>41</v>
      </c>
      <c r="F31" s="69" t="s">
        <v>48</v>
      </c>
    </row>
    <row r="32" spans="2:11">
      <c r="B32" s="54" t="s">
        <v>9</v>
      </c>
      <c r="C32" s="70">
        <f>B4</f>
        <v>63</v>
      </c>
      <c r="D32" s="739">
        <v>2</v>
      </c>
      <c r="E32" s="63">
        <f>C32*D32</f>
        <v>126</v>
      </c>
      <c r="F32" s="65">
        <f>AVERAGE(C23,D23)</f>
        <v>375</v>
      </c>
      <c r="I32" s="71"/>
      <c r="J32" s="72"/>
      <c r="K32" s="72"/>
    </row>
    <row r="33" spans="2:12">
      <c r="B33" s="54" t="s">
        <v>33</v>
      </c>
      <c r="C33" s="70">
        <f>B5</f>
        <v>58</v>
      </c>
      <c r="D33" s="739">
        <v>3</v>
      </c>
      <c r="E33" s="63">
        <f>C33*D33</f>
        <v>174</v>
      </c>
      <c r="F33" s="65">
        <f>AVERAGE(C24,D24)</f>
        <v>525</v>
      </c>
      <c r="I33" s="52"/>
      <c r="J33" s="52"/>
      <c r="K33" s="73"/>
    </row>
    <row r="34" spans="2:12">
      <c r="B34" s="54" t="s">
        <v>34</v>
      </c>
      <c r="C34" s="70">
        <f>B6</f>
        <v>128</v>
      </c>
      <c r="D34" s="739">
        <v>4</v>
      </c>
      <c r="E34" s="63">
        <f>C34*D34</f>
        <v>512</v>
      </c>
      <c r="F34" s="65">
        <f>AVERAGE(C25,D25)</f>
        <v>687.5</v>
      </c>
      <c r="I34" s="74"/>
      <c r="J34" s="57"/>
      <c r="K34" s="75"/>
    </row>
    <row r="35" spans="2:12">
      <c r="B35" s="54" t="s">
        <v>35</v>
      </c>
      <c r="C35" s="70">
        <f>B7</f>
        <v>79</v>
      </c>
      <c r="D35" s="739">
        <v>5</v>
      </c>
      <c r="E35" s="63">
        <f>C35*D35</f>
        <v>395</v>
      </c>
      <c r="F35" s="65">
        <f>AVERAGE(C26,D26)</f>
        <v>900</v>
      </c>
      <c r="I35" s="74"/>
      <c r="J35" s="57"/>
      <c r="K35" s="75"/>
    </row>
    <row r="36" spans="2:12">
      <c r="B36" s="59" t="s">
        <v>36</v>
      </c>
      <c r="C36" s="76">
        <v>0</v>
      </c>
      <c r="D36" s="740">
        <v>0</v>
      </c>
      <c r="E36" s="77">
        <f>C36*D36</f>
        <v>0</v>
      </c>
      <c r="F36" s="68"/>
      <c r="I36" s="74"/>
      <c r="J36" s="57"/>
      <c r="K36" s="75"/>
    </row>
    <row r="37" spans="2:12">
      <c r="B37" s="54" t="s">
        <v>15</v>
      </c>
      <c r="C37" s="53">
        <f>SUM(C32:C36)</f>
        <v>328</v>
      </c>
      <c r="D37" s="53"/>
      <c r="E37" s="53">
        <f>SUM(E32:E36)</f>
        <v>1207</v>
      </c>
      <c r="F37" s="78">
        <f>SUM(F32:F36)</f>
        <v>2487.5</v>
      </c>
      <c r="I37" s="74"/>
      <c r="J37" s="57"/>
      <c r="K37" s="75"/>
    </row>
    <row r="38" spans="2:12">
      <c r="B38" s="59" t="s">
        <v>37</v>
      </c>
      <c r="C38" s="67">
        <v>1</v>
      </c>
      <c r="D38" s="67"/>
      <c r="E38" s="67">
        <v>0</v>
      </c>
      <c r="F38" s="68"/>
      <c r="I38" s="74"/>
      <c r="J38" s="57"/>
      <c r="K38" s="75"/>
    </row>
    <row r="39" spans="2:12">
      <c r="B39" s="59" t="s">
        <v>38</v>
      </c>
      <c r="C39" s="79">
        <f>C37+C38</f>
        <v>329</v>
      </c>
      <c r="D39" s="80"/>
      <c r="E39" s="79">
        <f>SUM(E37:E38)</f>
        <v>1207</v>
      </c>
      <c r="F39" s="81">
        <f>C32*F32+C33*F33+C34*F34+C35*F35+C38*F38</f>
        <v>213175</v>
      </c>
      <c r="I39" s="52"/>
      <c r="J39" s="82"/>
      <c r="K39" s="75"/>
    </row>
    <row r="40" spans="2:12">
      <c r="B40" s="52"/>
      <c r="C40" s="53"/>
      <c r="D40" s="52"/>
      <c r="E40" s="53"/>
      <c r="F40" s="358"/>
      <c r="I40" s="52"/>
      <c r="J40" s="82"/>
      <c r="K40" s="75"/>
    </row>
    <row r="41" spans="2:12" ht="15">
      <c r="B41" s="343" t="s">
        <v>353</v>
      </c>
      <c r="C41" s="343"/>
      <c r="D41" s="343"/>
      <c r="E41" s="343"/>
      <c r="F41" s="343"/>
      <c r="G41" s="343"/>
    </row>
    <row r="42" spans="2:12">
      <c r="C42" s="361" cm="1">
        <f t="array" ref="C42:G42">TRANSPOSE(B14:B18)</f>
        <v>0.3</v>
      </c>
      <c r="D42" s="361">
        <v>0.4</v>
      </c>
      <c r="E42" s="361">
        <v>0.6</v>
      </c>
      <c r="F42" s="361">
        <v>0.8</v>
      </c>
      <c r="G42" s="361">
        <v>0</v>
      </c>
      <c r="I42" s="178"/>
      <c r="J42" s="178"/>
      <c r="K42" s="178"/>
      <c r="L42" s="178"/>
    </row>
    <row r="43" spans="2:12">
      <c r="B43" s="52" t="str">
        <f>B23</f>
        <v>Studio</v>
      </c>
      <c r="C43" s="360">
        <f>Assumptions!$C$34*Assumptions!$D24</f>
        <v>9.411585365853659</v>
      </c>
      <c r="D43" s="360">
        <f>Assumptions!$C$35*Assumptions!$D24</f>
        <v>15.75</v>
      </c>
      <c r="E43" s="360">
        <f>Assumptions!$C$36*Assumptions!$D24</f>
        <v>15.75</v>
      </c>
      <c r="F43" s="360">
        <f>B4-SUM(C43+D43+E43)</f>
        <v>22.088414634146339</v>
      </c>
      <c r="G43" s="360">
        <f>Assumptions!$B$38*Assumptions!$D24</f>
        <v>0</v>
      </c>
      <c r="H43" s="360"/>
      <c r="I43" s="360"/>
      <c r="J43" s="360"/>
      <c r="K43" s="360"/>
    </row>
    <row r="44" spans="2:12">
      <c r="B44" s="52" t="str">
        <f>B24</f>
        <v>1 Bedroom</v>
      </c>
      <c r="C44" s="360">
        <f>Assumptions!$C$34*Assumptions!$D25</f>
        <v>8.6646341463414629</v>
      </c>
      <c r="D44" s="360">
        <f>Assumptions!$C$35*Assumptions!$D25</f>
        <v>14.5</v>
      </c>
      <c r="E44" s="360">
        <f>Assumptions!$C$36*Assumptions!$D25</f>
        <v>14.5</v>
      </c>
      <c r="F44" s="360">
        <f t="shared" ref="F44:F46" si="0">B5-SUM(C44+D44+E44)</f>
        <v>20.335365853658537</v>
      </c>
      <c r="G44" s="360">
        <f>Assumptions!$B$38*Assumptions!$D25</f>
        <v>0</v>
      </c>
      <c r="H44" s="360"/>
      <c r="I44" s="360"/>
      <c r="J44" s="360"/>
      <c r="K44" s="360"/>
    </row>
    <row r="45" spans="2:12">
      <c r="B45" s="52" t="str">
        <f>B25</f>
        <v>2 Bedroom</v>
      </c>
      <c r="C45" s="360">
        <f>Assumptions!$C$34*Assumptions!$D26</f>
        <v>19.121951219512194</v>
      </c>
      <c r="D45" s="360">
        <f>Assumptions!$C$35*Assumptions!$D26</f>
        <v>32</v>
      </c>
      <c r="E45" s="360">
        <f>Assumptions!$C$36*Assumptions!$D26</f>
        <v>32</v>
      </c>
      <c r="F45" s="360">
        <f t="shared" si="0"/>
        <v>44.878048780487802</v>
      </c>
      <c r="G45" s="360">
        <f>Assumptions!$B$38*Assumptions!$D26</f>
        <v>0</v>
      </c>
      <c r="H45" s="360"/>
      <c r="I45" s="360"/>
      <c r="J45" s="360"/>
      <c r="K45" s="360"/>
    </row>
    <row r="46" spans="2:12">
      <c r="B46" s="52" t="str">
        <f>B26</f>
        <v>3 Bedroom</v>
      </c>
      <c r="C46" s="360">
        <f>Assumptions!$C$34*Assumptions!$D27</f>
        <v>11.801829268292682</v>
      </c>
      <c r="D46" s="360">
        <f>Assumptions!$C$35*Assumptions!$D27</f>
        <v>19.75</v>
      </c>
      <c r="E46" s="360">
        <f>Assumptions!$C$36*Assumptions!$D27</f>
        <v>19.75</v>
      </c>
      <c r="F46" s="360">
        <f t="shared" si="0"/>
        <v>27.698170731707322</v>
      </c>
      <c r="G46" s="360">
        <f>Assumptions!$B$38*Assumptions!$D27</f>
        <v>0</v>
      </c>
      <c r="H46" s="360"/>
      <c r="I46" s="360"/>
      <c r="J46" s="360"/>
      <c r="K46" s="360"/>
    </row>
    <row r="47" spans="2:12">
      <c r="B47" s="52" t="str">
        <f>B27</f>
        <v>4 Bedroom</v>
      </c>
      <c r="C47" s="360">
        <f>Assumptions!C38*Assumptions!D24</f>
        <v>0</v>
      </c>
      <c r="D47" s="360">
        <f>Assumptions!$C$38*Assumptions!D25</f>
        <v>0</v>
      </c>
      <c r="E47" s="360">
        <f>Assumptions!$C$38*Assumptions!D26</f>
        <v>0</v>
      </c>
      <c r="F47" s="360">
        <f>Assumptions!$C$38*Assumptions!D27</f>
        <v>0</v>
      </c>
      <c r="G47" s="360">
        <f>Assumptions!$B$38*Assumptions!$D28</f>
        <v>0</v>
      </c>
      <c r="H47" s="360"/>
      <c r="I47" s="360"/>
      <c r="J47" s="360"/>
      <c r="K47" s="360"/>
    </row>
    <row r="50" spans="2:10" ht="15">
      <c r="B50" s="135" t="s">
        <v>18</v>
      </c>
      <c r="C50" s="136"/>
      <c r="D50" s="136"/>
      <c r="E50" s="136"/>
      <c r="F50" s="137"/>
      <c r="G50" s="137"/>
      <c r="H50" s="137"/>
      <c r="I50" s="138"/>
    </row>
    <row r="51" spans="2:10">
      <c r="B51" s="231" t="s">
        <v>19</v>
      </c>
      <c r="C51" s="232" t="s">
        <v>20</v>
      </c>
      <c r="D51" s="233" t="s">
        <v>21</v>
      </c>
      <c r="E51" s="234" t="s">
        <v>22</v>
      </c>
      <c r="F51" s="233" t="s">
        <v>23</v>
      </c>
      <c r="G51" s="234" t="s">
        <v>24</v>
      </c>
      <c r="H51" s="234" t="s">
        <v>25</v>
      </c>
      <c r="I51" s="83" t="s">
        <v>26</v>
      </c>
    </row>
    <row r="52" spans="2:10">
      <c r="B52" s="235" t="s">
        <v>9</v>
      </c>
      <c r="C52" s="236">
        <f>_xlfn.XLOOKUP(B52,$B$32:$B$36,$D$32:$D$36)</f>
        <v>2</v>
      </c>
      <c r="D52" s="237">
        <f>$B$14</f>
        <v>0.3</v>
      </c>
      <c r="E52" s="238">
        <f>INDEX($C$43:$C$47,MATCH(B52,$B$43:$B$47,0))</f>
        <v>9.411585365853659</v>
      </c>
      <c r="F52" s="356">
        <v>850</v>
      </c>
      <c r="G52" s="367">
        <v>35</v>
      </c>
      <c r="H52" s="239">
        <f>F52-G52</f>
        <v>815</v>
      </c>
      <c r="I52" s="85">
        <f>H52*E52*12</f>
        <v>92045.304878048788</v>
      </c>
      <c r="J52" s="286"/>
    </row>
    <row r="53" spans="2:10">
      <c r="B53" s="235" t="s">
        <v>33</v>
      </c>
      <c r="C53" s="236">
        <f>_xlfn.XLOOKUP(B53,$B$32:$B$36,$D$32:$D$36)</f>
        <v>3</v>
      </c>
      <c r="D53" s="237">
        <f>$B$14</f>
        <v>0.3</v>
      </c>
      <c r="E53" s="238">
        <f>INDEX($C$43:$C$47,MATCH(B53,$B$43:$B$47,0))</f>
        <v>8.6646341463414629</v>
      </c>
      <c r="F53" s="357">
        <v>911</v>
      </c>
      <c r="G53" s="368">
        <v>41</v>
      </c>
      <c r="H53" s="239">
        <f>F53-G53</f>
        <v>870</v>
      </c>
      <c r="I53" s="85">
        <f>H53*E53*12</f>
        <v>90458.780487804877</v>
      </c>
      <c r="J53" s="286"/>
    </row>
    <row r="54" spans="2:10">
      <c r="B54" s="235" t="s">
        <v>34</v>
      </c>
      <c r="C54" s="236">
        <f>_xlfn.XLOOKUP(B54,$B$32:$B$36,$D$32:$D$36)</f>
        <v>4</v>
      </c>
      <c r="D54" s="237">
        <f>$B$14</f>
        <v>0.3</v>
      </c>
      <c r="E54" s="238">
        <f>INDEX($C$43:$C$47,MATCH(B54,$B$43:$B$47,0))</f>
        <v>19.121951219512194</v>
      </c>
      <c r="F54" s="357">
        <v>1093</v>
      </c>
      <c r="G54" s="368">
        <v>58</v>
      </c>
      <c r="H54" s="239">
        <f>F54-G54</f>
        <v>1035</v>
      </c>
      <c r="I54" s="85">
        <f>H54*E54*12</f>
        <v>237494.63414634147</v>
      </c>
      <c r="J54" s="286"/>
    </row>
    <row r="55" spans="2:10">
      <c r="B55" s="235" t="s">
        <v>35</v>
      </c>
      <c r="C55" s="236">
        <f>_xlfn.XLOOKUP(B55,$B$32:$B$36,$D$32:$D$36)</f>
        <v>5</v>
      </c>
      <c r="D55" s="237">
        <f>$B$14</f>
        <v>0.3</v>
      </c>
      <c r="E55" s="238">
        <f>INDEX($C$43:$C$47,MATCH(B55,$B$43:$B$47,0))</f>
        <v>11.801829268292682</v>
      </c>
      <c r="F55" s="357">
        <v>1263</v>
      </c>
      <c r="G55" s="368">
        <v>75</v>
      </c>
      <c r="H55" s="239">
        <f>F55-G55</f>
        <v>1188</v>
      </c>
      <c r="I55" s="85">
        <f>H55*E55*12</f>
        <v>168246.87804878049</v>
      </c>
      <c r="J55" s="286"/>
    </row>
    <row r="56" spans="2:10">
      <c r="B56" s="235" t="s">
        <v>36</v>
      </c>
      <c r="C56" s="236">
        <f>_xlfn.XLOOKUP(B56,$B$32:$B$36,$D$32:$D$36)</f>
        <v>0</v>
      </c>
      <c r="D56" s="237">
        <f>$B$14</f>
        <v>0.3</v>
      </c>
      <c r="E56" s="238">
        <f>INDEX($C$43:$C$47,MATCH(B56,$B$43:$B$47,0))</f>
        <v>0</v>
      </c>
      <c r="F56" s="357">
        <v>0</v>
      </c>
      <c r="G56" s="368">
        <v>0</v>
      </c>
      <c r="H56" s="239">
        <f>F56-G56</f>
        <v>0</v>
      </c>
      <c r="I56" s="85">
        <f>H56*E56*12</f>
        <v>0</v>
      </c>
      <c r="J56" s="286"/>
    </row>
    <row r="57" spans="2:10">
      <c r="B57" s="86">
        <f>E57/$H$82</f>
        <v>0.14939024390243902</v>
      </c>
      <c r="C57" s="87"/>
      <c r="D57" s="88" t="s">
        <v>27</v>
      </c>
      <c r="E57" s="89">
        <f>SUM(E52:E56)</f>
        <v>49</v>
      </c>
      <c r="F57" s="90"/>
      <c r="G57" s="369"/>
      <c r="H57" s="87"/>
      <c r="I57" s="91"/>
      <c r="J57" s="286"/>
    </row>
    <row r="58" spans="2:10">
      <c r="B58" s="235" t="s">
        <v>9</v>
      </c>
      <c r="C58" s="236">
        <f>_xlfn.XLOOKUP(B58,$B$32:$B$36,$D$32:$D$36)</f>
        <v>2</v>
      </c>
      <c r="D58" s="237">
        <f>$B$15</f>
        <v>0.4</v>
      </c>
      <c r="E58" s="238">
        <f>INDEX($D$43:$D$47,MATCH(B58,$B$43:$B$47,0))</f>
        <v>15.75</v>
      </c>
      <c r="F58" s="356">
        <v>1134</v>
      </c>
      <c r="G58" s="367">
        <v>35</v>
      </c>
      <c r="H58" s="239">
        <f>F58-G58</f>
        <v>1099</v>
      </c>
      <c r="I58" s="85">
        <f>H58*E58*12</f>
        <v>207711</v>
      </c>
      <c r="J58" s="286"/>
    </row>
    <row r="59" spans="2:10">
      <c r="B59" s="235" t="s">
        <v>33</v>
      </c>
      <c r="C59" s="236">
        <f>_xlfn.XLOOKUP(B59,$B$32:$B$36,$D$32:$D$36)</f>
        <v>3</v>
      </c>
      <c r="D59" s="237">
        <f>$B$15</f>
        <v>0.4</v>
      </c>
      <c r="E59" s="238">
        <f>INDEX($D$43:$D$47,MATCH(B59,$B$43:$B$47,0))</f>
        <v>14.5</v>
      </c>
      <c r="F59" s="357">
        <v>1215</v>
      </c>
      <c r="G59" s="367">
        <v>41</v>
      </c>
      <c r="H59" s="239">
        <f>F59-G59</f>
        <v>1174</v>
      </c>
      <c r="I59" s="85">
        <f>H59*E59*12</f>
        <v>204276</v>
      </c>
      <c r="J59" s="286"/>
    </row>
    <row r="60" spans="2:10">
      <c r="B60" s="235" t="s">
        <v>34</v>
      </c>
      <c r="C60" s="236">
        <f>_xlfn.XLOOKUP(B60,$B$32:$B$36,$D$32:$D$36)</f>
        <v>4</v>
      </c>
      <c r="D60" s="237">
        <f>$B$15</f>
        <v>0.4</v>
      </c>
      <c r="E60" s="238">
        <f>INDEX($D$43:$D$47,MATCH(B60,$B$43:$B$47,0))</f>
        <v>32</v>
      </c>
      <c r="F60" s="357">
        <v>1458</v>
      </c>
      <c r="G60" s="367">
        <v>58</v>
      </c>
      <c r="H60" s="239">
        <f>F60-G60</f>
        <v>1400</v>
      </c>
      <c r="I60" s="85">
        <f>H60*E60*12</f>
        <v>537600</v>
      </c>
      <c r="J60" s="286"/>
    </row>
    <row r="61" spans="2:10">
      <c r="B61" s="235" t="s">
        <v>35</v>
      </c>
      <c r="C61" s="236">
        <f>_xlfn.XLOOKUP(B61,$B$32:$B$36,$D$32:$D$36)</f>
        <v>5</v>
      </c>
      <c r="D61" s="237">
        <f>$B$15</f>
        <v>0.4</v>
      </c>
      <c r="E61" s="238">
        <f>INDEX($D$43:$D$47,MATCH(B61,$B$43:$B$47,0))</f>
        <v>19.75</v>
      </c>
      <c r="F61" s="357">
        <v>1685</v>
      </c>
      <c r="G61" s="367">
        <v>75</v>
      </c>
      <c r="H61" s="239">
        <f>F61-G61</f>
        <v>1610</v>
      </c>
      <c r="I61" s="85">
        <f>H61*E61*12</f>
        <v>381570</v>
      </c>
      <c r="J61" s="286"/>
    </row>
    <row r="62" spans="2:10">
      <c r="B62" s="235" t="s">
        <v>36</v>
      </c>
      <c r="C62" s="236">
        <f>_xlfn.XLOOKUP(B62,$B$32:$B$36,$D$32:$D$36)</f>
        <v>0</v>
      </c>
      <c r="D62" s="237">
        <f>$B$15</f>
        <v>0.4</v>
      </c>
      <c r="E62" s="238">
        <f>INDEX($D$43:$D$47,MATCH(B62,$B$43:$B$47,0))</f>
        <v>0</v>
      </c>
      <c r="F62" s="357">
        <v>0</v>
      </c>
      <c r="G62" s="367">
        <v>0</v>
      </c>
      <c r="H62" s="239">
        <f>F62-G62</f>
        <v>0</v>
      </c>
      <c r="I62" s="85">
        <f>H62*E62*12</f>
        <v>0</v>
      </c>
      <c r="J62" s="286"/>
    </row>
    <row r="63" spans="2:10">
      <c r="B63" s="86">
        <f>E63/$H$82</f>
        <v>0.25</v>
      </c>
      <c r="C63" s="87"/>
      <c r="D63" s="88" t="s">
        <v>27</v>
      </c>
      <c r="E63" s="89">
        <f>SUM(E58:E62)</f>
        <v>82</v>
      </c>
      <c r="F63" s="90"/>
      <c r="G63" s="369"/>
      <c r="H63" s="87"/>
      <c r="I63" s="92"/>
      <c r="J63" s="286"/>
    </row>
    <row r="64" spans="2:10">
      <c r="B64" s="235" t="s">
        <v>9</v>
      </c>
      <c r="C64" s="236">
        <f>_xlfn.XLOOKUP(B64,$B$32:$B$36,$D$32:$D$36)</f>
        <v>2</v>
      </c>
      <c r="D64" s="237">
        <f>$B$16</f>
        <v>0.6</v>
      </c>
      <c r="E64" s="238">
        <f>INDEX($E$43:$E$47,MATCH(B64,$B$43:$B$47,0))</f>
        <v>15.75</v>
      </c>
      <c r="F64" s="356">
        <v>1701</v>
      </c>
      <c r="G64" s="367">
        <v>35</v>
      </c>
      <c r="H64" s="239">
        <f>F64-G64</f>
        <v>1666</v>
      </c>
      <c r="I64" s="85">
        <f>H64*E64*12</f>
        <v>314874</v>
      </c>
      <c r="J64" s="286"/>
    </row>
    <row r="65" spans="2:10">
      <c r="B65" s="235" t="s">
        <v>33</v>
      </c>
      <c r="C65" s="236">
        <f>_xlfn.XLOOKUP(B65,$B$32:$B$36,$D$32:$D$36)</f>
        <v>3</v>
      </c>
      <c r="D65" s="237">
        <f>$B$16</f>
        <v>0.6</v>
      </c>
      <c r="E65" s="238">
        <f t="shared" ref="E65:E68" si="1">INDEX($E$43:$E$47,MATCH(B65,$B$43:$B$47,0))</f>
        <v>14.5</v>
      </c>
      <c r="F65" s="357">
        <v>1822</v>
      </c>
      <c r="G65" s="367">
        <v>41</v>
      </c>
      <c r="H65" s="239">
        <f>F65-G65</f>
        <v>1781</v>
      </c>
      <c r="I65" s="85">
        <f>H65*E65*12</f>
        <v>309894</v>
      </c>
      <c r="J65" s="286"/>
    </row>
    <row r="66" spans="2:10">
      <c r="B66" s="235" t="s">
        <v>34</v>
      </c>
      <c r="C66" s="236">
        <f>_xlfn.XLOOKUP(B66,$B$32:$B$36,$D$32:$D$36)</f>
        <v>4</v>
      </c>
      <c r="D66" s="237">
        <f>$B$16</f>
        <v>0.6</v>
      </c>
      <c r="E66" s="238">
        <f t="shared" si="1"/>
        <v>32</v>
      </c>
      <c r="F66" s="357">
        <v>2187</v>
      </c>
      <c r="G66" s="367">
        <v>58</v>
      </c>
      <c r="H66" s="239">
        <f>F66-G66</f>
        <v>2129</v>
      </c>
      <c r="I66" s="85">
        <f>H66*E66*12</f>
        <v>817536</v>
      </c>
      <c r="J66" s="286"/>
    </row>
    <row r="67" spans="2:10">
      <c r="B67" s="235" t="s">
        <v>35</v>
      </c>
      <c r="C67" s="236">
        <f>_xlfn.XLOOKUP(B67,$B$32:$B$36,$D$32:$D$36)</f>
        <v>5</v>
      </c>
      <c r="D67" s="237">
        <f>$B$16</f>
        <v>0.6</v>
      </c>
      <c r="E67" s="238">
        <f t="shared" si="1"/>
        <v>19.75</v>
      </c>
      <c r="F67" s="357">
        <v>2527</v>
      </c>
      <c r="G67" s="367">
        <v>75</v>
      </c>
      <c r="H67" s="239">
        <f>F67-G67</f>
        <v>2452</v>
      </c>
      <c r="I67" s="85">
        <f>H67*E67*12</f>
        <v>581124</v>
      </c>
      <c r="J67" s="286"/>
    </row>
    <row r="68" spans="2:10">
      <c r="B68" s="235" t="s">
        <v>36</v>
      </c>
      <c r="C68" s="236">
        <f>_xlfn.XLOOKUP(B68,$B$32:$B$36,$D$32:$D$36)</f>
        <v>0</v>
      </c>
      <c r="D68" s="237">
        <f>$B$16</f>
        <v>0.6</v>
      </c>
      <c r="E68" s="238">
        <f t="shared" si="1"/>
        <v>0</v>
      </c>
      <c r="F68" s="357">
        <v>0</v>
      </c>
      <c r="G68" s="367">
        <v>0</v>
      </c>
      <c r="H68" s="239">
        <f>F68-G68</f>
        <v>0</v>
      </c>
      <c r="I68" s="85">
        <f>H68*E68*12</f>
        <v>0</v>
      </c>
      <c r="J68" s="286"/>
    </row>
    <row r="69" spans="2:10">
      <c r="B69" s="86">
        <f>E69/$H$82</f>
        <v>0.25</v>
      </c>
      <c r="C69" s="87"/>
      <c r="D69" s="88" t="s">
        <v>27</v>
      </c>
      <c r="E69" s="89">
        <f>SUM(E64:E68)</f>
        <v>82</v>
      </c>
      <c r="F69" s="90"/>
      <c r="G69" s="370"/>
      <c r="H69" s="87"/>
      <c r="I69" s="92"/>
      <c r="J69" s="286"/>
    </row>
    <row r="70" spans="2:10">
      <c r="B70" s="235" t="s">
        <v>9</v>
      </c>
      <c r="C70" s="236">
        <f>_xlfn.XLOOKUP(B70,$B$32:$B$36,$D$32:$D$36)</f>
        <v>2</v>
      </c>
      <c r="D70" s="237">
        <f>$B$17</f>
        <v>0.8</v>
      </c>
      <c r="E70" s="238">
        <f>INDEX($F$43:$F$47,MATCH(B70,$B$43:$B$47,0))</f>
        <v>22.088414634146339</v>
      </c>
      <c r="F70" s="356">
        <v>2268</v>
      </c>
      <c r="G70" s="367">
        <f>G64</f>
        <v>35</v>
      </c>
      <c r="H70" s="239">
        <f>F70-G70</f>
        <v>2233</v>
      </c>
      <c r="I70" s="85">
        <f>H70*E70*12</f>
        <v>591881.15853658528</v>
      </c>
      <c r="J70" s="286"/>
    </row>
    <row r="71" spans="2:10">
      <c r="B71" s="235" t="s">
        <v>33</v>
      </c>
      <c r="C71" s="236">
        <f>_xlfn.XLOOKUP(B71,$B$32:$B$36,$D$32:$D$36)</f>
        <v>3</v>
      </c>
      <c r="D71" s="237">
        <f>$B$17</f>
        <v>0.8</v>
      </c>
      <c r="E71" s="238">
        <f>INDEX($F$43:$F$47,MATCH(B71,$B$43:$B$47,0))</f>
        <v>20.335365853658537</v>
      </c>
      <c r="F71" s="357">
        <v>2430</v>
      </c>
      <c r="G71" s="367">
        <f>G65</f>
        <v>41</v>
      </c>
      <c r="H71" s="239">
        <f>F71-G71</f>
        <v>2389</v>
      </c>
      <c r="I71" s="85">
        <f>H71*E71*12</f>
        <v>582974.26829268294</v>
      </c>
      <c r="J71" s="286"/>
    </row>
    <row r="72" spans="2:10">
      <c r="B72" s="235" t="s">
        <v>34</v>
      </c>
      <c r="C72" s="236">
        <f>_xlfn.XLOOKUP(B72,$B$32:$B$36,$D$32:$D$36)</f>
        <v>4</v>
      </c>
      <c r="D72" s="237">
        <f>$B$17</f>
        <v>0.8</v>
      </c>
      <c r="E72" s="238">
        <f>INDEX($F$43:$F$47,MATCH(B72,$B$43:$B$47,0))</f>
        <v>44.878048780487802</v>
      </c>
      <c r="F72" s="357">
        <v>2916</v>
      </c>
      <c r="G72" s="367">
        <f>G66</f>
        <v>58</v>
      </c>
      <c r="H72" s="239">
        <f>F72-G72</f>
        <v>2858</v>
      </c>
      <c r="I72" s="85">
        <f>H72*E72*12</f>
        <v>1539137.5609756098</v>
      </c>
      <c r="J72" s="286"/>
    </row>
    <row r="73" spans="2:10">
      <c r="B73" s="235" t="s">
        <v>35</v>
      </c>
      <c r="C73" s="236">
        <f>_xlfn.XLOOKUP(B73,$B$32:$B$36,$D$32:$D$36)</f>
        <v>5</v>
      </c>
      <c r="D73" s="237">
        <f>$B$17</f>
        <v>0.8</v>
      </c>
      <c r="E73" s="238">
        <f>INDEX($F$43:$F$47,MATCH(B73,$B$43:$B$47,0))</f>
        <v>27.698170731707322</v>
      </c>
      <c r="F73" s="357">
        <v>3370</v>
      </c>
      <c r="G73" s="367">
        <f>G67</f>
        <v>75</v>
      </c>
      <c r="H73" s="239">
        <f>F73-G73</f>
        <v>3295</v>
      </c>
      <c r="I73" s="85">
        <f>H73*E73*12</f>
        <v>1095185.6707317075</v>
      </c>
      <c r="J73" s="286"/>
    </row>
    <row r="74" spans="2:10">
      <c r="B74" s="235" t="s">
        <v>36</v>
      </c>
      <c r="C74" s="236">
        <f>_xlfn.XLOOKUP(B74,$B$32:$B$36,$D$32:$D$36)</f>
        <v>0</v>
      </c>
      <c r="D74" s="237">
        <f>$B$17</f>
        <v>0.8</v>
      </c>
      <c r="E74" s="238">
        <f>INDEX($F$43:$F$47,MATCH(B74,$B$43:$B$47,0))</f>
        <v>0</v>
      </c>
      <c r="F74" s="357">
        <v>0</v>
      </c>
      <c r="G74" s="367">
        <v>0</v>
      </c>
      <c r="H74" s="239">
        <f>F74-G74</f>
        <v>0</v>
      </c>
      <c r="I74" s="85">
        <f>H74*E74*12</f>
        <v>0</v>
      </c>
      <c r="J74" s="286"/>
    </row>
    <row r="75" spans="2:10">
      <c r="B75" s="86">
        <f>E75/$H$82</f>
        <v>0.35060975609756095</v>
      </c>
      <c r="C75" s="87"/>
      <c r="D75" s="88" t="s">
        <v>27</v>
      </c>
      <c r="E75" s="89">
        <f>SUM(E70:E74)</f>
        <v>115</v>
      </c>
      <c r="F75" s="90"/>
      <c r="G75" s="90"/>
      <c r="H75" s="87"/>
      <c r="I75" s="92"/>
      <c r="J75" s="286"/>
    </row>
    <row r="76" spans="2:10">
      <c r="B76" s="235" t="s">
        <v>9</v>
      </c>
      <c r="C76" s="236">
        <f>_xlfn.XLOOKUP(B76,$B$32:$B$36,$D$32:$D$36)</f>
        <v>2</v>
      </c>
      <c r="D76" s="237">
        <f>$B$18</f>
        <v>0</v>
      </c>
      <c r="E76" s="238">
        <f>INDEX($G$43:$G$47,MATCH(B76,$B$43:$B$47,0))</f>
        <v>0</v>
      </c>
      <c r="F76" s="240"/>
      <c r="G76" s="239"/>
      <c r="H76" s="239">
        <f>F76-G76</f>
        <v>0</v>
      </c>
      <c r="I76" s="93">
        <f>H76*E76*12</f>
        <v>0</v>
      </c>
      <c r="J76" s="286"/>
    </row>
    <row r="77" spans="2:10">
      <c r="B77" s="235" t="s">
        <v>33</v>
      </c>
      <c r="C77" s="236">
        <f>_xlfn.XLOOKUP(B77,$B$32:$B$36,$D$32:$D$36)</f>
        <v>3</v>
      </c>
      <c r="D77" s="237">
        <f>$B$18</f>
        <v>0</v>
      </c>
      <c r="E77" s="238">
        <f>INDEX($G$43:$G$47,MATCH(B77,$B$43:$B$47,0))</f>
        <v>0</v>
      </c>
      <c r="F77" s="240"/>
      <c r="G77" s="239"/>
      <c r="H77" s="239">
        <f>F77-G77</f>
        <v>0</v>
      </c>
      <c r="I77" s="93">
        <f>H77*E77*12</f>
        <v>0</v>
      </c>
      <c r="J77" s="286"/>
    </row>
    <row r="78" spans="2:10">
      <c r="B78" s="235" t="s">
        <v>34</v>
      </c>
      <c r="C78" s="236">
        <f>_xlfn.XLOOKUP(B78,$B$32:$B$36,$D$32:$D$36)</f>
        <v>4</v>
      </c>
      <c r="D78" s="237">
        <f>$B$18</f>
        <v>0</v>
      </c>
      <c r="E78" s="238">
        <f>INDEX($G$43:$G$47,MATCH(B78,$B$43:$B$47,0))</f>
        <v>0</v>
      </c>
      <c r="F78" s="240"/>
      <c r="G78" s="239"/>
      <c r="H78" s="239">
        <f>F78-G78</f>
        <v>0</v>
      </c>
      <c r="I78" s="93">
        <f>H78*E78*12</f>
        <v>0</v>
      </c>
      <c r="J78" s="286"/>
    </row>
    <row r="79" spans="2:10">
      <c r="B79" s="235" t="s">
        <v>35</v>
      </c>
      <c r="C79" s="236">
        <f>_xlfn.XLOOKUP(B79,$B$32:$B$36,$D$32:$D$36)</f>
        <v>5</v>
      </c>
      <c r="D79" s="237">
        <f>$B$18</f>
        <v>0</v>
      </c>
      <c r="E79" s="238">
        <f>INDEX($G$43:$G$47,MATCH(B79,$B$43:$B$47,0))</f>
        <v>0</v>
      </c>
      <c r="F79" s="240"/>
      <c r="G79" s="239"/>
      <c r="H79" s="239">
        <f>F79-G79</f>
        <v>0</v>
      </c>
      <c r="I79" s="93">
        <f>H79*E79*12</f>
        <v>0</v>
      </c>
      <c r="J79" s="286"/>
    </row>
    <row r="80" spans="2:10">
      <c r="B80" s="235" t="s">
        <v>36</v>
      </c>
      <c r="C80" s="236">
        <f>_xlfn.XLOOKUP(B80,$B$32:$B$36,$D$32:$D$36)</f>
        <v>0</v>
      </c>
      <c r="D80" s="237">
        <f>$B$18</f>
        <v>0</v>
      </c>
      <c r="E80" s="238">
        <f>INDEX($G$43:$G$47,MATCH(B80,$B$43:$B$47,0))</f>
        <v>0</v>
      </c>
      <c r="F80" s="240">
        <v>0</v>
      </c>
      <c r="G80" s="241">
        <v>0</v>
      </c>
      <c r="H80" s="239">
        <f>F80-G80</f>
        <v>0</v>
      </c>
      <c r="I80" s="93">
        <f>H80*E80*12</f>
        <v>0</v>
      </c>
      <c r="J80" s="286"/>
    </row>
    <row r="81" spans="2:10">
      <c r="B81" s="86">
        <f>E81/$H$82</f>
        <v>0</v>
      </c>
      <c r="C81" s="87"/>
      <c r="D81" s="88" t="s">
        <v>27</v>
      </c>
      <c r="E81" s="89">
        <f>SUM(E76:E80)</f>
        <v>0</v>
      </c>
      <c r="F81" s="87"/>
      <c r="G81" s="94"/>
      <c r="H81" s="95" t="s">
        <v>28</v>
      </c>
      <c r="I81" s="590">
        <f>SUM(I52:I56)+SUM(I58:I62)+SUM(I64:I68)+SUM(I70:I74)+SUM(I76:I80)</f>
        <v>7752009.2560975607</v>
      </c>
      <c r="J81" s="589"/>
    </row>
    <row r="82" spans="2:10">
      <c r="B82" s="96">
        <f>B57+B63+B69+B75+B81</f>
        <v>1</v>
      </c>
      <c r="C82" s="97"/>
      <c r="D82" s="97"/>
      <c r="E82" s="97"/>
      <c r="F82" s="87"/>
      <c r="G82" s="98" t="s">
        <v>29</v>
      </c>
      <c r="H82" s="99">
        <f>SUM(E52:E56)+SUM(E58:E62)+SUM(E64:E68)+SUM(E70:E74)+SUM(E76:E80)</f>
        <v>328</v>
      </c>
      <c r="I82" s="45" t="s">
        <v>30</v>
      </c>
    </row>
    <row r="83" spans="2:10">
      <c r="B83" s="100"/>
      <c r="C83" s="101"/>
      <c r="D83" s="101"/>
      <c r="E83" s="101"/>
      <c r="F83" s="102"/>
      <c r="G83" s="103" t="s">
        <v>31</v>
      </c>
      <c r="H83" s="242">
        <f>SUM(E52:E56)+SUM(E58:E62)+SUM(E64:E68)+SUM(E70:E74)+SUM(E76:E80)</f>
        <v>328</v>
      </c>
      <c r="I83" s="46">
        <f>H83/H82</f>
        <v>1</v>
      </c>
    </row>
    <row r="84" spans="2:10">
      <c r="B84" s="243"/>
      <c r="C84" s="244"/>
      <c r="D84" s="244"/>
      <c r="E84" s="244"/>
      <c r="F84" s="245"/>
      <c r="G84" s="243"/>
      <c r="H84" s="106" t="s">
        <v>72</v>
      </c>
      <c r="I84" s="107">
        <f>I81+F102</f>
        <v>7836489.2560975607</v>
      </c>
    </row>
    <row r="85" spans="2:10">
      <c r="B85" s="97"/>
      <c r="C85" s="97"/>
      <c r="D85" s="97"/>
      <c r="E85" s="97"/>
      <c r="F85" s="97"/>
      <c r="G85" s="97"/>
      <c r="H85" s="97"/>
    </row>
    <row r="86" spans="2:10">
      <c r="B86" s="265" t="s">
        <v>49</v>
      </c>
      <c r="C86" s="266"/>
      <c r="D86" s="267"/>
      <c r="E86" s="268"/>
      <c r="F86" s="268"/>
      <c r="G86" s="269"/>
      <c r="H86" s="270"/>
    </row>
    <row r="87" spans="2:10">
      <c r="B87" s="108"/>
      <c r="C87" s="109"/>
      <c r="D87" s="110" t="s">
        <v>50</v>
      </c>
      <c r="E87" s="774"/>
      <c r="F87" s="775"/>
      <c r="G87" s="111" t="s">
        <v>51</v>
      </c>
      <c r="H87" s="112" t="s">
        <v>52</v>
      </c>
    </row>
    <row r="88" spans="2:10">
      <c r="B88" s="47">
        <f>D88/$D$92</f>
        <v>0.94432415712960094</v>
      </c>
      <c r="C88" s="48"/>
      <c r="D88" s="123">
        <f>Assumptions!C43</f>
        <v>305300</v>
      </c>
      <c r="E88" s="772" t="s">
        <v>53</v>
      </c>
      <c r="F88" s="773"/>
      <c r="G88" s="237">
        <f>H88/D88</f>
        <v>0.69824762528660334</v>
      </c>
      <c r="H88" s="113">
        <f>F39</f>
        <v>213175</v>
      </c>
    </row>
    <row r="89" spans="2:10">
      <c r="B89" s="47">
        <f>D89/$D$92</f>
        <v>0</v>
      </c>
      <c r="C89" s="48"/>
      <c r="D89" s="123">
        <f>Assumptions!C44</f>
        <v>0</v>
      </c>
      <c r="E89" s="772" t="s">
        <v>54</v>
      </c>
      <c r="F89" s="773"/>
      <c r="G89" s="237">
        <f>100%</f>
        <v>1</v>
      </c>
      <c r="H89" s="113">
        <f>G89*D89</f>
        <v>0</v>
      </c>
    </row>
    <row r="90" spans="2:10">
      <c r="B90" s="47">
        <f>D90/$D$92</f>
        <v>5.5675842870399013E-2</v>
      </c>
      <c r="C90" s="48"/>
      <c r="D90" s="123">
        <f>Assumptions!C45</f>
        <v>18000</v>
      </c>
      <c r="E90" s="772" t="s">
        <v>55</v>
      </c>
      <c r="F90" s="773"/>
      <c r="G90" s="237">
        <f>100%</f>
        <v>1</v>
      </c>
      <c r="H90" s="113">
        <f>G90*D90</f>
        <v>18000</v>
      </c>
    </row>
    <row r="91" spans="2:10">
      <c r="B91" s="47">
        <f>D91/$D$92</f>
        <v>0</v>
      </c>
      <c r="C91" s="48"/>
      <c r="D91" s="123">
        <f>Assumptions!C46</f>
        <v>0</v>
      </c>
      <c r="E91" s="772" t="s">
        <v>56</v>
      </c>
      <c r="F91" s="773"/>
      <c r="G91" s="237">
        <f>100%</f>
        <v>1</v>
      </c>
      <c r="H91" s="113">
        <f>G91*D91</f>
        <v>0</v>
      </c>
    </row>
    <row r="92" spans="2:10">
      <c r="B92" s="114"/>
      <c r="C92" s="115"/>
      <c r="D92" s="116">
        <f>SUM(D88:D91)</f>
        <v>323300</v>
      </c>
      <c r="E92" s="768" t="s">
        <v>57</v>
      </c>
      <c r="F92" s="769"/>
      <c r="G92" s="252"/>
      <c r="H92" s="117">
        <f>SUM(H88:H91)</f>
        <v>231175</v>
      </c>
    </row>
    <row r="95" spans="2:10" ht="15">
      <c r="B95" s="139" t="s">
        <v>64</v>
      </c>
      <c r="C95" s="277"/>
      <c r="D95" s="136"/>
      <c r="E95" s="136"/>
      <c r="F95" s="278"/>
      <c r="G95" s="138"/>
    </row>
    <row r="96" spans="2:10">
      <c r="B96" s="118"/>
      <c r="C96" s="119" t="s">
        <v>65</v>
      </c>
      <c r="D96" s="120" t="s">
        <v>66</v>
      </c>
      <c r="E96" s="121"/>
      <c r="F96" s="120" t="s">
        <v>67</v>
      </c>
      <c r="G96" s="122"/>
    </row>
    <row r="97" spans="2:7">
      <c r="B97" s="128" t="s">
        <v>16</v>
      </c>
      <c r="C97" s="123">
        <v>75</v>
      </c>
      <c r="D97" s="741">
        <v>50</v>
      </c>
      <c r="E97" s="121"/>
      <c r="F97" s="124">
        <f>C97*D97*12</f>
        <v>45000</v>
      </c>
      <c r="G97" s="125"/>
    </row>
    <row r="98" spans="2:7">
      <c r="B98" s="128" t="s">
        <v>68</v>
      </c>
      <c r="C98" s="123">
        <f>D89</f>
        <v>0</v>
      </c>
      <c r="D98" s="741">
        <v>30</v>
      </c>
      <c r="E98" s="121"/>
      <c r="F98" s="124">
        <f>D98*C98</f>
        <v>0</v>
      </c>
      <c r="G98" s="125"/>
    </row>
    <row r="99" spans="2:7">
      <c r="B99" s="128" t="s">
        <v>69</v>
      </c>
      <c r="C99" s="123">
        <f>D90</f>
        <v>18000</v>
      </c>
      <c r="D99" s="741">
        <v>0</v>
      </c>
      <c r="E99" s="121"/>
      <c r="F99" s="124">
        <f>D99*C99</f>
        <v>0</v>
      </c>
      <c r="G99" s="125"/>
    </row>
    <row r="100" spans="2:7">
      <c r="B100" s="128" t="s">
        <v>70</v>
      </c>
      <c r="C100" s="123">
        <f>C39</f>
        <v>329</v>
      </c>
      <c r="D100" s="741">
        <v>120</v>
      </c>
      <c r="E100" s="121"/>
      <c r="F100" s="124">
        <f>D100*C100</f>
        <v>39480</v>
      </c>
      <c r="G100" s="125"/>
    </row>
    <row r="101" spans="2:7">
      <c r="B101" s="126"/>
      <c r="C101" s="129"/>
      <c r="D101" s="84"/>
      <c r="E101" s="121"/>
      <c r="F101" s="127"/>
      <c r="G101" s="125"/>
    </row>
    <row r="102" spans="2:7">
      <c r="B102" s="271"/>
      <c r="C102" s="272"/>
      <c r="D102" s="273"/>
      <c r="E102" s="274" t="s">
        <v>71</v>
      </c>
      <c r="F102" s="275">
        <f>F97+F98+F99+F100</f>
        <v>84480</v>
      </c>
      <c r="G102" s="276"/>
    </row>
    <row r="105" spans="2:7">
      <c r="F105" s="286"/>
      <c r="G105" s="285"/>
    </row>
  </sheetData>
  <mergeCells count="7">
    <mergeCell ref="E92:F92"/>
    <mergeCell ref="C21:D21"/>
    <mergeCell ref="E88:F88"/>
    <mergeCell ref="E89:F89"/>
    <mergeCell ref="E90:F90"/>
    <mergeCell ref="E91:F91"/>
    <mergeCell ref="E87:F87"/>
  </mergeCells>
  <conditionalFormatting sqref="D19">
    <cfRule type="cellIs" dxfId="2" priority="4" operator="equal">
      <formula>1</formula>
    </cfRule>
  </conditionalFormatting>
  <conditionalFormatting sqref="K34">
    <cfRule type="cellIs" dxfId="1" priority="2" operator="equal">
      <formula>0.15</formula>
    </cfRule>
  </conditionalFormatting>
  <conditionalFormatting sqref="K39:K40">
    <cfRule type="cellIs" dxfId="0" priority="5" operator="equal">
      <formula>1</formula>
    </cfRule>
  </conditionalFormatting>
  <dataValidations count="1">
    <dataValidation type="list" allowBlank="1" showInputMessage="1" showErrorMessage="1" sqref="B52:B56 B70:B74 B58:B62 B64:B68 B76:B80" xr:uid="{1FBA22D0-80AC-4848-B362-FB346DEC9D23}">
      <formula1>$B$23:$B$27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8731-34BC-4C11-AF1A-0B261321680A}">
  <sheetPr>
    <tabColor theme="0" tint="-0.499984740745262"/>
  </sheetPr>
  <dimension ref="B1:H31"/>
  <sheetViews>
    <sheetView showGridLines="0" zoomScale="115" zoomScaleNormal="115" workbookViewId="0"/>
  </sheetViews>
  <sheetFormatPr defaultRowHeight="13.5"/>
  <cols>
    <col min="1" max="1" width="9.140625" style="7"/>
    <col min="2" max="2" width="29" style="7" bestFit="1" customWidth="1"/>
    <col min="3" max="3" width="15.42578125" style="7" bestFit="1" customWidth="1"/>
    <col min="4" max="4" width="9.5703125" style="7" bestFit="1" customWidth="1"/>
    <col min="5" max="5" width="8.7109375" style="7" bestFit="1" customWidth="1"/>
    <col min="6" max="6" width="13.85546875" style="7" bestFit="1" customWidth="1"/>
    <col min="7" max="7" width="15" style="7" bestFit="1" customWidth="1"/>
    <col min="8" max="8" width="11.140625" style="7" bestFit="1" customWidth="1"/>
    <col min="9" max="16384" width="9.140625" style="7"/>
  </cols>
  <sheetData>
    <row r="1" spans="2:7">
      <c r="C1" s="141"/>
      <c r="D1" s="142"/>
      <c r="E1" s="143"/>
    </row>
    <row r="2" spans="2:7">
      <c r="B2" s="144" t="s">
        <v>201</v>
      </c>
      <c r="C2" s="145"/>
      <c r="D2" s="146" t="s">
        <v>212</v>
      </c>
      <c r="E2" s="147">
        <f>'Unit Mix'!C19</f>
        <v>328</v>
      </c>
    </row>
    <row r="3" spans="2:7" ht="14.25" thickBot="1">
      <c r="B3" s="148"/>
      <c r="C3" s="149"/>
      <c r="D3" s="150"/>
      <c r="E3" s="149"/>
    </row>
    <row r="4" spans="2:7" ht="14.25" thickTop="1">
      <c r="B4" s="151" t="s">
        <v>202</v>
      </c>
      <c r="C4" s="152"/>
      <c r="D4" s="153" t="s">
        <v>203</v>
      </c>
      <c r="E4" s="153" t="s">
        <v>204</v>
      </c>
    </row>
    <row r="5" spans="2:7">
      <c r="B5" s="154" t="s">
        <v>210</v>
      </c>
      <c r="C5" s="155">
        <f>Mortgage!C48</f>
        <v>47186010.36664021</v>
      </c>
      <c r="D5" s="155">
        <f>C5/'Unit Mix'!$C$19</f>
        <v>143859.78770317137</v>
      </c>
      <c r="E5" s="156">
        <f>C5/$C$12</f>
        <v>0.18382957745482259</v>
      </c>
      <c r="G5" s="157"/>
    </row>
    <row r="6" spans="2:7">
      <c r="B6" s="154" t="s">
        <v>211</v>
      </c>
      <c r="C6" s="522">
        <v>135034350.10540852</v>
      </c>
      <c r="D6" s="155">
        <f>C6/'Unit Mix'!$C$19</f>
        <v>411690.09178478207</v>
      </c>
      <c r="E6" s="156">
        <f>C6/$C$12</f>
        <v>0.52607345543486606</v>
      </c>
    </row>
    <row r="7" spans="2:7">
      <c r="B7" s="154" t="s">
        <v>180</v>
      </c>
      <c r="C7" s="155">
        <f>Mortgage!D64</f>
        <v>47232000</v>
      </c>
      <c r="D7" s="155">
        <f>C7/'Unit Mix'!$C$19</f>
        <v>144000</v>
      </c>
      <c r="E7" s="156">
        <f>C7/$C$12</f>
        <v>0.18400874612795565</v>
      </c>
    </row>
    <row r="8" spans="2:7">
      <c r="B8" s="154" t="s">
        <v>215</v>
      </c>
      <c r="C8" s="155">
        <f>'Tax Credit Analysis'!D8*Assumptions!C159</f>
        <v>10635591.365277611</v>
      </c>
      <c r="D8" s="155">
        <f>C8/'Unit Mix'!$C$19</f>
        <v>32425.583430724422</v>
      </c>
      <c r="E8" s="156">
        <f>C8/$C$12</f>
        <v>4.1434659371909828E-2</v>
      </c>
      <c r="F8" s="157"/>
    </row>
    <row r="9" spans="2:7">
      <c r="B9" s="154" t="s">
        <v>371</v>
      </c>
      <c r="C9" s="155">
        <f>Assumptions!C156</f>
        <v>0</v>
      </c>
      <c r="D9" s="155">
        <f>C9/'Unit Mix'!$C$19</f>
        <v>0</v>
      </c>
      <c r="E9" s="156">
        <f t="shared" ref="E9" si="0">C9/$C$12</f>
        <v>0</v>
      </c>
      <c r="F9" s="157"/>
    </row>
    <row r="10" spans="2:7">
      <c r="B10" s="154" t="s">
        <v>494</v>
      </c>
      <c r="C10" s="155">
        <v>7815499.3240434825</v>
      </c>
      <c r="D10" s="155">
        <f>C10/'Unit Mix'!$C$19</f>
        <v>23827.741841595984</v>
      </c>
      <c r="E10" s="156">
        <f t="shared" ref="E10" si="1">C10/$C$12</f>
        <v>3.0448006245365981E-2</v>
      </c>
      <c r="F10" s="766">
        <f>C10/C18</f>
        <v>0.18277796426741358</v>
      </c>
    </row>
    <row r="11" spans="2:7">
      <c r="B11" s="154" t="s">
        <v>205</v>
      </c>
      <c r="C11" s="155">
        <f>Assumptions!D62</f>
        <v>8780000</v>
      </c>
      <c r="D11" s="155">
        <f>C11/'Unit Mix'!$C$19</f>
        <v>26768.292682926829</v>
      </c>
      <c r="E11" s="156">
        <f>C11/$C$12</f>
        <v>3.4205555365079826E-2</v>
      </c>
    </row>
    <row r="12" spans="2:7">
      <c r="B12" s="158" t="s">
        <v>213</v>
      </c>
      <c r="C12" s="159">
        <f>SUM(C5:C11)</f>
        <v>256683451.16136983</v>
      </c>
      <c r="D12" s="159">
        <f>C12/'Unit Mix'!$C$19</f>
        <v>782571.49744320067</v>
      </c>
      <c r="E12" s="160">
        <f>C12/$C$12</f>
        <v>1</v>
      </c>
      <c r="F12" s="173"/>
    </row>
    <row r="13" spans="2:7">
      <c r="C13" s="161"/>
      <c r="D13" s="161"/>
      <c r="E13" s="162"/>
    </row>
    <row r="14" spans="2:7">
      <c r="B14" s="151" t="s">
        <v>206</v>
      </c>
      <c r="C14" s="152"/>
      <c r="D14" s="153" t="s">
        <v>203</v>
      </c>
      <c r="E14" s="153" t="s">
        <v>204</v>
      </c>
    </row>
    <row r="15" spans="2:7">
      <c r="B15" s="163" t="s">
        <v>210</v>
      </c>
      <c r="C15" s="155">
        <f>Mortgage!C48</f>
        <v>47186010.36664021</v>
      </c>
      <c r="D15" s="155">
        <f>C15/'Unit Mix'!$C$19</f>
        <v>143859.78770317137</v>
      </c>
      <c r="E15" s="156">
        <f t="shared" ref="E15:E20" si="2">C15/$C$20</f>
        <v>0.18382957745482259</v>
      </c>
    </row>
    <row r="16" spans="2:7">
      <c r="B16" s="163" t="s">
        <v>180</v>
      </c>
      <c r="C16" s="155">
        <f>Mortgage!C63</f>
        <v>52480000</v>
      </c>
      <c r="D16" s="155">
        <f>C16/'Unit Mix'!$C$19</f>
        <v>160000</v>
      </c>
      <c r="E16" s="156">
        <f t="shared" si="2"/>
        <v>0.20445416236439515</v>
      </c>
    </row>
    <row r="17" spans="2:8">
      <c r="B17" s="163" t="s">
        <v>215</v>
      </c>
      <c r="C17" s="155">
        <f>'Tax Credit Analysis'!D8</f>
        <v>106355913.65277609</v>
      </c>
      <c r="D17" s="155">
        <f>C17/'Unit Mix'!$C$19</f>
        <v>324255.83430724416</v>
      </c>
      <c r="E17" s="156">
        <f t="shared" si="2"/>
        <v>0.41434659371909821</v>
      </c>
    </row>
    <row r="18" spans="2:8">
      <c r="B18" s="163" t="s">
        <v>494</v>
      </c>
      <c r="C18" s="155">
        <v>42759527.141953528</v>
      </c>
      <c r="D18" s="155">
        <f>C18/'Unit Mix'!$C$19</f>
        <v>130364.41201815099</v>
      </c>
      <c r="E18" s="156">
        <f t="shared" si="2"/>
        <v>0.16658466663311219</v>
      </c>
    </row>
    <row r="19" spans="2:8">
      <c r="B19" s="163" t="s">
        <v>205</v>
      </c>
      <c r="C19" s="164">
        <f>Assumptions!D65</f>
        <v>7902000</v>
      </c>
      <c r="D19" s="155">
        <f>C19/'Unit Mix'!$C$19</f>
        <v>24091.463414634145</v>
      </c>
      <c r="E19" s="156">
        <f t="shared" si="2"/>
        <v>3.0784999828571847E-2</v>
      </c>
      <c r="F19" s="173"/>
      <c r="G19" s="157"/>
      <c r="H19" s="173"/>
    </row>
    <row r="20" spans="2:8">
      <c r="B20" s="158" t="s">
        <v>216</v>
      </c>
      <c r="C20" s="159">
        <f>SUM(C15:C19)</f>
        <v>256683451.16136983</v>
      </c>
      <c r="D20" s="159">
        <f>C20/'Unit Mix'!$C$19</f>
        <v>782571.49744320067</v>
      </c>
      <c r="E20" s="160">
        <f t="shared" si="2"/>
        <v>1</v>
      </c>
    </row>
    <row r="21" spans="2:8" ht="14.25" thickBot="1">
      <c r="B21" s="165"/>
      <c r="C21" s="166"/>
      <c r="D21" s="167"/>
      <c r="E21" s="168"/>
    </row>
    <row r="22" spans="2:8" ht="14.25" thickTop="1">
      <c r="B22" s="151" t="s">
        <v>207</v>
      </c>
      <c r="C22" s="152"/>
      <c r="D22" s="153" t="s">
        <v>203</v>
      </c>
      <c r="E22" s="153" t="s">
        <v>204</v>
      </c>
    </row>
    <row r="23" spans="2:8">
      <c r="B23" s="154" t="s">
        <v>208</v>
      </c>
      <c r="C23" s="169">
        <v>1</v>
      </c>
      <c r="D23" s="155">
        <v>1.7241379310344827E-2</v>
      </c>
      <c r="E23" s="170">
        <f t="shared" ref="E23:E29" si="3">C23/$C$29</f>
        <v>3.895849130419115E-9</v>
      </c>
    </row>
    <row r="24" spans="2:8">
      <c r="B24" s="154" t="s">
        <v>84</v>
      </c>
      <c r="C24" s="169">
        <f>Assumptions!C92-Assumptions!C85</f>
        <v>205394400</v>
      </c>
      <c r="D24" s="155">
        <f>C24/'Unit Mix'!$C$19</f>
        <v>626202.43902439019</v>
      </c>
      <c r="E24" s="156">
        <f t="shared" si="3"/>
        <v>0.8001855946329558</v>
      </c>
    </row>
    <row r="25" spans="2:8">
      <c r="B25" s="154" t="s">
        <v>14</v>
      </c>
      <c r="C25" s="169">
        <f>Assumptions!C118-Assumptions!C108</f>
        <v>7703079.8233346734</v>
      </c>
      <c r="D25" s="155">
        <f>C25/'Unit Mix'!$C$19</f>
        <v>23484.9994613862</v>
      </c>
      <c r="E25" s="156">
        <f t="shared" si="3"/>
        <v>3.0010036831287418E-2</v>
      </c>
    </row>
    <row r="26" spans="2:8">
      <c r="B26" s="154" t="str">
        <f>Assumptions!B120</f>
        <v>Finance Cost</v>
      </c>
      <c r="C26" s="169">
        <f>Assumptions!C144</f>
        <v>32856071.586304847</v>
      </c>
      <c r="D26" s="155">
        <f>C26/'Unit Mix'!$C$19</f>
        <v>100170.94995824649</v>
      </c>
      <c r="E26" s="156">
        <f t="shared" si="3"/>
        <v>0.12800229791849393</v>
      </c>
    </row>
    <row r="27" spans="2:8">
      <c r="B27" s="154" t="s">
        <v>217</v>
      </c>
      <c r="C27" s="169">
        <f>Assumptions!C148</f>
        <v>1949898.751730311</v>
      </c>
      <c r="D27" s="155">
        <f>C27/'Unit Mix'!$C$19</f>
        <v>5944.8132674704602</v>
      </c>
      <c r="E27" s="156">
        <f t="shared" si="3"/>
        <v>7.5965113563338498E-3</v>
      </c>
    </row>
    <row r="28" spans="2:8">
      <c r="B28" s="154" t="s">
        <v>114</v>
      </c>
      <c r="C28" s="169">
        <f>Assumptions!D62</f>
        <v>8780000</v>
      </c>
      <c r="D28" s="155">
        <f>C28/'Unit Mix'!$C$19</f>
        <v>26768.292682926829</v>
      </c>
      <c r="E28" s="156">
        <f t="shared" si="3"/>
        <v>3.4205555365079826E-2</v>
      </c>
    </row>
    <row r="29" spans="2:8">
      <c r="B29" s="154" t="s">
        <v>209</v>
      </c>
      <c r="C29" s="159">
        <f>SUM(C23:C28)</f>
        <v>256683451.16136983</v>
      </c>
      <c r="D29" s="159">
        <f>C29/'Unit Mix'!$C$19</f>
        <v>782571.49744320067</v>
      </c>
      <c r="E29" s="160">
        <f t="shared" si="3"/>
        <v>1</v>
      </c>
      <c r="G29" s="173"/>
    </row>
    <row r="30" spans="2:8">
      <c r="C30" s="177"/>
    </row>
    <row r="31" spans="2:8">
      <c r="G31" s="157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DFD4-BB44-4EA5-B53B-3F21E93B838B}">
  <sheetPr>
    <tabColor theme="3" tint="0.249977111117893"/>
  </sheetPr>
  <dimension ref="B2:G69"/>
  <sheetViews>
    <sheetView showGridLines="0" workbookViewId="0"/>
  </sheetViews>
  <sheetFormatPr defaultRowHeight="13.5"/>
  <cols>
    <col min="1" max="1" width="3.7109375" style="7" customWidth="1"/>
    <col min="2" max="2" width="37.7109375" style="7" customWidth="1"/>
    <col min="3" max="3" width="17.7109375" style="7" customWidth="1"/>
    <col min="4" max="4" width="20.28515625" style="7" customWidth="1"/>
    <col min="5" max="5" width="15.140625" style="7" bestFit="1" customWidth="1"/>
    <col min="6" max="6" width="17" style="7" bestFit="1" customWidth="1"/>
    <col min="7" max="7" width="12.7109375" style="7" bestFit="1" customWidth="1"/>
    <col min="8" max="16384" width="9.140625" style="7"/>
  </cols>
  <sheetData>
    <row r="2" spans="2:4" ht="15">
      <c r="B2" s="439" t="s">
        <v>160</v>
      </c>
    </row>
    <row r="3" spans="2:4" ht="14.25" thickBot="1"/>
    <row r="4" spans="2:4">
      <c r="B4" s="462" t="s">
        <v>161</v>
      </c>
      <c r="C4" s="464"/>
      <c r="D4" s="591"/>
    </row>
    <row r="5" spans="2:4">
      <c r="B5" s="302" t="s">
        <v>162</v>
      </c>
      <c r="D5" s="592">
        <f>'Unit Mix'!I81</f>
        <v>7752009.2560975607</v>
      </c>
    </row>
    <row r="6" spans="2:4">
      <c r="B6" s="302" t="s">
        <v>16</v>
      </c>
      <c r="D6" s="592">
        <f>'Unit Mix'!F97</f>
        <v>45000</v>
      </c>
    </row>
    <row r="7" spans="2:4">
      <c r="B7" s="302" t="s">
        <v>68</v>
      </c>
      <c r="D7" s="592">
        <f>'Unit Mix'!F98</f>
        <v>0</v>
      </c>
    </row>
    <row r="8" spans="2:4">
      <c r="B8" s="302" t="s">
        <v>69</v>
      </c>
      <c r="D8" s="592">
        <f>'Unit Mix'!F99</f>
        <v>0</v>
      </c>
    </row>
    <row r="9" spans="2:4">
      <c r="B9" s="598" t="s">
        <v>70</v>
      </c>
      <c r="C9" s="67"/>
      <c r="D9" s="599">
        <f>'Unit Mix'!F100</f>
        <v>39480</v>
      </c>
    </row>
    <row r="10" spans="2:4" ht="14.25" thickBot="1">
      <c r="B10" s="601" t="s">
        <v>163</v>
      </c>
      <c r="C10" s="582"/>
      <c r="D10" s="602">
        <f>SUM(D5:D9)</f>
        <v>7836489.2560975607</v>
      </c>
    </row>
    <row r="11" spans="2:4">
      <c r="B11" s="302"/>
      <c r="C11" s="604" t="s">
        <v>200</v>
      </c>
      <c r="D11" s="303"/>
    </row>
    <row r="12" spans="2:4">
      <c r="B12" s="467" t="s">
        <v>164</v>
      </c>
      <c r="C12" s="604"/>
      <c r="D12" s="303"/>
    </row>
    <row r="13" spans="2:4">
      <c r="B13" s="302" t="s">
        <v>28</v>
      </c>
      <c r="C13" s="605">
        <v>0.05</v>
      </c>
      <c r="D13" s="594">
        <f>D5*-C13</f>
        <v>-387600.46280487807</v>
      </c>
    </row>
    <row r="14" spans="2:4">
      <c r="B14" s="302" t="s">
        <v>16</v>
      </c>
      <c r="C14" s="605">
        <v>0.05</v>
      </c>
      <c r="D14" s="594">
        <f>D6*-C14</f>
        <v>-2250</v>
      </c>
    </row>
    <row r="15" spans="2:4">
      <c r="B15" s="302" t="s">
        <v>68</v>
      </c>
      <c r="C15" s="605">
        <v>0.1</v>
      </c>
      <c r="D15" s="594">
        <f>D7*-C15</f>
        <v>0</v>
      </c>
    </row>
    <row r="16" spans="2:4">
      <c r="B16" s="302" t="s">
        <v>69</v>
      </c>
      <c r="C16" s="605">
        <v>0.1</v>
      </c>
      <c r="D16" s="594">
        <f>D8*-C16</f>
        <v>0</v>
      </c>
    </row>
    <row r="17" spans="2:7">
      <c r="B17" s="598" t="s">
        <v>70</v>
      </c>
      <c r="C17" s="606">
        <v>0.1</v>
      </c>
      <c r="D17" s="600">
        <f>D9*-C17</f>
        <v>-3948</v>
      </c>
    </row>
    <row r="18" spans="2:7">
      <c r="B18" s="302" t="s">
        <v>165</v>
      </c>
      <c r="D18" s="595">
        <f>D5+D13</f>
        <v>7364408.7932926826</v>
      </c>
    </row>
    <row r="19" spans="2:7" ht="14.25" thickBot="1">
      <c r="B19" s="338" t="s">
        <v>166</v>
      </c>
      <c r="C19" s="301"/>
      <c r="D19" s="607">
        <f>SUM(D6:D9)+SUM(D14:D17)</f>
        <v>78282</v>
      </c>
    </row>
    <row r="20" spans="2:7">
      <c r="B20" s="467" t="s">
        <v>167</v>
      </c>
      <c r="D20" s="593">
        <f>D18+D19</f>
        <v>7442690.7932926826</v>
      </c>
      <c r="G20" s="157"/>
    </row>
    <row r="21" spans="2:7">
      <c r="B21" s="467"/>
      <c r="D21" s="596"/>
      <c r="G21" s="423"/>
    </row>
    <row r="22" spans="2:7" ht="14.25" thickBot="1">
      <c r="B22" s="469" t="s">
        <v>168</v>
      </c>
      <c r="C22" s="301"/>
      <c r="D22" s="603">
        <f>'Operating Expenses &amp; Reserves'!D46+'Operating Expenses &amp; Reserves'!D48</f>
        <v>3340897.2634634147</v>
      </c>
      <c r="G22" s="157"/>
    </row>
    <row r="23" spans="2:7">
      <c r="B23" s="467"/>
      <c r="D23" s="596"/>
    </row>
    <row r="24" spans="2:7" ht="14.25" thickBot="1">
      <c r="B24" s="469" t="s">
        <v>169</v>
      </c>
      <c r="C24" s="301"/>
      <c r="D24" s="597">
        <f>D20-D22</f>
        <v>4101793.5298292679</v>
      </c>
    </row>
    <row r="26" spans="2:7" ht="14.25" thickBot="1"/>
    <row r="27" spans="2:7">
      <c r="B27" s="632" t="s">
        <v>191</v>
      </c>
      <c r="C27" s="633"/>
      <c r="D27" s="634"/>
      <c r="E27" s="225"/>
    </row>
    <row r="28" spans="2:7">
      <c r="B28" s="630" t="s">
        <v>448</v>
      </c>
      <c r="C28" s="631" t="s">
        <v>192</v>
      </c>
      <c r="D28" s="596"/>
      <c r="E28" s="97"/>
    </row>
    <row r="29" spans="2:7">
      <c r="B29" s="612" t="s">
        <v>505</v>
      </c>
      <c r="C29" s="608" t="s">
        <v>193</v>
      </c>
      <c r="D29" s="613" t="s">
        <v>194</v>
      </c>
      <c r="E29" s="97"/>
    </row>
    <row r="30" spans="2:7">
      <c r="B30" s="614" t="s">
        <v>245</v>
      </c>
      <c r="C30" s="608" t="s">
        <v>195</v>
      </c>
      <c r="D30" s="615"/>
      <c r="E30" s="97"/>
    </row>
    <row r="31" spans="2:7">
      <c r="B31" s="614" t="s">
        <v>506</v>
      </c>
      <c r="C31" s="608">
        <v>30</v>
      </c>
      <c r="D31" s="616"/>
      <c r="E31" s="97"/>
    </row>
    <row r="32" spans="2:7">
      <c r="B32" s="617" t="s">
        <v>502</v>
      </c>
      <c r="C32" s="97"/>
      <c r="D32" s="615"/>
      <c r="E32" s="97"/>
    </row>
    <row r="33" spans="2:5">
      <c r="B33" s="612" t="s">
        <v>455</v>
      </c>
      <c r="C33" s="611">
        <v>0.05</v>
      </c>
      <c r="D33" s="618"/>
      <c r="E33" s="97"/>
    </row>
    <row r="34" spans="2:5">
      <c r="B34" s="612" t="s">
        <v>504</v>
      </c>
      <c r="C34" s="611">
        <v>2.5000000000000001E-3</v>
      </c>
      <c r="D34" s="619"/>
      <c r="E34" s="97"/>
    </row>
    <row r="35" spans="2:5">
      <c r="B35" s="612" t="s">
        <v>238</v>
      </c>
      <c r="C35" s="611">
        <f>IF(C28="SONYMA-MIF",0.5%,0)</f>
        <v>5.0000000000000001E-3</v>
      </c>
      <c r="D35" s="619"/>
      <c r="E35" s="97"/>
    </row>
    <row r="36" spans="2:5">
      <c r="B36" s="635" t="s">
        <v>196</v>
      </c>
      <c r="C36" s="636">
        <f>SUM(C33:C35)</f>
        <v>5.7500000000000002E-2</v>
      </c>
      <c r="D36" s="637"/>
      <c r="E36" s="97"/>
    </row>
    <row r="37" spans="2:5">
      <c r="B37" s="621"/>
      <c r="C37" s="97"/>
      <c r="D37" s="615"/>
      <c r="E37" s="97"/>
    </row>
    <row r="38" spans="2:5">
      <c r="B38" s="622" t="s">
        <v>197</v>
      </c>
      <c r="C38" s="610">
        <v>1.1499999999999999</v>
      </c>
      <c r="D38" s="615"/>
      <c r="E38" s="97"/>
    </row>
    <row r="39" spans="2:5">
      <c r="B39" s="623" t="s">
        <v>198</v>
      </c>
      <c r="C39" s="642">
        <f>D24/C38</f>
        <v>3566776.9824602334</v>
      </c>
      <c r="D39" s="615"/>
      <c r="E39" s="97"/>
    </row>
    <row r="40" spans="2:5">
      <c r="B40" s="643" t="s">
        <v>199</v>
      </c>
      <c r="C40" s="644">
        <f>((-PV(C36/12,C31*12,(C39-C69)/12)))</f>
        <v>47186010.36664021</v>
      </c>
      <c r="D40" s="645"/>
      <c r="E40" s="97"/>
    </row>
    <row r="41" spans="2:5">
      <c r="B41" s="621"/>
      <c r="C41" s="97"/>
      <c r="D41" s="615"/>
      <c r="E41" s="97"/>
    </row>
    <row r="42" spans="2:5">
      <c r="B42" s="624" t="s">
        <v>503</v>
      </c>
      <c r="C42" s="638">
        <v>1.05</v>
      </c>
      <c r="D42" s="625"/>
      <c r="E42" s="97"/>
    </row>
    <row r="43" spans="2:5">
      <c r="B43" s="626" t="s">
        <v>167</v>
      </c>
      <c r="C43" s="639">
        <f>D20</f>
        <v>7442690.7932926826</v>
      </c>
      <c r="D43" s="625"/>
      <c r="E43" s="97"/>
    </row>
    <row r="44" spans="2:5">
      <c r="B44" s="612" t="s">
        <v>498</v>
      </c>
      <c r="C44" s="639">
        <f>-D22</f>
        <v>-3340897.2634634147</v>
      </c>
      <c r="D44" s="625"/>
      <c r="E44" s="97"/>
    </row>
    <row r="45" spans="2:5">
      <c r="B45" s="612" t="s">
        <v>499</v>
      </c>
      <c r="C45" s="639">
        <f>C43/C42+C44</f>
        <v>3747379.6825296157</v>
      </c>
      <c r="D45" s="625"/>
      <c r="E45" s="97"/>
    </row>
    <row r="46" spans="2:5">
      <c r="B46" s="646" t="s">
        <v>500</v>
      </c>
      <c r="C46" s="647">
        <f>-(PV(C38/12,C31*12,(C45+C69)/12))</f>
        <v>3486764.9413300836</v>
      </c>
      <c r="D46" s="645"/>
      <c r="E46" s="97"/>
    </row>
    <row r="47" spans="2:5">
      <c r="B47" s="627"/>
      <c r="C47" s="640"/>
      <c r="D47" s="620"/>
      <c r="E47" s="609"/>
    </row>
    <row r="48" spans="2:5" ht="14.25" thickBot="1">
      <c r="B48" s="628" t="s">
        <v>501</v>
      </c>
      <c r="C48" s="641">
        <f>C40</f>
        <v>47186010.36664021</v>
      </c>
      <c r="D48" s="629"/>
      <c r="E48" s="609"/>
    </row>
    <row r="49" spans="2:6" ht="14.25" thickBot="1"/>
    <row r="50" spans="2:6">
      <c r="B50" s="667" t="s">
        <v>436</v>
      </c>
      <c r="C50" s="633"/>
      <c r="D50" s="668"/>
    </row>
    <row r="51" spans="2:6">
      <c r="B51" s="663" t="s">
        <v>449</v>
      </c>
      <c r="C51" s="608" t="s">
        <v>193</v>
      </c>
      <c r="D51" s="596"/>
    </row>
    <row r="52" spans="2:6">
      <c r="B52" s="663" t="s">
        <v>437</v>
      </c>
      <c r="C52" s="662">
        <v>0.75126299396590013</v>
      </c>
      <c r="D52" s="664">
        <f>Assumptions!F150*C52</f>
        <v>182273159.31372231</v>
      </c>
    </row>
    <row r="53" spans="2:6">
      <c r="B53" s="663" t="s">
        <v>438</v>
      </c>
      <c r="D53" s="664">
        <f>C48</f>
        <v>47186010.36664021</v>
      </c>
    </row>
    <row r="54" spans="2:6" ht="14.25" thickBot="1">
      <c r="B54" s="665" t="s">
        <v>439</v>
      </c>
      <c r="C54" s="301"/>
      <c r="D54" s="666">
        <f>D52-D53</f>
        <v>135087148.9470821</v>
      </c>
    </row>
    <row r="56" spans="2:6" hidden="1">
      <c r="D56" s="286">
        <f>D54+D53+D64</f>
        <v>229505159.31372231</v>
      </c>
    </row>
    <row r="57" spans="2:6" hidden="1">
      <c r="B57" s="7" t="s">
        <v>495</v>
      </c>
      <c r="C57" s="586">
        <v>0.84</v>
      </c>
      <c r="D57" s="524">
        <f>Amortization!H7*C57</f>
        <v>235017164.12724215</v>
      </c>
      <c r="E57" s="442">
        <f>Amortization!H7</f>
        <v>279782338.24671686</v>
      </c>
    </row>
    <row r="58" spans="2:6" hidden="1">
      <c r="D58" s="444">
        <f>D57-D56</f>
        <v>5512004.8135198355</v>
      </c>
    </row>
    <row r="60" spans="2:6" ht="14.25" thickBot="1"/>
    <row r="61" spans="2:6">
      <c r="B61" s="632" t="s">
        <v>190</v>
      </c>
      <c r="C61" s="633"/>
      <c r="D61" s="634"/>
    </row>
    <row r="62" spans="2:6">
      <c r="B62" s="659" t="s">
        <v>170</v>
      </c>
      <c r="C62" s="776" t="s">
        <v>507</v>
      </c>
      <c r="D62" s="777"/>
    </row>
    <row r="63" spans="2:6">
      <c r="B63" s="652" t="s">
        <v>171</v>
      </c>
      <c r="C63" s="648">
        <f>160000*('Unit Mix'!E57+'Unit Mix'!E63+'Unit Mix'!E69+'Unit Mix'!E75+'Unit Mix'!E81)</f>
        <v>52480000</v>
      </c>
      <c r="D63" s="653"/>
      <c r="E63" s="226">
        <f>C63/'Unit Mix'!C19</f>
        <v>160000</v>
      </c>
      <c r="F63" s="171" t="s">
        <v>218</v>
      </c>
    </row>
    <row r="64" spans="2:6">
      <c r="B64" s="652" t="s">
        <v>172</v>
      </c>
      <c r="C64" s="660">
        <v>0.9</v>
      </c>
      <c r="D64" s="661">
        <f>C63*C64</f>
        <v>47232000</v>
      </c>
    </row>
    <row r="65" spans="2:4">
      <c r="B65" s="652" t="s">
        <v>173</v>
      </c>
      <c r="C65" s="649" t="s">
        <v>174</v>
      </c>
      <c r="D65" s="653"/>
    </row>
    <row r="66" spans="2:4">
      <c r="B66" s="651" t="s">
        <v>175</v>
      </c>
      <c r="C66" s="450">
        <v>5.0000000000000001E-3</v>
      </c>
      <c r="D66" s="654" t="s">
        <v>176</v>
      </c>
    </row>
    <row r="67" spans="2:4">
      <c r="B67" s="651" t="s">
        <v>177</v>
      </c>
      <c r="C67" s="450">
        <v>5.0000000000000001E-3</v>
      </c>
      <c r="D67" s="654" t="s">
        <v>176</v>
      </c>
    </row>
    <row r="68" spans="2:4">
      <c r="B68" s="651" t="s">
        <v>506</v>
      </c>
      <c r="C68" s="650">
        <f>SUM(Assumptions!C11:C12,Assumptions!C14)/12</f>
        <v>32.5</v>
      </c>
      <c r="D68" s="655"/>
    </row>
    <row r="69" spans="2:4" ht="14.25" thickBot="1">
      <c r="B69" s="656" t="s">
        <v>179</v>
      </c>
      <c r="C69" s="657">
        <f>C63*C67</f>
        <v>262400</v>
      </c>
      <c r="D69" s="658"/>
    </row>
  </sheetData>
  <mergeCells count="1">
    <mergeCell ref="C62:D62"/>
  </mergeCells>
  <dataValidations count="5">
    <dataValidation type="list" showInputMessage="1" showErrorMessage="1" sqref="C65" xr:uid="{A40C90E2-41BC-4B92-88D9-F203F5997678}">
      <formula1>"[select],Interest Only,Accrued Interest,Self Amortizing"</formula1>
    </dataValidation>
    <dataValidation showInputMessage="1" showErrorMessage="1" sqref="D28" xr:uid="{D678334B-91C7-47F3-A0B8-101C19B27D85}"/>
    <dataValidation type="list" allowBlank="1" showInputMessage="1" showErrorMessage="1" sqref="D29" xr:uid="{9A2F5201-56BA-49C6-832E-688B251712D8}">
      <formula1>"Self-Amortizing, Interest-Only"</formula1>
    </dataValidation>
    <dataValidation type="list" allowBlank="1" showInputMessage="1" showErrorMessage="1" sqref="C29 C51" xr:uid="{2D9222B3-8BD1-4FED-8687-7BDD8F083902}">
      <formula1>"Tax-Exempt, Taxable, Blended"</formula1>
    </dataValidation>
    <dataValidation type="list" allowBlank="1" showInputMessage="1" showErrorMessage="1" sqref="C30" xr:uid="{BECC0BFA-34ED-4308-8337-9531A68434FB}">
      <formula1>"Fixed, Variable"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088F-5E41-42FE-AADD-80E04E9BD7C1}">
  <sheetPr>
    <tabColor theme="3" tint="0.249977111117893"/>
  </sheetPr>
  <dimension ref="B1:M49"/>
  <sheetViews>
    <sheetView showGridLines="0" workbookViewId="0">
      <selection activeCell="E22" sqref="E22"/>
    </sheetView>
  </sheetViews>
  <sheetFormatPr defaultRowHeight="12.75"/>
  <cols>
    <col min="1" max="1" width="2.85546875" style="180" customWidth="1"/>
    <col min="2" max="2" width="33.85546875" style="180" customWidth="1"/>
    <col min="3" max="3" width="16.28515625" style="180" bestFit="1" customWidth="1"/>
    <col min="4" max="4" width="9.85546875" style="180" customWidth="1"/>
    <col min="5" max="5" width="15.42578125" style="180" bestFit="1" customWidth="1"/>
    <col min="6" max="6" width="9.140625" style="180"/>
    <col min="7" max="7" width="16.28515625" style="180" bestFit="1" customWidth="1"/>
    <col min="8" max="8" width="9.140625" style="180"/>
    <col min="9" max="9" width="14" style="180" bestFit="1" customWidth="1"/>
    <col min="10" max="16384" width="9.140625" style="180"/>
  </cols>
  <sheetData>
    <row r="1" spans="2:13" ht="6" customHeight="1"/>
    <row r="2" spans="2:13" ht="20.25" customHeight="1">
      <c r="B2" s="670" t="s">
        <v>267</v>
      </c>
    </row>
    <row r="4" spans="2:13">
      <c r="B4" s="181" t="s">
        <v>219</v>
      </c>
      <c r="C4" s="182"/>
      <c r="D4" s="183"/>
    </row>
    <row r="5" spans="2:13">
      <c r="B5" s="184"/>
      <c r="C5" s="185" t="s">
        <v>222</v>
      </c>
      <c r="D5" s="179" t="s">
        <v>232</v>
      </c>
    </row>
    <row r="6" spans="2:13">
      <c r="B6" s="186" t="s">
        <v>220</v>
      </c>
      <c r="C6" s="187">
        <f>Mortgage!C48</f>
        <v>47186010.36664021</v>
      </c>
      <c r="D6" s="188">
        <f>C6/SUM($C$6:$C$7)</f>
        <v>0.25895026354027106</v>
      </c>
    </row>
    <row r="7" spans="2:13">
      <c r="B7" s="186" t="s">
        <v>221</v>
      </c>
      <c r="C7" s="189">
        <f>'Sources and Uses'!C6</f>
        <v>135034350.10540852</v>
      </c>
      <c r="D7" s="188">
        <f>C7/SUM($C$6:$C$7)</f>
        <v>0.74104973645972894</v>
      </c>
    </row>
    <row r="8" spans="2:13">
      <c r="B8" s="190" t="s">
        <v>223</v>
      </c>
      <c r="C8" s="191">
        <f>C6+C7</f>
        <v>182220360.47204873</v>
      </c>
      <c r="D8" s="192"/>
    </row>
    <row r="9" spans="2:13">
      <c r="B9" s="186"/>
      <c r="C9" s="189"/>
      <c r="D9" s="193"/>
    </row>
    <row r="10" spans="2:13">
      <c r="B10" s="194" t="s">
        <v>228</v>
      </c>
      <c r="C10" s="195">
        <f>Mortgage!D64</f>
        <v>47232000</v>
      </c>
      <c r="D10" s="196"/>
    </row>
    <row r="11" spans="2:13">
      <c r="E11" s="743"/>
    </row>
    <row r="13" spans="2:13">
      <c r="B13" s="181" t="s">
        <v>247</v>
      </c>
      <c r="C13" s="197"/>
      <c r="D13" s="198"/>
    </row>
    <row r="14" spans="2:13">
      <c r="B14" s="186"/>
      <c r="C14" s="203" t="s">
        <v>226</v>
      </c>
      <c r="D14" s="669" t="s">
        <v>227</v>
      </c>
    </row>
    <row r="15" spans="2:13">
      <c r="B15" s="186" t="s">
        <v>224</v>
      </c>
      <c r="C15" s="371">
        <f>Assumptions!C11</f>
        <v>24</v>
      </c>
      <c r="D15" s="193">
        <f>C15/12</f>
        <v>2</v>
      </c>
    </row>
    <row r="16" spans="2:13">
      <c r="B16" s="186" t="s">
        <v>225</v>
      </c>
      <c r="C16" s="371">
        <f>Assumptions!C12</f>
        <v>6</v>
      </c>
      <c r="D16" s="193">
        <f>C16/12</f>
        <v>0.5</v>
      </c>
      <c r="M16" s="548"/>
    </row>
    <row r="17" spans="2:4">
      <c r="B17" s="200" t="s">
        <v>38</v>
      </c>
      <c r="C17" s="372">
        <f>C15+C16</f>
        <v>30</v>
      </c>
      <c r="D17" s="199">
        <f>D16+D15</f>
        <v>2.5</v>
      </c>
    </row>
    <row r="20" spans="2:4">
      <c r="B20" s="181" t="s">
        <v>233</v>
      </c>
      <c r="C20" s="198"/>
    </row>
    <row r="21" spans="2:4">
      <c r="B21" s="186" t="s">
        <v>239</v>
      </c>
      <c r="C21" s="376">
        <v>0.05</v>
      </c>
    </row>
    <row r="22" spans="2:4">
      <c r="B22" s="186" t="s">
        <v>470</v>
      </c>
      <c r="C22" s="376">
        <v>0</v>
      </c>
    </row>
    <row r="23" spans="2:4">
      <c r="B23" s="200" t="s">
        <v>240</v>
      </c>
      <c r="C23" s="202">
        <f>C22+C21</f>
        <v>0.05</v>
      </c>
    </row>
    <row r="24" spans="2:4">
      <c r="B24" s="203"/>
      <c r="C24" s="204"/>
    </row>
    <row r="25" spans="2:4">
      <c r="B25" s="181" t="s">
        <v>241</v>
      </c>
      <c r="C25" s="198"/>
    </row>
    <row r="26" spans="2:4">
      <c r="B26" s="186" t="s">
        <v>113</v>
      </c>
      <c r="C26" s="376">
        <v>5.0000000000000001E-3</v>
      </c>
    </row>
    <row r="27" spans="2:4">
      <c r="B27" s="186" t="s">
        <v>412</v>
      </c>
      <c r="C27" s="376">
        <v>2.5000000000000001E-3</v>
      </c>
    </row>
    <row r="28" spans="2:4">
      <c r="B28" s="200" t="s">
        <v>243</v>
      </c>
      <c r="C28" s="202">
        <f>C26</f>
        <v>5.0000000000000001E-3</v>
      </c>
    </row>
    <row r="31" spans="2:4">
      <c r="B31" s="181" t="s">
        <v>229</v>
      </c>
      <c r="C31" s="198"/>
    </row>
    <row r="32" spans="2:4">
      <c r="B32" s="190" t="s">
        <v>230</v>
      </c>
      <c r="C32" s="201">
        <f>C23</f>
        <v>0.05</v>
      </c>
    </row>
    <row r="33" spans="2:9">
      <c r="B33" s="190" t="s">
        <v>231</v>
      </c>
      <c r="C33" s="376">
        <v>4.2000000000000003E-2</v>
      </c>
    </row>
    <row r="34" spans="2:9">
      <c r="B34" s="200" t="s">
        <v>228</v>
      </c>
      <c r="C34" s="205">
        <f>C28</f>
        <v>5.0000000000000001E-3</v>
      </c>
      <c r="I34" s="377"/>
    </row>
    <row r="36" spans="2:9">
      <c r="B36" s="181" t="s">
        <v>244</v>
      </c>
      <c r="C36" s="182"/>
      <c r="D36" s="182"/>
      <c r="E36" s="182"/>
      <c r="F36" s="182"/>
      <c r="G36" s="183"/>
    </row>
    <row r="37" spans="2:9" ht="32.25" customHeight="1">
      <c r="B37" s="200"/>
      <c r="C37" s="206" t="s">
        <v>219</v>
      </c>
      <c r="D37" s="206" t="s">
        <v>245</v>
      </c>
      <c r="E37" s="206" t="s">
        <v>246</v>
      </c>
      <c r="F37" s="206" t="s">
        <v>509</v>
      </c>
      <c r="G37" s="207" t="s">
        <v>38</v>
      </c>
    </row>
    <row r="38" spans="2:9">
      <c r="B38" s="208" t="s">
        <v>230</v>
      </c>
      <c r="C38" s="212">
        <f>C6</f>
        <v>47186010.36664021</v>
      </c>
      <c r="D38" s="210">
        <f>C32</f>
        <v>0.05</v>
      </c>
      <c r="E38" s="209">
        <f>(C38*D38)/12</f>
        <v>196608.37652766754</v>
      </c>
      <c r="F38" s="211">
        <f>$C$17</f>
        <v>30</v>
      </c>
      <c r="G38" s="219">
        <f>E38*F38</f>
        <v>5898251.2958300263</v>
      </c>
      <c r="I38" s="417"/>
    </row>
    <row r="39" spans="2:9">
      <c r="B39" s="190" t="s">
        <v>231</v>
      </c>
      <c r="C39" s="212">
        <f>C7</f>
        <v>135034350.10540852</v>
      </c>
      <c r="D39" s="213">
        <f>C33</f>
        <v>4.2000000000000003E-2</v>
      </c>
      <c r="E39" s="214">
        <f>(C39*D39)/12</f>
        <v>472620.22536892985</v>
      </c>
      <c r="F39" s="180">
        <f>$C$17</f>
        <v>30</v>
      </c>
      <c r="G39" s="219">
        <f>E39*F39</f>
        <v>14178606.761067895</v>
      </c>
      <c r="I39" s="417"/>
    </row>
    <row r="40" spans="2:9">
      <c r="B40" s="200" t="s">
        <v>228</v>
      </c>
      <c r="C40" s="215">
        <f>C10</f>
        <v>47232000</v>
      </c>
      <c r="D40" s="216">
        <f>C34</f>
        <v>5.0000000000000001E-3</v>
      </c>
      <c r="E40" s="217">
        <f>(C40*D40)/12</f>
        <v>19680</v>
      </c>
      <c r="F40" s="218">
        <f>$C$17</f>
        <v>30</v>
      </c>
      <c r="G40" s="220">
        <f>E40*F40</f>
        <v>590400</v>
      </c>
      <c r="I40" s="417"/>
    </row>
    <row r="43" spans="2:9">
      <c r="B43" s="181" t="s">
        <v>248</v>
      </c>
      <c r="C43" s="183"/>
    </row>
    <row r="44" spans="2:9">
      <c r="B44" s="190" t="s">
        <v>249</v>
      </c>
      <c r="C44" s="219">
        <f>C8</f>
        <v>182220360.47204873</v>
      </c>
    </row>
    <row r="45" spans="2:9">
      <c r="B45" s="190" t="s">
        <v>250</v>
      </c>
      <c r="C45" s="219">
        <f>SUM(E38:E39)</f>
        <v>669228.60189659742</v>
      </c>
    </row>
    <row r="46" spans="2:9">
      <c r="B46" s="200" t="s">
        <v>251</v>
      </c>
      <c r="C46" s="220">
        <f>SUM(C44:C45)</f>
        <v>182889589.07394531</v>
      </c>
    </row>
    <row r="48" spans="2:9">
      <c r="B48" s="221" t="s">
        <v>252</v>
      </c>
      <c r="C48" s="373">
        <v>0.01</v>
      </c>
      <c r="D48" s="375" t="s">
        <v>254</v>
      </c>
    </row>
    <row r="49" spans="2:4">
      <c r="B49" s="194" t="s">
        <v>253</v>
      </c>
      <c r="C49" s="374">
        <v>1.0999999999999999E-2</v>
      </c>
      <c r="D49" s="375" t="s">
        <v>254</v>
      </c>
    </row>
  </sheetData>
  <pageMargins left="0.7" right="0.7" top="0.75" bottom="0.75" header="0.3" footer="0.3"/>
  <ignoredErrors>
    <ignoredError sqref="F38 F39:F40" formula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DC79-9C73-407D-B222-756BCCF4086A}">
  <sheetPr>
    <tabColor theme="3" tint="0.249977111117893"/>
  </sheetPr>
  <dimension ref="B2:M59"/>
  <sheetViews>
    <sheetView showGridLines="0" zoomScaleNormal="100" workbookViewId="0"/>
  </sheetViews>
  <sheetFormatPr defaultRowHeight="13.5"/>
  <cols>
    <col min="1" max="1" width="2.5703125" style="7" customWidth="1"/>
    <col min="2" max="2" width="47.140625" style="7" customWidth="1"/>
    <col min="3" max="3" width="33.28515625" style="7" bestFit="1" customWidth="1"/>
    <col min="4" max="4" width="14.7109375" style="7" customWidth="1"/>
    <col min="5" max="5" width="15.140625" style="7" customWidth="1"/>
    <col min="6" max="6" width="20" style="7" customWidth="1"/>
    <col min="7" max="7" width="27.140625" style="7" hidden="1" customWidth="1"/>
    <col min="8" max="8" width="13.7109375" style="7" hidden="1" customWidth="1"/>
    <col min="9" max="9" width="21.140625" style="7" hidden="1" customWidth="1"/>
    <col min="10" max="10" width="20" style="7" hidden="1" customWidth="1"/>
    <col min="11" max="11" width="27.85546875" style="7" hidden="1" customWidth="1"/>
    <col min="12" max="12" width="0" style="7" hidden="1" customWidth="1"/>
    <col min="13" max="13" width="11.28515625" style="7" bestFit="1" customWidth="1"/>
    <col min="14" max="16384" width="9.140625" style="7"/>
  </cols>
  <sheetData>
    <row r="2" spans="2:11" ht="15">
      <c r="B2" s="439" t="s">
        <v>508</v>
      </c>
    </row>
    <row r="3" spans="2:11">
      <c r="D3" s="8" t="s">
        <v>45</v>
      </c>
      <c r="E3" s="9">
        <f>'Unit Mix'!C19</f>
        <v>328</v>
      </c>
    </row>
    <row r="4" spans="2:11">
      <c r="D4" s="8" t="s">
        <v>20</v>
      </c>
      <c r="E4" s="8">
        <f>'Unit Mix'!E37</f>
        <v>1207</v>
      </c>
    </row>
    <row r="6" spans="2:11" ht="40.5">
      <c r="B6" s="709" t="s">
        <v>269</v>
      </c>
      <c r="C6" s="710" t="s">
        <v>270</v>
      </c>
      <c r="D6" s="711" t="s">
        <v>271</v>
      </c>
      <c r="E6" s="712" t="s">
        <v>272</v>
      </c>
      <c r="F6" s="713" t="s">
        <v>273</v>
      </c>
      <c r="G6" s="11"/>
      <c r="H6" s="12" t="s">
        <v>270</v>
      </c>
      <c r="I6" s="10" t="s">
        <v>274</v>
      </c>
      <c r="J6" s="12" t="s">
        <v>270</v>
      </c>
      <c r="K6" s="10" t="s">
        <v>275</v>
      </c>
    </row>
    <row r="7" spans="2:11">
      <c r="B7" s="705" t="s">
        <v>276</v>
      </c>
      <c r="C7" s="706"/>
      <c r="D7" s="707"/>
      <c r="E7" s="707"/>
      <c r="F7" s="708"/>
      <c r="G7" s="13"/>
      <c r="H7" s="14"/>
      <c r="I7" s="15"/>
      <c r="J7" s="14"/>
      <c r="K7" s="15"/>
    </row>
    <row r="8" spans="2:11">
      <c r="B8" s="689" t="s">
        <v>277</v>
      </c>
      <c r="C8" s="673" t="s">
        <v>278</v>
      </c>
      <c r="D8" s="674">
        <f>F8/$E$3</f>
        <v>0</v>
      </c>
      <c r="E8" s="674">
        <f>F8/$E$4</f>
        <v>0</v>
      </c>
      <c r="F8" s="690">
        <v>0</v>
      </c>
      <c r="G8" s="13"/>
      <c r="H8" s="16" t="s">
        <v>278</v>
      </c>
      <c r="I8" s="17">
        <v>0</v>
      </c>
      <c r="J8" s="16" t="s">
        <v>278</v>
      </c>
      <c r="K8" s="17">
        <v>0</v>
      </c>
    </row>
    <row r="9" spans="2:11">
      <c r="B9" s="689" t="s">
        <v>279</v>
      </c>
      <c r="C9" s="673" t="s">
        <v>278</v>
      </c>
      <c r="D9" s="674">
        <f>F9/$E$3</f>
        <v>1500</v>
      </c>
      <c r="E9" s="674">
        <f>F9/$E$4</f>
        <v>407.62220381110188</v>
      </c>
      <c r="F9" s="690">
        <f>I9*$E$3</f>
        <v>492000</v>
      </c>
      <c r="G9" s="13"/>
      <c r="H9" s="16" t="s">
        <v>218</v>
      </c>
      <c r="I9" s="17">
        <v>1500</v>
      </c>
      <c r="J9" s="16" t="s">
        <v>218</v>
      </c>
      <c r="K9" s="17">
        <f>I9</f>
        <v>1500</v>
      </c>
    </row>
    <row r="10" spans="2:11">
      <c r="B10" s="691" t="s">
        <v>280</v>
      </c>
      <c r="C10" s="675"/>
      <c r="D10" s="676">
        <f>SUM(D8:D9)</f>
        <v>1500</v>
      </c>
      <c r="E10" s="676">
        <f>SUM(E8:E9)</f>
        <v>407.62220381110188</v>
      </c>
      <c r="F10" s="692">
        <f>SUM(F8:F9)</f>
        <v>492000</v>
      </c>
      <c r="G10" s="13"/>
      <c r="H10" s="18"/>
      <c r="I10" s="19"/>
      <c r="J10" s="18"/>
      <c r="K10" s="19"/>
    </row>
    <row r="11" spans="2:11">
      <c r="B11" s="693" t="s">
        <v>281</v>
      </c>
      <c r="C11" s="677"/>
      <c r="D11" s="678"/>
      <c r="E11" s="678"/>
      <c r="F11" s="692"/>
      <c r="G11" s="13"/>
      <c r="H11" s="14"/>
      <c r="I11" s="19"/>
      <c r="J11" s="14"/>
      <c r="K11" s="19"/>
    </row>
    <row r="12" spans="2:11">
      <c r="B12" s="689" t="s">
        <v>282</v>
      </c>
      <c r="C12" s="673" t="s">
        <v>278</v>
      </c>
      <c r="D12" s="674">
        <f>F12/$E$3</f>
        <v>57.926829268292686</v>
      </c>
      <c r="E12" s="674">
        <f>F12/$E$4</f>
        <v>15.741507870753935</v>
      </c>
      <c r="F12" s="690">
        <f>I12</f>
        <v>19000</v>
      </c>
      <c r="G12" s="13"/>
      <c r="H12" s="16" t="s">
        <v>278</v>
      </c>
      <c r="I12" s="17">
        <v>19000</v>
      </c>
      <c r="J12" s="16" t="s">
        <v>278</v>
      </c>
      <c r="K12" s="17">
        <f>I12</f>
        <v>19000</v>
      </c>
    </row>
    <row r="13" spans="2:11">
      <c r="B13" s="689" t="s">
        <v>283</v>
      </c>
      <c r="C13" s="673" t="s">
        <v>278</v>
      </c>
      <c r="D13" s="674">
        <f>F13/$E$3</f>
        <v>2.4390243902439024</v>
      </c>
      <c r="E13" s="674">
        <f>F13/$E$4</f>
        <v>0.6628003314001657</v>
      </c>
      <c r="F13" s="690">
        <f>I13</f>
        <v>800</v>
      </c>
      <c r="G13" s="13"/>
      <c r="H13" s="16" t="s">
        <v>278</v>
      </c>
      <c r="I13" s="17">
        <v>800</v>
      </c>
      <c r="J13" s="16" t="s">
        <v>278</v>
      </c>
      <c r="K13" s="17">
        <f>I13</f>
        <v>800</v>
      </c>
    </row>
    <row r="14" spans="2:11">
      <c r="B14" s="689" t="s">
        <v>284</v>
      </c>
      <c r="C14" s="673" t="s">
        <v>278</v>
      </c>
      <c r="D14" s="674">
        <f>F14/$E$3</f>
        <v>260</v>
      </c>
      <c r="E14" s="674">
        <f>F14/$E$4</f>
        <v>70.65451532725767</v>
      </c>
      <c r="F14" s="690">
        <f>I14*$E$3</f>
        <v>85280</v>
      </c>
      <c r="G14" s="13"/>
      <c r="H14" s="16" t="s">
        <v>218</v>
      </c>
      <c r="I14" s="17">
        <v>260</v>
      </c>
      <c r="J14" s="16" t="s">
        <v>218</v>
      </c>
      <c r="K14" s="17">
        <f>I14</f>
        <v>260</v>
      </c>
    </row>
    <row r="15" spans="2:11">
      <c r="B15" s="691" t="s">
        <v>285</v>
      </c>
      <c r="C15" s="679"/>
      <c r="D15" s="676">
        <f>SUM(D12:D14)</f>
        <v>320.36585365853659</v>
      </c>
      <c r="E15" s="676">
        <f>SUM(E12:E14)</f>
        <v>87.058823529411768</v>
      </c>
      <c r="F15" s="692">
        <f>SUM(F12:F14)</f>
        <v>105080</v>
      </c>
      <c r="G15" s="13"/>
      <c r="H15" s="20"/>
      <c r="I15" s="19"/>
      <c r="J15" s="20"/>
      <c r="K15" s="19"/>
    </row>
    <row r="16" spans="2:11">
      <c r="B16" s="694"/>
      <c r="C16" s="679"/>
      <c r="D16" s="676"/>
      <c r="E16" s="676"/>
      <c r="F16" s="692"/>
      <c r="G16" s="13"/>
      <c r="H16" s="20"/>
      <c r="I16" s="19"/>
      <c r="J16" s="20"/>
      <c r="K16" s="19"/>
    </row>
    <row r="17" spans="2:11">
      <c r="B17" s="695" t="s">
        <v>286</v>
      </c>
      <c r="C17" s="673" t="s">
        <v>278</v>
      </c>
      <c r="D17" s="674">
        <f>F17/$E$3</f>
        <v>1474.923480378123</v>
      </c>
      <c r="E17" s="674">
        <f>F17/$E$4</f>
        <v>400.80770634964739</v>
      </c>
      <c r="F17" s="692">
        <f>I17*Mortgage!D20</f>
        <v>483774.90156402439</v>
      </c>
      <c r="G17" s="21"/>
      <c r="H17" s="22" t="s">
        <v>287</v>
      </c>
      <c r="I17" s="23">
        <v>6.5000000000000002E-2</v>
      </c>
      <c r="J17" s="16" t="s">
        <v>287</v>
      </c>
      <c r="K17" s="23">
        <v>6.5000000000000002E-2</v>
      </c>
    </row>
    <row r="18" spans="2:11">
      <c r="B18" s="695"/>
      <c r="C18" s="680"/>
      <c r="D18" s="681"/>
      <c r="E18" s="680"/>
      <c r="F18" s="692"/>
      <c r="G18" s="24"/>
      <c r="H18" s="25"/>
      <c r="I18" s="26"/>
      <c r="J18" s="25"/>
      <c r="K18" s="26"/>
    </row>
    <row r="19" spans="2:11">
      <c r="B19" s="695" t="s">
        <v>288</v>
      </c>
      <c r="C19" s="673" t="s">
        <v>218</v>
      </c>
      <c r="D19" s="680">
        <f>F19/$E$3</f>
        <v>198.17073170731706</v>
      </c>
      <c r="E19" s="680">
        <f>F19/$E$4</f>
        <v>53.852526926263465</v>
      </c>
      <c r="F19" s="692">
        <f>65000</f>
        <v>65000</v>
      </c>
      <c r="G19" s="24"/>
      <c r="H19" s="27" t="s">
        <v>218</v>
      </c>
      <c r="I19" s="28">
        <v>500</v>
      </c>
      <c r="J19" s="29" t="s">
        <v>218</v>
      </c>
      <c r="K19" s="30">
        <v>400</v>
      </c>
    </row>
    <row r="20" spans="2:11">
      <c r="B20" s="691"/>
      <c r="C20" s="673"/>
      <c r="D20" s="680"/>
      <c r="E20" s="680"/>
      <c r="F20" s="692"/>
      <c r="G20" s="13"/>
      <c r="H20" s="25"/>
      <c r="I20" s="19"/>
      <c r="J20" s="25"/>
      <c r="K20" s="19"/>
    </row>
    <row r="21" spans="2:11">
      <c r="B21" s="693" t="s">
        <v>289</v>
      </c>
      <c r="C21" s="677"/>
      <c r="D21" s="678"/>
      <c r="E21" s="678"/>
      <c r="F21" s="692"/>
      <c r="G21" s="13"/>
      <c r="H21" s="14"/>
      <c r="I21" s="19"/>
      <c r="J21" s="14"/>
      <c r="K21" s="19"/>
    </row>
    <row r="22" spans="2:11">
      <c r="B22" s="689" t="s">
        <v>290</v>
      </c>
      <c r="C22" s="673" t="s">
        <v>278</v>
      </c>
      <c r="D22" s="674">
        <f>F22/$E$3</f>
        <v>699.17682926829264</v>
      </c>
      <c r="E22" s="674">
        <f>F22/$E$4</f>
        <v>190</v>
      </c>
      <c r="F22" s="690">
        <f>I22*$E$4</f>
        <v>229330</v>
      </c>
      <c r="G22" s="13"/>
      <c r="H22" s="16" t="s">
        <v>291</v>
      </c>
      <c r="I22" s="17">
        <v>190</v>
      </c>
      <c r="J22" s="16" t="s">
        <v>291</v>
      </c>
      <c r="K22" s="17">
        <f>I22</f>
        <v>190</v>
      </c>
    </row>
    <row r="23" spans="2:11">
      <c r="B23" s="689" t="s">
        <v>292</v>
      </c>
      <c r="C23" s="673" t="s">
        <v>278</v>
      </c>
      <c r="D23" s="674">
        <f>F23/$E$3</f>
        <v>809.57317073170736</v>
      </c>
      <c r="E23" s="674">
        <f>F23/$E$4</f>
        <v>220</v>
      </c>
      <c r="F23" s="690">
        <f>I23*$E$4</f>
        <v>265540</v>
      </c>
      <c r="G23" s="13"/>
      <c r="H23" s="16" t="s">
        <v>291</v>
      </c>
      <c r="I23" s="17">
        <v>220</v>
      </c>
      <c r="J23" s="16" t="s">
        <v>291</v>
      </c>
      <c r="K23" s="17">
        <f>I23</f>
        <v>220</v>
      </c>
    </row>
    <row r="24" spans="2:11">
      <c r="B24" s="689" t="s">
        <v>293</v>
      </c>
      <c r="C24" s="673" t="s">
        <v>278</v>
      </c>
      <c r="D24" s="674">
        <f>F24/$E$3</f>
        <v>1287.9573170731708</v>
      </c>
      <c r="E24" s="674">
        <f>F24/$E$4</f>
        <v>350</v>
      </c>
      <c r="F24" s="690">
        <f>I24*$E$4</f>
        <v>422450</v>
      </c>
      <c r="G24" s="13"/>
      <c r="H24" s="16" t="s">
        <v>291</v>
      </c>
      <c r="I24" s="17">
        <v>350</v>
      </c>
      <c r="J24" s="16" t="s">
        <v>291</v>
      </c>
      <c r="K24" s="17">
        <f>I24</f>
        <v>350</v>
      </c>
    </row>
    <row r="25" spans="2:11">
      <c r="B25" s="691" t="s">
        <v>294</v>
      </c>
      <c r="C25" s="682"/>
      <c r="D25" s="676">
        <f>SUM(D22:D24)</f>
        <v>2796.707317073171</v>
      </c>
      <c r="E25" s="676">
        <f>SUM(E22:E24)</f>
        <v>760</v>
      </c>
      <c r="F25" s="692">
        <f>SUM(F22:F24)</f>
        <v>917320</v>
      </c>
      <c r="G25" s="13"/>
      <c r="H25" s="31"/>
      <c r="I25" s="19"/>
      <c r="J25" s="31"/>
      <c r="K25" s="19"/>
    </row>
    <row r="26" spans="2:11">
      <c r="B26" s="693" t="s">
        <v>295</v>
      </c>
      <c r="C26" s="677"/>
      <c r="D26" s="678"/>
      <c r="E26" s="678"/>
      <c r="F26" s="692"/>
      <c r="G26" s="13"/>
      <c r="H26" s="14"/>
      <c r="I26" s="19"/>
      <c r="J26" s="14"/>
      <c r="K26" s="19"/>
    </row>
    <row r="27" spans="2:11">
      <c r="B27" s="689" t="s">
        <v>296</v>
      </c>
      <c r="C27" s="673" t="s">
        <v>278</v>
      </c>
      <c r="D27" s="674">
        <f>F27/$E$3</f>
        <v>588.78048780487802</v>
      </c>
      <c r="E27" s="674">
        <f>F27/$E$4</f>
        <v>160</v>
      </c>
      <c r="F27" s="690">
        <f>I27*$E$4</f>
        <v>193120</v>
      </c>
      <c r="G27" s="13"/>
      <c r="H27" s="16" t="s">
        <v>291</v>
      </c>
      <c r="I27" s="17">
        <v>160</v>
      </c>
      <c r="J27" s="16" t="s">
        <v>291</v>
      </c>
      <c r="K27" s="17">
        <f>I27</f>
        <v>160</v>
      </c>
    </row>
    <row r="28" spans="2:11">
      <c r="B28" s="689" t="s">
        <v>297</v>
      </c>
      <c r="C28" s="673" t="s">
        <v>278</v>
      </c>
      <c r="D28" s="674">
        <f>F28/$E$3</f>
        <v>1500</v>
      </c>
      <c r="E28" s="674">
        <f>F28/$E$4</f>
        <v>407.62220381110188</v>
      </c>
      <c r="F28" s="690">
        <f>I28*$E$3</f>
        <v>492000</v>
      </c>
      <c r="G28" s="13"/>
      <c r="H28" s="16" t="s">
        <v>218</v>
      </c>
      <c r="I28" s="17">
        <v>1500</v>
      </c>
      <c r="J28" s="16" t="s">
        <v>218</v>
      </c>
      <c r="K28" s="17">
        <f>I28</f>
        <v>1500</v>
      </c>
    </row>
    <row r="29" spans="2:11">
      <c r="B29" s="689" t="s">
        <v>298</v>
      </c>
      <c r="C29" s="673" t="s">
        <v>278</v>
      </c>
      <c r="D29" s="674">
        <f>F29/$E$3</f>
        <v>795.67378048780483</v>
      </c>
      <c r="E29" s="674">
        <f>F29/$E$4</f>
        <v>216.22286661143332</v>
      </c>
      <c r="F29" s="690">
        <f>F31+F32</f>
        <v>260981</v>
      </c>
      <c r="G29" s="671"/>
      <c r="H29" s="32" t="s">
        <v>218</v>
      </c>
      <c r="I29" s="33"/>
      <c r="J29" s="32" t="s">
        <v>218</v>
      </c>
      <c r="K29" s="33"/>
    </row>
    <row r="30" spans="2:11">
      <c r="B30" s="689"/>
      <c r="C30" s="672" t="s">
        <v>299</v>
      </c>
      <c r="D30" s="674" t="s">
        <v>300</v>
      </c>
      <c r="E30" s="674"/>
      <c r="F30" s="690" t="s">
        <v>300</v>
      </c>
      <c r="G30" s="671"/>
      <c r="H30" s="34"/>
      <c r="I30" s="35"/>
      <c r="J30" s="34"/>
      <c r="K30" s="35"/>
    </row>
    <row r="31" spans="2:11">
      <c r="B31" s="696" t="s">
        <v>301</v>
      </c>
      <c r="C31" s="683"/>
      <c r="D31" s="684">
        <v>1</v>
      </c>
      <c r="E31" s="674"/>
      <c r="F31" s="697">
        <v>145455</v>
      </c>
      <c r="G31" s="671"/>
      <c r="H31" s="36"/>
      <c r="I31" s="37"/>
      <c r="J31" s="36"/>
      <c r="K31" s="37"/>
    </row>
    <row r="32" spans="2:11">
      <c r="B32" s="696" t="s">
        <v>302</v>
      </c>
      <c r="C32" s="683"/>
      <c r="D32" s="684">
        <v>7</v>
      </c>
      <c r="E32" s="674"/>
      <c r="F32" s="697">
        <v>115526</v>
      </c>
      <c r="G32" s="671"/>
      <c r="H32" s="36"/>
      <c r="I32" s="38"/>
      <c r="J32" s="36"/>
      <c r="K32" s="38"/>
    </row>
    <row r="33" spans="2:13">
      <c r="B33" s="689" t="s">
        <v>303</v>
      </c>
      <c r="C33" s="674" t="s">
        <v>304</v>
      </c>
      <c r="D33" s="684">
        <v>3</v>
      </c>
      <c r="E33" s="674"/>
      <c r="F33" s="690">
        <f>I33*D33</f>
        <v>24000</v>
      </c>
      <c r="G33" s="13"/>
      <c r="H33" s="39" t="s">
        <v>304</v>
      </c>
      <c r="I33" s="40">
        <v>8000</v>
      </c>
      <c r="J33" s="39" t="s">
        <v>304</v>
      </c>
      <c r="K33" s="40">
        <f>I33</f>
        <v>8000</v>
      </c>
    </row>
    <row r="34" spans="2:13">
      <c r="B34" s="701" t="s">
        <v>294</v>
      </c>
      <c r="C34" s="718"/>
      <c r="D34" s="719">
        <f>SUM(D27:D29)</f>
        <v>2884.4542682926831</v>
      </c>
      <c r="E34" s="719">
        <f>SUM(E27:E29)</f>
        <v>783.84507042253517</v>
      </c>
      <c r="F34" s="720">
        <f>SUM(F27:F33)</f>
        <v>1231082</v>
      </c>
      <c r="G34" s="13"/>
      <c r="H34" s="20"/>
      <c r="I34" s="19"/>
      <c r="J34" s="20"/>
      <c r="K34" s="19"/>
    </row>
    <row r="35" spans="2:13">
      <c r="B35" s="714"/>
      <c r="C35" s="715"/>
      <c r="D35" s="716"/>
      <c r="E35" s="716"/>
      <c r="F35" s="717"/>
      <c r="G35" s="13"/>
      <c r="H35" s="20"/>
      <c r="I35" s="19"/>
      <c r="J35" s="20"/>
      <c r="K35" s="19"/>
    </row>
    <row r="36" spans="2:13">
      <c r="B36" s="698" t="s">
        <v>305</v>
      </c>
      <c r="C36" s="685"/>
      <c r="D36" s="686">
        <f>D15+D17+D25+D34+D10</f>
        <v>8976.4509194025122</v>
      </c>
      <c r="E36" s="686">
        <f>E15+E17+E25+E34+E10</f>
        <v>2439.3338041126963</v>
      </c>
      <c r="F36" s="699">
        <f>F10+F15+F17+F25+F34</f>
        <v>3229256.9015640244</v>
      </c>
      <c r="G36" s="13"/>
      <c r="H36" s="20"/>
      <c r="I36" s="41"/>
      <c r="J36" s="20"/>
      <c r="K36" s="41"/>
    </row>
    <row r="37" spans="2:13" ht="14.25" thickBot="1">
      <c r="B37" s="725" t="s">
        <v>306</v>
      </c>
      <c r="C37" s="726"/>
      <c r="D37" s="727">
        <f>D36-D10</f>
        <v>7476.4509194025122</v>
      </c>
      <c r="E37" s="727">
        <f>E36-E10</f>
        <v>2031.7116003015944</v>
      </c>
      <c r="F37" s="728">
        <f>F36-F17</f>
        <v>2745482</v>
      </c>
      <c r="G37" s="13"/>
      <c r="H37" s="20"/>
      <c r="I37" s="41"/>
      <c r="J37" s="20"/>
      <c r="K37" s="41"/>
    </row>
    <row r="38" spans="2:13">
      <c r="B38" s="721"/>
      <c r="C38" s="722"/>
      <c r="D38" s="723"/>
      <c r="E38" s="723"/>
      <c r="F38" s="724"/>
      <c r="G38" s="13"/>
      <c r="H38" s="42"/>
      <c r="I38" s="19"/>
      <c r="J38" s="42"/>
      <c r="K38" s="19"/>
    </row>
    <row r="39" spans="2:13">
      <c r="B39" s="691"/>
      <c r="C39" s="687"/>
      <c r="D39" s="688"/>
      <c r="E39" s="688"/>
      <c r="F39" s="700"/>
      <c r="G39" s="13"/>
      <c r="H39" s="43"/>
      <c r="I39" s="41"/>
      <c r="J39" s="43"/>
      <c r="K39" s="41"/>
    </row>
    <row r="40" spans="2:13" ht="42.75" customHeight="1">
      <c r="B40" s="701" t="s">
        <v>305</v>
      </c>
      <c r="C40" s="702"/>
      <c r="D40" s="703">
        <f>D36</f>
        <v>8976.4509194025122</v>
      </c>
      <c r="E40" s="703">
        <f>E36</f>
        <v>2439.3338041126963</v>
      </c>
      <c r="F40" s="704">
        <f>F36</f>
        <v>3229256.9015640244</v>
      </c>
      <c r="G40" s="13"/>
      <c r="H40" s="778" t="s">
        <v>308</v>
      </c>
      <c r="I40" s="778"/>
      <c r="J40" s="778" t="s">
        <v>308</v>
      </c>
      <c r="K40" s="778"/>
    </row>
    <row r="41" spans="2:13">
      <c r="F41" s="424"/>
    </row>
    <row r="44" spans="2:13" ht="18.75">
      <c r="B44" s="429" t="s">
        <v>116</v>
      </c>
      <c r="C44" s="430"/>
      <c r="D44" s="431"/>
    </row>
    <row r="45" spans="2:13" ht="18.75">
      <c r="B45" s="432"/>
      <c r="C45" s="427"/>
      <c r="D45" s="438" t="s">
        <v>396</v>
      </c>
    </row>
    <row r="46" spans="2:13" ht="15">
      <c r="B46" s="433" t="s">
        <v>393</v>
      </c>
      <c r="C46" s="427"/>
      <c r="D46" s="434">
        <f>'Operating Expenses &amp; Reserves'!F36</f>
        <v>3229256.9015640244</v>
      </c>
    </row>
    <row r="47" spans="2:13" ht="15">
      <c r="B47" s="433" t="s">
        <v>377</v>
      </c>
      <c r="C47" s="428" t="s">
        <v>385</v>
      </c>
      <c r="D47" s="786">
        <f>(D46/2)+(SUM('Construction Interest'!E38:E39,(Mortgage!C63*0.5%)*'Construction Interest'!D40)/2)</f>
        <v>1949898.751730311</v>
      </c>
      <c r="M47" s="524"/>
    </row>
    <row r="48" spans="2:13" ht="15">
      <c r="B48" s="433" t="s">
        <v>378</v>
      </c>
      <c r="C48" s="428" t="s">
        <v>386</v>
      </c>
      <c r="D48" s="434">
        <f>Mortgage!D20*1.5%</f>
        <v>111640.36189939023</v>
      </c>
    </row>
    <row r="49" spans="2:5" ht="15">
      <c r="B49" s="433" t="s">
        <v>379</v>
      </c>
      <c r="C49" s="428" t="s">
        <v>387</v>
      </c>
      <c r="D49" s="434">
        <v>0</v>
      </c>
    </row>
    <row r="50" spans="2:5" ht="15">
      <c r="B50" s="433" t="s">
        <v>380</v>
      </c>
      <c r="C50" s="428" t="s">
        <v>388</v>
      </c>
      <c r="D50" s="434">
        <f>15000*'Unit Mix'!C14</f>
        <v>735000</v>
      </c>
    </row>
    <row r="51" spans="2:5" ht="15">
      <c r="B51" s="433" t="s">
        <v>381</v>
      </c>
      <c r="C51" s="428" t="s">
        <v>389</v>
      </c>
      <c r="D51" s="434">
        <f>Assumptions!C34*7500</f>
        <v>367500</v>
      </c>
    </row>
    <row r="52" spans="2:5" ht="15">
      <c r="B52" s="433" t="s">
        <v>382</v>
      </c>
      <c r="C52" s="428" t="s">
        <v>390</v>
      </c>
      <c r="D52" s="434">
        <v>0</v>
      </c>
    </row>
    <row r="53" spans="2:5" ht="15">
      <c r="B53" s="433" t="s">
        <v>383</v>
      </c>
      <c r="C53" s="428" t="s">
        <v>391</v>
      </c>
      <c r="D53" s="434">
        <f>ROUND('Unit Mix'!C43,0)*2000</f>
        <v>18000</v>
      </c>
    </row>
    <row r="54" spans="2:5" ht="15">
      <c r="B54" s="435" t="s">
        <v>384</v>
      </c>
      <c r="C54" s="436" t="s">
        <v>392</v>
      </c>
      <c r="D54" s="437">
        <f>ROUND(SUM('Unit Mix'!C44:C47),0)*3000</f>
        <v>120000</v>
      </c>
    </row>
    <row r="59" spans="2:5">
      <c r="E59" s="67"/>
    </row>
  </sheetData>
  <mergeCells count="2">
    <mergeCell ref="H40:I40"/>
    <mergeCell ref="J40:K40"/>
  </mergeCells>
  <dataValidations count="2">
    <dataValidation type="list" allowBlank="1" showInputMessage="1" showErrorMessage="1" sqref="C8:C9 C17:C19 C22:C24 H8:H9 H17:H19 H22:H24 H12:H14 C12:C14 H27:H29 C27:C29 J8:J9 J22:J24 J12:J14 J27:J29 J17:J19" xr:uid="{24218A58-0A28-42AB-A8E4-21D05EE4FB86}">
      <formula1>"per total project, per unit, per square foot, percent of EGI, per room"</formula1>
    </dataValidation>
    <dataValidation type="list" allowBlank="1" showInputMessage="1" showErrorMessage="1" sqref="C20 H20 C10 H10 J20 J10" xr:uid="{A5787422-6878-4A5E-BB56-5335008DB7E2}">
      <formula1>"per total project, per unit, per square foot, percent of EGI"</formula1>
    </dataValidation>
  </dataValidation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BD48-EAA4-49FC-94DC-CC53325B9C38}">
  <sheetPr>
    <tabColor theme="3" tint="0.249977111117893"/>
  </sheetPr>
  <dimension ref="B2:K87"/>
  <sheetViews>
    <sheetView showGridLines="0" zoomScale="118" zoomScaleNormal="115" workbookViewId="0">
      <selection activeCell="A6" sqref="A6"/>
    </sheetView>
  </sheetViews>
  <sheetFormatPr defaultRowHeight="13.5"/>
  <cols>
    <col min="1" max="1" width="2.85546875" style="7" customWidth="1"/>
    <col min="2" max="2" width="46.28515625" style="7" customWidth="1"/>
    <col min="3" max="3" width="19.85546875" style="7" customWidth="1"/>
    <col min="4" max="4" width="16.140625" style="7" customWidth="1"/>
    <col min="5" max="5" width="15.28515625" style="7" customWidth="1"/>
    <col min="6" max="6" width="19.42578125" style="7" customWidth="1"/>
    <col min="7" max="7" width="9.140625" style="7"/>
    <col min="8" max="8" width="22.42578125" style="7" customWidth="1"/>
    <col min="9" max="9" width="8.5703125" style="7" customWidth="1"/>
    <col min="10" max="10" width="12.140625" style="7" bestFit="1" customWidth="1"/>
    <col min="11" max="14" width="9.140625" style="7"/>
    <col min="15" max="15" width="26.85546875" style="7" customWidth="1"/>
    <col min="16" max="16" width="13.42578125" style="7" customWidth="1"/>
    <col min="17" max="17" width="18.85546875" style="7" customWidth="1"/>
    <col min="18" max="16384" width="9.140625" style="7"/>
  </cols>
  <sheetData>
    <row r="2" spans="2:6">
      <c r="B2" s="549" t="s">
        <v>255</v>
      </c>
      <c r="C2" s="549"/>
      <c r="D2" s="549"/>
      <c r="E2" s="97"/>
      <c r="F2" s="97"/>
    </row>
    <row r="3" spans="2:6">
      <c r="B3" s="550" t="s">
        <v>256</v>
      </c>
      <c r="C3" s="550"/>
      <c r="D3" s="730">
        <f>Assumptions!F150</f>
        <v>242622305.07522604</v>
      </c>
      <c r="E3" s="97"/>
      <c r="F3" s="97"/>
    </row>
    <row r="4" spans="2:6">
      <c r="B4" s="550" t="s">
        <v>257</v>
      </c>
      <c r="C4" s="742">
        <v>1.3</v>
      </c>
      <c r="D4" s="730">
        <f>D3*C4</f>
        <v>315408996.59779388</v>
      </c>
      <c r="E4" s="171"/>
      <c r="F4" s="171"/>
    </row>
    <row r="5" spans="2:6">
      <c r="B5" s="550" t="s">
        <v>258</v>
      </c>
      <c r="C5" s="560">
        <v>1</v>
      </c>
      <c r="D5" s="730">
        <f>D4*C5</f>
        <v>315408996.59779388</v>
      </c>
      <c r="E5" s="172"/>
      <c r="F5" s="172"/>
    </row>
    <row r="6" spans="2:6">
      <c r="B6" s="550" t="s">
        <v>259</v>
      </c>
      <c r="C6" s="729">
        <v>0.04</v>
      </c>
      <c r="D6" s="730">
        <f>D5*C6</f>
        <v>12616359.863911755</v>
      </c>
    </row>
    <row r="7" spans="2:6">
      <c r="B7" s="550" t="s">
        <v>310</v>
      </c>
      <c r="C7" s="295">
        <v>0.84299999999999997</v>
      </c>
      <c r="D7" s="730">
        <f>D6*C7</f>
        <v>10635591.365277609</v>
      </c>
    </row>
    <row r="8" spans="2:6">
      <c r="B8" s="550" t="s">
        <v>261</v>
      </c>
      <c r="C8" s="550"/>
      <c r="D8" s="730">
        <f>D7*10</f>
        <v>106355913.65277609</v>
      </c>
      <c r="E8" s="171" t="s">
        <v>399</v>
      </c>
    </row>
    <row r="9" spans="2:6">
      <c r="B9" s="550" t="s">
        <v>260</v>
      </c>
      <c r="C9" s="295">
        <v>0.65</v>
      </c>
      <c r="D9" s="730">
        <f>D6*C9</f>
        <v>8200633.911542641</v>
      </c>
      <c r="E9" s="171"/>
    </row>
    <row r="10" spans="2:6">
      <c r="B10" s="550" t="s">
        <v>261</v>
      </c>
      <c r="C10" s="550"/>
      <c r="D10" s="730">
        <f>D9*10</f>
        <v>82006339.115426406</v>
      </c>
      <c r="E10" s="171" t="s">
        <v>398</v>
      </c>
    </row>
    <row r="13" spans="2:6">
      <c r="B13" s="171"/>
    </row>
    <row r="14" spans="2:6">
      <c r="B14" s="171"/>
    </row>
    <row r="30" spans="7:7">
      <c r="G30" s="175"/>
    </row>
    <row r="31" spans="7:7">
      <c r="G31" s="44"/>
    </row>
    <row r="32" spans="7:7">
      <c r="G32" s="44"/>
    </row>
    <row r="33" spans="7:11">
      <c r="G33" s="44"/>
    </row>
    <row r="34" spans="7:11">
      <c r="G34" s="176"/>
    </row>
    <row r="35" spans="7:11">
      <c r="G35" s="44"/>
    </row>
    <row r="36" spans="7:11">
      <c r="G36" s="44"/>
    </row>
    <row r="43" spans="7:11">
      <c r="K43" s="177"/>
    </row>
    <row r="80" spans="11:11">
      <c r="K80" s="177"/>
    </row>
    <row r="87" spans="7:8">
      <c r="G87" s="178"/>
      <c r="H87" s="157"/>
    </row>
  </sheetData>
  <pageMargins left="0.7" right="0.7" top="0.75" bottom="0.75" header="0.3" footer="0.3"/>
  <ignoredErrors>
    <ignoredError sqref="D9" formula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729F-7C36-4EFE-AE75-2E4AFFCC8566}">
  <sheetPr>
    <tabColor theme="5"/>
  </sheetPr>
  <dimension ref="A2:OP219"/>
  <sheetViews>
    <sheetView showGridLines="0" workbookViewId="0">
      <selection activeCell="B5" sqref="B5"/>
    </sheetView>
  </sheetViews>
  <sheetFormatPr defaultColWidth="0" defaultRowHeight="13.5"/>
  <cols>
    <col min="1" max="1" width="3.85546875" style="7" customWidth="1"/>
    <col min="2" max="2" width="34" style="7" bestFit="1" customWidth="1"/>
    <col min="3" max="3" width="15.7109375" style="7" customWidth="1"/>
    <col min="4" max="4" width="12.85546875" style="7" bestFit="1" customWidth="1"/>
    <col min="5" max="5" width="10.140625" style="7" customWidth="1"/>
    <col min="6" max="6" width="10.28515625" style="7" customWidth="1"/>
    <col min="7" max="7" width="13.85546875" style="7" customWidth="1"/>
    <col min="8" max="8" width="11.140625" style="7" customWidth="1"/>
    <col min="9" max="9" width="15.5703125" style="7" bestFit="1" customWidth="1"/>
    <col min="10" max="10" width="16.5703125" style="7" bestFit="1" customWidth="1"/>
    <col min="11" max="42" width="13" style="7" customWidth="1"/>
    <col min="43" max="45" width="11" style="7" bestFit="1" customWidth="1"/>
    <col min="46" max="46" width="13" style="7" bestFit="1" customWidth="1"/>
    <col min="47" max="69" width="12.85546875" style="7" bestFit="1" customWidth="1"/>
    <col min="70" max="315" width="11.28515625" style="7" bestFit="1" customWidth="1"/>
    <col min="316" max="405" width="12.85546875" style="7" bestFit="1" customWidth="1"/>
    <col min="406" max="16384" width="9.140625" style="7" hidden="1"/>
  </cols>
  <sheetData>
    <row r="2" spans="2:406" ht="15">
      <c r="B2" s="439" t="s">
        <v>476</v>
      </c>
      <c r="C2" s="439"/>
    </row>
    <row r="3" spans="2:406">
      <c r="B3" s="7" t="s">
        <v>327</v>
      </c>
    </row>
    <row r="5" spans="2:406" s="282" customFormat="1">
      <c r="J5" s="282">
        <v>1</v>
      </c>
      <c r="K5" s="282">
        <v>2</v>
      </c>
      <c r="L5" s="282">
        <v>3</v>
      </c>
      <c r="M5" s="282">
        <v>4</v>
      </c>
      <c r="N5" s="282">
        <v>5</v>
      </c>
      <c r="O5" s="282">
        <v>6</v>
      </c>
      <c r="P5" s="282">
        <v>7</v>
      </c>
      <c r="Q5" s="282">
        <v>8</v>
      </c>
      <c r="R5" s="282">
        <v>9</v>
      </c>
      <c r="S5" s="282">
        <v>10</v>
      </c>
      <c r="T5" s="282">
        <v>11</v>
      </c>
      <c r="U5" s="282">
        <v>12</v>
      </c>
      <c r="V5" s="282">
        <v>13</v>
      </c>
      <c r="W5" s="282">
        <v>14</v>
      </c>
      <c r="X5" s="282">
        <v>15</v>
      </c>
      <c r="Y5" s="282">
        <v>16</v>
      </c>
      <c r="Z5" s="282">
        <v>17</v>
      </c>
      <c r="AA5" s="282">
        <v>18</v>
      </c>
      <c r="AB5" s="282">
        <v>19</v>
      </c>
      <c r="AC5" s="282">
        <v>20</v>
      </c>
      <c r="AD5" s="282">
        <v>21</v>
      </c>
      <c r="AE5" s="282">
        <v>22</v>
      </c>
      <c r="AF5" s="282">
        <v>23</v>
      </c>
      <c r="AG5" s="282">
        <v>24</v>
      </c>
      <c r="AH5" s="282">
        <v>25</v>
      </c>
      <c r="AI5" s="282">
        <v>26</v>
      </c>
      <c r="AJ5" s="282">
        <v>27</v>
      </c>
      <c r="AK5" s="282">
        <v>28</v>
      </c>
      <c r="AL5" s="282">
        <v>29</v>
      </c>
      <c r="AM5" s="282">
        <v>30</v>
      </c>
      <c r="AN5" s="282">
        <v>31</v>
      </c>
      <c r="AO5" s="282">
        <v>32</v>
      </c>
      <c r="AP5" s="282">
        <v>33</v>
      </c>
      <c r="AQ5" s="282">
        <v>34</v>
      </c>
      <c r="AR5" s="282">
        <v>35</v>
      </c>
      <c r="AS5" s="282">
        <v>36</v>
      </c>
      <c r="AT5" s="282">
        <v>37</v>
      </c>
      <c r="AU5" s="282">
        <v>38</v>
      </c>
      <c r="AV5" s="282">
        <v>39</v>
      </c>
      <c r="AW5" s="282">
        <v>40</v>
      </c>
      <c r="AX5" s="282">
        <v>41</v>
      </c>
      <c r="AY5" s="282">
        <v>42</v>
      </c>
      <c r="AZ5" s="282">
        <v>43</v>
      </c>
      <c r="BA5" s="282">
        <v>44</v>
      </c>
      <c r="BB5" s="282">
        <v>45</v>
      </c>
      <c r="BC5" s="282">
        <v>46</v>
      </c>
      <c r="BD5" s="282">
        <v>47</v>
      </c>
      <c r="BE5" s="282">
        <v>48</v>
      </c>
      <c r="BF5" s="282">
        <v>49</v>
      </c>
      <c r="BG5" s="282">
        <v>50</v>
      </c>
      <c r="BH5" s="282">
        <v>51</v>
      </c>
      <c r="BI5" s="282">
        <v>52</v>
      </c>
      <c r="BJ5" s="282">
        <v>53</v>
      </c>
      <c r="BK5" s="282">
        <v>54</v>
      </c>
      <c r="BL5" s="282">
        <v>55</v>
      </c>
      <c r="BM5" s="282">
        <v>56</v>
      </c>
      <c r="BN5" s="282">
        <v>57</v>
      </c>
      <c r="BO5" s="282">
        <v>58</v>
      </c>
      <c r="BP5" s="282">
        <v>59</v>
      </c>
      <c r="BQ5" s="282">
        <v>60</v>
      </c>
      <c r="BR5" s="282">
        <v>61</v>
      </c>
      <c r="BS5" s="282">
        <v>62</v>
      </c>
      <c r="BT5" s="282">
        <v>63</v>
      </c>
      <c r="BU5" s="282">
        <v>64</v>
      </c>
      <c r="BV5" s="282">
        <v>65</v>
      </c>
      <c r="BW5" s="282">
        <v>66</v>
      </c>
      <c r="BX5" s="282">
        <v>67</v>
      </c>
      <c r="BY5" s="282">
        <v>68</v>
      </c>
      <c r="BZ5" s="282">
        <v>69</v>
      </c>
      <c r="CA5" s="282">
        <v>70</v>
      </c>
      <c r="CB5" s="282">
        <v>71</v>
      </c>
      <c r="CC5" s="282">
        <v>72</v>
      </c>
      <c r="CD5" s="282">
        <v>73</v>
      </c>
      <c r="CE5" s="282">
        <v>74</v>
      </c>
      <c r="CF5" s="282">
        <v>75</v>
      </c>
      <c r="CG5" s="282">
        <v>76</v>
      </c>
      <c r="CH5" s="282">
        <v>77</v>
      </c>
      <c r="CI5" s="282">
        <v>78</v>
      </c>
      <c r="CJ5" s="282">
        <v>79</v>
      </c>
      <c r="CK5" s="282">
        <v>80</v>
      </c>
      <c r="CL5" s="282">
        <v>81</v>
      </c>
      <c r="CM5" s="282">
        <v>82</v>
      </c>
      <c r="CN5" s="282">
        <v>83</v>
      </c>
      <c r="CO5" s="282">
        <v>84</v>
      </c>
      <c r="CP5" s="282">
        <v>85</v>
      </c>
      <c r="CQ5" s="282">
        <v>86</v>
      </c>
      <c r="CR5" s="282">
        <v>87</v>
      </c>
      <c r="CS5" s="282">
        <v>88</v>
      </c>
      <c r="CT5" s="282">
        <v>89</v>
      </c>
      <c r="CU5" s="282">
        <v>90</v>
      </c>
      <c r="CV5" s="282">
        <v>91</v>
      </c>
      <c r="CW5" s="282">
        <v>92</v>
      </c>
      <c r="CX5" s="282">
        <v>93</v>
      </c>
      <c r="CY5" s="282">
        <v>94</v>
      </c>
      <c r="CZ5" s="282">
        <v>95</v>
      </c>
      <c r="DA5" s="282">
        <v>96</v>
      </c>
      <c r="DB5" s="282">
        <v>97</v>
      </c>
      <c r="DC5" s="282">
        <v>98</v>
      </c>
      <c r="DD5" s="282">
        <v>99</v>
      </c>
      <c r="DE5" s="282">
        <v>100</v>
      </c>
      <c r="DF5" s="282">
        <v>101</v>
      </c>
      <c r="DG5" s="282">
        <v>102</v>
      </c>
      <c r="DH5" s="282">
        <v>103</v>
      </c>
      <c r="DI5" s="282">
        <v>104</v>
      </c>
      <c r="DJ5" s="282">
        <v>105</v>
      </c>
      <c r="DK5" s="282">
        <v>106</v>
      </c>
      <c r="DL5" s="282">
        <v>107</v>
      </c>
      <c r="DM5" s="282">
        <v>108</v>
      </c>
      <c r="DN5" s="282">
        <v>109</v>
      </c>
      <c r="DO5" s="282">
        <v>110</v>
      </c>
      <c r="DP5" s="282">
        <v>111</v>
      </c>
      <c r="DQ5" s="282">
        <v>112</v>
      </c>
      <c r="DR5" s="282">
        <v>113</v>
      </c>
      <c r="DS5" s="282">
        <v>114</v>
      </c>
      <c r="DT5" s="282">
        <v>115</v>
      </c>
      <c r="DU5" s="282">
        <v>116</v>
      </c>
      <c r="DV5" s="282">
        <v>117</v>
      </c>
      <c r="DW5" s="282">
        <v>118</v>
      </c>
      <c r="DX5" s="282">
        <v>119</v>
      </c>
      <c r="DY5" s="282">
        <v>120</v>
      </c>
      <c r="DZ5" s="282">
        <v>121</v>
      </c>
      <c r="EA5" s="282">
        <v>122</v>
      </c>
      <c r="EB5" s="282">
        <v>123</v>
      </c>
      <c r="EC5" s="282">
        <v>124</v>
      </c>
      <c r="ED5" s="282">
        <v>125</v>
      </c>
      <c r="EE5" s="282">
        <v>126</v>
      </c>
      <c r="EF5" s="282">
        <v>127</v>
      </c>
      <c r="EG5" s="282">
        <v>128</v>
      </c>
      <c r="EH5" s="282">
        <v>129</v>
      </c>
      <c r="EI5" s="282">
        <v>130</v>
      </c>
      <c r="EJ5" s="282">
        <v>131</v>
      </c>
      <c r="EK5" s="282">
        <v>132</v>
      </c>
      <c r="EL5" s="282">
        <v>133</v>
      </c>
      <c r="EM5" s="282">
        <v>134</v>
      </c>
      <c r="EN5" s="282">
        <v>135</v>
      </c>
      <c r="EO5" s="282">
        <v>136</v>
      </c>
      <c r="EP5" s="282">
        <v>137</v>
      </c>
      <c r="EQ5" s="282">
        <v>138</v>
      </c>
      <c r="ER5" s="282">
        <v>139</v>
      </c>
      <c r="ES5" s="282">
        <v>140</v>
      </c>
      <c r="ET5" s="282">
        <v>141</v>
      </c>
      <c r="EU5" s="282">
        <v>142</v>
      </c>
      <c r="EV5" s="282">
        <v>143</v>
      </c>
      <c r="EW5" s="282">
        <v>144</v>
      </c>
      <c r="EX5" s="282">
        <v>145</v>
      </c>
      <c r="EY5" s="282">
        <v>146</v>
      </c>
      <c r="EZ5" s="282">
        <v>147</v>
      </c>
      <c r="FA5" s="282">
        <v>148</v>
      </c>
      <c r="FB5" s="282">
        <v>149</v>
      </c>
      <c r="FC5" s="282">
        <v>150</v>
      </c>
      <c r="FD5" s="282">
        <v>151</v>
      </c>
      <c r="FE5" s="282">
        <v>152</v>
      </c>
      <c r="FF5" s="282">
        <v>153</v>
      </c>
      <c r="FG5" s="282">
        <v>154</v>
      </c>
      <c r="FH5" s="282">
        <v>155</v>
      </c>
      <c r="FI5" s="282">
        <v>156</v>
      </c>
      <c r="FJ5" s="282">
        <v>157</v>
      </c>
      <c r="FK5" s="282">
        <v>158</v>
      </c>
      <c r="FL5" s="282">
        <v>159</v>
      </c>
      <c r="FM5" s="282">
        <v>160</v>
      </c>
      <c r="FN5" s="282">
        <v>161</v>
      </c>
      <c r="FO5" s="282">
        <v>162</v>
      </c>
      <c r="FP5" s="282">
        <v>163</v>
      </c>
      <c r="FQ5" s="282">
        <v>164</v>
      </c>
      <c r="FR5" s="282">
        <v>165</v>
      </c>
      <c r="FS5" s="282">
        <v>166</v>
      </c>
      <c r="FT5" s="282">
        <v>167</v>
      </c>
      <c r="FU5" s="282">
        <v>168</v>
      </c>
      <c r="FV5" s="282">
        <v>169</v>
      </c>
      <c r="FW5" s="282">
        <v>170</v>
      </c>
      <c r="FX5" s="282">
        <v>171</v>
      </c>
      <c r="FY5" s="282">
        <v>172</v>
      </c>
      <c r="FZ5" s="282">
        <v>173</v>
      </c>
      <c r="GA5" s="282">
        <v>174</v>
      </c>
      <c r="GB5" s="282">
        <v>175</v>
      </c>
      <c r="GC5" s="282">
        <v>176</v>
      </c>
      <c r="GD5" s="282">
        <v>177</v>
      </c>
      <c r="GE5" s="282">
        <v>178</v>
      </c>
      <c r="GF5" s="282">
        <v>179</v>
      </c>
      <c r="GG5" s="282">
        <v>180</v>
      </c>
      <c r="GH5" s="282">
        <v>181</v>
      </c>
      <c r="GI5" s="282">
        <v>182</v>
      </c>
      <c r="GJ5" s="282">
        <v>183</v>
      </c>
      <c r="GK5" s="282">
        <v>184</v>
      </c>
      <c r="GL5" s="282">
        <v>185</v>
      </c>
      <c r="GM5" s="282">
        <v>186</v>
      </c>
      <c r="GN5" s="282">
        <v>187</v>
      </c>
      <c r="GO5" s="282">
        <v>188</v>
      </c>
      <c r="GP5" s="282">
        <v>189</v>
      </c>
      <c r="GQ5" s="282">
        <v>190</v>
      </c>
      <c r="GR5" s="282">
        <v>191</v>
      </c>
      <c r="GS5" s="282">
        <v>192</v>
      </c>
      <c r="GT5" s="282">
        <v>193</v>
      </c>
      <c r="GU5" s="282">
        <v>194</v>
      </c>
      <c r="GV5" s="282">
        <v>195</v>
      </c>
      <c r="GW5" s="282">
        <v>196</v>
      </c>
      <c r="GX5" s="282">
        <v>197</v>
      </c>
      <c r="GY5" s="282">
        <v>198</v>
      </c>
      <c r="GZ5" s="282">
        <v>199</v>
      </c>
      <c r="HA5" s="282">
        <v>200</v>
      </c>
      <c r="HB5" s="282">
        <v>201</v>
      </c>
      <c r="HC5" s="282">
        <v>202</v>
      </c>
      <c r="HD5" s="282">
        <v>203</v>
      </c>
      <c r="HE5" s="282">
        <v>204</v>
      </c>
      <c r="HF5" s="282">
        <v>205</v>
      </c>
      <c r="HG5" s="282">
        <v>206</v>
      </c>
      <c r="HH5" s="282">
        <v>207</v>
      </c>
      <c r="HI5" s="282">
        <v>208</v>
      </c>
      <c r="HJ5" s="282">
        <v>209</v>
      </c>
      <c r="HK5" s="282">
        <v>210</v>
      </c>
      <c r="HL5" s="282">
        <v>211</v>
      </c>
      <c r="HM5" s="282">
        <v>212</v>
      </c>
      <c r="HN5" s="282">
        <v>213</v>
      </c>
      <c r="HO5" s="282">
        <v>214</v>
      </c>
      <c r="HP5" s="282">
        <v>215</v>
      </c>
      <c r="HQ5" s="282">
        <v>216</v>
      </c>
      <c r="HR5" s="282">
        <v>217</v>
      </c>
      <c r="HS5" s="282">
        <v>218</v>
      </c>
      <c r="HT5" s="282">
        <v>219</v>
      </c>
      <c r="HU5" s="282">
        <v>220</v>
      </c>
      <c r="HV5" s="282">
        <v>221</v>
      </c>
      <c r="HW5" s="282">
        <v>222</v>
      </c>
      <c r="HX5" s="282">
        <v>223</v>
      </c>
      <c r="HY5" s="282">
        <v>224</v>
      </c>
      <c r="HZ5" s="282">
        <v>225</v>
      </c>
      <c r="IA5" s="282">
        <v>226</v>
      </c>
      <c r="IB5" s="282">
        <v>227</v>
      </c>
      <c r="IC5" s="282">
        <v>228</v>
      </c>
      <c r="ID5" s="282">
        <v>229</v>
      </c>
      <c r="IE5" s="282">
        <v>230</v>
      </c>
      <c r="IF5" s="282">
        <v>231</v>
      </c>
      <c r="IG5" s="282">
        <v>232</v>
      </c>
      <c r="IH5" s="282">
        <v>233</v>
      </c>
      <c r="II5" s="282">
        <v>234</v>
      </c>
      <c r="IJ5" s="282">
        <v>235</v>
      </c>
      <c r="IK5" s="282">
        <v>236</v>
      </c>
      <c r="IL5" s="282">
        <v>237</v>
      </c>
      <c r="IM5" s="282">
        <v>238</v>
      </c>
      <c r="IN5" s="282">
        <v>239</v>
      </c>
      <c r="IO5" s="282">
        <v>240</v>
      </c>
      <c r="IP5" s="282">
        <v>241</v>
      </c>
      <c r="IQ5" s="282">
        <v>242</v>
      </c>
      <c r="IR5" s="282">
        <v>243</v>
      </c>
      <c r="IS5" s="282">
        <v>244</v>
      </c>
      <c r="IT5" s="282">
        <v>245</v>
      </c>
      <c r="IU5" s="282">
        <v>246</v>
      </c>
      <c r="IV5" s="282">
        <v>247</v>
      </c>
      <c r="IW5" s="282">
        <v>248</v>
      </c>
      <c r="IX5" s="282">
        <v>249</v>
      </c>
      <c r="IY5" s="282">
        <v>250</v>
      </c>
      <c r="IZ5" s="282">
        <v>251</v>
      </c>
      <c r="JA5" s="282">
        <v>252</v>
      </c>
      <c r="JB5" s="282">
        <v>253</v>
      </c>
      <c r="JC5" s="282">
        <v>254</v>
      </c>
      <c r="JD5" s="282">
        <v>255</v>
      </c>
      <c r="JE5" s="282">
        <v>256</v>
      </c>
      <c r="JF5" s="282">
        <v>257</v>
      </c>
      <c r="JG5" s="282">
        <v>258</v>
      </c>
      <c r="JH5" s="282">
        <v>259</v>
      </c>
      <c r="JI5" s="282">
        <v>260</v>
      </c>
      <c r="JJ5" s="282">
        <v>261</v>
      </c>
      <c r="JK5" s="282">
        <v>262</v>
      </c>
      <c r="JL5" s="282">
        <v>263</v>
      </c>
      <c r="JM5" s="282">
        <v>264</v>
      </c>
      <c r="JN5" s="282">
        <v>265</v>
      </c>
      <c r="JO5" s="282">
        <v>266</v>
      </c>
      <c r="JP5" s="282">
        <v>267</v>
      </c>
      <c r="JQ5" s="282">
        <v>268</v>
      </c>
      <c r="JR5" s="282">
        <v>269</v>
      </c>
      <c r="JS5" s="282">
        <v>270</v>
      </c>
      <c r="JT5" s="282">
        <v>271</v>
      </c>
      <c r="JU5" s="282">
        <v>272</v>
      </c>
      <c r="JV5" s="282">
        <v>273</v>
      </c>
      <c r="JW5" s="282">
        <v>274</v>
      </c>
      <c r="JX5" s="282">
        <v>275</v>
      </c>
      <c r="JY5" s="282">
        <v>276</v>
      </c>
      <c r="JZ5" s="282">
        <v>277</v>
      </c>
      <c r="KA5" s="282">
        <v>278</v>
      </c>
      <c r="KB5" s="282">
        <v>279</v>
      </c>
      <c r="KC5" s="282">
        <v>280</v>
      </c>
      <c r="KD5" s="282">
        <v>281</v>
      </c>
      <c r="KE5" s="282">
        <v>282</v>
      </c>
      <c r="KF5" s="282">
        <v>283</v>
      </c>
      <c r="KG5" s="282">
        <v>284</v>
      </c>
      <c r="KH5" s="282">
        <v>285</v>
      </c>
      <c r="KI5" s="282">
        <v>286</v>
      </c>
      <c r="KJ5" s="282">
        <v>287</v>
      </c>
      <c r="KK5" s="282">
        <v>288</v>
      </c>
      <c r="KL5" s="282">
        <v>289</v>
      </c>
      <c r="KM5" s="282">
        <v>290</v>
      </c>
      <c r="KN5" s="282">
        <v>291</v>
      </c>
      <c r="KO5" s="282">
        <v>292</v>
      </c>
      <c r="KP5" s="282">
        <v>293</v>
      </c>
      <c r="KQ5" s="282">
        <v>294</v>
      </c>
      <c r="KR5" s="282">
        <v>295</v>
      </c>
      <c r="KS5" s="282">
        <v>296</v>
      </c>
      <c r="KT5" s="282">
        <v>297</v>
      </c>
      <c r="KU5" s="282">
        <v>298</v>
      </c>
      <c r="KV5" s="282">
        <v>299</v>
      </c>
      <c r="KW5" s="282">
        <v>300</v>
      </c>
      <c r="KX5" s="282">
        <v>301</v>
      </c>
      <c r="KY5" s="282">
        <v>302</v>
      </c>
      <c r="KZ5" s="282">
        <v>303</v>
      </c>
      <c r="LA5" s="282">
        <v>304</v>
      </c>
      <c r="LB5" s="282">
        <v>305</v>
      </c>
      <c r="LC5" s="282">
        <v>306</v>
      </c>
      <c r="LD5" s="282">
        <v>307</v>
      </c>
      <c r="LE5" s="282">
        <v>308</v>
      </c>
      <c r="LF5" s="282">
        <v>309</v>
      </c>
      <c r="LG5" s="282">
        <v>310</v>
      </c>
      <c r="LH5" s="282">
        <v>311</v>
      </c>
      <c r="LI5" s="282">
        <v>312</v>
      </c>
      <c r="LJ5" s="282">
        <v>313</v>
      </c>
      <c r="LK5" s="282">
        <v>314</v>
      </c>
      <c r="LL5" s="282">
        <v>315</v>
      </c>
      <c r="LM5" s="282">
        <v>316</v>
      </c>
      <c r="LN5" s="282">
        <v>317</v>
      </c>
      <c r="LO5" s="282">
        <v>318</v>
      </c>
      <c r="LP5" s="282">
        <v>319</v>
      </c>
      <c r="LQ5" s="282">
        <v>320</v>
      </c>
      <c r="LR5" s="282">
        <v>321</v>
      </c>
      <c r="LS5" s="282">
        <v>322</v>
      </c>
      <c r="LT5" s="282">
        <v>323</v>
      </c>
      <c r="LU5" s="282">
        <v>324</v>
      </c>
      <c r="LV5" s="282">
        <v>325</v>
      </c>
      <c r="LW5" s="282">
        <v>326</v>
      </c>
      <c r="LX5" s="282">
        <v>327</v>
      </c>
      <c r="LY5" s="282">
        <v>328</v>
      </c>
      <c r="LZ5" s="282">
        <v>329</v>
      </c>
      <c r="MA5" s="282">
        <v>330</v>
      </c>
      <c r="MB5" s="282">
        <v>331</v>
      </c>
      <c r="MC5" s="282">
        <v>332</v>
      </c>
      <c r="MD5" s="282">
        <v>333</v>
      </c>
      <c r="ME5" s="282">
        <v>334</v>
      </c>
      <c r="MF5" s="282">
        <v>335</v>
      </c>
      <c r="MG5" s="282">
        <v>336</v>
      </c>
      <c r="MH5" s="282">
        <v>337</v>
      </c>
      <c r="MI5" s="282">
        <v>338</v>
      </c>
      <c r="MJ5" s="282">
        <v>339</v>
      </c>
      <c r="MK5" s="282">
        <v>340</v>
      </c>
      <c r="ML5" s="282">
        <v>341</v>
      </c>
      <c r="MM5" s="282">
        <v>342</v>
      </c>
      <c r="MN5" s="282">
        <v>343</v>
      </c>
      <c r="MO5" s="282">
        <v>344</v>
      </c>
      <c r="MP5" s="282">
        <v>345</v>
      </c>
      <c r="MQ5" s="282">
        <v>346</v>
      </c>
      <c r="MR5" s="282">
        <v>347</v>
      </c>
      <c r="MS5" s="282">
        <v>348</v>
      </c>
      <c r="MT5" s="282">
        <v>349</v>
      </c>
      <c r="MU5" s="282">
        <v>350</v>
      </c>
      <c r="MV5" s="282">
        <v>351</v>
      </c>
      <c r="MW5" s="282">
        <v>352</v>
      </c>
      <c r="MX5" s="282">
        <v>353</v>
      </c>
      <c r="MY5" s="282">
        <v>354</v>
      </c>
      <c r="MZ5" s="282">
        <v>355</v>
      </c>
      <c r="NA5" s="282">
        <v>356</v>
      </c>
      <c r="NB5" s="282">
        <v>357</v>
      </c>
      <c r="NC5" s="282">
        <v>358</v>
      </c>
      <c r="ND5" s="282">
        <v>359</v>
      </c>
      <c r="NE5" s="282">
        <v>360</v>
      </c>
      <c r="NF5" s="282">
        <v>361</v>
      </c>
      <c r="NG5" s="282">
        <v>362</v>
      </c>
      <c r="NH5" s="282">
        <v>363</v>
      </c>
      <c r="NI5" s="282">
        <v>364</v>
      </c>
      <c r="NJ5" s="282">
        <v>365</v>
      </c>
      <c r="NK5" s="282">
        <v>366</v>
      </c>
      <c r="NL5" s="282">
        <v>367</v>
      </c>
      <c r="NM5" s="282">
        <v>368</v>
      </c>
      <c r="NN5" s="282">
        <v>369</v>
      </c>
      <c r="NO5" s="282">
        <v>370</v>
      </c>
      <c r="NP5" s="282">
        <v>371</v>
      </c>
      <c r="NQ5" s="282">
        <v>372</v>
      </c>
      <c r="NR5" s="282">
        <v>373</v>
      </c>
      <c r="NS5" s="282">
        <v>374</v>
      </c>
      <c r="NT5" s="282">
        <v>375</v>
      </c>
      <c r="NU5" s="282">
        <v>376</v>
      </c>
      <c r="NV5" s="282">
        <v>377</v>
      </c>
      <c r="NW5" s="282">
        <v>378</v>
      </c>
      <c r="NX5" s="282">
        <v>379</v>
      </c>
      <c r="NY5" s="282">
        <v>380</v>
      </c>
      <c r="NZ5" s="282">
        <v>381</v>
      </c>
      <c r="OA5" s="282">
        <v>382</v>
      </c>
      <c r="OB5" s="282">
        <v>383</v>
      </c>
      <c r="OC5" s="282">
        <v>384</v>
      </c>
      <c r="OD5" s="282">
        <v>385</v>
      </c>
      <c r="OE5" s="282">
        <v>386</v>
      </c>
      <c r="OF5" s="282">
        <v>387</v>
      </c>
      <c r="OG5" s="282">
        <v>388</v>
      </c>
      <c r="OH5" s="282">
        <v>389</v>
      </c>
      <c r="OI5" s="282">
        <v>390</v>
      </c>
      <c r="OJ5" s="282">
        <v>391</v>
      </c>
      <c r="OK5" s="282">
        <v>392</v>
      </c>
      <c r="OL5" s="282">
        <v>393</v>
      </c>
      <c r="OM5" s="282">
        <v>394</v>
      </c>
      <c r="ON5" s="282">
        <v>395</v>
      </c>
      <c r="OO5" s="282">
        <v>396</v>
      </c>
    </row>
    <row r="6" spans="2:406" s="282" customFormat="1" ht="15">
      <c r="B6" s="457"/>
      <c r="C6" s="457"/>
      <c r="F6" s="283"/>
      <c r="G6" s="283"/>
      <c r="H6" s="283"/>
      <c r="I6" s="283"/>
      <c r="J6" s="282">
        <f>YEAR(J7)</f>
        <v>2026</v>
      </c>
      <c r="K6" s="282">
        <f t="shared" ref="K6:M6" si="0">YEAR(K7)</f>
        <v>2026</v>
      </c>
      <c r="L6" s="282">
        <f t="shared" si="0"/>
        <v>2026</v>
      </c>
      <c r="M6" s="282">
        <f t="shared" si="0"/>
        <v>2026</v>
      </c>
      <c r="N6" s="282">
        <f t="shared" ref="N6" si="1">YEAR(N7)</f>
        <v>2026</v>
      </c>
      <c r="O6" s="282">
        <f t="shared" ref="O6:P6" si="2">YEAR(O7)</f>
        <v>2026</v>
      </c>
      <c r="P6" s="282">
        <f t="shared" si="2"/>
        <v>2027</v>
      </c>
      <c r="Q6" s="282">
        <f t="shared" ref="Q6" si="3">YEAR(Q7)</f>
        <v>2027</v>
      </c>
      <c r="R6" s="282">
        <f t="shared" ref="R6:S6" si="4">YEAR(R7)</f>
        <v>2027</v>
      </c>
      <c r="S6" s="282">
        <f t="shared" si="4"/>
        <v>2027</v>
      </c>
      <c r="T6" s="282">
        <f t="shared" ref="T6" si="5">YEAR(T7)</f>
        <v>2027</v>
      </c>
      <c r="U6" s="282">
        <f t="shared" ref="U6:V6" si="6">YEAR(U7)</f>
        <v>2027</v>
      </c>
      <c r="V6" s="282">
        <f t="shared" si="6"/>
        <v>2027</v>
      </c>
      <c r="W6" s="282">
        <f t="shared" ref="W6" si="7">YEAR(W7)</f>
        <v>2027</v>
      </c>
      <c r="X6" s="282">
        <f t="shared" ref="X6:Y6" si="8">YEAR(X7)</f>
        <v>2027</v>
      </c>
      <c r="Y6" s="282">
        <f t="shared" si="8"/>
        <v>2027</v>
      </c>
      <c r="Z6" s="282">
        <f t="shared" ref="Z6" si="9">YEAR(Z7)</f>
        <v>2027</v>
      </c>
      <c r="AA6" s="282">
        <f t="shared" ref="AA6:AB6" si="10">YEAR(AA7)</f>
        <v>2027</v>
      </c>
      <c r="AB6" s="282">
        <f t="shared" si="10"/>
        <v>2028</v>
      </c>
      <c r="AC6" s="282">
        <f t="shared" ref="AC6" si="11">YEAR(AC7)</f>
        <v>2028</v>
      </c>
      <c r="AD6" s="282">
        <f t="shared" ref="AD6:AE6" si="12">YEAR(AD7)</f>
        <v>2028</v>
      </c>
      <c r="AE6" s="282">
        <f t="shared" si="12"/>
        <v>2028</v>
      </c>
      <c r="AF6" s="282">
        <f t="shared" ref="AF6" si="13">YEAR(AF7)</f>
        <v>2028</v>
      </c>
      <c r="AG6" s="282">
        <f t="shared" ref="AG6:AH6" si="14">YEAR(AG7)</f>
        <v>2028</v>
      </c>
      <c r="AH6" s="282">
        <f t="shared" si="14"/>
        <v>2028</v>
      </c>
      <c r="AI6" s="282">
        <f t="shared" ref="AI6" si="15">YEAR(AI7)</f>
        <v>2028</v>
      </c>
      <c r="AJ6" s="282">
        <f t="shared" ref="AJ6:AK6" si="16">YEAR(AJ7)</f>
        <v>2028</v>
      </c>
      <c r="AK6" s="282">
        <f t="shared" si="16"/>
        <v>2028</v>
      </c>
      <c r="AL6" s="282">
        <f t="shared" ref="AL6" si="17">YEAR(AL7)</f>
        <v>2028</v>
      </c>
      <c r="AM6" s="282">
        <f t="shared" ref="AM6:AN6" si="18">YEAR(AM7)</f>
        <v>2028</v>
      </c>
      <c r="AN6" s="282">
        <f t="shared" si="18"/>
        <v>2029</v>
      </c>
      <c r="AO6" s="282">
        <f t="shared" ref="AO6" si="19">YEAR(AO7)</f>
        <v>2029</v>
      </c>
      <c r="AP6" s="282">
        <f t="shared" ref="AP6:AQ6" si="20">YEAR(AP7)</f>
        <v>2029</v>
      </c>
      <c r="AQ6" s="282">
        <f t="shared" si="20"/>
        <v>2029</v>
      </c>
      <c r="AR6" s="282">
        <f t="shared" ref="AR6" si="21">YEAR(AR7)</f>
        <v>2029</v>
      </c>
      <c r="AS6" s="282">
        <f t="shared" ref="AS6:AT6" si="22">YEAR(AS7)</f>
        <v>2029</v>
      </c>
      <c r="AT6" s="282">
        <f t="shared" si="22"/>
        <v>2029</v>
      </c>
      <c r="AU6" s="282">
        <f t="shared" ref="AU6" si="23">YEAR(AU7)</f>
        <v>2029</v>
      </c>
      <c r="AV6" s="282">
        <f t="shared" ref="AV6:AW6" si="24">YEAR(AV7)</f>
        <v>2029</v>
      </c>
      <c r="AW6" s="282">
        <f t="shared" si="24"/>
        <v>2029</v>
      </c>
      <c r="AX6" s="282">
        <f t="shared" ref="AX6" si="25">YEAR(AX7)</f>
        <v>2029</v>
      </c>
      <c r="AY6" s="282">
        <f t="shared" ref="AY6:AZ6" si="26">YEAR(AY7)</f>
        <v>2029</v>
      </c>
      <c r="AZ6" s="282">
        <f t="shared" si="26"/>
        <v>2030</v>
      </c>
      <c r="BA6" s="282">
        <f t="shared" ref="BA6" si="27">YEAR(BA7)</f>
        <v>2030</v>
      </c>
      <c r="BB6" s="282">
        <f t="shared" ref="BB6:BC6" si="28">YEAR(BB7)</f>
        <v>2030</v>
      </c>
      <c r="BC6" s="282">
        <f t="shared" si="28"/>
        <v>2030</v>
      </c>
      <c r="BD6" s="282">
        <f t="shared" ref="BD6" si="29">YEAR(BD7)</f>
        <v>2030</v>
      </c>
      <c r="BE6" s="282">
        <f t="shared" ref="BE6:BF6" si="30">YEAR(BE7)</f>
        <v>2030</v>
      </c>
      <c r="BF6" s="282">
        <f t="shared" si="30"/>
        <v>2030</v>
      </c>
      <c r="BG6" s="282">
        <f t="shared" ref="BG6" si="31">YEAR(BG7)</f>
        <v>2030</v>
      </c>
      <c r="BH6" s="282">
        <f t="shared" ref="BH6:BI6" si="32">YEAR(BH7)</f>
        <v>2030</v>
      </c>
      <c r="BI6" s="282">
        <f t="shared" si="32"/>
        <v>2030</v>
      </c>
      <c r="BJ6" s="282">
        <f t="shared" ref="BJ6" si="33">YEAR(BJ7)</f>
        <v>2030</v>
      </c>
      <c r="BK6" s="282">
        <f t="shared" ref="BK6:BL6" si="34">YEAR(BK7)</f>
        <v>2030</v>
      </c>
      <c r="BL6" s="282">
        <f t="shared" si="34"/>
        <v>2031</v>
      </c>
      <c r="BM6" s="282">
        <f t="shared" ref="BM6" si="35">YEAR(BM7)</f>
        <v>2031</v>
      </c>
      <c r="BN6" s="282">
        <f t="shared" ref="BN6:BO6" si="36">YEAR(BN7)</f>
        <v>2031</v>
      </c>
      <c r="BO6" s="282">
        <f t="shared" si="36"/>
        <v>2031</v>
      </c>
      <c r="BP6" s="282">
        <f t="shared" ref="BP6" si="37">YEAR(BP7)</f>
        <v>2031</v>
      </c>
      <c r="BQ6" s="282">
        <f t="shared" ref="BQ6:BR6" si="38">YEAR(BQ7)</f>
        <v>2031</v>
      </c>
      <c r="BR6" s="282">
        <f t="shared" si="38"/>
        <v>2031</v>
      </c>
      <c r="BS6" s="282">
        <f t="shared" ref="BS6" si="39">YEAR(BS7)</f>
        <v>2031</v>
      </c>
      <c r="BT6" s="282">
        <f t="shared" ref="BT6:BU6" si="40">YEAR(BT7)</f>
        <v>2031</v>
      </c>
      <c r="BU6" s="282">
        <f t="shared" si="40"/>
        <v>2031</v>
      </c>
      <c r="BV6" s="282">
        <f t="shared" ref="BV6" si="41">YEAR(BV7)</f>
        <v>2031</v>
      </c>
      <c r="BW6" s="282">
        <f t="shared" ref="BW6:BX6" si="42">YEAR(BW7)</f>
        <v>2031</v>
      </c>
      <c r="BX6" s="282">
        <f t="shared" si="42"/>
        <v>2032</v>
      </c>
      <c r="BY6" s="282">
        <f t="shared" ref="BY6" si="43">YEAR(BY7)</f>
        <v>2032</v>
      </c>
      <c r="BZ6" s="282">
        <f t="shared" ref="BZ6:CA6" si="44">YEAR(BZ7)</f>
        <v>2032</v>
      </c>
      <c r="CA6" s="282">
        <f t="shared" si="44"/>
        <v>2032</v>
      </c>
      <c r="CB6" s="282">
        <f t="shared" ref="CB6" si="45">YEAR(CB7)</f>
        <v>2032</v>
      </c>
      <c r="CC6" s="282">
        <f t="shared" ref="CC6:CD6" si="46">YEAR(CC7)</f>
        <v>2032</v>
      </c>
      <c r="CD6" s="282">
        <f t="shared" si="46"/>
        <v>2032</v>
      </c>
      <c r="CE6" s="282">
        <f t="shared" ref="CE6" si="47">YEAR(CE7)</f>
        <v>2032</v>
      </c>
      <c r="CF6" s="282">
        <f t="shared" ref="CF6:CG6" si="48">YEAR(CF7)</f>
        <v>2032</v>
      </c>
      <c r="CG6" s="282">
        <f t="shared" si="48"/>
        <v>2032</v>
      </c>
      <c r="CH6" s="282">
        <f t="shared" ref="CH6" si="49">YEAR(CH7)</f>
        <v>2032</v>
      </c>
      <c r="CI6" s="282">
        <f t="shared" ref="CI6:CJ6" si="50">YEAR(CI7)</f>
        <v>2032</v>
      </c>
      <c r="CJ6" s="282">
        <f t="shared" si="50"/>
        <v>2033</v>
      </c>
      <c r="CK6" s="282">
        <f t="shared" ref="CK6" si="51">YEAR(CK7)</f>
        <v>2033</v>
      </c>
      <c r="CL6" s="282">
        <f t="shared" ref="CL6:CM6" si="52">YEAR(CL7)</f>
        <v>2033</v>
      </c>
      <c r="CM6" s="282">
        <f t="shared" si="52"/>
        <v>2033</v>
      </c>
      <c r="CN6" s="282">
        <f t="shared" ref="CN6" si="53">YEAR(CN7)</f>
        <v>2033</v>
      </c>
      <c r="CO6" s="282">
        <f t="shared" ref="CO6:CP6" si="54">YEAR(CO7)</f>
        <v>2033</v>
      </c>
      <c r="CP6" s="282">
        <f t="shared" si="54"/>
        <v>2033</v>
      </c>
      <c r="CQ6" s="282">
        <f t="shared" ref="CQ6" si="55">YEAR(CQ7)</f>
        <v>2033</v>
      </c>
      <c r="CR6" s="282">
        <f t="shared" ref="CR6:CS6" si="56">YEAR(CR7)</f>
        <v>2033</v>
      </c>
      <c r="CS6" s="282">
        <f t="shared" si="56"/>
        <v>2033</v>
      </c>
      <c r="CT6" s="282">
        <f t="shared" ref="CT6" si="57">YEAR(CT7)</f>
        <v>2033</v>
      </c>
      <c r="CU6" s="282">
        <f t="shared" ref="CU6:CV6" si="58">YEAR(CU7)</f>
        <v>2033</v>
      </c>
      <c r="CV6" s="282">
        <f t="shared" si="58"/>
        <v>2034</v>
      </c>
      <c r="CW6" s="282">
        <f t="shared" ref="CW6" si="59">YEAR(CW7)</f>
        <v>2034</v>
      </c>
      <c r="CX6" s="282">
        <f t="shared" ref="CX6:CY6" si="60">YEAR(CX7)</f>
        <v>2034</v>
      </c>
      <c r="CY6" s="282">
        <f t="shared" si="60"/>
        <v>2034</v>
      </c>
      <c r="CZ6" s="282">
        <f t="shared" ref="CZ6" si="61">YEAR(CZ7)</f>
        <v>2034</v>
      </c>
      <c r="DA6" s="282">
        <f t="shared" ref="DA6:DB6" si="62">YEAR(DA7)</f>
        <v>2034</v>
      </c>
      <c r="DB6" s="282">
        <f t="shared" si="62"/>
        <v>2034</v>
      </c>
      <c r="DC6" s="282">
        <f t="shared" ref="DC6" si="63">YEAR(DC7)</f>
        <v>2034</v>
      </c>
      <c r="DD6" s="282">
        <f t="shared" ref="DD6:DE6" si="64">YEAR(DD7)</f>
        <v>2034</v>
      </c>
      <c r="DE6" s="282">
        <f t="shared" si="64"/>
        <v>2034</v>
      </c>
      <c r="DF6" s="282">
        <f t="shared" ref="DF6" si="65">YEAR(DF7)</f>
        <v>2034</v>
      </c>
      <c r="DG6" s="282">
        <f t="shared" ref="DG6:DH6" si="66">YEAR(DG7)</f>
        <v>2034</v>
      </c>
      <c r="DH6" s="282">
        <f t="shared" si="66"/>
        <v>2035</v>
      </c>
      <c r="DI6" s="282">
        <f t="shared" ref="DI6" si="67">YEAR(DI7)</f>
        <v>2035</v>
      </c>
      <c r="DJ6" s="282">
        <f t="shared" ref="DJ6:DK6" si="68">YEAR(DJ7)</f>
        <v>2035</v>
      </c>
      <c r="DK6" s="282">
        <f t="shared" si="68"/>
        <v>2035</v>
      </c>
      <c r="DL6" s="282">
        <f t="shared" ref="DL6" si="69">YEAR(DL7)</f>
        <v>2035</v>
      </c>
      <c r="DM6" s="282">
        <f t="shared" ref="DM6:DN6" si="70">YEAR(DM7)</f>
        <v>2035</v>
      </c>
      <c r="DN6" s="282">
        <f t="shared" si="70"/>
        <v>2035</v>
      </c>
      <c r="DO6" s="282">
        <f t="shared" ref="DO6" si="71">YEAR(DO7)</f>
        <v>2035</v>
      </c>
      <c r="DP6" s="282">
        <f t="shared" ref="DP6:DQ6" si="72">YEAR(DP7)</f>
        <v>2035</v>
      </c>
      <c r="DQ6" s="282">
        <f t="shared" si="72"/>
        <v>2035</v>
      </c>
      <c r="DR6" s="282">
        <f t="shared" ref="DR6" si="73">YEAR(DR7)</f>
        <v>2035</v>
      </c>
      <c r="DS6" s="282">
        <f t="shared" ref="DS6:DT6" si="74">YEAR(DS7)</f>
        <v>2035</v>
      </c>
      <c r="DT6" s="282">
        <f t="shared" si="74"/>
        <v>2036</v>
      </c>
      <c r="DU6" s="282">
        <f t="shared" ref="DU6" si="75">YEAR(DU7)</f>
        <v>2036</v>
      </c>
      <c r="DV6" s="282">
        <f t="shared" ref="DV6:DW6" si="76">YEAR(DV7)</f>
        <v>2036</v>
      </c>
      <c r="DW6" s="282">
        <f t="shared" si="76"/>
        <v>2036</v>
      </c>
      <c r="DX6" s="282">
        <f t="shared" ref="DX6" si="77">YEAR(DX7)</f>
        <v>2036</v>
      </c>
      <c r="DY6" s="282">
        <f t="shared" ref="DY6:DZ6" si="78">YEAR(DY7)</f>
        <v>2036</v>
      </c>
      <c r="DZ6" s="282">
        <f t="shared" si="78"/>
        <v>2036</v>
      </c>
      <c r="EA6" s="282">
        <f t="shared" ref="EA6" si="79">YEAR(EA7)</f>
        <v>2036</v>
      </c>
      <c r="EB6" s="282">
        <f t="shared" ref="EB6:EC6" si="80">YEAR(EB7)</f>
        <v>2036</v>
      </c>
      <c r="EC6" s="282">
        <f t="shared" si="80"/>
        <v>2036</v>
      </c>
      <c r="ED6" s="282">
        <f t="shared" ref="ED6" si="81">YEAR(ED7)</f>
        <v>2036</v>
      </c>
      <c r="EE6" s="282">
        <f t="shared" ref="EE6:EF6" si="82">YEAR(EE7)</f>
        <v>2036</v>
      </c>
      <c r="EF6" s="282">
        <f t="shared" si="82"/>
        <v>2037</v>
      </c>
      <c r="EG6" s="282">
        <f t="shared" ref="EG6" si="83">YEAR(EG7)</f>
        <v>2037</v>
      </c>
      <c r="EH6" s="282">
        <f t="shared" ref="EH6:EI6" si="84">YEAR(EH7)</f>
        <v>2037</v>
      </c>
      <c r="EI6" s="282">
        <f t="shared" si="84"/>
        <v>2037</v>
      </c>
      <c r="EJ6" s="282">
        <f t="shared" ref="EJ6" si="85">YEAR(EJ7)</f>
        <v>2037</v>
      </c>
      <c r="EK6" s="282">
        <f t="shared" ref="EK6:EL6" si="86">YEAR(EK7)</f>
        <v>2037</v>
      </c>
      <c r="EL6" s="282">
        <f t="shared" si="86"/>
        <v>2037</v>
      </c>
      <c r="EM6" s="282">
        <f t="shared" ref="EM6" si="87">YEAR(EM7)</f>
        <v>2037</v>
      </c>
      <c r="EN6" s="282">
        <f t="shared" ref="EN6:EO6" si="88">YEAR(EN7)</f>
        <v>2037</v>
      </c>
      <c r="EO6" s="282">
        <f t="shared" si="88"/>
        <v>2037</v>
      </c>
      <c r="EP6" s="282">
        <f t="shared" ref="EP6" si="89">YEAR(EP7)</f>
        <v>2037</v>
      </c>
      <c r="EQ6" s="282">
        <f t="shared" ref="EQ6:ER6" si="90">YEAR(EQ7)</f>
        <v>2037</v>
      </c>
      <c r="ER6" s="282">
        <f t="shared" si="90"/>
        <v>2038</v>
      </c>
      <c r="ES6" s="282">
        <f t="shared" ref="ES6" si="91">YEAR(ES7)</f>
        <v>2038</v>
      </c>
      <c r="ET6" s="282">
        <f t="shared" ref="ET6:EU6" si="92">YEAR(ET7)</f>
        <v>2038</v>
      </c>
      <c r="EU6" s="282">
        <f t="shared" si="92"/>
        <v>2038</v>
      </c>
      <c r="EV6" s="282">
        <f t="shared" ref="EV6" si="93">YEAR(EV7)</f>
        <v>2038</v>
      </c>
      <c r="EW6" s="282">
        <f t="shared" ref="EW6:EX6" si="94">YEAR(EW7)</f>
        <v>2038</v>
      </c>
      <c r="EX6" s="282">
        <f t="shared" si="94"/>
        <v>2038</v>
      </c>
      <c r="EY6" s="282">
        <f t="shared" ref="EY6" si="95">YEAR(EY7)</f>
        <v>2038</v>
      </c>
      <c r="EZ6" s="282">
        <f t="shared" ref="EZ6:FA6" si="96">YEAR(EZ7)</f>
        <v>2038</v>
      </c>
      <c r="FA6" s="282">
        <f t="shared" si="96"/>
        <v>2038</v>
      </c>
      <c r="FB6" s="282">
        <f t="shared" ref="FB6" si="97">YEAR(FB7)</f>
        <v>2038</v>
      </c>
      <c r="FC6" s="282">
        <f t="shared" ref="FC6:FD6" si="98">YEAR(FC7)</f>
        <v>2038</v>
      </c>
      <c r="FD6" s="282">
        <f t="shared" si="98"/>
        <v>2039</v>
      </c>
      <c r="FE6" s="282">
        <f t="shared" ref="FE6" si="99">YEAR(FE7)</f>
        <v>2039</v>
      </c>
      <c r="FF6" s="282">
        <f t="shared" ref="FF6:FG6" si="100">YEAR(FF7)</f>
        <v>2039</v>
      </c>
      <c r="FG6" s="282">
        <f t="shared" si="100"/>
        <v>2039</v>
      </c>
      <c r="FH6" s="282">
        <f t="shared" ref="FH6" si="101">YEAR(FH7)</f>
        <v>2039</v>
      </c>
      <c r="FI6" s="282">
        <f t="shared" ref="FI6:FJ6" si="102">YEAR(FI7)</f>
        <v>2039</v>
      </c>
      <c r="FJ6" s="282">
        <f t="shared" si="102"/>
        <v>2039</v>
      </c>
      <c r="FK6" s="282">
        <f t="shared" ref="FK6" si="103">YEAR(FK7)</f>
        <v>2039</v>
      </c>
      <c r="FL6" s="282">
        <f t="shared" ref="FL6:FM6" si="104">YEAR(FL7)</f>
        <v>2039</v>
      </c>
      <c r="FM6" s="282">
        <f t="shared" si="104"/>
        <v>2039</v>
      </c>
      <c r="FN6" s="282">
        <f t="shared" ref="FN6" si="105">YEAR(FN7)</f>
        <v>2039</v>
      </c>
      <c r="FO6" s="282">
        <f t="shared" ref="FO6:FP6" si="106">YEAR(FO7)</f>
        <v>2039</v>
      </c>
      <c r="FP6" s="282">
        <f t="shared" si="106"/>
        <v>2040</v>
      </c>
      <c r="FQ6" s="282">
        <f t="shared" ref="FQ6" si="107">YEAR(FQ7)</f>
        <v>2040</v>
      </c>
      <c r="FR6" s="282">
        <f t="shared" ref="FR6:FS6" si="108">YEAR(FR7)</f>
        <v>2040</v>
      </c>
      <c r="FS6" s="282">
        <f t="shared" si="108"/>
        <v>2040</v>
      </c>
      <c r="FT6" s="282">
        <f t="shared" ref="FT6" si="109">YEAR(FT7)</f>
        <v>2040</v>
      </c>
      <c r="FU6" s="282">
        <f t="shared" ref="FU6:FV6" si="110">YEAR(FU7)</f>
        <v>2040</v>
      </c>
      <c r="FV6" s="282">
        <f t="shared" si="110"/>
        <v>2040</v>
      </c>
      <c r="FW6" s="282">
        <f t="shared" ref="FW6" si="111">YEAR(FW7)</f>
        <v>2040</v>
      </c>
      <c r="FX6" s="282">
        <f t="shared" ref="FX6:FY6" si="112">YEAR(FX7)</f>
        <v>2040</v>
      </c>
      <c r="FY6" s="282">
        <f t="shared" si="112"/>
        <v>2040</v>
      </c>
      <c r="FZ6" s="282">
        <f t="shared" ref="FZ6" si="113">YEAR(FZ7)</f>
        <v>2040</v>
      </c>
      <c r="GA6" s="282">
        <f t="shared" ref="GA6:GB6" si="114">YEAR(GA7)</f>
        <v>2040</v>
      </c>
      <c r="GB6" s="282">
        <f t="shared" si="114"/>
        <v>2041</v>
      </c>
      <c r="GC6" s="282">
        <f t="shared" ref="GC6" si="115">YEAR(GC7)</f>
        <v>2041</v>
      </c>
      <c r="GD6" s="282">
        <f t="shared" ref="GD6:GE6" si="116">YEAR(GD7)</f>
        <v>2041</v>
      </c>
      <c r="GE6" s="282">
        <f t="shared" si="116"/>
        <v>2041</v>
      </c>
      <c r="GF6" s="282">
        <f t="shared" ref="GF6" si="117">YEAR(GF7)</f>
        <v>2041</v>
      </c>
      <c r="GG6" s="282">
        <f t="shared" ref="GG6:GH6" si="118">YEAR(GG7)</f>
        <v>2041</v>
      </c>
      <c r="GH6" s="282">
        <f t="shared" si="118"/>
        <v>2041</v>
      </c>
      <c r="GI6" s="282">
        <f t="shared" ref="GI6" si="119">YEAR(GI7)</f>
        <v>2041</v>
      </c>
      <c r="GJ6" s="282">
        <f t="shared" ref="GJ6:GK6" si="120">YEAR(GJ7)</f>
        <v>2041</v>
      </c>
      <c r="GK6" s="282">
        <f t="shared" si="120"/>
        <v>2041</v>
      </c>
      <c r="GL6" s="282">
        <f t="shared" ref="GL6" si="121">YEAR(GL7)</f>
        <v>2041</v>
      </c>
      <c r="GM6" s="282">
        <f t="shared" ref="GM6:GN6" si="122">YEAR(GM7)</f>
        <v>2041</v>
      </c>
      <c r="GN6" s="282">
        <f t="shared" si="122"/>
        <v>2042</v>
      </c>
      <c r="GO6" s="282">
        <f t="shared" ref="GO6" si="123">YEAR(GO7)</f>
        <v>2042</v>
      </c>
      <c r="GP6" s="282">
        <f t="shared" ref="GP6:GQ6" si="124">YEAR(GP7)</f>
        <v>2042</v>
      </c>
      <c r="GQ6" s="282">
        <f t="shared" si="124"/>
        <v>2042</v>
      </c>
      <c r="GR6" s="282">
        <f t="shared" ref="GR6" si="125">YEAR(GR7)</f>
        <v>2042</v>
      </c>
      <c r="GS6" s="282">
        <f t="shared" ref="GS6:GT6" si="126">YEAR(GS7)</f>
        <v>2042</v>
      </c>
      <c r="GT6" s="282">
        <f t="shared" si="126"/>
        <v>2042</v>
      </c>
      <c r="GU6" s="282">
        <f t="shared" ref="GU6" si="127">YEAR(GU7)</f>
        <v>2042</v>
      </c>
      <c r="GV6" s="282">
        <f t="shared" ref="GV6:GW6" si="128">YEAR(GV7)</f>
        <v>2042</v>
      </c>
      <c r="GW6" s="282">
        <f t="shared" si="128"/>
        <v>2042</v>
      </c>
      <c r="GX6" s="282">
        <f t="shared" ref="GX6" si="129">YEAR(GX7)</f>
        <v>2042</v>
      </c>
      <c r="GY6" s="282">
        <f t="shared" ref="GY6:GZ6" si="130">YEAR(GY7)</f>
        <v>2042</v>
      </c>
      <c r="GZ6" s="282">
        <f t="shared" si="130"/>
        <v>2043</v>
      </c>
      <c r="HA6" s="282">
        <f t="shared" ref="HA6" si="131">YEAR(HA7)</f>
        <v>2043</v>
      </c>
      <c r="HB6" s="282">
        <f t="shared" ref="HB6:HC6" si="132">YEAR(HB7)</f>
        <v>2043</v>
      </c>
      <c r="HC6" s="282">
        <f t="shared" si="132"/>
        <v>2043</v>
      </c>
      <c r="HD6" s="282">
        <f t="shared" ref="HD6" si="133">YEAR(HD7)</f>
        <v>2043</v>
      </c>
      <c r="HE6" s="282">
        <f t="shared" ref="HE6:HF6" si="134">YEAR(HE7)</f>
        <v>2043</v>
      </c>
      <c r="HF6" s="282">
        <f t="shared" si="134"/>
        <v>2043</v>
      </c>
      <c r="HG6" s="282">
        <f t="shared" ref="HG6" si="135">YEAR(HG7)</f>
        <v>2043</v>
      </c>
      <c r="HH6" s="282">
        <f t="shared" ref="HH6:HI6" si="136">YEAR(HH7)</f>
        <v>2043</v>
      </c>
      <c r="HI6" s="282">
        <f t="shared" si="136"/>
        <v>2043</v>
      </c>
      <c r="HJ6" s="282">
        <f t="shared" ref="HJ6" si="137">YEAR(HJ7)</f>
        <v>2043</v>
      </c>
      <c r="HK6" s="282">
        <f t="shared" ref="HK6:HL6" si="138">YEAR(HK7)</f>
        <v>2043</v>
      </c>
      <c r="HL6" s="282">
        <f t="shared" si="138"/>
        <v>2044</v>
      </c>
      <c r="HM6" s="282">
        <f t="shared" ref="HM6" si="139">YEAR(HM7)</f>
        <v>2044</v>
      </c>
      <c r="HN6" s="282">
        <f t="shared" ref="HN6:HO6" si="140">YEAR(HN7)</f>
        <v>2044</v>
      </c>
      <c r="HO6" s="282">
        <f t="shared" si="140"/>
        <v>2044</v>
      </c>
      <c r="HP6" s="282">
        <f t="shared" ref="HP6" si="141">YEAR(HP7)</f>
        <v>2044</v>
      </c>
      <c r="HQ6" s="282">
        <f t="shared" ref="HQ6:HR6" si="142">YEAR(HQ7)</f>
        <v>2044</v>
      </c>
      <c r="HR6" s="282">
        <f t="shared" si="142"/>
        <v>2044</v>
      </c>
      <c r="HS6" s="282">
        <f t="shared" ref="HS6" si="143">YEAR(HS7)</f>
        <v>2044</v>
      </c>
      <c r="HT6" s="282">
        <f t="shared" ref="HT6:HU6" si="144">YEAR(HT7)</f>
        <v>2044</v>
      </c>
      <c r="HU6" s="282">
        <f t="shared" si="144"/>
        <v>2044</v>
      </c>
      <c r="HV6" s="282">
        <f t="shared" ref="HV6" si="145">YEAR(HV7)</f>
        <v>2044</v>
      </c>
      <c r="HW6" s="282">
        <f t="shared" ref="HW6:HX6" si="146">YEAR(HW7)</f>
        <v>2044</v>
      </c>
      <c r="HX6" s="282">
        <f t="shared" si="146"/>
        <v>2045</v>
      </c>
      <c r="HY6" s="282">
        <f t="shared" ref="HY6" si="147">YEAR(HY7)</f>
        <v>2045</v>
      </c>
      <c r="HZ6" s="282">
        <f t="shared" ref="HZ6:IA6" si="148">YEAR(HZ7)</f>
        <v>2045</v>
      </c>
      <c r="IA6" s="282">
        <f t="shared" si="148"/>
        <v>2045</v>
      </c>
      <c r="IB6" s="282">
        <f t="shared" ref="IB6" si="149">YEAR(IB7)</f>
        <v>2045</v>
      </c>
      <c r="IC6" s="282">
        <f t="shared" ref="IC6:ID6" si="150">YEAR(IC7)</f>
        <v>2045</v>
      </c>
      <c r="ID6" s="282">
        <f t="shared" si="150"/>
        <v>2045</v>
      </c>
      <c r="IE6" s="282">
        <f t="shared" ref="IE6" si="151">YEAR(IE7)</f>
        <v>2045</v>
      </c>
      <c r="IF6" s="282">
        <f t="shared" ref="IF6:IG6" si="152">YEAR(IF7)</f>
        <v>2045</v>
      </c>
      <c r="IG6" s="282">
        <f t="shared" si="152"/>
        <v>2045</v>
      </c>
      <c r="IH6" s="282">
        <f t="shared" ref="IH6" si="153">YEAR(IH7)</f>
        <v>2045</v>
      </c>
      <c r="II6" s="282">
        <f t="shared" ref="II6:IJ6" si="154">YEAR(II7)</f>
        <v>2045</v>
      </c>
      <c r="IJ6" s="282">
        <f t="shared" si="154"/>
        <v>2046</v>
      </c>
      <c r="IK6" s="282">
        <f t="shared" ref="IK6" si="155">YEAR(IK7)</f>
        <v>2046</v>
      </c>
      <c r="IL6" s="282">
        <f t="shared" ref="IL6:IM6" si="156">YEAR(IL7)</f>
        <v>2046</v>
      </c>
      <c r="IM6" s="282">
        <f t="shared" si="156"/>
        <v>2046</v>
      </c>
      <c r="IN6" s="282">
        <f t="shared" ref="IN6" si="157">YEAR(IN7)</f>
        <v>2046</v>
      </c>
      <c r="IO6" s="282">
        <f t="shared" ref="IO6:IP6" si="158">YEAR(IO7)</f>
        <v>2046</v>
      </c>
      <c r="IP6" s="282">
        <f t="shared" si="158"/>
        <v>2046</v>
      </c>
      <c r="IQ6" s="282">
        <f t="shared" ref="IQ6" si="159">YEAR(IQ7)</f>
        <v>2046</v>
      </c>
      <c r="IR6" s="282">
        <f t="shared" ref="IR6:IS6" si="160">YEAR(IR7)</f>
        <v>2046</v>
      </c>
      <c r="IS6" s="282">
        <f t="shared" si="160"/>
        <v>2046</v>
      </c>
      <c r="IT6" s="282">
        <f t="shared" ref="IT6" si="161">YEAR(IT7)</f>
        <v>2046</v>
      </c>
      <c r="IU6" s="282">
        <f t="shared" ref="IU6:IV6" si="162">YEAR(IU7)</f>
        <v>2046</v>
      </c>
      <c r="IV6" s="282">
        <f t="shared" si="162"/>
        <v>2047</v>
      </c>
      <c r="IW6" s="282">
        <f t="shared" ref="IW6" si="163">YEAR(IW7)</f>
        <v>2047</v>
      </c>
      <c r="IX6" s="282">
        <f t="shared" ref="IX6:IY6" si="164">YEAR(IX7)</f>
        <v>2047</v>
      </c>
      <c r="IY6" s="282">
        <f t="shared" si="164"/>
        <v>2047</v>
      </c>
      <c r="IZ6" s="282">
        <f t="shared" ref="IZ6" si="165">YEAR(IZ7)</f>
        <v>2047</v>
      </c>
      <c r="JA6" s="282">
        <f t="shared" ref="JA6:JB6" si="166">YEAR(JA7)</f>
        <v>2047</v>
      </c>
      <c r="JB6" s="282">
        <f t="shared" si="166"/>
        <v>2047</v>
      </c>
      <c r="JC6" s="282">
        <f t="shared" ref="JC6" si="167">YEAR(JC7)</f>
        <v>2047</v>
      </c>
      <c r="JD6" s="282">
        <f t="shared" ref="JD6:JE6" si="168">YEAR(JD7)</f>
        <v>2047</v>
      </c>
      <c r="JE6" s="282">
        <f t="shared" si="168"/>
        <v>2047</v>
      </c>
      <c r="JF6" s="282">
        <f t="shared" ref="JF6" si="169">YEAR(JF7)</f>
        <v>2047</v>
      </c>
      <c r="JG6" s="282">
        <f t="shared" ref="JG6:JH6" si="170">YEAR(JG7)</f>
        <v>2047</v>
      </c>
      <c r="JH6" s="282">
        <f t="shared" si="170"/>
        <v>2048</v>
      </c>
      <c r="JI6" s="282">
        <f t="shared" ref="JI6" si="171">YEAR(JI7)</f>
        <v>2048</v>
      </c>
      <c r="JJ6" s="282">
        <f t="shared" ref="JJ6:JK6" si="172">YEAR(JJ7)</f>
        <v>2048</v>
      </c>
      <c r="JK6" s="282">
        <f t="shared" si="172"/>
        <v>2048</v>
      </c>
      <c r="JL6" s="282">
        <f t="shared" ref="JL6" si="173">YEAR(JL7)</f>
        <v>2048</v>
      </c>
      <c r="JM6" s="282">
        <f t="shared" ref="JM6:JN6" si="174">YEAR(JM7)</f>
        <v>2048</v>
      </c>
      <c r="JN6" s="282">
        <f t="shared" si="174"/>
        <v>2048</v>
      </c>
      <c r="JO6" s="282">
        <f t="shared" ref="JO6" si="175">YEAR(JO7)</f>
        <v>2048</v>
      </c>
      <c r="JP6" s="282">
        <f t="shared" ref="JP6:JQ6" si="176">YEAR(JP7)</f>
        <v>2048</v>
      </c>
      <c r="JQ6" s="282">
        <f t="shared" si="176"/>
        <v>2048</v>
      </c>
      <c r="JR6" s="282">
        <f t="shared" ref="JR6" si="177">YEAR(JR7)</f>
        <v>2048</v>
      </c>
      <c r="JS6" s="282">
        <f t="shared" ref="JS6:JT6" si="178">YEAR(JS7)</f>
        <v>2048</v>
      </c>
      <c r="JT6" s="282">
        <f t="shared" si="178"/>
        <v>2049</v>
      </c>
      <c r="JU6" s="282">
        <f t="shared" ref="JU6" si="179">YEAR(JU7)</f>
        <v>2049</v>
      </c>
      <c r="JV6" s="282">
        <f t="shared" ref="JV6:JW6" si="180">YEAR(JV7)</f>
        <v>2049</v>
      </c>
      <c r="JW6" s="282">
        <f t="shared" si="180"/>
        <v>2049</v>
      </c>
      <c r="JX6" s="282">
        <f t="shared" ref="JX6" si="181">YEAR(JX7)</f>
        <v>2049</v>
      </c>
      <c r="JY6" s="282">
        <f t="shared" ref="JY6:JZ6" si="182">YEAR(JY7)</f>
        <v>2049</v>
      </c>
      <c r="JZ6" s="282">
        <f t="shared" si="182"/>
        <v>2049</v>
      </c>
      <c r="KA6" s="282">
        <f t="shared" ref="KA6" si="183">YEAR(KA7)</f>
        <v>2049</v>
      </c>
      <c r="KB6" s="282">
        <f t="shared" ref="KB6:KC6" si="184">YEAR(KB7)</f>
        <v>2049</v>
      </c>
      <c r="KC6" s="282">
        <f t="shared" si="184"/>
        <v>2049</v>
      </c>
      <c r="KD6" s="282">
        <f t="shared" ref="KD6" si="185">YEAR(KD7)</f>
        <v>2049</v>
      </c>
      <c r="KE6" s="282">
        <f t="shared" ref="KE6:KF6" si="186">YEAR(KE7)</f>
        <v>2049</v>
      </c>
      <c r="KF6" s="282">
        <f t="shared" si="186"/>
        <v>2050</v>
      </c>
      <c r="KG6" s="282">
        <f t="shared" ref="KG6" si="187">YEAR(KG7)</f>
        <v>2050</v>
      </c>
      <c r="KH6" s="282">
        <f t="shared" ref="KH6:KI6" si="188">YEAR(KH7)</f>
        <v>2050</v>
      </c>
      <c r="KI6" s="282">
        <f t="shared" si="188"/>
        <v>2050</v>
      </c>
      <c r="KJ6" s="282">
        <f t="shared" ref="KJ6" si="189">YEAR(KJ7)</f>
        <v>2050</v>
      </c>
      <c r="KK6" s="282">
        <f t="shared" ref="KK6:KL6" si="190">YEAR(KK7)</f>
        <v>2050</v>
      </c>
      <c r="KL6" s="282">
        <f t="shared" si="190"/>
        <v>2050</v>
      </c>
      <c r="KM6" s="282">
        <f t="shared" ref="KM6" si="191">YEAR(KM7)</f>
        <v>2050</v>
      </c>
      <c r="KN6" s="282">
        <f t="shared" ref="KN6:KO6" si="192">YEAR(KN7)</f>
        <v>2050</v>
      </c>
      <c r="KO6" s="282">
        <f t="shared" si="192"/>
        <v>2050</v>
      </c>
      <c r="KP6" s="282">
        <f t="shared" ref="KP6" si="193">YEAR(KP7)</f>
        <v>2050</v>
      </c>
      <c r="KQ6" s="282">
        <f t="shared" ref="KQ6:KR6" si="194">YEAR(KQ7)</f>
        <v>2050</v>
      </c>
      <c r="KR6" s="282">
        <f t="shared" si="194"/>
        <v>2051</v>
      </c>
      <c r="KS6" s="282">
        <f t="shared" ref="KS6" si="195">YEAR(KS7)</f>
        <v>2051</v>
      </c>
      <c r="KT6" s="282">
        <f t="shared" ref="KT6:KU6" si="196">YEAR(KT7)</f>
        <v>2051</v>
      </c>
      <c r="KU6" s="282">
        <f t="shared" si="196"/>
        <v>2051</v>
      </c>
      <c r="KV6" s="282">
        <f t="shared" ref="KV6" si="197">YEAR(KV7)</f>
        <v>2051</v>
      </c>
      <c r="KW6" s="282">
        <f t="shared" ref="KW6:KX6" si="198">YEAR(KW7)</f>
        <v>2051</v>
      </c>
      <c r="KX6" s="282">
        <f t="shared" si="198"/>
        <v>2051</v>
      </c>
      <c r="KY6" s="282">
        <f t="shared" ref="KY6" si="199">YEAR(KY7)</f>
        <v>2051</v>
      </c>
      <c r="KZ6" s="282">
        <f t="shared" ref="KZ6:LA6" si="200">YEAR(KZ7)</f>
        <v>2051</v>
      </c>
      <c r="LA6" s="282">
        <f t="shared" si="200"/>
        <v>2051</v>
      </c>
      <c r="LB6" s="282">
        <f t="shared" ref="LB6" si="201">YEAR(LB7)</f>
        <v>2051</v>
      </c>
      <c r="LC6" s="282">
        <f t="shared" ref="LC6:LD6" si="202">YEAR(LC7)</f>
        <v>2051</v>
      </c>
      <c r="LD6" s="282">
        <f t="shared" si="202"/>
        <v>2052</v>
      </c>
      <c r="LE6" s="282">
        <f t="shared" ref="LE6" si="203">YEAR(LE7)</f>
        <v>2052</v>
      </c>
      <c r="LF6" s="282">
        <f t="shared" ref="LF6:LG6" si="204">YEAR(LF7)</f>
        <v>2052</v>
      </c>
      <c r="LG6" s="282">
        <f t="shared" si="204"/>
        <v>2052</v>
      </c>
      <c r="LH6" s="282">
        <f t="shared" ref="LH6" si="205">YEAR(LH7)</f>
        <v>2052</v>
      </c>
      <c r="LI6" s="282">
        <f t="shared" ref="LI6:LJ6" si="206">YEAR(LI7)</f>
        <v>2052</v>
      </c>
      <c r="LJ6" s="282">
        <f t="shared" si="206"/>
        <v>2052</v>
      </c>
      <c r="LK6" s="282">
        <f t="shared" ref="LK6" si="207">YEAR(LK7)</f>
        <v>2052</v>
      </c>
      <c r="LL6" s="282">
        <f t="shared" ref="LL6:LM6" si="208">YEAR(LL7)</f>
        <v>2052</v>
      </c>
      <c r="LM6" s="282">
        <f t="shared" si="208"/>
        <v>2052</v>
      </c>
      <c r="LN6" s="282">
        <f t="shared" ref="LN6" si="209">YEAR(LN7)</f>
        <v>2052</v>
      </c>
      <c r="LO6" s="282">
        <f t="shared" ref="LO6:LP6" si="210">YEAR(LO7)</f>
        <v>2052</v>
      </c>
      <c r="LP6" s="282">
        <f t="shared" si="210"/>
        <v>2053</v>
      </c>
      <c r="LQ6" s="282">
        <f t="shared" ref="LQ6" si="211">YEAR(LQ7)</f>
        <v>2053</v>
      </c>
      <c r="LR6" s="282">
        <f t="shared" ref="LR6:LS6" si="212">YEAR(LR7)</f>
        <v>2053</v>
      </c>
      <c r="LS6" s="282">
        <f t="shared" si="212"/>
        <v>2053</v>
      </c>
      <c r="LT6" s="282">
        <f t="shared" ref="LT6" si="213">YEAR(LT7)</f>
        <v>2053</v>
      </c>
      <c r="LU6" s="282">
        <f t="shared" ref="LU6:LV6" si="214">YEAR(LU7)</f>
        <v>2053</v>
      </c>
      <c r="LV6" s="282">
        <f t="shared" si="214"/>
        <v>2053</v>
      </c>
      <c r="LW6" s="282">
        <f t="shared" ref="LW6" si="215">YEAR(LW7)</f>
        <v>2053</v>
      </c>
      <c r="LX6" s="282">
        <f t="shared" ref="LX6:LY6" si="216">YEAR(LX7)</f>
        <v>2053</v>
      </c>
      <c r="LY6" s="282">
        <f t="shared" si="216"/>
        <v>2053</v>
      </c>
      <c r="LZ6" s="282">
        <f t="shared" ref="LZ6" si="217">YEAR(LZ7)</f>
        <v>2053</v>
      </c>
      <c r="MA6" s="282">
        <f t="shared" ref="MA6:MB6" si="218">YEAR(MA7)</f>
        <v>2053</v>
      </c>
      <c r="MB6" s="282">
        <f t="shared" si="218"/>
        <v>2054</v>
      </c>
      <c r="MC6" s="282">
        <f t="shared" ref="MC6" si="219">YEAR(MC7)</f>
        <v>2054</v>
      </c>
      <c r="MD6" s="282">
        <f t="shared" ref="MD6:ME6" si="220">YEAR(MD7)</f>
        <v>2054</v>
      </c>
      <c r="ME6" s="282">
        <f t="shared" si="220"/>
        <v>2054</v>
      </c>
      <c r="MF6" s="282">
        <f t="shared" ref="MF6" si="221">YEAR(MF7)</f>
        <v>2054</v>
      </c>
      <c r="MG6" s="282">
        <f t="shared" ref="MG6:MH6" si="222">YEAR(MG7)</f>
        <v>2054</v>
      </c>
      <c r="MH6" s="282">
        <f t="shared" si="222"/>
        <v>2054</v>
      </c>
      <c r="MI6" s="282">
        <f t="shared" ref="MI6" si="223">YEAR(MI7)</f>
        <v>2054</v>
      </c>
      <c r="MJ6" s="282">
        <f t="shared" ref="MJ6:MK6" si="224">YEAR(MJ7)</f>
        <v>2054</v>
      </c>
      <c r="MK6" s="282">
        <f t="shared" si="224"/>
        <v>2054</v>
      </c>
      <c r="ML6" s="282">
        <f t="shared" ref="ML6" si="225">YEAR(ML7)</f>
        <v>2054</v>
      </c>
      <c r="MM6" s="282">
        <f t="shared" ref="MM6:MN6" si="226">YEAR(MM7)</f>
        <v>2054</v>
      </c>
      <c r="MN6" s="282">
        <f t="shared" si="226"/>
        <v>2055</v>
      </c>
      <c r="MO6" s="282">
        <f t="shared" ref="MO6" si="227">YEAR(MO7)</f>
        <v>2055</v>
      </c>
      <c r="MP6" s="282">
        <f t="shared" ref="MP6:MQ6" si="228">YEAR(MP7)</f>
        <v>2055</v>
      </c>
      <c r="MQ6" s="282">
        <f t="shared" si="228"/>
        <v>2055</v>
      </c>
      <c r="MR6" s="282">
        <f t="shared" ref="MR6" si="229">YEAR(MR7)</f>
        <v>2055</v>
      </c>
      <c r="MS6" s="282">
        <f t="shared" ref="MS6:MT6" si="230">YEAR(MS7)</f>
        <v>2055</v>
      </c>
      <c r="MT6" s="282">
        <f t="shared" si="230"/>
        <v>2055</v>
      </c>
      <c r="MU6" s="282">
        <f t="shared" ref="MU6" si="231">YEAR(MU7)</f>
        <v>2055</v>
      </c>
      <c r="MV6" s="282">
        <f t="shared" ref="MV6:MW6" si="232">YEAR(MV7)</f>
        <v>2055</v>
      </c>
      <c r="MW6" s="282">
        <f t="shared" si="232"/>
        <v>2055</v>
      </c>
      <c r="MX6" s="282">
        <f t="shared" ref="MX6" si="233">YEAR(MX7)</f>
        <v>2055</v>
      </c>
      <c r="MY6" s="282">
        <f t="shared" ref="MY6:MZ6" si="234">YEAR(MY7)</f>
        <v>2055</v>
      </c>
      <c r="MZ6" s="282">
        <f t="shared" si="234"/>
        <v>2056</v>
      </c>
      <c r="NA6" s="282">
        <f t="shared" ref="NA6" si="235">YEAR(NA7)</f>
        <v>2056</v>
      </c>
      <c r="NB6" s="282">
        <f t="shared" ref="NB6:NC6" si="236">YEAR(NB7)</f>
        <v>2056</v>
      </c>
      <c r="NC6" s="282">
        <f t="shared" si="236"/>
        <v>2056</v>
      </c>
      <c r="ND6" s="282">
        <f t="shared" ref="ND6" si="237">YEAR(ND7)</f>
        <v>2056</v>
      </c>
      <c r="NE6" s="282">
        <f t="shared" ref="NE6:NF6" si="238">YEAR(NE7)</f>
        <v>2056</v>
      </c>
      <c r="NF6" s="282">
        <f t="shared" si="238"/>
        <v>2056</v>
      </c>
      <c r="NG6" s="282">
        <f t="shared" ref="NG6" si="239">YEAR(NG7)</f>
        <v>2056</v>
      </c>
      <c r="NH6" s="282">
        <f t="shared" ref="NH6:NI6" si="240">YEAR(NH7)</f>
        <v>2056</v>
      </c>
      <c r="NI6" s="282">
        <f t="shared" si="240"/>
        <v>2056</v>
      </c>
      <c r="NJ6" s="282">
        <f t="shared" ref="NJ6" si="241">YEAR(NJ7)</f>
        <v>2056</v>
      </c>
      <c r="NK6" s="282">
        <f t="shared" ref="NK6:NL6" si="242">YEAR(NK7)</f>
        <v>2056</v>
      </c>
      <c r="NL6" s="282">
        <f t="shared" si="242"/>
        <v>2057</v>
      </c>
      <c r="NM6" s="282">
        <f t="shared" ref="NM6" si="243">YEAR(NM7)</f>
        <v>2057</v>
      </c>
      <c r="NN6" s="282">
        <f t="shared" ref="NN6:NO6" si="244">YEAR(NN7)</f>
        <v>2057</v>
      </c>
      <c r="NO6" s="282">
        <f t="shared" si="244"/>
        <v>2057</v>
      </c>
      <c r="NP6" s="282">
        <f t="shared" ref="NP6" si="245">YEAR(NP7)</f>
        <v>2057</v>
      </c>
      <c r="NQ6" s="282">
        <f t="shared" ref="NQ6:NR6" si="246">YEAR(NQ7)</f>
        <v>2057</v>
      </c>
      <c r="NR6" s="282">
        <f t="shared" si="246"/>
        <v>2057</v>
      </c>
      <c r="NS6" s="282">
        <f t="shared" ref="NS6" si="247">YEAR(NS7)</f>
        <v>2057</v>
      </c>
      <c r="NT6" s="282">
        <f t="shared" ref="NT6:NU6" si="248">YEAR(NT7)</f>
        <v>2057</v>
      </c>
      <c r="NU6" s="282">
        <f t="shared" si="248"/>
        <v>2057</v>
      </c>
      <c r="NV6" s="282">
        <f t="shared" ref="NV6" si="249">YEAR(NV7)</f>
        <v>2057</v>
      </c>
      <c r="NW6" s="282">
        <f t="shared" ref="NW6:NX6" si="250">YEAR(NW7)</f>
        <v>2057</v>
      </c>
      <c r="NX6" s="282">
        <f t="shared" si="250"/>
        <v>2058</v>
      </c>
      <c r="NY6" s="282">
        <f t="shared" ref="NY6" si="251">YEAR(NY7)</f>
        <v>2058</v>
      </c>
      <c r="NZ6" s="282">
        <f t="shared" ref="NZ6:OA6" si="252">YEAR(NZ7)</f>
        <v>2058</v>
      </c>
      <c r="OA6" s="282">
        <f t="shared" si="252"/>
        <v>2058</v>
      </c>
      <c r="OB6" s="282">
        <f t="shared" ref="OB6" si="253">YEAR(OB7)</f>
        <v>2058</v>
      </c>
      <c r="OC6" s="282">
        <f t="shared" ref="OC6:OD6" si="254">YEAR(OC7)</f>
        <v>2058</v>
      </c>
      <c r="OD6" s="282">
        <f t="shared" si="254"/>
        <v>2058</v>
      </c>
      <c r="OE6" s="282">
        <f t="shared" ref="OE6" si="255">YEAR(OE7)</f>
        <v>2058</v>
      </c>
      <c r="OF6" s="282">
        <f t="shared" ref="OF6:OG6" si="256">YEAR(OF7)</f>
        <v>2058</v>
      </c>
      <c r="OG6" s="282">
        <f t="shared" si="256"/>
        <v>2058</v>
      </c>
      <c r="OH6" s="282">
        <f t="shared" ref="OH6" si="257">YEAR(OH7)</f>
        <v>2058</v>
      </c>
      <c r="OI6" s="282">
        <f t="shared" ref="OI6:OJ6" si="258">YEAR(OI7)</f>
        <v>2058</v>
      </c>
      <c r="OJ6" s="282">
        <f t="shared" si="258"/>
        <v>2059</v>
      </c>
      <c r="OK6" s="282">
        <f t="shared" ref="OK6" si="259">YEAR(OK7)</f>
        <v>2059</v>
      </c>
      <c r="OL6" s="282">
        <f t="shared" ref="OL6:OM6" si="260">YEAR(OL7)</f>
        <v>2059</v>
      </c>
      <c r="OM6" s="282">
        <f t="shared" si="260"/>
        <v>2059</v>
      </c>
      <c r="ON6" s="282">
        <f t="shared" ref="ON6" si="261">YEAR(ON7)</f>
        <v>2059</v>
      </c>
      <c r="OO6" s="282">
        <f t="shared" ref="OO6" si="262">YEAR(OO7)</f>
        <v>2059</v>
      </c>
      <c r="OP6" s="283"/>
    </row>
    <row r="7" spans="2:406" s="282" customFormat="1" ht="15">
      <c r="B7" s="457"/>
      <c r="C7" s="457"/>
      <c r="D7" s="526" t="s">
        <v>443</v>
      </c>
      <c r="E7" s="526" t="s">
        <v>328</v>
      </c>
      <c r="F7" s="527" t="s">
        <v>329</v>
      </c>
      <c r="G7" s="527" t="s">
        <v>226</v>
      </c>
      <c r="H7" s="283"/>
      <c r="I7" s="283"/>
      <c r="J7" s="283">
        <f>Assumptions!C8</f>
        <v>46204</v>
      </c>
      <c r="K7" s="283">
        <f>EOMONTH(J7,1)</f>
        <v>46265</v>
      </c>
      <c r="L7" s="283">
        <f t="shared" ref="L7:BW7" si="263">EOMONTH(K7,1)</f>
        <v>46295</v>
      </c>
      <c r="M7" s="283">
        <f t="shared" si="263"/>
        <v>46326</v>
      </c>
      <c r="N7" s="283">
        <f t="shared" si="263"/>
        <v>46356</v>
      </c>
      <c r="O7" s="283">
        <f t="shared" si="263"/>
        <v>46387</v>
      </c>
      <c r="P7" s="283">
        <f t="shared" si="263"/>
        <v>46418</v>
      </c>
      <c r="Q7" s="283">
        <f t="shared" si="263"/>
        <v>46446</v>
      </c>
      <c r="R7" s="283">
        <f t="shared" si="263"/>
        <v>46477</v>
      </c>
      <c r="S7" s="283">
        <f t="shared" si="263"/>
        <v>46507</v>
      </c>
      <c r="T7" s="283">
        <f t="shared" si="263"/>
        <v>46538</v>
      </c>
      <c r="U7" s="283">
        <f t="shared" si="263"/>
        <v>46568</v>
      </c>
      <c r="V7" s="283">
        <f t="shared" si="263"/>
        <v>46599</v>
      </c>
      <c r="W7" s="283">
        <f t="shared" si="263"/>
        <v>46630</v>
      </c>
      <c r="X7" s="283">
        <f t="shared" si="263"/>
        <v>46660</v>
      </c>
      <c r="Y7" s="283">
        <f t="shared" si="263"/>
        <v>46691</v>
      </c>
      <c r="Z7" s="283">
        <f t="shared" si="263"/>
        <v>46721</v>
      </c>
      <c r="AA7" s="283">
        <f t="shared" si="263"/>
        <v>46752</v>
      </c>
      <c r="AB7" s="283">
        <f t="shared" si="263"/>
        <v>46783</v>
      </c>
      <c r="AC7" s="283">
        <f t="shared" si="263"/>
        <v>46812</v>
      </c>
      <c r="AD7" s="283">
        <f t="shared" si="263"/>
        <v>46843</v>
      </c>
      <c r="AE7" s="283">
        <f t="shared" si="263"/>
        <v>46873</v>
      </c>
      <c r="AF7" s="283">
        <f t="shared" si="263"/>
        <v>46904</v>
      </c>
      <c r="AG7" s="283">
        <f t="shared" si="263"/>
        <v>46934</v>
      </c>
      <c r="AH7" s="283">
        <f t="shared" si="263"/>
        <v>46965</v>
      </c>
      <c r="AI7" s="283">
        <f t="shared" si="263"/>
        <v>46996</v>
      </c>
      <c r="AJ7" s="283">
        <f t="shared" si="263"/>
        <v>47026</v>
      </c>
      <c r="AK7" s="283">
        <f t="shared" si="263"/>
        <v>47057</v>
      </c>
      <c r="AL7" s="283">
        <f t="shared" si="263"/>
        <v>47087</v>
      </c>
      <c r="AM7" s="283">
        <f t="shared" si="263"/>
        <v>47118</v>
      </c>
      <c r="AN7" s="283">
        <f t="shared" si="263"/>
        <v>47149</v>
      </c>
      <c r="AO7" s="283">
        <f t="shared" si="263"/>
        <v>47177</v>
      </c>
      <c r="AP7" s="283">
        <f t="shared" si="263"/>
        <v>47208</v>
      </c>
      <c r="AQ7" s="283">
        <f t="shared" si="263"/>
        <v>47238</v>
      </c>
      <c r="AR7" s="283">
        <f t="shared" si="263"/>
        <v>47269</v>
      </c>
      <c r="AS7" s="283">
        <f t="shared" si="263"/>
        <v>47299</v>
      </c>
      <c r="AT7" s="283">
        <f t="shared" si="263"/>
        <v>47330</v>
      </c>
      <c r="AU7" s="283">
        <f t="shared" si="263"/>
        <v>47361</v>
      </c>
      <c r="AV7" s="283">
        <f t="shared" si="263"/>
        <v>47391</v>
      </c>
      <c r="AW7" s="283">
        <f t="shared" si="263"/>
        <v>47422</v>
      </c>
      <c r="AX7" s="283">
        <f t="shared" si="263"/>
        <v>47452</v>
      </c>
      <c r="AY7" s="283">
        <f t="shared" si="263"/>
        <v>47483</v>
      </c>
      <c r="AZ7" s="283">
        <f t="shared" si="263"/>
        <v>47514</v>
      </c>
      <c r="BA7" s="283">
        <f t="shared" si="263"/>
        <v>47542</v>
      </c>
      <c r="BB7" s="283">
        <f t="shared" si="263"/>
        <v>47573</v>
      </c>
      <c r="BC7" s="283">
        <f t="shared" si="263"/>
        <v>47603</v>
      </c>
      <c r="BD7" s="283">
        <f t="shared" si="263"/>
        <v>47634</v>
      </c>
      <c r="BE7" s="283">
        <f t="shared" si="263"/>
        <v>47664</v>
      </c>
      <c r="BF7" s="283">
        <f t="shared" si="263"/>
        <v>47695</v>
      </c>
      <c r="BG7" s="283">
        <f t="shared" si="263"/>
        <v>47726</v>
      </c>
      <c r="BH7" s="283">
        <f t="shared" si="263"/>
        <v>47756</v>
      </c>
      <c r="BI7" s="283">
        <f t="shared" si="263"/>
        <v>47787</v>
      </c>
      <c r="BJ7" s="283">
        <f t="shared" si="263"/>
        <v>47817</v>
      </c>
      <c r="BK7" s="283">
        <f t="shared" si="263"/>
        <v>47848</v>
      </c>
      <c r="BL7" s="283">
        <f t="shared" si="263"/>
        <v>47879</v>
      </c>
      <c r="BM7" s="283">
        <f t="shared" si="263"/>
        <v>47907</v>
      </c>
      <c r="BN7" s="283">
        <f t="shared" si="263"/>
        <v>47938</v>
      </c>
      <c r="BO7" s="283">
        <f t="shared" si="263"/>
        <v>47968</v>
      </c>
      <c r="BP7" s="283">
        <f t="shared" si="263"/>
        <v>47999</v>
      </c>
      <c r="BQ7" s="283">
        <f t="shared" si="263"/>
        <v>48029</v>
      </c>
      <c r="BR7" s="283">
        <f t="shared" si="263"/>
        <v>48060</v>
      </c>
      <c r="BS7" s="283">
        <f t="shared" si="263"/>
        <v>48091</v>
      </c>
      <c r="BT7" s="283">
        <f t="shared" si="263"/>
        <v>48121</v>
      </c>
      <c r="BU7" s="283">
        <f t="shared" si="263"/>
        <v>48152</v>
      </c>
      <c r="BV7" s="283">
        <f t="shared" si="263"/>
        <v>48182</v>
      </c>
      <c r="BW7" s="283">
        <f t="shared" si="263"/>
        <v>48213</v>
      </c>
      <c r="BX7" s="283">
        <f t="shared" ref="BX7:EI7" si="264">EOMONTH(BW7,1)</f>
        <v>48244</v>
      </c>
      <c r="BY7" s="283">
        <f t="shared" si="264"/>
        <v>48273</v>
      </c>
      <c r="BZ7" s="283">
        <f t="shared" si="264"/>
        <v>48304</v>
      </c>
      <c r="CA7" s="283">
        <f t="shared" si="264"/>
        <v>48334</v>
      </c>
      <c r="CB7" s="283">
        <f t="shared" si="264"/>
        <v>48365</v>
      </c>
      <c r="CC7" s="283">
        <f t="shared" si="264"/>
        <v>48395</v>
      </c>
      <c r="CD7" s="283">
        <f t="shared" si="264"/>
        <v>48426</v>
      </c>
      <c r="CE7" s="283">
        <f t="shared" si="264"/>
        <v>48457</v>
      </c>
      <c r="CF7" s="283">
        <f t="shared" si="264"/>
        <v>48487</v>
      </c>
      <c r="CG7" s="283">
        <f t="shared" si="264"/>
        <v>48518</v>
      </c>
      <c r="CH7" s="283">
        <f t="shared" si="264"/>
        <v>48548</v>
      </c>
      <c r="CI7" s="283">
        <f t="shared" si="264"/>
        <v>48579</v>
      </c>
      <c r="CJ7" s="283">
        <f t="shared" si="264"/>
        <v>48610</v>
      </c>
      <c r="CK7" s="283">
        <f t="shared" si="264"/>
        <v>48638</v>
      </c>
      <c r="CL7" s="283">
        <f t="shared" si="264"/>
        <v>48669</v>
      </c>
      <c r="CM7" s="283">
        <f t="shared" si="264"/>
        <v>48699</v>
      </c>
      <c r="CN7" s="283">
        <f t="shared" si="264"/>
        <v>48730</v>
      </c>
      <c r="CO7" s="283">
        <f t="shared" si="264"/>
        <v>48760</v>
      </c>
      <c r="CP7" s="283">
        <f t="shared" si="264"/>
        <v>48791</v>
      </c>
      <c r="CQ7" s="283">
        <f t="shared" si="264"/>
        <v>48822</v>
      </c>
      <c r="CR7" s="283">
        <f t="shared" si="264"/>
        <v>48852</v>
      </c>
      <c r="CS7" s="283">
        <f t="shared" si="264"/>
        <v>48883</v>
      </c>
      <c r="CT7" s="283">
        <f t="shared" si="264"/>
        <v>48913</v>
      </c>
      <c r="CU7" s="283">
        <f t="shared" si="264"/>
        <v>48944</v>
      </c>
      <c r="CV7" s="283">
        <f t="shared" si="264"/>
        <v>48975</v>
      </c>
      <c r="CW7" s="283">
        <f t="shared" si="264"/>
        <v>49003</v>
      </c>
      <c r="CX7" s="283">
        <f t="shared" si="264"/>
        <v>49034</v>
      </c>
      <c r="CY7" s="283">
        <f t="shared" si="264"/>
        <v>49064</v>
      </c>
      <c r="CZ7" s="283">
        <f t="shared" si="264"/>
        <v>49095</v>
      </c>
      <c r="DA7" s="283">
        <f t="shared" si="264"/>
        <v>49125</v>
      </c>
      <c r="DB7" s="283">
        <f t="shared" si="264"/>
        <v>49156</v>
      </c>
      <c r="DC7" s="283">
        <f t="shared" si="264"/>
        <v>49187</v>
      </c>
      <c r="DD7" s="283">
        <f t="shared" si="264"/>
        <v>49217</v>
      </c>
      <c r="DE7" s="283">
        <f t="shared" si="264"/>
        <v>49248</v>
      </c>
      <c r="DF7" s="283">
        <f t="shared" si="264"/>
        <v>49278</v>
      </c>
      <c r="DG7" s="283">
        <f t="shared" si="264"/>
        <v>49309</v>
      </c>
      <c r="DH7" s="283">
        <f t="shared" si="264"/>
        <v>49340</v>
      </c>
      <c r="DI7" s="283">
        <f t="shared" si="264"/>
        <v>49368</v>
      </c>
      <c r="DJ7" s="283">
        <f t="shared" si="264"/>
        <v>49399</v>
      </c>
      <c r="DK7" s="283">
        <f t="shared" si="264"/>
        <v>49429</v>
      </c>
      <c r="DL7" s="283">
        <f t="shared" si="264"/>
        <v>49460</v>
      </c>
      <c r="DM7" s="283">
        <f t="shared" si="264"/>
        <v>49490</v>
      </c>
      <c r="DN7" s="283">
        <f t="shared" si="264"/>
        <v>49521</v>
      </c>
      <c r="DO7" s="283">
        <f t="shared" si="264"/>
        <v>49552</v>
      </c>
      <c r="DP7" s="283">
        <f t="shared" si="264"/>
        <v>49582</v>
      </c>
      <c r="DQ7" s="283">
        <f t="shared" si="264"/>
        <v>49613</v>
      </c>
      <c r="DR7" s="283">
        <f t="shared" si="264"/>
        <v>49643</v>
      </c>
      <c r="DS7" s="283">
        <f t="shared" si="264"/>
        <v>49674</v>
      </c>
      <c r="DT7" s="283">
        <f t="shared" si="264"/>
        <v>49705</v>
      </c>
      <c r="DU7" s="283">
        <f t="shared" si="264"/>
        <v>49734</v>
      </c>
      <c r="DV7" s="283">
        <f t="shared" si="264"/>
        <v>49765</v>
      </c>
      <c r="DW7" s="283">
        <f t="shared" si="264"/>
        <v>49795</v>
      </c>
      <c r="DX7" s="283">
        <f t="shared" si="264"/>
        <v>49826</v>
      </c>
      <c r="DY7" s="283">
        <f t="shared" si="264"/>
        <v>49856</v>
      </c>
      <c r="DZ7" s="283">
        <f t="shared" si="264"/>
        <v>49887</v>
      </c>
      <c r="EA7" s="283">
        <f t="shared" si="264"/>
        <v>49918</v>
      </c>
      <c r="EB7" s="283">
        <f t="shared" si="264"/>
        <v>49948</v>
      </c>
      <c r="EC7" s="283">
        <f t="shared" si="264"/>
        <v>49979</v>
      </c>
      <c r="ED7" s="283">
        <f t="shared" si="264"/>
        <v>50009</v>
      </c>
      <c r="EE7" s="283">
        <f t="shared" si="264"/>
        <v>50040</v>
      </c>
      <c r="EF7" s="283">
        <f t="shared" si="264"/>
        <v>50071</v>
      </c>
      <c r="EG7" s="283">
        <f t="shared" si="264"/>
        <v>50099</v>
      </c>
      <c r="EH7" s="283">
        <f t="shared" si="264"/>
        <v>50130</v>
      </c>
      <c r="EI7" s="283">
        <f t="shared" si="264"/>
        <v>50160</v>
      </c>
      <c r="EJ7" s="283">
        <f t="shared" ref="EJ7:GU7" si="265">EOMONTH(EI7,1)</f>
        <v>50191</v>
      </c>
      <c r="EK7" s="283">
        <f t="shared" si="265"/>
        <v>50221</v>
      </c>
      <c r="EL7" s="283">
        <f t="shared" si="265"/>
        <v>50252</v>
      </c>
      <c r="EM7" s="283">
        <f t="shared" si="265"/>
        <v>50283</v>
      </c>
      <c r="EN7" s="283">
        <f t="shared" si="265"/>
        <v>50313</v>
      </c>
      <c r="EO7" s="283">
        <f t="shared" si="265"/>
        <v>50344</v>
      </c>
      <c r="EP7" s="283">
        <f t="shared" si="265"/>
        <v>50374</v>
      </c>
      <c r="EQ7" s="283">
        <f t="shared" si="265"/>
        <v>50405</v>
      </c>
      <c r="ER7" s="283">
        <f t="shared" si="265"/>
        <v>50436</v>
      </c>
      <c r="ES7" s="283">
        <f t="shared" si="265"/>
        <v>50464</v>
      </c>
      <c r="ET7" s="283">
        <f t="shared" si="265"/>
        <v>50495</v>
      </c>
      <c r="EU7" s="283">
        <f t="shared" si="265"/>
        <v>50525</v>
      </c>
      <c r="EV7" s="283">
        <f t="shared" si="265"/>
        <v>50556</v>
      </c>
      <c r="EW7" s="283">
        <f t="shared" si="265"/>
        <v>50586</v>
      </c>
      <c r="EX7" s="283">
        <f t="shared" si="265"/>
        <v>50617</v>
      </c>
      <c r="EY7" s="283">
        <f t="shared" si="265"/>
        <v>50648</v>
      </c>
      <c r="EZ7" s="283">
        <f t="shared" si="265"/>
        <v>50678</v>
      </c>
      <c r="FA7" s="283">
        <f t="shared" si="265"/>
        <v>50709</v>
      </c>
      <c r="FB7" s="283">
        <f t="shared" si="265"/>
        <v>50739</v>
      </c>
      <c r="FC7" s="283">
        <f t="shared" si="265"/>
        <v>50770</v>
      </c>
      <c r="FD7" s="283">
        <f t="shared" si="265"/>
        <v>50801</v>
      </c>
      <c r="FE7" s="283">
        <f t="shared" si="265"/>
        <v>50829</v>
      </c>
      <c r="FF7" s="283">
        <f t="shared" si="265"/>
        <v>50860</v>
      </c>
      <c r="FG7" s="283">
        <f t="shared" si="265"/>
        <v>50890</v>
      </c>
      <c r="FH7" s="283">
        <f t="shared" si="265"/>
        <v>50921</v>
      </c>
      <c r="FI7" s="283">
        <f t="shared" si="265"/>
        <v>50951</v>
      </c>
      <c r="FJ7" s="283">
        <f t="shared" si="265"/>
        <v>50982</v>
      </c>
      <c r="FK7" s="283">
        <f t="shared" si="265"/>
        <v>51013</v>
      </c>
      <c r="FL7" s="283">
        <f t="shared" si="265"/>
        <v>51043</v>
      </c>
      <c r="FM7" s="283">
        <f t="shared" si="265"/>
        <v>51074</v>
      </c>
      <c r="FN7" s="283">
        <f t="shared" si="265"/>
        <v>51104</v>
      </c>
      <c r="FO7" s="283">
        <f t="shared" si="265"/>
        <v>51135</v>
      </c>
      <c r="FP7" s="283">
        <f t="shared" si="265"/>
        <v>51166</v>
      </c>
      <c r="FQ7" s="283">
        <f t="shared" si="265"/>
        <v>51195</v>
      </c>
      <c r="FR7" s="283">
        <f t="shared" si="265"/>
        <v>51226</v>
      </c>
      <c r="FS7" s="283">
        <f t="shared" si="265"/>
        <v>51256</v>
      </c>
      <c r="FT7" s="283">
        <f t="shared" si="265"/>
        <v>51287</v>
      </c>
      <c r="FU7" s="283">
        <f t="shared" si="265"/>
        <v>51317</v>
      </c>
      <c r="FV7" s="283">
        <f t="shared" si="265"/>
        <v>51348</v>
      </c>
      <c r="FW7" s="283">
        <f t="shared" si="265"/>
        <v>51379</v>
      </c>
      <c r="FX7" s="283">
        <f t="shared" si="265"/>
        <v>51409</v>
      </c>
      <c r="FY7" s="283">
        <f t="shared" si="265"/>
        <v>51440</v>
      </c>
      <c r="FZ7" s="283">
        <f t="shared" si="265"/>
        <v>51470</v>
      </c>
      <c r="GA7" s="283">
        <f t="shared" si="265"/>
        <v>51501</v>
      </c>
      <c r="GB7" s="283">
        <f t="shared" si="265"/>
        <v>51532</v>
      </c>
      <c r="GC7" s="283">
        <f t="shared" si="265"/>
        <v>51560</v>
      </c>
      <c r="GD7" s="283">
        <f t="shared" si="265"/>
        <v>51591</v>
      </c>
      <c r="GE7" s="283">
        <f t="shared" si="265"/>
        <v>51621</v>
      </c>
      <c r="GF7" s="283">
        <f t="shared" si="265"/>
        <v>51652</v>
      </c>
      <c r="GG7" s="283">
        <f t="shared" si="265"/>
        <v>51682</v>
      </c>
      <c r="GH7" s="283">
        <f t="shared" si="265"/>
        <v>51713</v>
      </c>
      <c r="GI7" s="283">
        <f t="shared" si="265"/>
        <v>51744</v>
      </c>
      <c r="GJ7" s="283">
        <f t="shared" si="265"/>
        <v>51774</v>
      </c>
      <c r="GK7" s="283">
        <f t="shared" si="265"/>
        <v>51805</v>
      </c>
      <c r="GL7" s="283">
        <f t="shared" si="265"/>
        <v>51835</v>
      </c>
      <c r="GM7" s="283">
        <f t="shared" si="265"/>
        <v>51866</v>
      </c>
      <c r="GN7" s="283">
        <f t="shared" si="265"/>
        <v>51897</v>
      </c>
      <c r="GO7" s="283">
        <f t="shared" si="265"/>
        <v>51925</v>
      </c>
      <c r="GP7" s="283">
        <f t="shared" si="265"/>
        <v>51956</v>
      </c>
      <c r="GQ7" s="283">
        <f t="shared" si="265"/>
        <v>51986</v>
      </c>
      <c r="GR7" s="283">
        <f t="shared" si="265"/>
        <v>52017</v>
      </c>
      <c r="GS7" s="283">
        <f t="shared" si="265"/>
        <v>52047</v>
      </c>
      <c r="GT7" s="283">
        <f t="shared" si="265"/>
        <v>52078</v>
      </c>
      <c r="GU7" s="283">
        <f t="shared" si="265"/>
        <v>52109</v>
      </c>
      <c r="GV7" s="283">
        <f t="shared" ref="GV7:JG7" si="266">EOMONTH(GU7,1)</f>
        <v>52139</v>
      </c>
      <c r="GW7" s="283">
        <f t="shared" si="266"/>
        <v>52170</v>
      </c>
      <c r="GX7" s="283">
        <f t="shared" si="266"/>
        <v>52200</v>
      </c>
      <c r="GY7" s="283">
        <f t="shared" si="266"/>
        <v>52231</v>
      </c>
      <c r="GZ7" s="283">
        <f t="shared" si="266"/>
        <v>52262</v>
      </c>
      <c r="HA7" s="283">
        <f t="shared" si="266"/>
        <v>52290</v>
      </c>
      <c r="HB7" s="283">
        <f t="shared" si="266"/>
        <v>52321</v>
      </c>
      <c r="HC7" s="283">
        <f t="shared" si="266"/>
        <v>52351</v>
      </c>
      <c r="HD7" s="283">
        <f t="shared" si="266"/>
        <v>52382</v>
      </c>
      <c r="HE7" s="283">
        <f t="shared" si="266"/>
        <v>52412</v>
      </c>
      <c r="HF7" s="283">
        <f t="shared" si="266"/>
        <v>52443</v>
      </c>
      <c r="HG7" s="283">
        <f t="shared" si="266"/>
        <v>52474</v>
      </c>
      <c r="HH7" s="283">
        <f t="shared" si="266"/>
        <v>52504</v>
      </c>
      <c r="HI7" s="283">
        <f t="shared" si="266"/>
        <v>52535</v>
      </c>
      <c r="HJ7" s="283">
        <f t="shared" si="266"/>
        <v>52565</v>
      </c>
      <c r="HK7" s="283">
        <f t="shared" si="266"/>
        <v>52596</v>
      </c>
      <c r="HL7" s="283">
        <f t="shared" si="266"/>
        <v>52627</v>
      </c>
      <c r="HM7" s="283">
        <f t="shared" si="266"/>
        <v>52656</v>
      </c>
      <c r="HN7" s="283">
        <f t="shared" si="266"/>
        <v>52687</v>
      </c>
      <c r="HO7" s="283">
        <f t="shared" si="266"/>
        <v>52717</v>
      </c>
      <c r="HP7" s="283">
        <f t="shared" si="266"/>
        <v>52748</v>
      </c>
      <c r="HQ7" s="283">
        <f t="shared" si="266"/>
        <v>52778</v>
      </c>
      <c r="HR7" s="283">
        <f t="shared" si="266"/>
        <v>52809</v>
      </c>
      <c r="HS7" s="283">
        <f t="shared" si="266"/>
        <v>52840</v>
      </c>
      <c r="HT7" s="283">
        <f t="shared" si="266"/>
        <v>52870</v>
      </c>
      <c r="HU7" s="283">
        <f t="shared" si="266"/>
        <v>52901</v>
      </c>
      <c r="HV7" s="283">
        <f t="shared" si="266"/>
        <v>52931</v>
      </c>
      <c r="HW7" s="283">
        <f t="shared" si="266"/>
        <v>52962</v>
      </c>
      <c r="HX7" s="283">
        <f t="shared" si="266"/>
        <v>52993</v>
      </c>
      <c r="HY7" s="283">
        <f t="shared" si="266"/>
        <v>53021</v>
      </c>
      <c r="HZ7" s="283">
        <f t="shared" si="266"/>
        <v>53052</v>
      </c>
      <c r="IA7" s="283">
        <f t="shared" si="266"/>
        <v>53082</v>
      </c>
      <c r="IB7" s="283">
        <f t="shared" si="266"/>
        <v>53113</v>
      </c>
      <c r="IC7" s="283">
        <f t="shared" si="266"/>
        <v>53143</v>
      </c>
      <c r="ID7" s="283">
        <f t="shared" si="266"/>
        <v>53174</v>
      </c>
      <c r="IE7" s="283">
        <f t="shared" si="266"/>
        <v>53205</v>
      </c>
      <c r="IF7" s="283">
        <f t="shared" si="266"/>
        <v>53235</v>
      </c>
      <c r="IG7" s="283">
        <f t="shared" si="266"/>
        <v>53266</v>
      </c>
      <c r="IH7" s="283">
        <f t="shared" si="266"/>
        <v>53296</v>
      </c>
      <c r="II7" s="283">
        <f t="shared" si="266"/>
        <v>53327</v>
      </c>
      <c r="IJ7" s="283">
        <f t="shared" si="266"/>
        <v>53358</v>
      </c>
      <c r="IK7" s="283">
        <f t="shared" si="266"/>
        <v>53386</v>
      </c>
      <c r="IL7" s="283">
        <f t="shared" si="266"/>
        <v>53417</v>
      </c>
      <c r="IM7" s="283">
        <f t="shared" si="266"/>
        <v>53447</v>
      </c>
      <c r="IN7" s="283">
        <f t="shared" si="266"/>
        <v>53478</v>
      </c>
      <c r="IO7" s="283">
        <f t="shared" si="266"/>
        <v>53508</v>
      </c>
      <c r="IP7" s="283">
        <f t="shared" si="266"/>
        <v>53539</v>
      </c>
      <c r="IQ7" s="283">
        <f t="shared" si="266"/>
        <v>53570</v>
      </c>
      <c r="IR7" s="283">
        <f t="shared" si="266"/>
        <v>53600</v>
      </c>
      <c r="IS7" s="283">
        <f t="shared" si="266"/>
        <v>53631</v>
      </c>
      <c r="IT7" s="283">
        <f t="shared" si="266"/>
        <v>53661</v>
      </c>
      <c r="IU7" s="283">
        <f t="shared" si="266"/>
        <v>53692</v>
      </c>
      <c r="IV7" s="283">
        <f t="shared" si="266"/>
        <v>53723</v>
      </c>
      <c r="IW7" s="283">
        <f t="shared" si="266"/>
        <v>53751</v>
      </c>
      <c r="IX7" s="283">
        <f t="shared" si="266"/>
        <v>53782</v>
      </c>
      <c r="IY7" s="283">
        <f t="shared" si="266"/>
        <v>53812</v>
      </c>
      <c r="IZ7" s="283">
        <f t="shared" si="266"/>
        <v>53843</v>
      </c>
      <c r="JA7" s="283">
        <f t="shared" si="266"/>
        <v>53873</v>
      </c>
      <c r="JB7" s="283">
        <f t="shared" si="266"/>
        <v>53904</v>
      </c>
      <c r="JC7" s="283">
        <f t="shared" si="266"/>
        <v>53935</v>
      </c>
      <c r="JD7" s="283">
        <f t="shared" si="266"/>
        <v>53965</v>
      </c>
      <c r="JE7" s="283">
        <f t="shared" si="266"/>
        <v>53996</v>
      </c>
      <c r="JF7" s="283">
        <f t="shared" si="266"/>
        <v>54026</v>
      </c>
      <c r="JG7" s="283">
        <f t="shared" si="266"/>
        <v>54057</v>
      </c>
      <c r="JH7" s="283">
        <f t="shared" ref="JH7:LA7" si="267">EOMONTH(JG7,1)</f>
        <v>54088</v>
      </c>
      <c r="JI7" s="283">
        <f t="shared" si="267"/>
        <v>54117</v>
      </c>
      <c r="JJ7" s="283">
        <f t="shared" si="267"/>
        <v>54148</v>
      </c>
      <c r="JK7" s="283">
        <f t="shared" si="267"/>
        <v>54178</v>
      </c>
      <c r="JL7" s="283">
        <f t="shared" si="267"/>
        <v>54209</v>
      </c>
      <c r="JM7" s="283">
        <f t="shared" si="267"/>
        <v>54239</v>
      </c>
      <c r="JN7" s="283">
        <f t="shared" si="267"/>
        <v>54270</v>
      </c>
      <c r="JO7" s="283">
        <f t="shared" si="267"/>
        <v>54301</v>
      </c>
      <c r="JP7" s="283">
        <f t="shared" si="267"/>
        <v>54331</v>
      </c>
      <c r="JQ7" s="283">
        <f t="shared" si="267"/>
        <v>54362</v>
      </c>
      <c r="JR7" s="283">
        <f t="shared" si="267"/>
        <v>54392</v>
      </c>
      <c r="JS7" s="283">
        <f t="shared" si="267"/>
        <v>54423</v>
      </c>
      <c r="JT7" s="283">
        <f t="shared" si="267"/>
        <v>54454</v>
      </c>
      <c r="JU7" s="283">
        <f t="shared" si="267"/>
        <v>54482</v>
      </c>
      <c r="JV7" s="283">
        <f t="shared" si="267"/>
        <v>54513</v>
      </c>
      <c r="JW7" s="283">
        <f t="shared" si="267"/>
        <v>54543</v>
      </c>
      <c r="JX7" s="283">
        <f t="shared" si="267"/>
        <v>54574</v>
      </c>
      <c r="JY7" s="283">
        <f t="shared" si="267"/>
        <v>54604</v>
      </c>
      <c r="JZ7" s="283">
        <f t="shared" si="267"/>
        <v>54635</v>
      </c>
      <c r="KA7" s="283">
        <f t="shared" si="267"/>
        <v>54666</v>
      </c>
      <c r="KB7" s="283">
        <f t="shared" si="267"/>
        <v>54696</v>
      </c>
      <c r="KC7" s="283">
        <f t="shared" si="267"/>
        <v>54727</v>
      </c>
      <c r="KD7" s="283">
        <f t="shared" si="267"/>
        <v>54757</v>
      </c>
      <c r="KE7" s="283">
        <f t="shared" si="267"/>
        <v>54788</v>
      </c>
      <c r="KF7" s="283">
        <f t="shared" si="267"/>
        <v>54819</v>
      </c>
      <c r="KG7" s="283">
        <f t="shared" si="267"/>
        <v>54847</v>
      </c>
      <c r="KH7" s="283">
        <f t="shared" si="267"/>
        <v>54878</v>
      </c>
      <c r="KI7" s="283">
        <f t="shared" si="267"/>
        <v>54908</v>
      </c>
      <c r="KJ7" s="283">
        <f t="shared" si="267"/>
        <v>54939</v>
      </c>
      <c r="KK7" s="283">
        <f t="shared" si="267"/>
        <v>54969</v>
      </c>
      <c r="KL7" s="283">
        <f t="shared" si="267"/>
        <v>55000</v>
      </c>
      <c r="KM7" s="283">
        <f t="shared" si="267"/>
        <v>55031</v>
      </c>
      <c r="KN7" s="283">
        <f t="shared" si="267"/>
        <v>55061</v>
      </c>
      <c r="KO7" s="283">
        <f t="shared" si="267"/>
        <v>55092</v>
      </c>
      <c r="KP7" s="283">
        <f t="shared" si="267"/>
        <v>55122</v>
      </c>
      <c r="KQ7" s="283">
        <f t="shared" si="267"/>
        <v>55153</v>
      </c>
      <c r="KR7" s="283">
        <f t="shared" si="267"/>
        <v>55184</v>
      </c>
      <c r="KS7" s="283">
        <f t="shared" si="267"/>
        <v>55212</v>
      </c>
      <c r="KT7" s="283">
        <f t="shared" si="267"/>
        <v>55243</v>
      </c>
      <c r="KU7" s="283">
        <f t="shared" si="267"/>
        <v>55273</v>
      </c>
      <c r="KV7" s="283">
        <f t="shared" si="267"/>
        <v>55304</v>
      </c>
      <c r="KW7" s="283">
        <f t="shared" si="267"/>
        <v>55334</v>
      </c>
      <c r="KX7" s="283">
        <f t="shared" si="267"/>
        <v>55365</v>
      </c>
      <c r="KY7" s="283">
        <f t="shared" si="267"/>
        <v>55396</v>
      </c>
      <c r="KZ7" s="283">
        <f t="shared" si="267"/>
        <v>55426</v>
      </c>
      <c r="LA7" s="283">
        <f t="shared" si="267"/>
        <v>55457</v>
      </c>
      <c r="LB7" s="283">
        <f>EOMONTH(LA7,1)</f>
        <v>55487</v>
      </c>
      <c r="LC7" s="283">
        <f t="shared" ref="LC7:NN7" si="268">EOMONTH(LB7,1)</f>
        <v>55518</v>
      </c>
      <c r="LD7" s="283">
        <f t="shared" si="268"/>
        <v>55549</v>
      </c>
      <c r="LE7" s="283">
        <f t="shared" si="268"/>
        <v>55578</v>
      </c>
      <c r="LF7" s="283">
        <f t="shared" si="268"/>
        <v>55609</v>
      </c>
      <c r="LG7" s="283">
        <f t="shared" si="268"/>
        <v>55639</v>
      </c>
      <c r="LH7" s="283">
        <f t="shared" si="268"/>
        <v>55670</v>
      </c>
      <c r="LI7" s="283">
        <f t="shared" si="268"/>
        <v>55700</v>
      </c>
      <c r="LJ7" s="283">
        <f t="shared" si="268"/>
        <v>55731</v>
      </c>
      <c r="LK7" s="283">
        <f t="shared" si="268"/>
        <v>55762</v>
      </c>
      <c r="LL7" s="283">
        <f t="shared" si="268"/>
        <v>55792</v>
      </c>
      <c r="LM7" s="283">
        <f t="shared" si="268"/>
        <v>55823</v>
      </c>
      <c r="LN7" s="283">
        <f t="shared" si="268"/>
        <v>55853</v>
      </c>
      <c r="LO7" s="283">
        <f t="shared" si="268"/>
        <v>55884</v>
      </c>
      <c r="LP7" s="283">
        <f t="shared" si="268"/>
        <v>55915</v>
      </c>
      <c r="LQ7" s="283">
        <f t="shared" si="268"/>
        <v>55943</v>
      </c>
      <c r="LR7" s="283">
        <f t="shared" si="268"/>
        <v>55974</v>
      </c>
      <c r="LS7" s="283">
        <f t="shared" si="268"/>
        <v>56004</v>
      </c>
      <c r="LT7" s="283">
        <f t="shared" si="268"/>
        <v>56035</v>
      </c>
      <c r="LU7" s="283">
        <f t="shared" si="268"/>
        <v>56065</v>
      </c>
      <c r="LV7" s="283">
        <f t="shared" si="268"/>
        <v>56096</v>
      </c>
      <c r="LW7" s="283">
        <f t="shared" si="268"/>
        <v>56127</v>
      </c>
      <c r="LX7" s="283">
        <f t="shared" si="268"/>
        <v>56157</v>
      </c>
      <c r="LY7" s="283">
        <f t="shared" si="268"/>
        <v>56188</v>
      </c>
      <c r="LZ7" s="283">
        <f t="shared" si="268"/>
        <v>56218</v>
      </c>
      <c r="MA7" s="283">
        <f t="shared" si="268"/>
        <v>56249</v>
      </c>
      <c r="MB7" s="283">
        <f t="shared" si="268"/>
        <v>56280</v>
      </c>
      <c r="MC7" s="283">
        <f t="shared" si="268"/>
        <v>56308</v>
      </c>
      <c r="MD7" s="283">
        <f t="shared" si="268"/>
        <v>56339</v>
      </c>
      <c r="ME7" s="283">
        <f t="shared" si="268"/>
        <v>56369</v>
      </c>
      <c r="MF7" s="283">
        <f t="shared" si="268"/>
        <v>56400</v>
      </c>
      <c r="MG7" s="283">
        <f t="shared" si="268"/>
        <v>56430</v>
      </c>
      <c r="MH7" s="283">
        <f t="shared" si="268"/>
        <v>56461</v>
      </c>
      <c r="MI7" s="283">
        <f t="shared" si="268"/>
        <v>56492</v>
      </c>
      <c r="MJ7" s="283">
        <f t="shared" si="268"/>
        <v>56522</v>
      </c>
      <c r="MK7" s="283">
        <f t="shared" si="268"/>
        <v>56553</v>
      </c>
      <c r="ML7" s="283">
        <f t="shared" si="268"/>
        <v>56583</v>
      </c>
      <c r="MM7" s="283">
        <f t="shared" si="268"/>
        <v>56614</v>
      </c>
      <c r="MN7" s="283">
        <f t="shared" si="268"/>
        <v>56645</v>
      </c>
      <c r="MO7" s="283">
        <f t="shared" si="268"/>
        <v>56673</v>
      </c>
      <c r="MP7" s="283">
        <f t="shared" si="268"/>
        <v>56704</v>
      </c>
      <c r="MQ7" s="283">
        <f t="shared" si="268"/>
        <v>56734</v>
      </c>
      <c r="MR7" s="283">
        <f t="shared" si="268"/>
        <v>56765</v>
      </c>
      <c r="MS7" s="283">
        <f t="shared" si="268"/>
        <v>56795</v>
      </c>
      <c r="MT7" s="283">
        <f t="shared" si="268"/>
        <v>56826</v>
      </c>
      <c r="MU7" s="283">
        <f t="shared" si="268"/>
        <v>56857</v>
      </c>
      <c r="MV7" s="283">
        <f t="shared" si="268"/>
        <v>56887</v>
      </c>
      <c r="MW7" s="283">
        <f t="shared" si="268"/>
        <v>56918</v>
      </c>
      <c r="MX7" s="283">
        <f t="shared" si="268"/>
        <v>56948</v>
      </c>
      <c r="MY7" s="283">
        <f t="shared" si="268"/>
        <v>56979</v>
      </c>
      <c r="MZ7" s="283">
        <f t="shared" si="268"/>
        <v>57010</v>
      </c>
      <c r="NA7" s="283">
        <f t="shared" si="268"/>
        <v>57039</v>
      </c>
      <c r="NB7" s="283">
        <f t="shared" si="268"/>
        <v>57070</v>
      </c>
      <c r="NC7" s="283">
        <f t="shared" si="268"/>
        <v>57100</v>
      </c>
      <c r="ND7" s="283">
        <f t="shared" si="268"/>
        <v>57131</v>
      </c>
      <c r="NE7" s="283">
        <f t="shared" si="268"/>
        <v>57161</v>
      </c>
      <c r="NF7" s="283">
        <f t="shared" si="268"/>
        <v>57192</v>
      </c>
      <c r="NG7" s="283">
        <f t="shared" si="268"/>
        <v>57223</v>
      </c>
      <c r="NH7" s="283">
        <f t="shared" si="268"/>
        <v>57253</v>
      </c>
      <c r="NI7" s="283">
        <f t="shared" si="268"/>
        <v>57284</v>
      </c>
      <c r="NJ7" s="283">
        <f t="shared" si="268"/>
        <v>57314</v>
      </c>
      <c r="NK7" s="283">
        <f t="shared" si="268"/>
        <v>57345</v>
      </c>
      <c r="NL7" s="283">
        <f t="shared" si="268"/>
        <v>57376</v>
      </c>
      <c r="NM7" s="283">
        <f t="shared" si="268"/>
        <v>57404</v>
      </c>
      <c r="NN7" s="283">
        <f t="shared" si="268"/>
        <v>57435</v>
      </c>
      <c r="NO7" s="283">
        <f t="shared" ref="NO7:OO7" si="269">EOMONTH(NN7,1)</f>
        <v>57465</v>
      </c>
      <c r="NP7" s="283">
        <f t="shared" si="269"/>
        <v>57496</v>
      </c>
      <c r="NQ7" s="283">
        <f t="shared" si="269"/>
        <v>57526</v>
      </c>
      <c r="NR7" s="283">
        <f t="shared" si="269"/>
        <v>57557</v>
      </c>
      <c r="NS7" s="283">
        <f t="shared" si="269"/>
        <v>57588</v>
      </c>
      <c r="NT7" s="283">
        <f t="shared" si="269"/>
        <v>57618</v>
      </c>
      <c r="NU7" s="283">
        <f t="shared" si="269"/>
        <v>57649</v>
      </c>
      <c r="NV7" s="283">
        <f t="shared" si="269"/>
        <v>57679</v>
      </c>
      <c r="NW7" s="283">
        <f t="shared" si="269"/>
        <v>57710</v>
      </c>
      <c r="NX7" s="283">
        <f t="shared" si="269"/>
        <v>57741</v>
      </c>
      <c r="NY7" s="283">
        <f t="shared" si="269"/>
        <v>57769</v>
      </c>
      <c r="NZ7" s="283">
        <f t="shared" si="269"/>
        <v>57800</v>
      </c>
      <c r="OA7" s="283">
        <f t="shared" si="269"/>
        <v>57830</v>
      </c>
      <c r="OB7" s="283">
        <f t="shared" si="269"/>
        <v>57861</v>
      </c>
      <c r="OC7" s="283">
        <f t="shared" si="269"/>
        <v>57891</v>
      </c>
      <c r="OD7" s="283">
        <f t="shared" si="269"/>
        <v>57922</v>
      </c>
      <c r="OE7" s="283">
        <f t="shared" si="269"/>
        <v>57953</v>
      </c>
      <c r="OF7" s="283">
        <f t="shared" si="269"/>
        <v>57983</v>
      </c>
      <c r="OG7" s="283">
        <f t="shared" si="269"/>
        <v>58014</v>
      </c>
      <c r="OH7" s="283">
        <f t="shared" si="269"/>
        <v>58044</v>
      </c>
      <c r="OI7" s="283">
        <f t="shared" si="269"/>
        <v>58075</v>
      </c>
      <c r="OJ7" s="283">
        <f t="shared" si="269"/>
        <v>58106</v>
      </c>
      <c r="OK7" s="283">
        <f t="shared" si="269"/>
        <v>58134</v>
      </c>
      <c r="OL7" s="283">
        <f t="shared" si="269"/>
        <v>58165</v>
      </c>
      <c r="OM7" s="283">
        <f t="shared" si="269"/>
        <v>58195</v>
      </c>
      <c r="ON7" s="283">
        <f t="shared" si="269"/>
        <v>58226</v>
      </c>
      <c r="OO7" s="283">
        <f t="shared" si="269"/>
        <v>58256</v>
      </c>
    </row>
    <row r="8" spans="2:406" s="71" customFormat="1" ht="15">
      <c r="B8" s="501"/>
      <c r="C8" s="501"/>
      <c r="E8" s="509"/>
      <c r="F8" s="509"/>
      <c r="G8" s="509"/>
      <c r="H8" s="509"/>
      <c r="I8" s="502"/>
      <c r="J8" s="502"/>
      <c r="K8" s="502"/>
      <c r="L8" s="502"/>
      <c r="M8" s="502"/>
      <c r="N8" s="502"/>
      <c r="O8" s="502"/>
      <c r="P8" s="502"/>
      <c r="Q8" s="502"/>
      <c r="R8" s="502"/>
      <c r="S8" s="502"/>
      <c r="T8" s="502"/>
      <c r="U8" s="502"/>
      <c r="V8" s="502"/>
      <c r="W8" s="502"/>
      <c r="X8" s="502"/>
      <c r="Y8" s="502"/>
      <c r="Z8" s="502"/>
      <c r="AA8" s="502"/>
      <c r="AB8" s="502"/>
      <c r="AC8" s="502"/>
      <c r="AD8" s="502"/>
      <c r="AE8" s="502"/>
      <c r="AF8" s="502"/>
      <c r="AG8" s="502"/>
      <c r="AH8" s="502"/>
      <c r="AI8" s="502"/>
      <c r="AJ8" s="502"/>
      <c r="AK8" s="502"/>
      <c r="AL8" s="502"/>
      <c r="AM8" s="502"/>
      <c r="AN8" s="502"/>
      <c r="AO8" s="502"/>
      <c r="AP8" s="502"/>
      <c r="AQ8" s="502"/>
      <c r="AR8" s="502"/>
      <c r="AS8" s="502"/>
      <c r="AT8" s="502"/>
      <c r="AU8" s="502"/>
      <c r="AV8" s="502"/>
      <c r="AW8" s="502"/>
      <c r="AX8" s="502"/>
      <c r="AY8" s="502"/>
      <c r="AZ8" s="502"/>
      <c r="BA8" s="502"/>
      <c r="BB8" s="502"/>
      <c r="BC8" s="502"/>
      <c r="BD8" s="502"/>
      <c r="BE8" s="502"/>
      <c r="BF8" s="502"/>
      <c r="BG8" s="502"/>
      <c r="BH8" s="502"/>
      <c r="BI8" s="502"/>
      <c r="BJ8" s="502"/>
      <c r="BK8" s="502"/>
      <c r="BL8" s="502"/>
      <c r="BM8" s="502"/>
      <c r="BN8" s="502"/>
      <c r="BO8" s="502"/>
      <c r="BP8" s="502"/>
      <c r="BQ8" s="502"/>
      <c r="BR8" s="502"/>
      <c r="BS8" s="502"/>
      <c r="BT8" s="502"/>
      <c r="BU8" s="502"/>
      <c r="BV8" s="502"/>
      <c r="BW8" s="502"/>
      <c r="BX8" s="502"/>
      <c r="BY8" s="502"/>
      <c r="BZ8" s="502"/>
      <c r="CA8" s="502"/>
      <c r="CB8" s="502"/>
      <c r="CC8" s="502"/>
      <c r="CD8" s="502"/>
      <c r="CE8" s="502"/>
      <c r="CF8" s="502"/>
      <c r="CG8" s="502"/>
      <c r="CH8" s="502"/>
      <c r="CI8" s="502"/>
      <c r="CJ8" s="502"/>
      <c r="CK8" s="502"/>
      <c r="CL8" s="502"/>
      <c r="CM8" s="502"/>
      <c r="CN8" s="502"/>
      <c r="CO8" s="502"/>
      <c r="CP8" s="502"/>
      <c r="CQ8" s="502"/>
      <c r="CR8" s="502"/>
      <c r="CS8" s="502"/>
      <c r="CT8" s="502"/>
      <c r="CU8" s="502"/>
      <c r="CV8" s="502"/>
      <c r="CW8" s="502"/>
      <c r="CX8" s="502"/>
      <c r="CY8" s="502"/>
      <c r="CZ8" s="502"/>
      <c r="DA8" s="502"/>
      <c r="DB8" s="502"/>
      <c r="DC8" s="502"/>
      <c r="DD8" s="502"/>
      <c r="DE8" s="502"/>
      <c r="DF8" s="502"/>
      <c r="DG8" s="502"/>
      <c r="DH8" s="502"/>
      <c r="DI8" s="502"/>
      <c r="DJ8" s="502"/>
      <c r="DK8" s="502"/>
      <c r="DL8" s="502"/>
      <c r="DM8" s="502"/>
      <c r="DN8" s="502"/>
      <c r="DO8" s="502"/>
      <c r="DP8" s="502"/>
      <c r="DQ8" s="502"/>
      <c r="DR8" s="502"/>
      <c r="DS8" s="502"/>
      <c r="DT8" s="502"/>
      <c r="DU8" s="502"/>
      <c r="DV8" s="502"/>
      <c r="DW8" s="502"/>
      <c r="DX8" s="502"/>
      <c r="DY8" s="502"/>
      <c r="DZ8" s="502"/>
      <c r="EA8" s="502"/>
      <c r="EB8" s="502"/>
      <c r="EC8" s="502"/>
      <c r="ED8" s="502"/>
      <c r="EE8" s="502"/>
      <c r="EF8" s="502"/>
      <c r="EG8" s="502"/>
      <c r="EH8" s="502"/>
      <c r="EI8" s="502"/>
      <c r="EJ8" s="502"/>
      <c r="EK8" s="502"/>
      <c r="EL8" s="502"/>
      <c r="EM8" s="502"/>
      <c r="EN8" s="502"/>
      <c r="EO8" s="502"/>
      <c r="EP8" s="502"/>
      <c r="EQ8" s="502"/>
      <c r="ER8" s="502"/>
      <c r="ES8" s="502"/>
      <c r="ET8" s="502"/>
      <c r="EU8" s="502"/>
      <c r="EV8" s="502"/>
      <c r="EW8" s="502"/>
      <c r="EX8" s="502"/>
      <c r="EY8" s="502"/>
      <c r="EZ8" s="502"/>
      <c r="FA8" s="502"/>
      <c r="FB8" s="502"/>
      <c r="FC8" s="502"/>
      <c r="FD8" s="502"/>
      <c r="FE8" s="502"/>
      <c r="FF8" s="502"/>
      <c r="FG8" s="502"/>
      <c r="FH8" s="502"/>
      <c r="FI8" s="502"/>
      <c r="FJ8" s="502"/>
      <c r="FK8" s="502"/>
      <c r="FL8" s="502"/>
      <c r="FM8" s="502"/>
      <c r="FN8" s="502"/>
      <c r="FO8" s="502"/>
      <c r="FP8" s="502"/>
      <c r="FQ8" s="502"/>
      <c r="FR8" s="502"/>
      <c r="FS8" s="502"/>
      <c r="FT8" s="502"/>
      <c r="FU8" s="502"/>
      <c r="FV8" s="502"/>
      <c r="FW8" s="502"/>
      <c r="FX8" s="502"/>
      <c r="FY8" s="502"/>
      <c r="FZ8" s="502"/>
      <c r="GA8" s="502"/>
      <c r="GB8" s="502"/>
      <c r="GC8" s="502"/>
      <c r="GD8" s="502"/>
      <c r="GE8" s="502"/>
      <c r="GF8" s="502"/>
      <c r="GG8" s="502"/>
      <c r="GH8" s="502"/>
      <c r="GI8" s="502"/>
      <c r="GJ8" s="502"/>
      <c r="GK8" s="502"/>
      <c r="GL8" s="502"/>
      <c r="GM8" s="502"/>
      <c r="GN8" s="502"/>
      <c r="GO8" s="502"/>
      <c r="GP8" s="502"/>
      <c r="GQ8" s="502"/>
      <c r="GR8" s="502"/>
      <c r="GS8" s="502"/>
      <c r="GT8" s="502"/>
      <c r="GU8" s="502"/>
      <c r="GV8" s="502"/>
      <c r="GW8" s="502"/>
      <c r="GX8" s="502"/>
      <c r="GY8" s="502"/>
      <c r="GZ8" s="502"/>
      <c r="HA8" s="502"/>
      <c r="HB8" s="502"/>
      <c r="HC8" s="502"/>
      <c r="HD8" s="502"/>
      <c r="HE8" s="502"/>
      <c r="HF8" s="502"/>
      <c r="HG8" s="502"/>
      <c r="HH8" s="502"/>
      <c r="HI8" s="502"/>
      <c r="HJ8" s="502"/>
      <c r="HK8" s="502"/>
      <c r="HL8" s="502"/>
      <c r="HM8" s="502"/>
      <c r="HN8" s="502"/>
      <c r="HO8" s="502"/>
      <c r="HP8" s="502"/>
      <c r="HQ8" s="502"/>
      <c r="HR8" s="502"/>
      <c r="HS8" s="502"/>
      <c r="HT8" s="502"/>
      <c r="HU8" s="502"/>
      <c r="HV8" s="502"/>
      <c r="HW8" s="502"/>
      <c r="HX8" s="502"/>
      <c r="HY8" s="502"/>
      <c r="HZ8" s="502"/>
      <c r="IA8" s="502"/>
      <c r="IB8" s="502"/>
      <c r="IC8" s="502"/>
      <c r="ID8" s="502"/>
      <c r="IE8" s="502"/>
      <c r="IF8" s="502"/>
      <c r="IG8" s="502"/>
      <c r="IH8" s="502"/>
      <c r="II8" s="502"/>
      <c r="IJ8" s="502"/>
      <c r="IK8" s="502"/>
      <c r="IL8" s="502"/>
      <c r="IM8" s="502"/>
      <c r="IN8" s="502"/>
      <c r="IO8" s="502"/>
      <c r="IP8" s="502"/>
      <c r="IQ8" s="502"/>
      <c r="IR8" s="502"/>
      <c r="IS8" s="502"/>
      <c r="IT8" s="502"/>
      <c r="IU8" s="502"/>
      <c r="IV8" s="502"/>
      <c r="IW8" s="502"/>
      <c r="IX8" s="502"/>
      <c r="IY8" s="502"/>
      <c r="IZ8" s="502"/>
      <c r="JA8" s="502"/>
      <c r="JB8" s="502"/>
      <c r="JC8" s="502"/>
      <c r="JD8" s="502"/>
      <c r="JE8" s="502"/>
      <c r="JF8" s="502"/>
      <c r="JG8" s="502"/>
      <c r="JH8" s="502"/>
      <c r="JI8" s="502"/>
      <c r="JJ8" s="502"/>
      <c r="JK8" s="502"/>
      <c r="JL8" s="502"/>
      <c r="JM8" s="502"/>
      <c r="JN8" s="502"/>
      <c r="JO8" s="502"/>
      <c r="JP8" s="502"/>
      <c r="JQ8" s="502"/>
      <c r="JR8" s="502"/>
      <c r="JS8" s="502"/>
      <c r="JT8" s="502"/>
      <c r="JU8" s="502"/>
      <c r="JV8" s="502"/>
      <c r="JW8" s="502"/>
      <c r="JX8" s="502"/>
      <c r="JY8" s="502"/>
      <c r="JZ8" s="502"/>
      <c r="KA8" s="502"/>
      <c r="KB8" s="502"/>
      <c r="KC8" s="502"/>
      <c r="KD8" s="502"/>
      <c r="KE8" s="502"/>
      <c r="KF8" s="502"/>
      <c r="KG8" s="502"/>
      <c r="KH8" s="502"/>
      <c r="KI8" s="502"/>
      <c r="KJ8" s="502"/>
      <c r="KK8" s="502"/>
      <c r="KL8" s="502"/>
      <c r="KM8" s="502"/>
      <c r="KN8" s="502"/>
      <c r="KO8" s="502"/>
      <c r="KP8" s="502"/>
      <c r="KQ8" s="502"/>
      <c r="KR8" s="502"/>
      <c r="KS8" s="502"/>
      <c r="KT8" s="502"/>
      <c r="KU8" s="502"/>
      <c r="KV8" s="502"/>
      <c r="KW8" s="502"/>
      <c r="KX8" s="502"/>
      <c r="KY8" s="502"/>
      <c r="KZ8" s="502"/>
      <c r="LA8" s="502"/>
      <c r="LB8" s="502"/>
      <c r="LC8" s="502"/>
      <c r="LD8" s="502"/>
      <c r="LE8" s="502"/>
      <c r="LF8" s="502"/>
      <c r="LG8" s="502"/>
      <c r="LH8" s="502"/>
      <c r="LI8" s="502"/>
      <c r="LJ8" s="502"/>
      <c r="LK8" s="502"/>
      <c r="LL8" s="502"/>
      <c r="LM8" s="502"/>
      <c r="LN8" s="502"/>
      <c r="LO8" s="502"/>
      <c r="LP8" s="502"/>
      <c r="LQ8" s="502"/>
      <c r="LR8" s="502"/>
      <c r="LS8" s="502"/>
      <c r="LT8" s="502"/>
      <c r="LU8" s="502"/>
      <c r="LV8" s="502"/>
      <c r="LW8" s="502"/>
      <c r="LX8" s="502"/>
      <c r="LY8" s="502"/>
      <c r="LZ8" s="502"/>
      <c r="MA8" s="502"/>
      <c r="MB8" s="502"/>
      <c r="MC8" s="502"/>
      <c r="MD8" s="502"/>
      <c r="ME8" s="502"/>
      <c r="MF8" s="502"/>
      <c r="MG8" s="502"/>
      <c r="MH8" s="502"/>
      <c r="MI8" s="502"/>
      <c r="MJ8" s="502"/>
      <c r="MK8" s="502"/>
      <c r="ML8" s="502"/>
      <c r="MM8" s="502"/>
      <c r="MN8" s="502"/>
      <c r="MO8" s="502"/>
      <c r="MP8" s="502"/>
      <c r="MQ8" s="502"/>
      <c r="MR8" s="502"/>
      <c r="MS8" s="502"/>
      <c r="MT8" s="502"/>
      <c r="MU8" s="502"/>
      <c r="MV8" s="502"/>
      <c r="MW8" s="502"/>
      <c r="MX8" s="502"/>
      <c r="MY8" s="502"/>
      <c r="MZ8" s="502"/>
      <c r="NA8" s="502"/>
      <c r="NB8" s="502"/>
      <c r="NC8" s="502"/>
      <c r="ND8" s="502"/>
      <c r="NE8" s="502"/>
      <c r="NF8" s="502"/>
      <c r="NG8" s="502"/>
      <c r="NH8" s="502"/>
      <c r="NI8" s="502"/>
      <c r="NJ8" s="502"/>
      <c r="NK8" s="502"/>
      <c r="NL8" s="502"/>
      <c r="NM8" s="502"/>
      <c r="NN8" s="502"/>
      <c r="NO8" s="502"/>
      <c r="NP8" s="502"/>
      <c r="NQ8" s="502"/>
      <c r="NR8" s="502"/>
      <c r="NS8" s="502"/>
      <c r="NT8" s="502"/>
      <c r="NU8" s="502"/>
      <c r="NV8" s="502"/>
      <c r="NW8" s="502"/>
      <c r="NX8" s="502"/>
      <c r="NY8" s="502"/>
      <c r="NZ8" s="502"/>
      <c r="OA8" s="502"/>
      <c r="OB8" s="502"/>
      <c r="OC8" s="502"/>
      <c r="OD8" s="502"/>
      <c r="OE8" s="502"/>
      <c r="OF8" s="502"/>
      <c r="OG8" s="502"/>
      <c r="OH8" s="502"/>
      <c r="OI8" s="502"/>
      <c r="OJ8" s="502"/>
      <c r="OK8" s="502"/>
      <c r="OL8" s="502"/>
      <c r="OM8" s="502"/>
      <c r="ON8" s="502"/>
      <c r="OO8" s="502"/>
    </row>
    <row r="9" spans="2:406" s="71" customFormat="1" ht="15">
      <c r="B9" s="513" t="s">
        <v>430</v>
      </c>
      <c r="C9" s="513"/>
      <c r="D9" s="510"/>
      <c r="E9" s="511"/>
      <c r="F9" s="511"/>
      <c r="G9" s="511"/>
      <c r="H9" s="511"/>
      <c r="I9" s="512"/>
      <c r="J9" s="512"/>
      <c r="K9" s="512"/>
      <c r="L9" s="512"/>
      <c r="M9" s="512"/>
      <c r="N9" s="512"/>
      <c r="O9" s="512"/>
      <c r="P9" s="512"/>
      <c r="Q9" s="512"/>
      <c r="R9" s="512"/>
      <c r="S9" s="512"/>
      <c r="T9" s="512"/>
      <c r="U9" s="512"/>
      <c r="V9" s="512"/>
      <c r="W9" s="512"/>
      <c r="X9" s="512"/>
      <c r="Y9" s="512"/>
      <c r="Z9" s="512"/>
      <c r="AA9" s="512"/>
      <c r="AB9" s="512"/>
      <c r="AC9" s="512"/>
      <c r="AD9" s="512"/>
      <c r="AE9" s="512"/>
      <c r="AF9" s="512"/>
      <c r="AG9" s="512"/>
      <c r="AH9" s="512"/>
      <c r="AI9" s="512"/>
      <c r="AJ9" s="512"/>
      <c r="AK9" s="512"/>
      <c r="AL9" s="512"/>
      <c r="AM9" s="512"/>
      <c r="AN9" s="512"/>
      <c r="AO9" s="512"/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  <c r="HL9" s="512"/>
      <c r="HM9" s="512"/>
      <c r="HN9" s="512"/>
      <c r="HO9" s="512"/>
      <c r="HP9" s="512"/>
      <c r="HQ9" s="512"/>
      <c r="HR9" s="512"/>
      <c r="HS9" s="512"/>
      <c r="HT9" s="512"/>
      <c r="HU9" s="512"/>
      <c r="HV9" s="512"/>
      <c r="HW9" s="512"/>
      <c r="HX9" s="512"/>
      <c r="HY9" s="512"/>
      <c r="HZ9" s="512"/>
      <c r="IA9" s="512"/>
      <c r="IB9" s="512"/>
      <c r="IC9" s="512"/>
      <c r="ID9" s="512"/>
      <c r="IE9" s="512"/>
      <c r="IF9" s="512"/>
      <c r="IG9" s="512"/>
      <c r="IH9" s="512"/>
      <c r="II9" s="512"/>
      <c r="IJ9" s="512"/>
      <c r="IK9" s="512"/>
      <c r="IL9" s="512"/>
      <c r="IM9" s="512"/>
      <c r="IN9" s="512"/>
      <c r="IO9" s="512"/>
      <c r="IP9" s="512"/>
      <c r="IQ9" s="512"/>
      <c r="IR9" s="512"/>
      <c r="IS9" s="512"/>
      <c r="IT9" s="512"/>
      <c r="IU9" s="512"/>
      <c r="IV9" s="512"/>
      <c r="IW9" s="512"/>
      <c r="IX9" s="512"/>
      <c r="IY9" s="512"/>
      <c r="IZ9" s="512"/>
      <c r="JA9" s="512"/>
      <c r="JB9" s="512"/>
      <c r="JC9" s="512"/>
      <c r="JD9" s="512"/>
      <c r="JE9" s="512"/>
      <c r="JF9" s="512"/>
      <c r="JG9" s="512"/>
      <c r="JH9" s="512"/>
      <c r="JI9" s="512"/>
      <c r="JJ9" s="512"/>
      <c r="JK9" s="512"/>
      <c r="JL9" s="512"/>
      <c r="JM9" s="512"/>
      <c r="JN9" s="512"/>
      <c r="JO9" s="512"/>
      <c r="JP9" s="512"/>
      <c r="JQ9" s="512"/>
      <c r="JR9" s="512"/>
      <c r="JS9" s="512"/>
      <c r="JT9" s="512"/>
      <c r="JU9" s="512"/>
      <c r="JV9" s="512"/>
      <c r="JW9" s="512"/>
      <c r="JX9" s="512"/>
      <c r="JY9" s="512"/>
      <c r="JZ9" s="512"/>
      <c r="KA9" s="512"/>
      <c r="KB9" s="512"/>
      <c r="KC9" s="512"/>
      <c r="KD9" s="512"/>
      <c r="KE9" s="512"/>
      <c r="KF9" s="512"/>
      <c r="KG9" s="512"/>
      <c r="KH9" s="512"/>
      <c r="KI9" s="512"/>
      <c r="KJ9" s="512"/>
      <c r="KK9" s="512"/>
      <c r="KL9" s="512"/>
      <c r="KM9" s="512"/>
      <c r="KN9" s="512"/>
      <c r="KO9" s="512"/>
      <c r="KP9" s="512"/>
      <c r="KQ9" s="512"/>
      <c r="KR9" s="512"/>
      <c r="KS9" s="512"/>
      <c r="KT9" s="512"/>
      <c r="KU9" s="512"/>
      <c r="KV9" s="512"/>
      <c r="KW9" s="512"/>
      <c r="KX9" s="512"/>
      <c r="KY9" s="512"/>
      <c r="KZ9" s="512"/>
      <c r="LA9" s="512"/>
      <c r="LB9" s="512"/>
      <c r="LC9" s="512"/>
      <c r="LD9" s="512"/>
      <c r="LE9" s="512"/>
      <c r="LF9" s="512"/>
      <c r="LG9" s="512"/>
      <c r="LH9" s="512"/>
      <c r="LI9" s="512"/>
      <c r="LJ9" s="512"/>
      <c r="LK9" s="512"/>
      <c r="LL9" s="512"/>
      <c r="LM9" s="512"/>
      <c r="LN9" s="512"/>
      <c r="LO9" s="512"/>
      <c r="LP9" s="512"/>
      <c r="LQ9" s="512"/>
      <c r="LR9" s="512"/>
      <c r="LS9" s="512"/>
      <c r="LT9" s="512"/>
      <c r="LU9" s="512"/>
      <c r="LV9" s="512"/>
      <c r="LW9" s="512"/>
      <c r="LX9" s="512"/>
      <c r="LY9" s="512"/>
      <c r="LZ9" s="512"/>
      <c r="MA9" s="512"/>
      <c r="MB9" s="512"/>
      <c r="MC9" s="512"/>
      <c r="MD9" s="512"/>
      <c r="ME9" s="512"/>
      <c r="MF9" s="512"/>
      <c r="MG9" s="512"/>
      <c r="MH9" s="512"/>
      <c r="MI9" s="512"/>
      <c r="MJ9" s="512"/>
      <c r="MK9" s="512"/>
      <c r="ML9" s="512"/>
      <c r="MM9" s="512"/>
      <c r="MN9" s="512"/>
      <c r="MO9" s="512"/>
      <c r="MP9" s="512"/>
      <c r="MQ9" s="512"/>
      <c r="MR9" s="512"/>
      <c r="MS9" s="512"/>
      <c r="MT9" s="512"/>
      <c r="MU9" s="512"/>
      <c r="MV9" s="512"/>
      <c r="MW9" s="512"/>
      <c r="MX9" s="512"/>
      <c r="MY9" s="512"/>
      <c r="MZ9" s="512"/>
      <c r="NA9" s="512"/>
      <c r="NB9" s="512"/>
      <c r="NC9" s="512"/>
      <c r="ND9" s="512"/>
      <c r="NE9" s="512"/>
      <c r="NF9" s="512"/>
      <c r="NG9" s="512"/>
      <c r="NH9" s="512"/>
      <c r="NI9" s="512"/>
      <c r="NJ9" s="512"/>
      <c r="NK9" s="512"/>
      <c r="NL9" s="512"/>
      <c r="NM9" s="512"/>
      <c r="NN9" s="512"/>
      <c r="NO9" s="512"/>
      <c r="NP9" s="512"/>
      <c r="NQ9" s="512"/>
      <c r="NR9" s="512"/>
      <c r="NS9" s="512"/>
      <c r="NT9" s="512"/>
      <c r="NU9" s="512"/>
      <c r="NV9" s="512"/>
      <c r="NW9" s="512"/>
      <c r="NX9" s="512"/>
      <c r="NY9" s="512"/>
      <c r="NZ9" s="512"/>
      <c r="OA9" s="512"/>
      <c r="OB9" s="512"/>
      <c r="OC9" s="512"/>
      <c r="OD9" s="512"/>
      <c r="OE9" s="512"/>
      <c r="OF9" s="512"/>
      <c r="OG9" s="512"/>
      <c r="OH9" s="512"/>
      <c r="OI9" s="512"/>
      <c r="OJ9" s="512"/>
      <c r="OK9" s="512"/>
      <c r="OL9" s="512"/>
      <c r="OM9" s="512"/>
      <c r="ON9" s="512"/>
      <c r="OO9" s="512"/>
    </row>
    <row r="10" spans="2:406" s="71" customFormat="1" ht="15">
      <c r="B10" s="501"/>
      <c r="C10" s="501"/>
      <c r="K10" s="502"/>
      <c r="L10" s="502"/>
      <c r="M10" s="502"/>
      <c r="N10" s="502"/>
      <c r="O10" s="502"/>
      <c r="P10" s="502"/>
      <c r="Q10" s="502"/>
      <c r="R10" s="502"/>
      <c r="S10" s="502"/>
      <c r="T10" s="502"/>
      <c r="U10" s="502"/>
      <c r="V10" s="502"/>
      <c r="W10" s="502"/>
      <c r="X10" s="502"/>
      <c r="Y10" s="502"/>
      <c r="Z10" s="502"/>
      <c r="AA10" s="502"/>
      <c r="AB10" s="502"/>
      <c r="AC10" s="502"/>
      <c r="AD10" s="502"/>
      <c r="AE10" s="502"/>
      <c r="AF10" s="502"/>
      <c r="AG10" s="502"/>
      <c r="AH10" s="502"/>
      <c r="AI10" s="502"/>
      <c r="AJ10" s="502"/>
      <c r="AK10" s="502"/>
      <c r="AL10" s="502"/>
      <c r="AM10" s="502"/>
      <c r="AN10" s="502"/>
      <c r="AO10" s="502"/>
      <c r="AP10" s="502"/>
      <c r="AQ10" s="502"/>
      <c r="AR10" s="502"/>
      <c r="AS10" s="502"/>
      <c r="AT10" s="502"/>
      <c r="AU10" s="502"/>
      <c r="AV10" s="502"/>
      <c r="AW10" s="502"/>
      <c r="AX10" s="502"/>
      <c r="AY10" s="502"/>
      <c r="AZ10" s="502"/>
      <c r="BA10" s="502"/>
      <c r="BB10" s="502"/>
      <c r="BC10" s="502"/>
      <c r="BD10" s="502"/>
      <c r="BE10" s="502"/>
      <c r="BF10" s="502"/>
      <c r="BG10" s="502"/>
      <c r="BH10" s="502"/>
      <c r="BI10" s="502"/>
      <c r="BJ10" s="502"/>
      <c r="BK10" s="502"/>
      <c r="BL10" s="502"/>
      <c r="BM10" s="502"/>
      <c r="BN10" s="502"/>
      <c r="BO10" s="502"/>
      <c r="BP10" s="502"/>
      <c r="BQ10" s="502"/>
      <c r="BR10" s="502"/>
      <c r="BS10" s="502"/>
      <c r="BT10" s="502"/>
      <c r="BU10" s="502"/>
      <c r="BV10" s="502"/>
      <c r="BW10" s="502"/>
      <c r="BX10" s="502"/>
      <c r="BY10" s="502"/>
      <c r="BZ10" s="502"/>
      <c r="CA10" s="502"/>
      <c r="CB10" s="502"/>
      <c r="CC10" s="502"/>
      <c r="CD10" s="502"/>
      <c r="CE10" s="502"/>
      <c r="CF10" s="502"/>
      <c r="CG10" s="502"/>
      <c r="CH10" s="502"/>
      <c r="CI10" s="502"/>
      <c r="CJ10" s="502"/>
      <c r="CK10" s="502"/>
      <c r="CL10" s="502"/>
      <c r="CM10" s="502"/>
      <c r="CN10" s="502"/>
      <c r="CO10" s="502"/>
      <c r="CP10" s="502"/>
      <c r="CQ10" s="502"/>
      <c r="CR10" s="502"/>
      <c r="CS10" s="502"/>
      <c r="CT10" s="502"/>
      <c r="CU10" s="502"/>
      <c r="CV10" s="502"/>
      <c r="CW10" s="502"/>
      <c r="CX10" s="502"/>
      <c r="CY10" s="502"/>
      <c r="CZ10" s="502"/>
      <c r="DA10" s="502"/>
      <c r="DB10" s="502"/>
      <c r="DC10" s="502"/>
      <c r="DD10" s="502"/>
      <c r="DE10" s="502"/>
      <c r="DF10" s="502"/>
      <c r="DG10" s="502"/>
      <c r="DH10" s="502"/>
      <c r="DI10" s="502"/>
      <c r="DJ10" s="502"/>
      <c r="DK10" s="502"/>
      <c r="DL10" s="502"/>
      <c r="DM10" s="502"/>
      <c r="DN10" s="502"/>
      <c r="DO10" s="502"/>
      <c r="DP10" s="502"/>
      <c r="DQ10" s="502"/>
      <c r="DR10" s="502"/>
      <c r="DS10" s="502"/>
      <c r="DT10" s="502"/>
      <c r="DU10" s="502"/>
      <c r="DV10" s="502"/>
      <c r="DW10" s="502"/>
      <c r="DX10" s="502"/>
      <c r="DY10" s="502"/>
      <c r="DZ10" s="502"/>
      <c r="EA10" s="502"/>
      <c r="EB10" s="502"/>
      <c r="EC10" s="502"/>
      <c r="ED10" s="502"/>
      <c r="EE10" s="502"/>
      <c r="EF10" s="502"/>
      <c r="EG10" s="502"/>
      <c r="EH10" s="502"/>
      <c r="EI10" s="502"/>
      <c r="EJ10" s="502"/>
      <c r="EK10" s="502"/>
      <c r="EL10" s="502"/>
      <c r="EM10" s="502"/>
      <c r="EN10" s="502"/>
      <c r="EO10" s="502"/>
      <c r="EP10" s="502"/>
      <c r="EQ10" s="502"/>
      <c r="ER10" s="502"/>
      <c r="ES10" s="502"/>
      <c r="ET10" s="502"/>
      <c r="EU10" s="502"/>
      <c r="EV10" s="502"/>
      <c r="EW10" s="502"/>
      <c r="EX10" s="502"/>
      <c r="EY10" s="502"/>
      <c r="EZ10" s="502"/>
      <c r="FA10" s="502"/>
      <c r="FB10" s="502"/>
      <c r="FC10" s="502"/>
      <c r="FD10" s="502"/>
      <c r="FE10" s="502"/>
      <c r="FF10" s="502"/>
      <c r="FG10" s="502"/>
      <c r="FH10" s="502"/>
      <c r="FI10" s="502"/>
      <c r="FJ10" s="502"/>
      <c r="FK10" s="502"/>
      <c r="FL10" s="502"/>
      <c r="FM10" s="502"/>
      <c r="FN10" s="502"/>
      <c r="FO10" s="502"/>
      <c r="FP10" s="502"/>
      <c r="FQ10" s="502"/>
      <c r="FR10" s="502"/>
      <c r="FS10" s="502"/>
      <c r="FT10" s="502"/>
      <c r="FU10" s="502"/>
      <c r="FV10" s="502"/>
      <c r="FW10" s="502"/>
      <c r="FX10" s="502"/>
      <c r="FY10" s="502"/>
      <c r="FZ10" s="502"/>
      <c r="GA10" s="502"/>
      <c r="GB10" s="502"/>
      <c r="GC10" s="502"/>
      <c r="GD10" s="502"/>
      <c r="GE10" s="502"/>
      <c r="GF10" s="502"/>
      <c r="GG10" s="502"/>
      <c r="GH10" s="502"/>
      <c r="GI10" s="502"/>
      <c r="GJ10" s="502"/>
      <c r="GK10" s="502"/>
      <c r="GL10" s="502"/>
      <c r="GM10" s="502"/>
      <c r="GN10" s="502"/>
      <c r="GO10" s="502"/>
      <c r="GP10" s="502"/>
      <c r="GQ10" s="502"/>
      <c r="GR10" s="502"/>
      <c r="GS10" s="502"/>
      <c r="GT10" s="502"/>
      <c r="GU10" s="502"/>
      <c r="GV10" s="502"/>
      <c r="GW10" s="502"/>
      <c r="GX10" s="502"/>
      <c r="GY10" s="502"/>
      <c r="GZ10" s="502"/>
      <c r="HA10" s="502"/>
      <c r="HB10" s="502"/>
      <c r="HC10" s="502"/>
      <c r="HD10" s="502"/>
      <c r="HE10" s="502"/>
      <c r="HF10" s="502"/>
      <c r="HG10" s="502"/>
      <c r="HH10" s="502"/>
      <c r="HI10" s="502"/>
      <c r="HJ10" s="502"/>
      <c r="HK10" s="502"/>
      <c r="HL10" s="502"/>
      <c r="HM10" s="502"/>
      <c r="HN10" s="502"/>
      <c r="HO10" s="502"/>
      <c r="HP10" s="502"/>
      <c r="HQ10" s="502"/>
      <c r="HR10" s="502"/>
      <c r="HS10" s="502"/>
      <c r="HT10" s="502"/>
      <c r="HU10" s="502"/>
      <c r="HV10" s="502"/>
      <c r="HW10" s="502"/>
      <c r="HX10" s="502"/>
      <c r="HY10" s="502"/>
      <c r="HZ10" s="502"/>
      <c r="IA10" s="502"/>
      <c r="IB10" s="502"/>
      <c r="IC10" s="502"/>
      <c r="ID10" s="502"/>
      <c r="IE10" s="502"/>
      <c r="IF10" s="502"/>
      <c r="IG10" s="502"/>
      <c r="IH10" s="502"/>
      <c r="II10" s="502"/>
      <c r="IJ10" s="502"/>
      <c r="IK10" s="502"/>
      <c r="IL10" s="502"/>
      <c r="IM10" s="502"/>
      <c r="IN10" s="502"/>
      <c r="IO10" s="502"/>
      <c r="IP10" s="502"/>
      <c r="IQ10" s="502"/>
      <c r="IR10" s="502"/>
      <c r="IS10" s="502"/>
      <c r="IT10" s="502"/>
      <c r="IU10" s="502"/>
      <c r="IV10" s="502"/>
      <c r="IW10" s="502"/>
      <c r="IX10" s="502"/>
      <c r="IY10" s="502"/>
      <c r="IZ10" s="502"/>
      <c r="JA10" s="502"/>
      <c r="JB10" s="502"/>
      <c r="JC10" s="502"/>
      <c r="JD10" s="502"/>
      <c r="JE10" s="502"/>
      <c r="JF10" s="502"/>
      <c r="JG10" s="502"/>
      <c r="JH10" s="502"/>
      <c r="JI10" s="502"/>
      <c r="JJ10" s="502"/>
      <c r="JK10" s="502"/>
      <c r="JL10" s="502"/>
      <c r="JM10" s="502"/>
      <c r="JN10" s="502"/>
      <c r="JO10" s="502"/>
      <c r="JP10" s="502"/>
      <c r="JQ10" s="502"/>
      <c r="JR10" s="502"/>
      <c r="JS10" s="502"/>
      <c r="JT10" s="502"/>
      <c r="JU10" s="502"/>
      <c r="JV10" s="502"/>
      <c r="JW10" s="502"/>
      <c r="JX10" s="502"/>
      <c r="JY10" s="502"/>
      <c r="JZ10" s="502"/>
      <c r="KA10" s="502"/>
      <c r="KB10" s="502"/>
      <c r="KC10" s="502"/>
      <c r="KD10" s="502"/>
      <c r="KE10" s="502"/>
      <c r="KF10" s="502"/>
      <c r="KG10" s="502"/>
      <c r="KH10" s="502"/>
      <c r="KI10" s="502"/>
      <c r="KJ10" s="502"/>
      <c r="KK10" s="502"/>
      <c r="KL10" s="502"/>
      <c r="KM10" s="502"/>
      <c r="KN10" s="502"/>
      <c r="KO10" s="502"/>
      <c r="KP10" s="502"/>
      <c r="KQ10" s="502"/>
      <c r="KR10" s="502"/>
      <c r="KS10" s="502"/>
      <c r="KT10" s="502"/>
      <c r="KU10" s="502"/>
      <c r="KV10" s="502"/>
      <c r="KW10" s="502"/>
      <c r="KX10" s="502"/>
      <c r="KY10" s="502"/>
      <c r="KZ10" s="502"/>
      <c r="LA10" s="502"/>
      <c r="LB10" s="502"/>
      <c r="LC10" s="502"/>
      <c r="LD10" s="502"/>
      <c r="LE10" s="502"/>
      <c r="LF10" s="502"/>
      <c r="LG10" s="502"/>
      <c r="LH10" s="502"/>
      <c r="LI10" s="502"/>
      <c r="LJ10" s="502"/>
      <c r="LK10" s="502"/>
      <c r="LL10" s="502"/>
      <c r="LM10" s="502"/>
      <c r="LN10" s="502"/>
      <c r="LO10" s="502"/>
      <c r="LP10" s="502"/>
      <c r="LQ10" s="502"/>
      <c r="LR10" s="502"/>
      <c r="LS10" s="502"/>
      <c r="LT10" s="502"/>
      <c r="LU10" s="502"/>
      <c r="LV10" s="502"/>
      <c r="LW10" s="502"/>
      <c r="LX10" s="502"/>
      <c r="LY10" s="502"/>
      <c r="LZ10" s="502"/>
      <c r="MA10" s="502"/>
      <c r="MB10" s="502"/>
      <c r="MC10" s="502"/>
      <c r="MD10" s="502"/>
      <c r="ME10" s="502"/>
      <c r="MF10" s="502"/>
      <c r="MG10" s="502"/>
      <c r="MH10" s="502"/>
      <c r="MI10" s="502"/>
      <c r="MJ10" s="502"/>
      <c r="MK10" s="502"/>
      <c r="ML10" s="502"/>
      <c r="MM10" s="502"/>
      <c r="MN10" s="502"/>
      <c r="MO10" s="502"/>
      <c r="MP10" s="502"/>
      <c r="MQ10" s="502"/>
      <c r="MR10" s="502"/>
      <c r="MS10" s="502"/>
      <c r="MT10" s="502"/>
      <c r="MU10" s="502"/>
      <c r="MV10" s="502"/>
      <c r="MW10" s="502"/>
      <c r="MX10" s="502"/>
      <c r="MY10" s="502"/>
      <c r="MZ10" s="502"/>
      <c r="NA10" s="502"/>
      <c r="NB10" s="502"/>
      <c r="NC10" s="502"/>
      <c r="ND10" s="502"/>
      <c r="NE10" s="502"/>
      <c r="NF10" s="502"/>
      <c r="NG10" s="502"/>
      <c r="NH10" s="502"/>
      <c r="NI10" s="502"/>
      <c r="NJ10" s="502"/>
      <c r="NK10" s="502"/>
      <c r="NL10" s="502"/>
      <c r="NM10" s="502"/>
      <c r="NN10" s="502"/>
      <c r="NO10" s="502"/>
      <c r="NP10" s="502"/>
      <c r="NQ10" s="502"/>
      <c r="NR10" s="502"/>
      <c r="NS10" s="502"/>
      <c r="NT10" s="502"/>
      <c r="NU10" s="502"/>
      <c r="NV10" s="502"/>
      <c r="NW10" s="502"/>
      <c r="NX10" s="502"/>
      <c r="NY10" s="502"/>
      <c r="NZ10" s="502"/>
      <c r="OA10" s="502"/>
      <c r="OB10" s="502"/>
      <c r="OC10" s="502"/>
      <c r="OD10" s="502"/>
      <c r="OE10" s="502"/>
      <c r="OF10" s="502"/>
      <c r="OG10" s="502"/>
      <c r="OH10" s="502"/>
      <c r="OI10" s="502"/>
      <c r="OJ10" s="502"/>
      <c r="OK10" s="502"/>
      <c r="OL10" s="502"/>
      <c r="OM10" s="502"/>
      <c r="ON10" s="502"/>
      <c r="OO10" s="502"/>
    </row>
    <row r="11" spans="2:406">
      <c r="B11" s="477" t="str">
        <f>Assumptions!B74</f>
        <v>Acquisition Costs</v>
      </c>
      <c r="C11" s="477"/>
      <c r="D11" s="478"/>
      <c r="E11" s="97"/>
      <c r="F11" s="97"/>
      <c r="G11" s="97"/>
      <c r="H11" s="97"/>
      <c r="I11" s="97"/>
      <c r="J11" s="97"/>
      <c r="K11" s="97"/>
      <c r="L11" s="479"/>
      <c r="M11" s="479"/>
      <c r="N11" s="479"/>
      <c r="O11" s="479"/>
      <c r="P11" s="479"/>
      <c r="Q11" s="479"/>
      <c r="R11" s="479"/>
      <c r="S11" s="479"/>
      <c r="T11" s="479"/>
      <c r="U11" s="479"/>
      <c r="V11" s="479"/>
      <c r="W11" s="479"/>
      <c r="X11" s="479"/>
      <c r="Y11" s="479"/>
      <c r="Z11" s="479"/>
      <c r="AA11" s="479"/>
      <c r="AB11" s="479"/>
      <c r="AC11" s="479"/>
      <c r="AD11" s="479"/>
      <c r="AE11" s="479"/>
      <c r="AF11" s="479"/>
      <c r="AG11" s="479"/>
      <c r="AH11" s="479"/>
      <c r="AI11" s="479"/>
      <c r="AJ11" s="479"/>
      <c r="AK11" s="479"/>
      <c r="AL11" s="479"/>
      <c r="AM11" s="479"/>
      <c r="AN11" s="479"/>
      <c r="AO11" s="479"/>
      <c r="AP11" s="97"/>
      <c r="AQ11" s="97"/>
    </row>
    <row r="12" spans="2:406">
      <c r="B12" s="97" t="str">
        <f>Assumptions!B75</f>
        <v>Building Acquisition</v>
      </c>
      <c r="C12" s="97"/>
      <c r="D12" s="500">
        <f>Assumptions!C75</f>
        <v>0</v>
      </c>
      <c r="E12" s="507">
        <f>Assumptions!$C$8</f>
        <v>46204</v>
      </c>
      <c r="F12" s="507">
        <f>E12</f>
        <v>46204</v>
      </c>
      <c r="G12" s="97">
        <f>((YEAR(F12)-YEAR(E12))*12+MONTH(F12)-MONTH(E12)+1)</f>
        <v>1</v>
      </c>
      <c r="H12" s="97"/>
      <c r="I12" s="97"/>
      <c r="J12" s="479">
        <f>-IF(J$7&gt;=$E12,IF(J$7&lt;=$F12,$D12/$G12,0),0)</f>
        <v>0</v>
      </c>
      <c r="K12" s="479">
        <f t="shared" ref="K12:BV13" si="270">-IF(K$7&gt;=$E12,IF(K$7&lt;=$F12,$D12/$G12,0),0)</f>
        <v>0</v>
      </c>
      <c r="L12" s="479">
        <f t="shared" si="270"/>
        <v>0</v>
      </c>
      <c r="M12" s="479">
        <f t="shared" si="270"/>
        <v>0</v>
      </c>
      <c r="N12" s="479">
        <f t="shared" si="270"/>
        <v>0</v>
      </c>
      <c r="O12" s="479">
        <f t="shared" si="270"/>
        <v>0</v>
      </c>
      <c r="P12" s="479">
        <f t="shared" si="270"/>
        <v>0</v>
      </c>
      <c r="Q12" s="479">
        <f t="shared" si="270"/>
        <v>0</v>
      </c>
      <c r="R12" s="479">
        <f t="shared" si="270"/>
        <v>0</v>
      </c>
      <c r="S12" s="479">
        <f t="shared" si="270"/>
        <v>0</v>
      </c>
      <c r="T12" s="479">
        <f t="shared" si="270"/>
        <v>0</v>
      </c>
      <c r="U12" s="479">
        <f t="shared" si="270"/>
        <v>0</v>
      </c>
      <c r="V12" s="479">
        <f t="shared" si="270"/>
        <v>0</v>
      </c>
      <c r="W12" s="479">
        <f t="shared" si="270"/>
        <v>0</v>
      </c>
      <c r="X12" s="479">
        <f t="shared" si="270"/>
        <v>0</v>
      </c>
      <c r="Y12" s="479">
        <f t="shared" si="270"/>
        <v>0</v>
      </c>
      <c r="Z12" s="479">
        <f t="shared" si="270"/>
        <v>0</v>
      </c>
      <c r="AA12" s="479">
        <f t="shared" si="270"/>
        <v>0</v>
      </c>
      <c r="AB12" s="479">
        <f t="shared" si="270"/>
        <v>0</v>
      </c>
      <c r="AC12" s="479">
        <f t="shared" si="270"/>
        <v>0</v>
      </c>
      <c r="AD12" s="479">
        <f t="shared" si="270"/>
        <v>0</v>
      </c>
      <c r="AE12" s="479">
        <f t="shared" si="270"/>
        <v>0</v>
      </c>
      <c r="AF12" s="479">
        <f t="shared" si="270"/>
        <v>0</v>
      </c>
      <c r="AG12" s="479">
        <f t="shared" si="270"/>
        <v>0</v>
      </c>
      <c r="AH12" s="479">
        <f t="shared" si="270"/>
        <v>0</v>
      </c>
      <c r="AI12" s="479">
        <f t="shared" si="270"/>
        <v>0</v>
      </c>
      <c r="AJ12" s="479">
        <f t="shared" si="270"/>
        <v>0</v>
      </c>
      <c r="AK12" s="479">
        <f t="shared" si="270"/>
        <v>0</v>
      </c>
      <c r="AL12" s="479">
        <f t="shared" si="270"/>
        <v>0</v>
      </c>
      <c r="AM12" s="479">
        <f t="shared" si="270"/>
        <v>0</v>
      </c>
      <c r="AN12" s="479">
        <f t="shared" si="270"/>
        <v>0</v>
      </c>
      <c r="AO12" s="479">
        <f t="shared" si="270"/>
        <v>0</v>
      </c>
      <c r="AP12" s="479">
        <f t="shared" si="270"/>
        <v>0</v>
      </c>
      <c r="AQ12" s="479">
        <f t="shared" si="270"/>
        <v>0</v>
      </c>
      <c r="AR12" s="479">
        <f t="shared" si="270"/>
        <v>0</v>
      </c>
      <c r="AS12" s="479">
        <f t="shared" si="270"/>
        <v>0</v>
      </c>
      <c r="AT12" s="479">
        <f t="shared" si="270"/>
        <v>0</v>
      </c>
      <c r="AU12" s="479">
        <f t="shared" si="270"/>
        <v>0</v>
      </c>
      <c r="AV12" s="479">
        <f t="shared" si="270"/>
        <v>0</v>
      </c>
      <c r="AW12" s="479">
        <f t="shared" si="270"/>
        <v>0</v>
      </c>
      <c r="AX12" s="479">
        <f t="shared" si="270"/>
        <v>0</v>
      </c>
      <c r="AY12" s="479">
        <f t="shared" si="270"/>
        <v>0</v>
      </c>
      <c r="AZ12" s="479">
        <f t="shared" si="270"/>
        <v>0</v>
      </c>
      <c r="BA12" s="479">
        <f t="shared" si="270"/>
        <v>0</v>
      </c>
      <c r="BB12" s="479">
        <f t="shared" si="270"/>
        <v>0</v>
      </c>
      <c r="BC12" s="479">
        <f t="shared" si="270"/>
        <v>0</v>
      </c>
      <c r="BD12" s="479">
        <f t="shared" si="270"/>
        <v>0</v>
      </c>
      <c r="BE12" s="479">
        <f t="shared" si="270"/>
        <v>0</v>
      </c>
      <c r="BF12" s="479">
        <f t="shared" si="270"/>
        <v>0</v>
      </c>
      <c r="BG12" s="479">
        <f t="shared" si="270"/>
        <v>0</v>
      </c>
      <c r="BH12" s="479">
        <f t="shared" si="270"/>
        <v>0</v>
      </c>
      <c r="BI12" s="479">
        <f t="shared" si="270"/>
        <v>0</v>
      </c>
      <c r="BJ12" s="479">
        <f t="shared" si="270"/>
        <v>0</v>
      </c>
      <c r="BK12" s="479">
        <f t="shared" si="270"/>
        <v>0</v>
      </c>
      <c r="BL12" s="479">
        <f t="shared" si="270"/>
        <v>0</v>
      </c>
      <c r="BM12" s="479">
        <f t="shared" si="270"/>
        <v>0</v>
      </c>
      <c r="BN12" s="479">
        <f t="shared" si="270"/>
        <v>0</v>
      </c>
      <c r="BO12" s="479">
        <f t="shared" si="270"/>
        <v>0</v>
      </c>
      <c r="BP12" s="479">
        <f t="shared" si="270"/>
        <v>0</v>
      </c>
      <c r="BQ12" s="479">
        <f t="shared" si="270"/>
        <v>0</v>
      </c>
      <c r="BR12" s="479">
        <f t="shared" si="270"/>
        <v>0</v>
      </c>
      <c r="BS12" s="479">
        <f t="shared" si="270"/>
        <v>0</v>
      </c>
      <c r="BT12" s="479">
        <f t="shared" si="270"/>
        <v>0</v>
      </c>
      <c r="BU12" s="479">
        <f t="shared" si="270"/>
        <v>0</v>
      </c>
      <c r="BV12" s="479">
        <f t="shared" si="270"/>
        <v>0</v>
      </c>
      <c r="BW12" s="479">
        <f t="shared" ref="BW12:EH13" si="271">-IF(BW$7&gt;=$E12,IF(BW$7&lt;=$F12,$D12/$G12,0),0)</f>
        <v>0</v>
      </c>
      <c r="BX12" s="479">
        <f t="shared" si="271"/>
        <v>0</v>
      </c>
      <c r="BY12" s="479">
        <f t="shared" si="271"/>
        <v>0</v>
      </c>
      <c r="BZ12" s="479">
        <f t="shared" si="271"/>
        <v>0</v>
      </c>
      <c r="CA12" s="479">
        <f t="shared" si="271"/>
        <v>0</v>
      </c>
      <c r="CB12" s="479">
        <f t="shared" si="271"/>
        <v>0</v>
      </c>
      <c r="CC12" s="479">
        <f t="shared" si="271"/>
        <v>0</v>
      </c>
      <c r="CD12" s="479">
        <f t="shared" si="271"/>
        <v>0</v>
      </c>
      <c r="CE12" s="479">
        <f t="shared" si="271"/>
        <v>0</v>
      </c>
      <c r="CF12" s="479">
        <f t="shared" si="271"/>
        <v>0</v>
      </c>
      <c r="CG12" s="479">
        <f t="shared" si="271"/>
        <v>0</v>
      </c>
      <c r="CH12" s="479">
        <f t="shared" si="271"/>
        <v>0</v>
      </c>
      <c r="CI12" s="479">
        <f t="shared" si="271"/>
        <v>0</v>
      </c>
      <c r="CJ12" s="479">
        <f t="shared" si="271"/>
        <v>0</v>
      </c>
      <c r="CK12" s="479">
        <f t="shared" si="271"/>
        <v>0</v>
      </c>
      <c r="CL12" s="479">
        <f t="shared" si="271"/>
        <v>0</v>
      </c>
      <c r="CM12" s="479">
        <f t="shared" si="271"/>
        <v>0</v>
      </c>
      <c r="CN12" s="479">
        <f t="shared" si="271"/>
        <v>0</v>
      </c>
      <c r="CO12" s="479">
        <f t="shared" si="271"/>
        <v>0</v>
      </c>
      <c r="CP12" s="479">
        <f t="shared" si="271"/>
        <v>0</v>
      </c>
      <c r="CQ12" s="479">
        <f t="shared" si="271"/>
        <v>0</v>
      </c>
      <c r="CR12" s="479">
        <f t="shared" si="271"/>
        <v>0</v>
      </c>
      <c r="CS12" s="479">
        <f t="shared" si="271"/>
        <v>0</v>
      </c>
      <c r="CT12" s="479">
        <f t="shared" si="271"/>
        <v>0</v>
      </c>
      <c r="CU12" s="479">
        <f t="shared" si="271"/>
        <v>0</v>
      </c>
      <c r="CV12" s="479">
        <f t="shared" si="271"/>
        <v>0</v>
      </c>
      <c r="CW12" s="479">
        <f t="shared" si="271"/>
        <v>0</v>
      </c>
      <c r="CX12" s="479">
        <f t="shared" si="271"/>
        <v>0</v>
      </c>
      <c r="CY12" s="479">
        <f t="shared" si="271"/>
        <v>0</v>
      </c>
      <c r="CZ12" s="479">
        <f t="shared" si="271"/>
        <v>0</v>
      </c>
      <c r="DA12" s="479">
        <f t="shared" si="271"/>
        <v>0</v>
      </c>
      <c r="DB12" s="479">
        <f t="shared" si="271"/>
        <v>0</v>
      </c>
      <c r="DC12" s="479">
        <f t="shared" si="271"/>
        <v>0</v>
      </c>
      <c r="DD12" s="479">
        <f t="shared" si="271"/>
        <v>0</v>
      </c>
      <c r="DE12" s="479">
        <f t="shared" si="271"/>
        <v>0</v>
      </c>
      <c r="DF12" s="479">
        <f t="shared" si="271"/>
        <v>0</v>
      </c>
      <c r="DG12" s="479">
        <f t="shared" si="271"/>
        <v>0</v>
      </c>
      <c r="DH12" s="479">
        <f t="shared" si="271"/>
        <v>0</v>
      </c>
      <c r="DI12" s="479">
        <f t="shared" si="271"/>
        <v>0</v>
      </c>
      <c r="DJ12" s="479">
        <f t="shared" si="271"/>
        <v>0</v>
      </c>
      <c r="DK12" s="479">
        <f t="shared" si="271"/>
        <v>0</v>
      </c>
      <c r="DL12" s="479">
        <f t="shared" si="271"/>
        <v>0</v>
      </c>
      <c r="DM12" s="479">
        <f t="shared" si="271"/>
        <v>0</v>
      </c>
      <c r="DN12" s="479">
        <f t="shared" si="271"/>
        <v>0</v>
      </c>
      <c r="DO12" s="479">
        <f t="shared" si="271"/>
        <v>0</v>
      </c>
      <c r="DP12" s="479">
        <f t="shared" si="271"/>
        <v>0</v>
      </c>
      <c r="DQ12" s="479">
        <f t="shared" si="271"/>
        <v>0</v>
      </c>
      <c r="DR12" s="479">
        <f t="shared" si="271"/>
        <v>0</v>
      </c>
      <c r="DS12" s="479">
        <f t="shared" si="271"/>
        <v>0</v>
      </c>
      <c r="DT12" s="479">
        <f t="shared" si="271"/>
        <v>0</v>
      </c>
      <c r="DU12" s="479">
        <f t="shared" si="271"/>
        <v>0</v>
      </c>
      <c r="DV12" s="479">
        <f t="shared" si="271"/>
        <v>0</v>
      </c>
      <c r="DW12" s="479">
        <f t="shared" si="271"/>
        <v>0</v>
      </c>
      <c r="DX12" s="479">
        <f t="shared" si="271"/>
        <v>0</v>
      </c>
      <c r="DY12" s="479">
        <f t="shared" si="271"/>
        <v>0</v>
      </c>
      <c r="DZ12" s="479">
        <f t="shared" si="271"/>
        <v>0</v>
      </c>
      <c r="EA12" s="479">
        <f t="shared" si="271"/>
        <v>0</v>
      </c>
      <c r="EB12" s="479">
        <f t="shared" si="271"/>
        <v>0</v>
      </c>
      <c r="EC12" s="479">
        <f t="shared" si="271"/>
        <v>0</v>
      </c>
      <c r="ED12" s="479">
        <f t="shared" si="271"/>
        <v>0</v>
      </c>
      <c r="EE12" s="479">
        <f t="shared" si="271"/>
        <v>0</v>
      </c>
      <c r="EF12" s="479">
        <f t="shared" si="271"/>
        <v>0</v>
      </c>
      <c r="EG12" s="479">
        <f t="shared" si="271"/>
        <v>0</v>
      </c>
      <c r="EH12" s="479">
        <f t="shared" si="271"/>
        <v>0</v>
      </c>
      <c r="EI12" s="479">
        <f t="shared" ref="EI12:GT13" si="272">-IF(EI$7&gt;=$E12,IF(EI$7&lt;=$F12,$D12/$G12,0),0)</f>
        <v>0</v>
      </c>
      <c r="EJ12" s="479">
        <f t="shared" si="272"/>
        <v>0</v>
      </c>
      <c r="EK12" s="479">
        <f t="shared" si="272"/>
        <v>0</v>
      </c>
      <c r="EL12" s="479">
        <f t="shared" si="272"/>
        <v>0</v>
      </c>
      <c r="EM12" s="479">
        <f t="shared" si="272"/>
        <v>0</v>
      </c>
      <c r="EN12" s="479">
        <f t="shared" si="272"/>
        <v>0</v>
      </c>
      <c r="EO12" s="479">
        <f t="shared" si="272"/>
        <v>0</v>
      </c>
      <c r="EP12" s="479">
        <f t="shared" si="272"/>
        <v>0</v>
      </c>
      <c r="EQ12" s="479">
        <f t="shared" si="272"/>
        <v>0</v>
      </c>
      <c r="ER12" s="479">
        <f t="shared" si="272"/>
        <v>0</v>
      </c>
      <c r="ES12" s="479">
        <f t="shared" si="272"/>
        <v>0</v>
      </c>
      <c r="ET12" s="479">
        <f t="shared" si="272"/>
        <v>0</v>
      </c>
      <c r="EU12" s="479">
        <f t="shared" si="272"/>
        <v>0</v>
      </c>
      <c r="EV12" s="479">
        <f t="shared" si="272"/>
        <v>0</v>
      </c>
      <c r="EW12" s="479">
        <f t="shared" si="272"/>
        <v>0</v>
      </c>
      <c r="EX12" s="479">
        <f t="shared" si="272"/>
        <v>0</v>
      </c>
      <c r="EY12" s="479">
        <f t="shared" si="272"/>
        <v>0</v>
      </c>
      <c r="EZ12" s="479">
        <f t="shared" si="272"/>
        <v>0</v>
      </c>
      <c r="FA12" s="479">
        <f t="shared" si="272"/>
        <v>0</v>
      </c>
      <c r="FB12" s="479">
        <f t="shared" si="272"/>
        <v>0</v>
      </c>
      <c r="FC12" s="479">
        <f t="shared" si="272"/>
        <v>0</v>
      </c>
      <c r="FD12" s="479">
        <f t="shared" si="272"/>
        <v>0</v>
      </c>
      <c r="FE12" s="479">
        <f t="shared" si="272"/>
        <v>0</v>
      </c>
      <c r="FF12" s="479">
        <f t="shared" si="272"/>
        <v>0</v>
      </c>
      <c r="FG12" s="479">
        <f t="shared" si="272"/>
        <v>0</v>
      </c>
      <c r="FH12" s="479">
        <f t="shared" si="272"/>
        <v>0</v>
      </c>
      <c r="FI12" s="479">
        <f t="shared" si="272"/>
        <v>0</v>
      </c>
      <c r="FJ12" s="479">
        <f t="shared" si="272"/>
        <v>0</v>
      </c>
      <c r="FK12" s="479">
        <f t="shared" si="272"/>
        <v>0</v>
      </c>
      <c r="FL12" s="479">
        <f t="shared" si="272"/>
        <v>0</v>
      </c>
      <c r="FM12" s="479">
        <f t="shared" si="272"/>
        <v>0</v>
      </c>
      <c r="FN12" s="479">
        <f t="shared" si="272"/>
        <v>0</v>
      </c>
      <c r="FO12" s="479">
        <f t="shared" si="272"/>
        <v>0</v>
      </c>
      <c r="FP12" s="479">
        <f t="shared" si="272"/>
        <v>0</v>
      </c>
      <c r="FQ12" s="479">
        <f t="shared" si="272"/>
        <v>0</v>
      </c>
      <c r="FR12" s="479">
        <f t="shared" si="272"/>
        <v>0</v>
      </c>
      <c r="FS12" s="479">
        <f t="shared" si="272"/>
        <v>0</v>
      </c>
      <c r="FT12" s="479">
        <f t="shared" si="272"/>
        <v>0</v>
      </c>
      <c r="FU12" s="479">
        <f t="shared" si="272"/>
        <v>0</v>
      </c>
      <c r="FV12" s="479">
        <f t="shared" si="272"/>
        <v>0</v>
      </c>
      <c r="FW12" s="479">
        <f t="shared" si="272"/>
        <v>0</v>
      </c>
      <c r="FX12" s="479">
        <f t="shared" si="272"/>
        <v>0</v>
      </c>
      <c r="FY12" s="479">
        <f t="shared" si="272"/>
        <v>0</v>
      </c>
      <c r="FZ12" s="479">
        <f t="shared" si="272"/>
        <v>0</v>
      </c>
      <c r="GA12" s="479">
        <f t="shared" si="272"/>
        <v>0</v>
      </c>
      <c r="GB12" s="479">
        <f t="shared" si="272"/>
        <v>0</v>
      </c>
      <c r="GC12" s="479">
        <f t="shared" si="272"/>
        <v>0</v>
      </c>
      <c r="GD12" s="479">
        <f t="shared" si="272"/>
        <v>0</v>
      </c>
      <c r="GE12" s="479">
        <f t="shared" si="272"/>
        <v>0</v>
      </c>
      <c r="GF12" s="479">
        <f t="shared" si="272"/>
        <v>0</v>
      </c>
      <c r="GG12" s="479">
        <f t="shared" si="272"/>
        <v>0</v>
      </c>
      <c r="GH12" s="479">
        <f t="shared" si="272"/>
        <v>0</v>
      </c>
      <c r="GI12" s="479">
        <f t="shared" si="272"/>
        <v>0</v>
      </c>
      <c r="GJ12" s="479">
        <f t="shared" si="272"/>
        <v>0</v>
      </c>
      <c r="GK12" s="479">
        <f t="shared" si="272"/>
        <v>0</v>
      </c>
      <c r="GL12" s="479">
        <f t="shared" si="272"/>
        <v>0</v>
      </c>
      <c r="GM12" s="479">
        <f t="shared" si="272"/>
        <v>0</v>
      </c>
      <c r="GN12" s="479">
        <f t="shared" si="272"/>
        <v>0</v>
      </c>
      <c r="GO12" s="479">
        <f t="shared" si="272"/>
        <v>0</v>
      </c>
      <c r="GP12" s="479">
        <f t="shared" si="272"/>
        <v>0</v>
      </c>
      <c r="GQ12" s="479">
        <f t="shared" si="272"/>
        <v>0</v>
      </c>
      <c r="GR12" s="479">
        <f t="shared" si="272"/>
        <v>0</v>
      </c>
      <c r="GS12" s="479">
        <f t="shared" si="272"/>
        <v>0</v>
      </c>
      <c r="GT12" s="479">
        <f t="shared" si="272"/>
        <v>0</v>
      </c>
      <c r="GU12" s="479">
        <f t="shared" ref="GU12:JF13" si="273">-IF(GU$7&gt;=$E12,IF(GU$7&lt;=$F12,$D12/$G12,0),0)</f>
        <v>0</v>
      </c>
      <c r="GV12" s="479">
        <f t="shared" si="273"/>
        <v>0</v>
      </c>
      <c r="GW12" s="479">
        <f t="shared" si="273"/>
        <v>0</v>
      </c>
      <c r="GX12" s="479">
        <f t="shared" si="273"/>
        <v>0</v>
      </c>
      <c r="GY12" s="479">
        <f t="shared" si="273"/>
        <v>0</v>
      </c>
      <c r="GZ12" s="479">
        <f t="shared" si="273"/>
        <v>0</v>
      </c>
      <c r="HA12" s="479">
        <f t="shared" si="273"/>
        <v>0</v>
      </c>
      <c r="HB12" s="479">
        <f t="shared" si="273"/>
        <v>0</v>
      </c>
      <c r="HC12" s="479">
        <f t="shared" si="273"/>
        <v>0</v>
      </c>
      <c r="HD12" s="479">
        <f t="shared" si="273"/>
        <v>0</v>
      </c>
      <c r="HE12" s="479">
        <f t="shared" si="273"/>
        <v>0</v>
      </c>
      <c r="HF12" s="479">
        <f t="shared" si="273"/>
        <v>0</v>
      </c>
      <c r="HG12" s="479">
        <f t="shared" si="273"/>
        <v>0</v>
      </c>
      <c r="HH12" s="479">
        <f t="shared" si="273"/>
        <v>0</v>
      </c>
      <c r="HI12" s="479">
        <f t="shared" si="273"/>
        <v>0</v>
      </c>
      <c r="HJ12" s="479">
        <f t="shared" si="273"/>
        <v>0</v>
      </c>
      <c r="HK12" s="479">
        <f t="shared" si="273"/>
        <v>0</v>
      </c>
      <c r="HL12" s="479">
        <f t="shared" si="273"/>
        <v>0</v>
      </c>
      <c r="HM12" s="479">
        <f t="shared" si="273"/>
        <v>0</v>
      </c>
      <c r="HN12" s="479">
        <f t="shared" si="273"/>
        <v>0</v>
      </c>
      <c r="HO12" s="479">
        <f t="shared" si="273"/>
        <v>0</v>
      </c>
      <c r="HP12" s="479">
        <f t="shared" si="273"/>
        <v>0</v>
      </c>
      <c r="HQ12" s="479">
        <f t="shared" si="273"/>
        <v>0</v>
      </c>
      <c r="HR12" s="479">
        <f t="shared" si="273"/>
        <v>0</v>
      </c>
      <c r="HS12" s="479">
        <f t="shared" si="273"/>
        <v>0</v>
      </c>
      <c r="HT12" s="479">
        <f t="shared" si="273"/>
        <v>0</v>
      </c>
      <c r="HU12" s="479">
        <f t="shared" si="273"/>
        <v>0</v>
      </c>
      <c r="HV12" s="479">
        <f t="shared" si="273"/>
        <v>0</v>
      </c>
      <c r="HW12" s="479">
        <f t="shared" si="273"/>
        <v>0</v>
      </c>
      <c r="HX12" s="479">
        <f t="shared" si="273"/>
        <v>0</v>
      </c>
      <c r="HY12" s="479">
        <f t="shared" si="273"/>
        <v>0</v>
      </c>
      <c r="HZ12" s="479">
        <f t="shared" si="273"/>
        <v>0</v>
      </c>
      <c r="IA12" s="479">
        <f t="shared" si="273"/>
        <v>0</v>
      </c>
      <c r="IB12" s="479">
        <f t="shared" si="273"/>
        <v>0</v>
      </c>
      <c r="IC12" s="479">
        <f t="shared" si="273"/>
        <v>0</v>
      </c>
      <c r="ID12" s="479">
        <f t="shared" si="273"/>
        <v>0</v>
      </c>
      <c r="IE12" s="479">
        <f t="shared" si="273"/>
        <v>0</v>
      </c>
      <c r="IF12" s="479">
        <f t="shared" si="273"/>
        <v>0</v>
      </c>
      <c r="IG12" s="479">
        <f t="shared" si="273"/>
        <v>0</v>
      </c>
      <c r="IH12" s="479">
        <f t="shared" si="273"/>
        <v>0</v>
      </c>
      <c r="II12" s="479">
        <f t="shared" si="273"/>
        <v>0</v>
      </c>
      <c r="IJ12" s="479">
        <f t="shared" si="273"/>
        <v>0</v>
      </c>
      <c r="IK12" s="479">
        <f t="shared" si="273"/>
        <v>0</v>
      </c>
      <c r="IL12" s="479">
        <f t="shared" si="273"/>
        <v>0</v>
      </c>
      <c r="IM12" s="479">
        <f t="shared" si="273"/>
        <v>0</v>
      </c>
      <c r="IN12" s="479">
        <f t="shared" si="273"/>
        <v>0</v>
      </c>
      <c r="IO12" s="479">
        <f t="shared" si="273"/>
        <v>0</v>
      </c>
      <c r="IP12" s="479">
        <f t="shared" si="273"/>
        <v>0</v>
      </c>
      <c r="IQ12" s="479">
        <f t="shared" si="273"/>
        <v>0</v>
      </c>
      <c r="IR12" s="479">
        <f t="shared" si="273"/>
        <v>0</v>
      </c>
      <c r="IS12" s="479">
        <f t="shared" si="273"/>
        <v>0</v>
      </c>
      <c r="IT12" s="479">
        <f t="shared" si="273"/>
        <v>0</v>
      </c>
      <c r="IU12" s="479">
        <f t="shared" si="273"/>
        <v>0</v>
      </c>
      <c r="IV12" s="479">
        <f t="shared" si="273"/>
        <v>0</v>
      </c>
      <c r="IW12" s="479">
        <f t="shared" si="273"/>
        <v>0</v>
      </c>
      <c r="IX12" s="479">
        <f t="shared" si="273"/>
        <v>0</v>
      </c>
      <c r="IY12" s="479">
        <f t="shared" si="273"/>
        <v>0</v>
      </c>
      <c r="IZ12" s="479">
        <f t="shared" si="273"/>
        <v>0</v>
      </c>
      <c r="JA12" s="479">
        <f t="shared" si="273"/>
        <v>0</v>
      </c>
      <c r="JB12" s="479">
        <f t="shared" si="273"/>
        <v>0</v>
      </c>
      <c r="JC12" s="479">
        <f t="shared" si="273"/>
        <v>0</v>
      </c>
      <c r="JD12" s="479">
        <f t="shared" si="273"/>
        <v>0</v>
      </c>
      <c r="JE12" s="479">
        <f t="shared" si="273"/>
        <v>0</v>
      </c>
      <c r="JF12" s="479">
        <f t="shared" si="273"/>
        <v>0</v>
      </c>
      <c r="JG12" s="479">
        <f t="shared" ref="JG12:LR13" si="274">-IF(JG$7&gt;=$E12,IF(JG$7&lt;=$F12,$D12/$G12,0),0)</f>
        <v>0</v>
      </c>
      <c r="JH12" s="479">
        <f t="shared" si="274"/>
        <v>0</v>
      </c>
      <c r="JI12" s="479">
        <f t="shared" si="274"/>
        <v>0</v>
      </c>
      <c r="JJ12" s="479">
        <f t="shared" si="274"/>
        <v>0</v>
      </c>
      <c r="JK12" s="479">
        <f t="shared" si="274"/>
        <v>0</v>
      </c>
      <c r="JL12" s="479">
        <f t="shared" si="274"/>
        <v>0</v>
      </c>
      <c r="JM12" s="479">
        <f t="shared" si="274"/>
        <v>0</v>
      </c>
      <c r="JN12" s="479">
        <f t="shared" si="274"/>
        <v>0</v>
      </c>
      <c r="JO12" s="479">
        <f t="shared" si="274"/>
        <v>0</v>
      </c>
      <c r="JP12" s="479">
        <f t="shared" si="274"/>
        <v>0</v>
      </c>
      <c r="JQ12" s="479">
        <f t="shared" si="274"/>
        <v>0</v>
      </c>
      <c r="JR12" s="479">
        <f t="shared" si="274"/>
        <v>0</v>
      </c>
      <c r="JS12" s="479">
        <f t="shared" si="274"/>
        <v>0</v>
      </c>
      <c r="JT12" s="479">
        <f t="shared" si="274"/>
        <v>0</v>
      </c>
      <c r="JU12" s="479">
        <f t="shared" si="274"/>
        <v>0</v>
      </c>
      <c r="JV12" s="479">
        <f t="shared" si="274"/>
        <v>0</v>
      </c>
      <c r="JW12" s="479">
        <f t="shared" si="274"/>
        <v>0</v>
      </c>
      <c r="JX12" s="479">
        <f t="shared" si="274"/>
        <v>0</v>
      </c>
      <c r="JY12" s="479">
        <f t="shared" si="274"/>
        <v>0</v>
      </c>
      <c r="JZ12" s="479">
        <f t="shared" si="274"/>
        <v>0</v>
      </c>
      <c r="KA12" s="479">
        <f t="shared" si="274"/>
        <v>0</v>
      </c>
      <c r="KB12" s="479">
        <f t="shared" si="274"/>
        <v>0</v>
      </c>
      <c r="KC12" s="479">
        <f t="shared" si="274"/>
        <v>0</v>
      </c>
      <c r="KD12" s="479">
        <f t="shared" si="274"/>
        <v>0</v>
      </c>
      <c r="KE12" s="479">
        <f t="shared" si="274"/>
        <v>0</v>
      </c>
      <c r="KF12" s="479">
        <f t="shared" si="274"/>
        <v>0</v>
      </c>
      <c r="KG12" s="479">
        <f t="shared" si="274"/>
        <v>0</v>
      </c>
      <c r="KH12" s="479">
        <f t="shared" si="274"/>
        <v>0</v>
      </c>
      <c r="KI12" s="479">
        <f t="shared" si="274"/>
        <v>0</v>
      </c>
      <c r="KJ12" s="479">
        <f t="shared" si="274"/>
        <v>0</v>
      </c>
      <c r="KK12" s="479">
        <f t="shared" si="274"/>
        <v>0</v>
      </c>
      <c r="KL12" s="479">
        <f t="shared" si="274"/>
        <v>0</v>
      </c>
      <c r="KM12" s="479">
        <f t="shared" si="274"/>
        <v>0</v>
      </c>
      <c r="KN12" s="479">
        <f t="shared" si="274"/>
        <v>0</v>
      </c>
      <c r="KO12" s="479">
        <f t="shared" si="274"/>
        <v>0</v>
      </c>
      <c r="KP12" s="479">
        <f t="shared" si="274"/>
        <v>0</v>
      </c>
      <c r="KQ12" s="479">
        <f t="shared" si="274"/>
        <v>0</v>
      </c>
      <c r="KR12" s="479">
        <f t="shared" si="274"/>
        <v>0</v>
      </c>
      <c r="KS12" s="479">
        <f t="shared" si="274"/>
        <v>0</v>
      </c>
      <c r="KT12" s="479">
        <f t="shared" si="274"/>
        <v>0</v>
      </c>
      <c r="KU12" s="479">
        <f t="shared" si="274"/>
        <v>0</v>
      </c>
      <c r="KV12" s="479">
        <f t="shared" si="274"/>
        <v>0</v>
      </c>
      <c r="KW12" s="479">
        <f t="shared" si="274"/>
        <v>0</v>
      </c>
      <c r="KX12" s="479">
        <f t="shared" si="274"/>
        <v>0</v>
      </c>
      <c r="KY12" s="479">
        <f t="shared" si="274"/>
        <v>0</v>
      </c>
      <c r="KZ12" s="479">
        <f t="shared" si="274"/>
        <v>0</v>
      </c>
      <c r="LA12" s="479">
        <f t="shared" si="274"/>
        <v>0</v>
      </c>
      <c r="LB12" s="479">
        <f t="shared" si="274"/>
        <v>0</v>
      </c>
      <c r="LC12" s="479">
        <f t="shared" si="274"/>
        <v>0</v>
      </c>
      <c r="LD12" s="479">
        <f t="shared" si="274"/>
        <v>0</v>
      </c>
      <c r="LE12" s="479">
        <f t="shared" si="274"/>
        <v>0</v>
      </c>
      <c r="LF12" s="479">
        <f t="shared" si="274"/>
        <v>0</v>
      </c>
      <c r="LG12" s="479">
        <f t="shared" si="274"/>
        <v>0</v>
      </c>
      <c r="LH12" s="479">
        <f t="shared" si="274"/>
        <v>0</v>
      </c>
      <c r="LI12" s="479">
        <f t="shared" si="274"/>
        <v>0</v>
      </c>
      <c r="LJ12" s="479">
        <f t="shared" si="274"/>
        <v>0</v>
      </c>
      <c r="LK12" s="479">
        <f t="shared" si="274"/>
        <v>0</v>
      </c>
      <c r="LL12" s="479">
        <f t="shared" si="274"/>
        <v>0</v>
      </c>
      <c r="LM12" s="479">
        <f t="shared" si="274"/>
        <v>0</v>
      </c>
      <c r="LN12" s="479">
        <f t="shared" si="274"/>
        <v>0</v>
      </c>
      <c r="LO12" s="479">
        <f t="shared" si="274"/>
        <v>0</v>
      </c>
      <c r="LP12" s="479">
        <f t="shared" si="274"/>
        <v>0</v>
      </c>
      <c r="LQ12" s="479">
        <f t="shared" si="274"/>
        <v>0</v>
      </c>
      <c r="LR12" s="479">
        <f t="shared" si="274"/>
        <v>0</v>
      </c>
      <c r="LS12" s="479">
        <f t="shared" ref="LS12:OD13" si="275">-IF(LS$7&gt;=$E12,IF(LS$7&lt;=$F12,$D12/$G12,0),0)</f>
        <v>0</v>
      </c>
      <c r="LT12" s="479">
        <f t="shared" si="275"/>
        <v>0</v>
      </c>
      <c r="LU12" s="479">
        <f t="shared" si="275"/>
        <v>0</v>
      </c>
      <c r="LV12" s="479">
        <f t="shared" si="275"/>
        <v>0</v>
      </c>
      <c r="LW12" s="479">
        <f t="shared" si="275"/>
        <v>0</v>
      </c>
      <c r="LX12" s="479">
        <f t="shared" si="275"/>
        <v>0</v>
      </c>
      <c r="LY12" s="479">
        <f t="shared" si="275"/>
        <v>0</v>
      </c>
      <c r="LZ12" s="479">
        <f t="shared" si="275"/>
        <v>0</v>
      </c>
      <c r="MA12" s="479">
        <f t="shared" si="275"/>
        <v>0</v>
      </c>
      <c r="MB12" s="479">
        <f t="shared" si="275"/>
        <v>0</v>
      </c>
      <c r="MC12" s="479">
        <f t="shared" si="275"/>
        <v>0</v>
      </c>
      <c r="MD12" s="479">
        <f t="shared" si="275"/>
        <v>0</v>
      </c>
      <c r="ME12" s="479">
        <f t="shared" si="275"/>
        <v>0</v>
      </c>
      <c r="MF12" s="479">
        <f t="shared" si="275"/>
        <v>0</v>
      </c>
      <c r="MG12" s="479">
        <f t="shared" si="275"/>
        <v>0</v>
      </c>
      <c r="MH12" s="479">
        <f t="shared" si="275"/>
        <v>0</v>
      </c>
      <c r="MI12" s="479">
        <f t="shared" si="275"/>
        <v>0</v>
      </c>
      <c r="MJ12" s="479">
        <f t="shared" si="275"/>
        <v>0</v>
      </c>
      <c r="MK12" s="479">
        <f t="shared" si="275"/>
        <v>0</v>
      </c>
      <c r="ML12" s="479">
        <f t="shared" si="275"/>
        <v>0</v>
      </c>
      <c r="MM12" s="479">
        <f t="shared" si="275"/>
        <v>0</v>
      </c>
      <c r="MN12" s="479">
        <f t="shared" si="275"/>
        <v>0</v>
      </c>
      <c r="MO12" s="479">
        <f t="shared" si="275"/>
        <v>0</v>
      </c>
      <c r="MP12" s="479">
        <f t="shared" si="275"/>
        <v>0</v>
      </c>
      <c r="MQ12" s="479">
        <f t="shared" si="275"/>
        <v>0</v>
      </c>
      <c r="MR12" s="479">
        <f t="shared" si="275"/>
        <v>0</v>
      </c>
      <c r="MS12" s="479">
        <f t="shared" si="275"/>
        <v>0</v>
      </c>
      <c r="MT12" s="479">
        <f t="shared" si="275"/>
        <v>0</v>
      </c>
      <c r="MU12" s="479">
        <f t="shared" si="275"/>
        <v>0</v>
      </c>
      <c r="MV12" s="479">
        <f t="shared" si="275"/>
        <v>0</v>
      </c>
      <c r="MW12" s="479">
        <f t="shared" si="275"/>
        <v>0</v>
      </c>
      <c r="MX12" s="479">
        <f t="shared" si="275"/>
        <v>0</v>
      </c>
      <c r="MY12" s="479">
        <f t="shared" si="275"/>
        <v>0</v>
      </c>
      <c r="MZ12" s="479">
        <f t="shared" si="275"/>
        <v>0</v>
      </c>
      <c r="NA12" s="479">
        <f t="shared" si="275"/>
        <v>0</v>
      </c>
      <c r="NB12" s="479">
        <f t="shared" si="275"/>
        <v>0</v>
      </c>
      <c r="NC12" s="479">
        <f t="shared" si="275"/>
        <v>0</v>
      </c>
      <c r="ND12" s="479">
        <f t="shared" si="275"/>
        <v>0</v>
      </c>
      <c r="NE12" s="479">
        <f t="shared" si="275"/>
        <v>0</v>
      </c>
      <c r="NF12" s="479">
        <f t="shared" si="275"/>
        <v>0</v>
      </c>
      <c r="NG12" s="479">
        <f t="shared" si="275"/>
        <v>0</v>
      </c>
      <c r="NH12" s="479">
        <f t="shared" si="275"/>
        <v>0</v>
      </c>
      <c r="NI12" s="479">
        <f t="shared" si="275"/>
        <v>0</v>
      </c>
      <c r="NJ12" s="479">
        <f t="shared" si="275"/>
        <v>0</v>
      </c>
      <c r="NK12" s="479">
        <f t="shared" si="275"/>
        <v>0</v>
      </c>
      <c r="NL12" s="479">
        <f t="shared" si="275"/>
        <v>0</v>
      </c>
      <c r="NM12" s="479">
        <f t="shared" si="275"/>
        <v>0</v>
      </c>
      <c r="NN12" s="479">
        <f t="shared" si="275"/>
        <v>0</v>
      </c>
      <c r="NO12" s="479">
        <f t="shared" si="275"/>
        <v>0</v>
      </c>
      <c r="NP12" s="479">
        <f t="shared" si="275"/>
        <v>0</v>
      </c>
      <c r="NQ12" s="479">
        <f t="shared" si="275"/>
        <v>0</v>
      </c>
      <c r="NR12" s="479">
        <f t="shared" si="275"/>
        <v>0</v>
      </c>
      <c r="NS12" s="479">
        <f t="shared" si="275"/>
        <v>0</v>
      </c>
      <c r="NT12" s="479">
        <f t="shared" si="275"/>
        <v>0</v>
      </c>
      <c r="NU12" s="479">
        <f t="shared" si="275"/>
        <v>0</v>
      </c>
      <c r="NV12" s="479">
        <f t="shared" si="275"/>
        <v>0</v>
      </c>
      <c r="NW12" s="479">
        <f t="shared" si="275"/>
        <v>0</v>
      </c>
      <c r="NX12" s="479">
        <f t="shared" si="275"/>
        <v>0</v>
      </c>
      <c r="NY12" s="479">
        <f t="shared" si="275"/>
        <v>0</v>
      </c>
      <c r="NZ12" s="479">
        <f t="shared" si="275"/>
        <v>0</v>
      </c>
      <c r="OA12" s="479">
        <f t="shared" si="275"/>
        <v>0</v>
      </c>
      <c r="OB12" s="479">
        <f t="shared" si="275"/>
        <v>0</v>
      </c>
      <c r="OC12" s="479">
        <f t="shared" si="275"/>
        <v>0</v>
      </c>
      <c r="OD12" s="479">
        <f t="shared" si="275"/>
        <v>0</v>
      </c>
      <c r="OE12" s="479">
        <f t="shared" ref="OE12:OO13" si="276">-IF(OE$7&gt;=$E12,IF(OE$7&lt;=$F12,$D12/$G12,0),0)</f>
        <v>0</v>
      </c>
      <c r="OF12" s="479">
        <f t="shared" si="276"/>
        <v>0</v>
      </c>
      <c r="OG12" s="479">
        <f t="shared" si="276"/>
        <v>0</v>
      </c>
      <c r="OH12" s="479">
        <f t="shared" si="276"/>
        <v>0</v>
      </c>
      <c r="OI12" s="479">
        <f t="shared" si="276"/>
        <v>0</v>
      </c>
      <c r="OJ12" s="479">
        <f t="shared" si="276"/>
        <v>0</v>
      </c>
      <c r="OK12" s="479">
        <f t="shared" si="276"/>
        <v>0</v>
      </c>
      <c r="OL12" s="479">
        <f t="shared" si="276"/>
        <v>0</v>
      </c>
      <c r="OM12" s="479">
        <f t="shared" si="276"/>
        <v>0</v>
      </c>
      <c r="ON12" s="479">
        <f t="shared" si="276"/>
        <v>0</v>
      </c>
      <c r="OO12" s="479">
        <f t="shared" si="276"/>
        <v>0</v>
      </c>
    </row>
    <row r="13" spans="2:406">
      <c r="B13" s="97" t="str">
        <f>Assumptions!B76</f>
        <v>Land Acquisition</v>
      </c>
      <c r="C13" s="97"/>
      <c r="D13" s="500">
        <f>Assumptions!C76</f>
        <v>1</v>
      </c>
      <c r="E13" s="507">
        <f>Assumptions!$C$8</f>
        <v>46204</v>
      </c>
      <c r="F13" s="507">
        <f>E13</f>
        <v>46204</v>
      </c>
      <c r="G13" s="97">
        <f>((YEAR(F13)-YEAR(E13))*12+MONTH(F13)-MONTH(E13)+1)</f>
        <v>1</v>
      </c>
      <c r="H13" s="97"/>
      <c r="I13" s="97"/>
      <c r="J13" s="479">
        <f>-IF(J$7&gt;=$E13,IF(J$7&lt;=$F13,$D13/$G13,0),0)</f>
        <v>-1</v>
      </c>
      <c r="K13" s="479">
        <f>-IF(K$7&gt;=$E13,IF(K$7&lt;=$F13,$D13/$G13,0),0)</f>
        <v>0</v>
      </c>
      <c r="L13" s="479">
        <f t="shared" si="270"/>
        <v>0</v>
      </c>
      <c r="M13" s="479">
        <f t="shared" si="270"/>
        <v>0</v>
      </c>
      <c r="N13" s="479">
        <f t="shared" si="270"/>
        <v>0</v>
      </c>
      <c r="O13" s="479">
        <f t="shared" si="270"/>
        <v>0</v>
      </c>
      <c r="P13" s="479">
        <f t="shared" si="270"/>
        <v>0</v>
      </c>
      <c r="Q13" s="479">
        <f t="shared" si="270"/>
        <v>0</v>
      </c>
      <c r="R13" s="479">
        <f t="shared" si="270"/>
        <v>0</v>
      </c>
      <c r="S13" s="479">
        <f t="shared" si="270"/>
        <v>0</v>
      </c>
      <c r="T13" s="479">
        <f t="shared" si="270"/>
        <v>0</v>
      </c>
      <c r="U13" s="479">
        <f t="shared" si="270"/>
        <v>0</v>
      </c>
      <c r="V13" s="479">
        <f t="shared" si="270"/>
        <v>0</v>
      </c>
      <c r="W13" s="479">
        <f t="shared" si="270"/>
        <v>0</v>
      </c>
      <c r="X13" s="479">
        <f t="shared" si="270"/>
        <v>0</v>
      </c>
      <c r="Y13" s="479">
        <f t="shared" si="270"/>
        <v>0</v>
      </c>
      <c r="Z13" s="479">
        <f t="shared" si="270"/>
        <v>0</v>
      </c>
      <c r="AA13" s="479">
        <f t="shared" si="270"/>
        <v>0</v>
      </c>
      <c r="AB13" s="479">
        <f t="shared" si="270"/>
        <v>0</v>
      </c>
      <c r="AC13" s="479">
        <f t="shared" si="270"/>
        <v>0</v>
      </c>
      <c r="AD13" s="479">
        <f t="shared" si="270"/>
        <v>0</v>
      </c>
      <c r="AE13" s="479">
        <f t="shared" si="270"/>
        <v>0</v>
      </c>
      <c r="AF13" s="479">
        <f t="shared" si="270"/>
        <v>0</v>
      </c>
      <c r="AG13" s="479">
        <f t="shared" si="270"/>
        <v>0</v>
      </c>
      <c r="AH13" s="479">
        <f t="shared" si="270"/>
        <v>0</v>
      </c>
      <c r="AI13" s="479">
        <f t="shared" si="270"/>
        <v>0</v>
      </c>
      <c r="AJ13" s="479">
        <f t="shared" si="270"/>
        <v>0</v>
      </c>
      <c r="AK13" s="479">
        <f t="shared" si="270"/>
        <v>0</v>
      </c>
      <c r="AL13" s="479">
        <f t="shared" si="270"/>
        <v>0</v>
      </c>
      <c r="AM13" s="479">
        <f t="shared" si="270"/>
        <v>0</v>
      </c>
      <c r="AN13" s="479">
        <f t="shared" si="270"/>
        <v>0</v>
      </c>
      <c r="AO13" s="479">
        <f t="shared" si="270"/>
        <v>0</v>
      </c>
      <c r="AP13" s="479">
        <f t="shared" si="270"/>
        <v>0</v>
      </c>
      <c r="AQ13" s="479">
        <f t="shared" si="270"/>
        <v>0</v>
      </c>
      <c r="AR13" s="479">
        <f t="shared" si="270"/>
        <v>0</v>
      </c>
      <c r="AS13" s="479">
        <f t="shared" si="270"/>
        <v>0</v>
      </c>
      <c r="AT13" s="479">
        <f t="shared" si="270"/>
        <v>0</v>
      </c>
      <c r="AU13" s="479">
        <f t="shared" si="270"/>
        <v>0</v>
      </c>
      <c r="AV13" s="479">
        <f t="shared" si="270"/>
        <v>0</v>
      </c>
      <c r="AW13" s="479">
        <f t="shared" si="270"/>
        <v>0</v>
      </c>
      <c r="AX13" s="479">
        <f t="shared" si="270"/>
        <v>0</v>
      </c>
      <c r="AY13" s="479">
        <f t="shared" si="270"/>
        <v>0</v>
      </c>
      <c r="AZ13" s="479">
        <f t="shared" si="270"/>
        <v>0</v>
      </c>
      <c r="BA13" s="479">
        <f t="shared" si="270"/>
        <v>0</v>
      </c>
      <c r="BB13" s="479">
        <f t="shared" si="270"/>
        <v>0</v>
      </c>
      <c r="BC13" s="479">
        <f t="shared" si="270"/>
        <v>0</v>
      </c>
      <c r="BD13" s="479">
        <f t="shared" si="270"/>
        <v>0</v>
      </c>
      <c r="BE13" s="479">
        <f t="shared" si="270"/>
        <v>0</v>
      </c>
      <c r="BF13" s="479">
        <f t="shared" si="270"/>
        <v>0</v>
      </c>
      <c r="BG13" s="479">
        <f t="shared" si="270"/>
        <v>0</v>
      </c>
      <c r="BH13" s="479">
        <f t="shared" si="270"/>
        <v>0</v>
      </c>
      <c r="BI13" s="479">
        <f t="shared" si="270"/>
        <v>0</v>
      </c>
      <c r="BJ13" s="479">
        <f t="shared" si="270"/>
        <v>0</v>
      </c>
      <c r="BK13" s="479">
        <f t="shared" si="270"/>
        <v>0</v>
      </c>
      <c r="BL13" s="479">
        <f t="shared" si="270"/>
        <v>0</v>
      </c>
      <c r="BM13" s="479">
        <f t="shared" si="270"/>
        <v>0</v>
      </c>
      <c r="BN13" s="479">
        <f t="shared" si="270"/>
        <v>0</v>
      </c>
      <c r="BO13" s="479">
        <f t="shared" si="270"/>
        <v>0</v>
      </c>
      <c r="BP13" s="479">
        <f t="shared" si="270"/>
        <v>0</v>
      </c>
      <c r="BQ13" s="479">
        <f t="shared" si="270"/>
        <v>0</v>
      </c>
      <c r="BR13" s="479">
        <f t="shared" si="270"/>
        <v>0</v>
      </c>
      <c r="BS13" s="479">
        <f t="shared" si="270"/>
        <v>0</v>
      </c>
      <c r="BT13" s="479">
        <f t="shared" si="270"/>
        <v>0</v>
      </c>
      <c r="BU13" s="479">
        <f t="shared" si="270"/>
        <v>0</v>
      </c>
      <c r="BV13" s="479">
        <f t="shared" si="270"/>
        <v>0</v>
      </c>
      <c r="BW13" s="479">
        <f t="shared" si="271"/>
        <v>0</v>
      </c>
      <c r="BX13" s="479">
        <f t="shared" si="271"/>
        <v>0</v>
      </c>
      <c r="BY13" s="479">
        <f t="shared" si="271"/>
        <v>0</v>
      </c>
      <c r="BZ13" s="479">
        <f t="shared" si="271"/>
        <v>0</v>
      </c>
      <c r="CA13" s="479">
        <f t="shared" si="271"/>
        <v>0</v>
      </c>
      <c r="CB13" s="479">
        <f t="shared" si="271"/>
        <v>0</v>
      </c>
      <c r="CC13" s="479">
        <f t="shared" si="271"/>
        <v>0</v>
      </c>
      <c r="CD13" s="479">
        <f t="shared" si="271"/>
        <v>0</v>
      </c>
      <c r="CE13" s="479">
        <f t="shared" si="271"/>
        <v>0</v>
      </c>
      <c r="CF13" s="479">
        <f t="shared" si="271"/>
        <v>0</v>
      </c>
      <c r="CG13" s="479">
        <f t="shared" si="271"/>
        <v>0</v>
      </c>
      <c r="CH13" s="479">
        <f t="shared" si="271"/>
        <v>0</v>
      </c>
      <c r="CI13" s="479">
        <f t="shared" si="271"/>
        <v>0</v>
      </c>
      <c r="CJ13" s="479">
        <f t="shared" si="271"/>
        <v>0</v>
      </c>
      <c r="CK13" s="479">
        <f t="shared" si="271"/>
        <v>0</v>
      </c>
      <c r="CL13" s="479">
        <f t="shared" si="271"/>
        <v>0</v>
      </c>
      <c r="CM13" s="479">
        <f t="shared" si="271"/>
        <v>0</v>
      </c>
      <c r="CN13" s="479">
        <f t="shared" si="271"/>
        <v>0</v>
      </c>
      <c r="CO13" s="479">
        <f t="shared" si="271"/>
        <v>0</v>
      </c>
      <c r="CP13" s="479">
        <f t="shared" si="271"/>
        <v>0</v>
      </c>
      <c r="CQ13" s="479">
        <f t="shared" si="271"/>
        <v>0</v>
      </c>
      <c r="CR13" s="479">
        <f t="shared" si="271"/>
        <v>0</v>
      </c>
      <c r="CS13" s="479">
        <f t="shared" si="271"/>
        <v>0</v>
      </c>
      <c r="CT13" s="479">
        <f t="shared" si="271"/>
        <v>0</v>
      </c>
      <c r="CU13" s="479">
        <f t="shared" si="271"/>
        <v>0</v>
      </c>
      <c r="CV13" s="479">
        <f t="shared" si="271"/>
        <v>0</v>
      </c>
      <c r="CW13" s="479">
        <f t="shared" si="271"/>
        <v>0</v>
      </c>
      <c r="CX13" s="479">
        <f t="shared" si="271"/>
        <v>0</v>
      </c>
      <c r="CY13" s="479">
        <f t="shared" si="271"/>
        <v>0</v>
      </c>
      <c r="CZ13" s="479">
        <f t="shared" si="271"/>
        <v>0</v>
      </c>
      <c r="DA13" s="479">
        <f t="shared" si="271"/>
        <v>0</v>
      </c>
      <c r="DB13" s="479">
        <f t="shared" si="271"/>
        <v>0</v>
      </c>
      <c r="DC13" s="479">
        <f t="shared" si="271"/>
        <v>0</v>
      </c>
      <c r="DD13" s="479">
        <f t="shared" si="271"/>
        <v>0</v>
      </c>
      <c r="DE13" s="479">
        <f t="shared" si="271"/>
        <v>0</v>
      </c>
      <c r="DF13" s="479">
        <f t="shared" si="271"/>
        <v>0</v>
      </c>
      <c r="DG13" s="479">
        <f t="shared" si="271"/>
        <v>0</v>
      </c>
      <c r="DH13" s="479">
        <f t="shared" si="271"/>
        <v>0</v>
      </c>
      <c r="DI13" s="479">
        <f t="shared" si="271"/>
        <v>0</v>
      </c>
      <c r="DJ13" s="479">
        <f t="shared" si="271"/>
        <v>0</v>
      </c>
      <c r="DK13" s="479">
        <f t="shared" si="271"/>
        <v>0</v>
      </c>
      <c r="DL13" s="479">
        <f t="shared" si="271"/>
        <v>0</v>
      </c>
      <c r="DM13" s="479">
        <f t="shared" si="271"/>
        <v>0</v>
      </c>
      <c r="DN13" s="479">
        <f t="shared" si="271"/>
        <v>0</v>
      </c>
      <c r="DO13" s="479">
        <f t="shared" si="271"/>
        <v>0</v>
      </c>
      <c r="DP13" s="479">
        <f t="shared" si="271"/>
        <v>0</v>
      </c>
      <c r="DQ13" s="479">
        <f t="shared" si="271"/>
        <v>0</v>
      </c>
      <c r="DR13" s="479">
        <f t="shared" si="271"/>
        <v>0</v>
      </c>
      <c r="DS13" s="479">
        <f t="shared" si="271"/>
        <v>0</v>
      </c>
      <c r="DT13" s="479">
        <f t="shared" si="271"/>
        <v>0</v>
      </c>
      <c r="DU13" s="479">
        <f t="shared" si="271"/>
        <v>0</v>
      </c>
      <c r="DV13" s="479">
        <f t="shared" si="271"/>
        <v>0</v>
      </c>
      <c r="DW13" s="479">
        <f t="shared" si="271"/>
        <v>0</v>
      </c>
      <c r="DX13" s="479">
        <f t="shared" si="271"/>
        <v>0</v>
      </c>
      <c r="DY13" s="479">
        <f t="shared" si="271"/>
        <v>0</v>
      </c>
      <c r="DZ13" s="479">
        <f t="shared" si="271"/>
        <v>0</v>
      </c>
      <c r="EA13" s="479">
        <f t="shared" si="271"/>
        <v>0</v>
      </c>
      <c r="EB13" s="479">
        <f t="shared" si="271"/>
        <v>0</v>
      </c>
      <c r="EC13" s="479">
        <f t="shared" si="271"/>
        <v>0</v>
      </c>
      <c r="ED13" s="479">
        <f t="shared" si="271"/>
        <v>0</v>
      </c>
      <c r="EE13" s="479">
        <f t="shared" si="271"/>
        <v>0</v>
      </c>
      <c r="EF13" s="479">
        <f t="shared" si="271"/>
        <v>0</v>
      </c>
      <c r="EG13" s="479">
        <f t="shared" si="271"/>
        <v>0</v>
      </c>
      <c r="EH13" s="479">
        <f t="shared" si="271"/>
        <v>0</v>
      </c>
      <c r="EI13" s="479">
        <f t="shared" si="272"/>
        <v>0</v>
      </c>
      <c r="EJ13" s="479">
        <f t="shared" si="272"/>
        <v>0</v>
      </c>
      <c r="EK13" s="479">
        <f t="shared" si="272"/>
        <v>0</v>
      </c>
      <c r="EL13" s="479">
        <f t="shared" si="272"/>
        <v>0</v>
      </c>
      <c r="EM13" s="479">
        <f t="shared" si="272"/>
        <v>0</v>
      </c>
      <c r="EN13" s="479">
        <f t="shared" si="272"/>
        <v>0</v>
      </c>
      <c r="EO13" s="479">
        <f t="shared" si="272"/>
        <v>0</v>
      </c>
      <c r="EP13" s="479">
        <f t="shared" si="272"/>
        <v>0</v>
      </c>
      <c r="EQ13" s="479">
        <f t="shared" si="272"/>
        <v>0</v>
      </c>
      <c r="ER13" s="479">
        <f t="shared" si="272"/>
        <v>0</v>
      </c>
      <c r="ES13" s="479">
        <f t="shared" si="272"/>
        <v>0</v>
      </c>
      <c r="ET13" s="479">
        <f t="shared" si="272"/>
        <v>0</v>
      </c>
      <c r="EU13" s="479">
        <f t="shared" si="272"/>
        <v>0</v>
      </c>
      <c r="EV13" s="479">
        <f t="shared" si="272"/>
        <v>0</v>
      </c>
      <c r="EW13" s="479">
        <f t="shared" si="272"/>
        <v>0</v>
      </c>
      <c r="EX13" s="479">
        <f t="shared" si="272"/>
        <v>0</v>
      </c>
      <c r="EY13" s="479">
        <f t="shared" si="272"/>
        <v>0</v>
      </c>
      <c r="EZ13" s="479">
        <f t="shared" si="272"/>
        <v>0</v>
      </c>
      <c r="FA13" s="479">
        <f t="shared" si="272"/>
        <v>0</v>
      </c>
      <c r="FB13" s="479">
        <f t="shared" si="272"/>
        <v>0</v>
      </c>
      <c r="FC13" s="479">
        <f t="shared" si="272"/>
        <v>0</v>
      </c>
      <c r="FD13" s="479">
        <f t="shared" si="272"/>
        <v>0</v>
      </c>
      <c r="FE13" s="479">
        <f t="shared" si="272"/>
        <v>0</v>
      </c>
      <c r="FF13" s="479">
        <f t="shared" si="272"/>
        <v>0</v>
      </c>
      <c r="FG13" s="479">
        <f t="shared" si="272"/>
        <v>0</v>
      </c>
      <c r="FH13" s="479">
        <f t="shared" si="272"/>
        <v>0</v>
      </c>
      <c r="FI13" s="479">
        <f t="shared" si="272"/>
        <v>0</v>
      </c>
      <c r="FJ13" s="479">
        <f t="shared" si="272"/>
        <v>0</v>
      </c>
      <c r="FK13" s="479">
        <f t="shared" si="272"/>
        <v>0</v>
      </c>
      <c r="FL13" s="479">
        <f t="shared" si="272"/>
        <v>0</v>
      </c>
      <c r="FM13" s="479">
        <f t="shared" si="272"/>
        <v>0</v>
      </c>
      <c r="FN13" s="479">
        <f t="shared" si="272"/>
        <v>0</v>
      </c>
      <c r="FO13" s="479">
        <f t="shared" si="272"/>
        <v>0</v>
      </c>
      <c r="FP13" s="479">
        <f t="shared" si="272"/>
        <v>0</v>
      </c>
      <c r="FQ13" s="479">
        <f t="shared" si="272"/>
        <v>0</v>
      </c>
      <c r="FR13" s="479">
        <f t="shared" si="272"/>
        <v>0</v>
      </c>
      <c r="FS13" s="479">
        <f t="shared" si="272"/>
        <v>0</v>
      </c>
      <c r="FT13" s="479">
        <f t="shared" si="272"/>
        <v>0</v>
      </c>
      <c r="FU13" s="479">
        <f t="shared" si="272"/>
        <v>0</v>
      </c>
      <c r="FV13" s="479">
        <f t="shared" si="272"/>
        <v>0</v>
      </c>
      <c r="FW13" s="479">
        <f t="shared" si="272"/>
        <v>0</v>
      </c>
      <c r="FX13" s="479">
        <f t="shared" si="272"/>
        <v>0</v>
      </c>
      <c r="FY13" s="479">
        <f t="shared" si="272"/>
        <v>0</v>
      </c>
      <c r="FZ13" s="479">
        <f t="shared" si="272"/>
        <v>0</v>
      </c>
      <c r="GA13" s="479">
        <f t="shared" si="272"/>
        <v>0</v>
      </c>
      <c r="GB13" s="479">
        <f t="shared" si="272"/>
        <v>0</v>
      </c>
      <c r="GC13" s="479">
        <f t="shared" si="272"/>
        <v>0</v>
      </c>
      <c r="GD13" s="479">
        <f t="shared" si="272"/>
        <v>0</v>
      </c>
      <c r="GE13" s="479">
        <f t="shared" si="272"/>
        <v>0</v>
      </c>
      <c r="GF13" s="479">
        <f t="shared" si="272"/>
        <v>0</v>
      </c>
      <c r="GG13" s="479">
        <f t="shared" si="272"/>
        <v>0</v>
      </c>
      <c r="GH13" s="479">
        <f t="shared" si="272"/>
        <v>0</v>
      </c>
      <c r="GI13" s="479">
        <f t="shared" si="272"/>
        <v>0</v>
      </c>
      <c r="GJ13" s="479">
        <f t="shared" si="272"/>
        <v>0</v>
      </c>
      <c r="GK13" s="479">
        <f t="shared" si="272"/>
        <v>0</v>
      </c>
      <c r="GL13" s="479">
        <f t="shared" si="272"/>
        <v>0</v>
      </c>
      <c r="GM13" s="479">
        <f t="shared" si="272"/>
        <v>0</v>
      </c>
      <c r="GN13" s="479">
        <f t="shared" si="272"/>
        <v>0</v>
      </c>
      <c r="GO13" s="479">
        <f t="shared" si="272"/>
        <v>0</v>
      </c>
      <c r="GP13" s="479">
        <f t="shared" si="272"/>
        <v>0</v>
      </c>
      <c r="GQ13" s="479">
        <f t="shared" si="272"/>
        <v>0</v>
      </c>
      <c r="GR13" s="479">
        <f t="shared" si="272"/>
        <v>0</v>
      </c>
      <c r="GS13" s="479">
        <f t="shared" si="272"/>
        <v>0</v>
      </c>
      <c r="GT13" s="479">
        <f t="shared" si="272"/>
        <v>0</v>
      </c>
      <c r="GU13" s="479">
        <f t="shared" si="273"/>
        <v>0</v>
      </c>
      <c r="GV13" s="479">
        <f t="shared" si="273"/>
        <v>0</v>
      </c>
      <c r="GW13" s="479">
        <f t="shared" si="273"/>
        <v>0</v>
      </c>
      <c r="GX13" s="479">
        <f t="shared" si="273"/>
        <v>0</v>
      </c>
      <c r="GY13" s="479">
        <f t="shared" si="273"/>
        <v>0</v>
      </c>
      <c r="GZ13" s="479">
        <f t="shared" si="273"/>
        <v>0</v>
      </c>
      <c r="HA13" s="479">
        <f t="shared" si="273"/>
        <v>0</v>
      </c>
      <c r="HB13" s="479">
        <f t="shared" si="273"/>
        <v>0</v>
      </c>
      <c r="HC13" s="479">
        <f t="shared" si="273"/>
        <v>0</v>
      </c>
      <c r="HD13" s="479">
        <f t="shared" si="273"/>
        <v>0</v>
      </c>
      <c r="HE13" s="479">
        <f t="shared" si="273"/>
        <v>0</v>
      </c>
      <c r="HF13" s="479">
        <f t="shared" si="273"/>
        <v>0</v>
      </c>
      <c r="HG13" s="479">
        <f t="shared" si="273"/>
        <v>0</v>
      </c>
      <c r="HH13" s="479">
        <f t="shared" si="273"/>
        <v>0</v>
      </c>
      <c r="HI13" s="479">
        <f t="shared" si="273"/>
        <v>0</v>
      </c>
      <c r="HJ13" s="479">
        <f t="shared" si="273"/>
        <v>0</v>
      </c>
      <c r="HK13" s="479">
        <f t="shared" si="273"/>
        <v>0</v>
      </c>
      <c r="HL13" s="479">
        <f t="shared" si="273"/>
        <v>0</v>
      </c>
      <c r="HM13" s="479">
        <f t="shared" si="273"/>
        <v>0</v>
      </c>
      <c r="HN13" s="479">
        <f t="shared" si="273"/>
        <v>0</v>
      </c>
      <c r="HO13" s="479">
        <f t="shared" si="273"/>
        <v>0</v>
      </c>
      <c r="HP13" s="479">
        <f t="shared" si="273"/>
        <v>0</v>
      </c>
      <c r="HQ13" s="479">
        <f t="shared" si="273"/>
        <v>0</v>
      </c>
      <c r="HR13" s="479">
        <f t="shared" si="273"/>
        <v>0</v>
      </c>
      <c r="HS13" s="479">
        <f t="shared" si="273"/>
        <v>0</v>
      </c>
      <c r="HT13" s="479">
        <f t="shared" si="273"/>
        <v>0</v>
      </c>
      <c r="HU13" s="479">
        <f t="shared" si="273"/>
        <v>0</v>
      </c>
      <c r="HV13" s="479">
        <f t="shared" si="273"/>
        <v>0</v>
      </c>
      <c r="HW13" s="479">
        <f t="shared" si="273"/>
        <v>0</v>
      </c>
      <c r="HX13" s="479">
        <f t="shared" si="273"/>
        <v>0</v>
      </c>
      <c r="HY13" s="479">
        <f t="shared" si="273"/>
        <v>0</v>
      </c>
      <c r="HZ13" s="479">
        <f t="shared" si="273"/>
        <v>0</v>
      </c>
      <c r="IA13" s="479">
        <f t="shared" si="273"/>
        <v>0</v>
      </c>
      <c r="IB13" s="479">
        <f t="shared" si="273"/>
        <v>0</v>
      </c>
      <c r="IC13" s="479">
        <f t="shared" si="273"/>
        <v>0</v>
      </c>
      <c r="ID13" s="479">
        <f t="shared" si="273"/>
        <v>0</v>
      </c>
      <c r="IE13" s="479">
        <f t="shared" si="273"/>
        <v>0</v>
      </c>
      <c r="IF13" s="479">
        <f t="shared" si="273"/>
        <v>0</v>
      </c>
      <c r="IG13" s="479">
        <f t="shared" si="273"/>
        <v>0</v>
      </c>
      <c r="IH13" s="479">
        <f t="shared" si="273"/>
        <v>0</v>
      </c>
      <c r="II13" s="479">
        <f t="shared" si="273"/>
        <v>0</v>
      </c>
      <c r="IJ13" s="479">
        <f t="shared" si="273"/>
        <v>0</v>
      </c>
      <c r="IK13" s="479">
        <f t="shared" si="273"/>
        <v>0</v>
      </c>
      <c r="IL13" s="479">
        <f t="shared" si="273"/>
        <v>0</v>
      </c>
      <c r="IM13" s="479">
        <f t="shared" si="273"/>
        <v>0</v>
      </c>
      <c r="IN13" s="479">
        <f t="shared" si="273"/>
        <v>0</v>
      </c>
      <c r="IO13" s="479">
        <f t="shared" si="273"/>
        <v>0</v>
      </c>
      <c r="IP13" s="479">
        <f t="shared" si="273"/>
        <v>0</v>
      </c>
      <c r="IQ13" s="479">
        <f t="shared" si="273"/>
        <v>0</v>
      </c>
      <c r="IR13" s="479">
        <f t="shared" si="273"/>
        <v>0</v>
      </c>
      <c r="IS13" s="479">
        <f t="shared" si="273"/>
        <v>0</v>
      </c>
      <c r="IT13" s="479">
        <f t="shared" si="273"/>
        <v>0</v>
      </c>
      <c r="IU13" s="479">
        <f t="shared" si="273"/>
        <v>0</v>
      </c>
      <c r="IV13" s="479">
        <f t="shared" si="273"/>
        <v>0</v>
      </c>
      <c r="IW13" s="479">
        <f t="shared" si="273"/>
        <v>0</v>
      </c>
      <c r="IX13" s="479">
        <f t="shared" si="273"/>
        <v>0</v>
      </c>
      <c r="IY13" s="479">
        <f t="shared" si="273"/>
        <v>0</v>
      </c>
      <c r="IZ13" s="479">
        <f t="shared" si="273"/>
        <v>0</v>
      </c>
      <c r="JA13" s="479">
        <f t="shared" si="273"/>
        <v>0</v>
      </c>
      <c r="JB13" s="479">
        <f t="shared" si="273"/>
        <v>0</v>
      </c>
      <c r="JC13" s="479">
        <f t="shared" si="273"/>
        <v>0</v>
      </c>
      <c r="JD13" s="479">
        <f t="shared" si="273"/>
        <v>0</v>
      </c>
      <c r="JE13" s="479">
        <f t="shared" si="273"/>
        <v>0</v>
      </c>
      <c r="JF13" s="479">
        <f t="shared" si="273"/>
        <v>0</v>
      </c>
      <c r="JG13" s="479">
        <f t="shared" si="274"/>
        <v>0</v>
      </c>
      <c r="JH13" s="479">
        <f t="shared" si="274"/>
        <v>0</v>
      </c>
      <c r="JI13" s="479">
        <f t="shared" si="274"/>
        <v>0</v>
      </c>
      <c r="JJ13" s="479">
        <f t="shared" si="274"/>
        <v>0</v>
      </c>
      <c r="JK13" s="479">
        <f t="shared" si="274"/>
        <v>0</v>
      </c>
      <c r="JL13" s="479">
        <f t="shared" si="274"/>
        <v>0</v>
      </c>
      <c r="JM13" s="479">
        <f t="shared" si="274"/>
        <v>0</v>
      </c>
      <c r="JN13" s="479">
        <f t="shared" si="274"/>
        <v>0</v>
      </c>
      <c r="JO13" s="479">
        <f t="shared" si="274"/>
        <v>0</v>
      </c>
      <c r="JP13" s="479">
        <f t="shared" si="274"/>
        <v>0</v>
      </c>
      <c r="JQ13" s="479">
        <f t="shared" si="274"/>
        <v>0</v>
      </c>
      <c r="JR13" s="479">
        <f t="shared" si="274"/>
        <v>0</v>
      </c>
      <c r="JS13" s="479">
        <f t="shared" si="274"/>
        <v>0</v>
      </c>
      <c r="JT13" s="479">
        <f t="shared" si="274"/>
        <v>0</v>
      </c>
      <c r="JU13" s="479">
        <f t="shared" si="274"/>
        <v>0</v>
      </c>
      <c r="JV13" s="479">
        <f t="shared" si="274"/>
        <v>0</v>
      </c>
      <c r="JW13" s="479">
        <f t="shared" si="274"/>
        <v>0</v>
      </c>
      <c r="JX13" s="479">
        <f t="shared" si="274"/>
        <v>0</v>
      </c>
      <c r="JY13" s="479">
        <f t="shared" si="274"/>
        <v>0</v>
      </c>
      <c r="JZ13" s="479">
        <f t="shared" si="274"/>
        <v>0</v>
      </c>
      <c r="KA13" s="479">
        <f t="shared" si="274"/>
        <v>0</v>
      </c>
      <c r="KB13" s="479">
        <f t="shared" si="274"/>
        <v>0</v>
      </c>
      <c r="KC13" s="479">
        <f t="shared" si="274"/>
        <v>0</v>
      </c>
      <c r="KD13" s="479">
        <f t="shared" si="274"/>
        <v>0</v>
      </c>
      <c r="KE13" s="479">
        <f t="shared" si="274"/>
        <v>0</v>
      </c>
      <c r="KF13" s="479">
        <f t="shared" si="274"/>
        <v>0</v>
      </c>
      <c r="KG13" s="479">
        <f t="shared" si="274"/>
        <v>0</v>
      </c>
      <c r="KH13" s="479">
        <f t="shared" si="274"/>
        <v>0</v>
      </c>
      <c r="KI13" s="479">
        <f t="shared" si="274"/>
        <v>0</v>
      </c>
      <c r="KJ13" s="479">
        <f t="shared" si="274"/>
        <v>0</v>
      </c>
      <c r="KK13" s="479">
        <f t="shared" si="274"/>
        <v>0</v>
      </c>
      <c r="KL13" s="479">
        <f t="shared" si="274"/>
        <v>0</v>
      </c>
      <c r="KM13" s="479">
        <f t="shared" si="274"/>
        <v>0</v>
      </c>
      <c r="KN13" s="479">
        <f t="shared" si="274"/>
        <v>0</v>
      </c>
      <c r="KO13" s="479">
        <f t="shared" si="274"/>
        <v>0</v>
      </c>
      <c r="KP13" s="479">
        <f t="shared" si="274"/>
        <v>0</v>
      </c>
      <c r="KQ13" s="479">
        <f t="shared" si="274"/>
        <v>0</v>
      </c>
      <c r="KR13" s="479">
        <f t="shared" si="274"/>
        <v>0</v>
      </c>
      <c r="KS13" s="479">
        <f t="shared" si="274"/>
        <v>0</v>
      </c>
      <c r="KT13" s="479">
        <f t="shared" si="274"/>
        <v>0</v>
      </c>
      <c r="KU13" s="479">
        <f t="shared" si="274"/>
        <v>0</v>
      </c>
      <c r="KV13" s="479">
        <f t="shared" si="274"/>
        <v>0</v>
      </c>
      <c r="KW13" s="479">
        <f t="shared" si="274"/>
        <v>0</v>
      </c>
      <c r="KX13" s="479">
        <f t="shared" si="274"/>
        <v>0</v>
      </c>
      <c r="KY13" s="479">
        <f t="shared" si="274"/>
        <v>0</v>
      </c>
      <c r="KZ13" s="479">
        <f t="shared" si="274"/>
        <v>0</v>
      </c>
      <c r="LA13" s="479">
        <f t="shared" si="274"/>
        <v>0</v>
      </c>
      <c r="LB13" s="479">
        <f t="shared" si="274"/>
        <v>0</v>
      </c>
      <c r="LC13" s="479">
        <f t="shared" si="274"/>
        <v>0</v>
      </c>
      <c r="LD13" s="479">
        <f t="shared" si="274"/>
        <v>0</v>
      </c>
      <c r="LE13" s="479">
        <f t="shared" si="274"/>
        <v>0</v>
      </c>
      <c r="LF13" s="479">
        <f t="shared" si="274"/>
        <v>0</v>
      </c>
      <c r="LG13" s="479">
        <f t="shared" si="274"/>
        <v>0</v>
      </c>
      <c r="LH13" s="479">
        <f t="shared" si="274"/>
        <v>0</v>
      </c>
      <c r="LI13" s="479">
        <f t="shared" si="274"/>
        <v>0</v>
      </c>
      <c r="LJ13" s="479">
        <f t="shared" si="274"/>
        <v>0</v>
      </c>
      <c r="LK13" s="479">
        <f t="shared" si="274"/>
        <v>0</v>
      </c>
      <c r="LL13" s="479">
        <f t="shared" si="274"/>
        <v>0</v>
      </c>
      <c r="LM13" s="479">
        <f t="shared" si="274"/>
        <v>0</v>
      </c>
      <c r="LN13" s="479">
        <f t="shared" si="274"/>
        <v>0</v>
      </c>
      <c r="LO13" s="479">
        <f t="shared" si="274"/>
        <v>0</v>
      </c>
      <c r="LP13" s="479">
        <f t="shared" si="274"/>
        <v>0</v>
      </c>
      <c r="LQ13" s="479">
        <f t="shared" si="274"/>
        <v>0</v>
      </c>
      <c r="LR13" s="479">
        <f t="shared" si="274"/>
        <v>0</v>
      </c>
      <c r="LS13" s="479">
        <f t="shared" si="275"/>
        <v>0</v>
      </c>
      <c r="LT13" s="479">
        <f t="shared" si="275"/>
        <v>0</v>
      </c>
      <c r="LU13" s="479">
        <f t="shared" si="275"/>
        <v>0</v>
      </c>
      <c r="LV13" s="479">
        <f t="shared" si="275"/>
        <v>0</v>
      </c>
      <c r="LW13" s="479">
        <f t="shared" si="275"/>
        <v>0</v>
      </c>
      <c r="LX13" s="479">
        <f t="shared" si="275"/>
        <v>0</v>
      </c>
      <c r="LY13" s="479">
        <f t="shared" si="275"/>
        <v>0</v>
      </c>
      <c r="LZ13" s="479">
        <f t="shared" si="275"/>
        <v>0</v>
      </c>
      <c r="MA13" s="479">
        <f t="shared" si="275"/>
        <v>0</v>
      </c>
      <c r="MB13" s="479">
        <f t="shared" si="275"/>
        <v>0</v>
      </c>
      <c r="MC13" s="479">
        <f t="shared" si="275"/>
        <v>0</v>
      </c>
      <c r="MD13" s="479">
        <f t="shared" si="275"/>
        <v>0</v>
      </c>
      <c r="ME13" s="479">
        <f t="shared" si="275"/>
        <v>0</v>
      </c>
      <c r="MF13" s="479">
        <f t="shared" si="275"/>
        <v>0</v>
      </c>
      <c r="MG13" s="479">
        <f t="shared" si="275"/>
        <v>0</v>
      </c>
      <c r="MH13" s="479">
        <f t="shared" si="275"/>
        <v>0</v>
      </c>
      <c r="MI13" s="479">
        <f t="shared" si="275"/>
        <v>0</v>
      </c>
      <c r="MJ13" s="479">
        <f t="shared" si="275"/>
        <v>0</v>
      </c>
      <c r="MK13" s="479">
        <f t="shared" si="275"/>
        <v>0</v>
      </c>
      <c r="ML13" s="479">
        <f t="shared" si="275"/>
        <v>0</v>
      </c>
      <c r="MM13" s="479">
        <f t="shared" si="275"/>
        <v>0</v>
      </c>
      <c r="MN13" s="479">
        <f t="shared" si="275"/>
        <v>0</v>
      </c>
      <c r="MO13" s="479">
        <f t="shared" si="275"/>
        <v>0</v>
      </c>
      <c r="MP13" s="479">
        <f t="shared" si="275"/>
        <v>0</v>
      </c>
      <c r="MQ13" s="479">
        <f t="shared" si="275"/>
        <v>0</v>
      </c>
      <c r="MR13" s="479">
        <f t="shared" si="275"/>
        <v>0</v>
      </c>
      <c r="MS13" s="479">
        <f t="shared" si="275"/>
        <v>0</v>
      </c>
      <c r="MT13" s="479">
        <f t="shared" si="275"/>
        <v>0</v>
      </c>
      <c r="MU13" s="479">
        <f t="shared" si="275"/>
        <v>0</v>
      </c>
      <c r="MV13" s="479">
        <f t="shared" si="275"/>
        <v>0</v>
      </c>
      <c r="MW13" s="479">
        <f t="shared" si="275"/>
        <v>0</v>
      </c>
      <c r="MX13" s="479">
        <f t="shared" si="275"/>
        <v>0</v>
      </c>
      <c r="MY13" s="479">
        <f t="shared" si="275"/>
        <v>0</v>
      </c>
      <c r="MZ13" s="479">
        <f t="shared" si="275"/>
        <v>0</v>
      </c>
      <c r="NA13" s="479">
        <f t="shared" si="275"/>
        <v>0</v>
      </c>
      <c r="NB13" s="479">
        <f t="shared" si="275"/>
        <v>0</v>
      </c>
      <c r="NC13" s="479">
        <f t="shared" si="275"/>
        <v>0</v>
      </c>
      <c r="ND13" s="479">
        <f t="shared" si="275"/>
        <v>0</v>
      </c>
      <c r="NE13" s="479">
        <f t="shared" si="275"/>
        <v>0</v>
      </c>
      <c r="NF13" s="479">
        <f t="shared" si="275"/>
        <v>0</v>
      </c>
      <c r="NG13" s="479">
        <f t="shared" si="275"/>
        <v>0</v>
      </c>
      <c r="NH13" s="479">
        <f t="shared" si="275"/>
        <v>0</v>
      </c>
      <c r="NI13" s="479">
        <f t="shared" si="275"/>
        <v>0</v>
      </c>
      <c r="NJ13" s="479">
        <f t="shared" si="275"/>
        <v>0</v>
      </c>
      <c r="NK13" s="479">
        <f t="shared" si="275"/>
        <v>0</v>
      </c>
      <c r="NL13" s="479">
        <f t="shared" si="275"/>
        <v>0</v>
      </c>
      <c r="NM13" s="479">
        <f t="shared" si="275"/>
        <v>0</v>
      </c>
      <c r="NN13" s="479">
        <f t="shared" si="275"/>
        <v>0</v>
      </c>
      <c r="NO13" s="479">
        <f t="shared" si="275"/>
        <v>0</v>
      </c>
      <c r="NP13" s="479">
        <f t="shared" si="275"/>
        <v>0</v>
      </c>
      <c r="NQ13" s="479">
        <f t="shared" si="275"/>
        <v>0</v>
      </c>
      <c r="NR13" s="479">
        <f t="shared" si="275"/>
        <v>0</v>
      </c>
      <c r="NS13" s="479">
        <f t="shared" si="275"/>
        <v>0</v>
      </c>
      <c r="NT13" s="479">
        <f t="shared" si="275"/>
        <v>0</v>
      </c>
      <c r="NU13" s="479">
        <f t="shared" si="275"/>
        <v>0</v>
      </c>
      <c r="NV13" s="479">
        <f t="shared" si="275"/>
        <v>0</v>
      </c>
      <c r="NW13" s="479">
        <f t="shared" si="275"/>
        <v>0</v>
      </c>
      <c r="NX13" s="479">
        <f t="shared" si="275"/>
        <v>0</v>
      </c>
      <c r="NY13" s="479">
        <f t="shared" si="275"/>
        <v>0</v>
      </c>
      <c r="NZ13" s="479">
        <f t="shared" si="275"/>
        <v>0</v>
      </c>
      <c r="OA13" s="479">
        <f t="shared" si="275"/>
        <v>0</v>
      </c>
      <c r="OB13" s="479">
        <f t="shared" si="275"/>
        <v>0</v>
      </c>
      <c r="OC13" s="479">
        <f t="shared" si="275"/>
        <v>0</v>
      </c>
      <c r="OD13" s="479">
        <f t="shared" si="275"/>
        <v>0</v>
      </c>
      <c r="OE13" s="479">
        <f t="shared" si="276"/>
        <v>0</v>
      </c>
      <c r="OF13" s="479">
        <f t="shared" si="276"/>
        <v>0</v>
      </c>
      <c r="OG13" s="479">
        <f t="shared" si="276"/>
        <v>0</v>
      </c>
      <c r="OH13" s="479">
        <f t="shared" si="276"/>
        <v>0</v>
      </c>
      <c r="OI13" s="479">
        <f t="shared" si="276"/>
        <v>0</v>
      </c>
      <c r="OJ13" s="479">
        <f t="shared" si="276"/>
        <v>0</v>
      </c>
      <c r="OK13" s="479">
        <f t="shared" si="276"/>
        <v>0</v>
      </c>
      <c r="OL13" s="479">
        <f t="shared" si="276"/>
        <v>0</v>
      </c>
      <c r="OM13" s="479">
        <f t="shared" si="276"/>
        <v>0</v>
      </c>
      <c r="ON13" s="479">
        <f t="shared" si="276"/>
        <v>0</v>
      </c>
      <c r="OO13" s="479">
        <f t="shared" si="276"/>
        <v>0</v>
      </c>
    </row>
    <row r="14" spans="2:406">
      <c r="B14" s="506" t="str">
        <f>Assumptions!B77</f>
        <v>Total Acquisition Costs</v>
      </c>
      <c r="C14" s="506"/>
      <c r="D14" s="504">
        <f>SUM(D12:D13)</f>
        <v>1</v>
      </c>
      <c r="E14" s="244"/>
      <c r="F14" s="244"/>
      <c r="G14" s="244"/>
      <c r="H14" s="244"/>
      <c r="I14" s="244"/>
      <c r="J14" s="505">
        <f>SUM(J12:J13)</f>
        <v>-1</v>
      </c>
      <c r="K14" s="505">
        <f t="shared" ref="K14:BV14" si="277">SUM(K12:K13)</f>
        <v>0</v>
      </c>
      <c r="L14" s="505">
        <f t="shared" si="277"/>
        <v>0</v>
      </c>
      <c r="M14" s="505">
        <f t="shared" si="277"/>
        <v>0</v>
      </c>
      <c r="N14" s="505">
        <f t="shared" si="277"/>
        <v>0</v>
      </c>
      <c r="O14" s="505">
        <f t="shared" si="277"/>
        <v>0</v>
      </c>
      <c r="P14" s="505">
        <f t="shared" si="277"/>
        <v>0</v>
      </c>
      <c r="Q14" s="505">
        <f t="shared" si="277"/>
        <v>0</v>
      </c>
      <c r="R14" s="505">
        <f t="shared" si="277"/>
        <v>0</v>
      </c>
      <c r="S14" s="505">
        <f t="shared" si="277"/>
        <v>0</v>
      </c>
      <c r="T14" s="505">
        <f t="shared" si="277"/>
        <v>0</v>
      </c>
      <c r="U14" s="505">
        <f t="shared" si="277"/>
        <v>0</v>
      </c>
      <c r="V14" s="505">
        <f t="shared" si="277"/>
        <v>0</v>
      </c>
      <c r="W14" s="505">
        <f t="shared" si="277"/>
        <v>0</v>
      </c>
      <c r="X14" s="505">
        <f t="shared" si="277"/>
        <v>0</v>
      </c>
      <c r="Y14" s="505">
        <f t="shared" si="277"/>
        <v>0</v>
      </c>
      <c r="Z14" s="505">
        <f t="shared" si="277"/>
        <v>0</v>
      </c>
      <c r="AA14" s="505">
        <f t="shared" si="277"/>
        <v>0</v>
      </c>
      <c r="AB14" s="505">
        <f t="shared" si="277"/>
        <v>0</v>
      </c>
      <c r="AC14" s="505">
        <f t="shared" si="277"/>
        <v>0</v>
      </c>
      <c r="AD14" s="505">
        <f t="shared" si="277"/>
        <v>0</v>
      </c>
      <c r="AE14" s="505">
        <f t="shared" si="277"/>
        <v>0</v>
      </c>
      <c r="AF14" s="505">
        <f t="shared" si="277"/>
        <v>0</v>
      </c>
      <c r="AG14" s="505">
        <f t="shared" si="277"/>
        <v>0</v>
      </c>
      <c r="AH14" s="505">
        <f t="shared" si="277"/>
        <v>0</v>
      </c>
      <c r="AI14" s="505">
        <f t="shared" si="277"/>
        <v>0</v>
      </c>
      <c r="AJ14" s="505">
        <f t="shared" si="277"/>
        <v>0</v>
      </c>
      <c r="AK14" s="505">
        <f t="shared" si="277"/>
        <v>0</v>
      </c>
      <c r="AL14" s="505">
        <f t="shared" si="277"/>
        <v>0</v>
      </c>
      <c r="AM14" s="505">
        <f t="shared" si="277"/>
        <v>0</v>
      </c>
      <c r="AN14" s="505">
        <f t="shared" si="277"/>
        <v>0</v>
      </c>
      <c r="AO14" s="505">
        <f t="shared" si="277"/>
        <v>0</v>
      </c>
      <c r="AP14" s="505">
        <f t="shared" si="277"/>
        <v>0</v>
      </c>
      <c r="AQ14" s="505">
        <f t="shared" si="277"/>
        <v>0</v>
      </c>
      <c r="AR14" s="505">
        <f t="shared" si="277"/>
        <v>0</v>
      </c>
      <c r="AS14" s="505">
        <f t="shared" si="277"/>
        <v>0</v>
      </c>
      <c r="AT14" s="505">
        <f t="shared" si="277"/>
        <v>0</v>
      </c>
      <c r="AU14" s="505">
        <f t="shared" si="277"/>
        <v>0</v>
      </c>
      <c r="AV14" s="505">
        <f t="shared" si="277"/>
        <v>0</v>
      </c>
      <c r="AW14" s="505">
        <f t="shared" si="277"/>
        <v>0</v>
      </c>
      <c r="AX14" s="505">
        <f t="shared" si="277"/>
        <v>0</v>
      </c>
      <c r="AY14" s="505">
        <f t="shared" si="277"/>
        <v>0</v>
      </c>
      <c r="AZ14" s="505">
        <f t="shared" si="277"/>
        <v>0</v>
      </c>
      <c r="BA14" s="505">
        <f t="shared" si="277"/>
        <v>0</v>
      </c>
      <c r="BB14" s="505">
        <f t="shared" si="277"/>
        <v>0</v>
      </c>
      <c r="BC14" s="505">
        <f t="shared" si="277"/>
        <v>0</v>
      </c>
      <c r="BD14" s="505">
        <f t="shared" si="277"/>
        <v>0</v>
      </c>
      <c r="BE14" s="505">
        <f t="shared" si="277"/>
        <v>0</v>
      </c>
      <c r="BF14" s="505">
        <f t="shared" si="277"/>
        <v>0</v>
      </c>
      <c r="BG14" s="505">
        <f t="shared" si="277"/>
        <v>0</v>
      </c>
      <c r="BH14" s="505">
        <f t="shared" si="277"/>
        <v>0</v>
      </c>
      <c r="BI14" s="505">
        <f t="shared" si="277"/>
        <v>0</v>
      </c>
      <c r="BJ14" s="505">
        <f t="shared" si="277"/>
        <v>0</v>
      </c>
      <c r="BK14" s="505">
        <f t="shared" si="277"/>
        <v>0</v>
      </c>
      <c r="BL14" s="505">
        <f t="shared" si="277"/>
        <v>0</v>
      </c>
      <c r="BM14" s="505">
        <f t="shared" si="277"/>
        <v>0</v>
      </c>
      <c r="BN14" s="505">
        <f t="shared" si="277"/>
        <v>0</v>
      </c>
      <c r="BO14" s="505">
        <f t="shared" si="277"/>
        <v>0</v>
      </c>
      <c r="BP14" s="505">
        <f t="shared" si="277"/>
        <v>0</v>
      </c>
      <c r="BQ14" s="505">
        <f t="shared" si="277"/>
        <v>0</v>
      </c>
      <c r="BR14" s="505">
        <f t="shared" si="277"/>
        <v>0</v>
      </c>
      <c r="BS14" s="505">
        <f t="shared" si="277"/>
        <v>0</v>
      </c>
      <c r="BT14" s="505">
        <f t="shared" si="277"/>
        <v>0</v>
      </c>
      <c r="BU14" s="505">
        <f t="shared" si="277"/>
        <v>0</v>
      </c>
      <c r="BV14" s="505">
        <f t="shared" si="277"/>
        <v>0</v>
      </c>
      <c r="BW14" s="505">
        <f t="shared" ref="BW14:EH14" si="278">SUM(BW12:BW13)</f>
        <v>0</v>
      </c>
      <c r="BX14" s="505">
        <f t="shared" si="278"/>
        <v>0</v>
      </c>
      <c r="BY14" s="505">
        <f t="shared" si="278"/>
        <v>0</v>
      </c>
      <c r="BZ14" s="505">
        <f t="shared" si="278"/>
        <v>0</v>
      </c>
      <c r="CA14" s="505">
        <f t="shared" si="278"/>
        <v>0</v>
      </c>
      <c r="CB14" s="505">
        <f t="shared" si="278"/>
        <v>0</v>
      </c>
      <c r="CC14" s="505">
        <f t="shared" si="278"/>
        <v>0</v>
      </c>
      <c r="CD14" s="505">
        <f t="shared" si="278"/>
        <v>0</v>
      </c>
      <c r="CE14" s="505">
        <f t="shared" si="278"/>
        <v>0</v>
      </c>
      <c r="CF14" s="505">
        <f t="shared" si="278"/>
        <v>0</v>
      </c>
      <c r="CG14" s="505">
        <f t="shared" si="278"/>
        <v>0</v>
      </c>
      <c r="CH14" s="505">
        <f t="shared" si="278"/>
        <v>0</v>
      </c>
      <c r="CI14" s="505">
        <f t="shared" si="278"/>
        <v>0</v>
      </c>
      <c r="CJ14" s="505">
        <f t="shared" si="278"/>
        <v>0</v>
      </c>
      <c r="CK14" s="505">
        <f t="shared" si="278"/>
        <v>0</v>
      </c>
      <c r="CL14" s="505">
        <f t="shared" si="278"/>
        <v>0</v>
      </c>
      <c r="CM14" s="505">
        <f t="shared" si="278"/>
        <v>0</v>
      </c>
      <c r="CN14" s="505">
        <f t="shared" si="278"/>
        <v>0</v>
      </c>
      <c r="CO14" s="505">
        <f t="shared" si="278"/>
        <v>0</v>
      </c>
      <c r="CP14" s="505">
        <f t="shared" si="278"/>
        <v>0</v>
      </c>
      <c r="CQ14" s="505">
        <f t="shared" si="278"/>
        <v>0</v>
      </c>
      <c r="CR14" s="505">
        <f t="shared" si="278"/>
        <v>0</v>
      </c>
      <c r="CS14" s="505">
        <f t="shared" si="278"/>
        <v>0</v>
      </c>
      <c r="CT14" s="505">
        <f t="shared" si="278"/>
        <v>0</v>
      </c>
      <c r="CU14" s="505">
        <f t="shared" si="278"/>
        <v>0</v>
      </c>
      <c r="CV14" s="505">
        <f t="shared" si="278"/>
        <v>0</v>
      </c>
      <c r="CW14" s="505">
        <f t="shared" si="278"/>
        <v>0</v>
      </c>
      <c r="CX14" s="505">
        <f t="shared" si="278"/>
        <v>0</v>
      </c>
      <c r="CY14" s="505">
        <f t="shared" si="278"/>
        <v>0</v>
      </c>
      <c r="CZ14" s="505">
        <f t="shared" si="278"/>
        <v>0</v>
      </c>
      <c r="DA14" s="505">
        <f t="shared" si="278"/>
        <v>0</v>
      </c>
      <c r="DB14" s="505">
        <f t="shared" si="278"/>
        <v>0</v>
      </c>
      <c r="DC14" s="505">
        <f t="shared" si="278"/>
        <v>0</v>
      </c>
      <c r="DD14" s="505">
        <f t="shared" si="278"/>
        <v>0</v>
      </c>
      <c r="DE14" s="505">
        <f t="shared" si="278"/>
        <v>0</v>
      </c>
      <c r="DF14" s="505">
        <f t="shared" si="278"/>
        <v>0</v>
      </c>
      <c r="DG14" s="505">
        <f t="shared" si="278"/>
        <v>0</v>
      </c>
      <c r="DH14" s="505">
        <f t="shared" si="278"/>
        <v>0</v>
      </c>
      <c r="DI14" s="505">
        <f t="shared" si="278"/>
        <v>0</v>
      </c>
      <c r="DJ14" s="505">
        <f t="shared" si="278"/>
        <v>0</v>
      </c>
      <c r="DK14" s="505">
        <f t="shared" si="278"/>
        <v>0</v>
      </c>
      <c r="DL14" s="505">
        <f t="shared" si="278"/>
        <v>0</v>
      </c>
      <c r="DM14" s="505">
        <f t="shared" si="278"/>
        <v>0</v>
      </c>
      <c r="DN14" s="505">
        <f t="shared" si="278"/>
        <v>0</v>
      </c>
      <c r="DO14" s="505">
        <f t="shared" si="278"/>
        <v>0</v>
      </c>
      <c r="DP14" s="505">
        <f t="shared" si="278"/>
        <v>0</v>
      </c>
      <c r="DQ14" s="505">
        <f t="shared" si="278"/>
        <v>0</v>
      </c>
      <c r="DR14" s="505">
        <f t="shared" si="278"/>
        <v>0</v>
      </c>
      <c r="DS14" s="505">
        <f t="shared" si="278"/>
        <v>0</v>
      </c>
      <c r="DT14" s="505">
        <f t="shared" si="278"/>
        <v>0</v>
      </c>
      <c r="DU14" s="505">
        <f t="shared" si="278"/>
        <v>0</v>
      </c>
      <c r="DV14" s="505">
        <f t="shared" si="278"/>
        <v>0</v>
      </c>
      <c r="DW14" s="505">
        <f t="shared" si="278"/>
        <v>0</v>
      </c>
      <c r="DX14" s="505">
        <f t="shared" si="278"/>
        <v>0</v>
      </c>
      <c r="DY14" s="505">
        <f t="shared" si="278"/>
        <v>0</v>
      </c>
      <c r="DZ14" s="505">
        <f t="shared" si="278"/>
        <v>0</v>
      </c>
      <c r="EA14" s="505">
        <f t="shared" si="278"/>
        <v>0</v>
      </c>
      <c r="EB14" s="505">
        <f t="shared" si="278"/>
        <v>0</v>
      </c>
      <c r="EC14" s="505">
        <f t="shared" si="278"/>
        <v>0</v>
      </c>
      <c r="ED14" s="505">
        <f t="shared" si="278"/>
        <v>0</v>
      </c>
      <c r="EE14" s="505">
        <f t="shared" si="278"/>
        <v>0</v>
      </c>
      <c r="EF14" s="505">
        <f t="shared" si="278"/>
        <v>0</v>
      </c>
      <c r="EG14" s="505">
        <f t="shared" si="278"/>
        <v>0</v>
      </c>
      <c r="EH14" s="505">
        <f t="shared" si="278"/>
        <v>0</v>
      </c>
      <c r="EI14" s="505">
        <f t="shared" ref="EI14:GT14" si="279">SUM(EI12:EI13)</f>
        <v>0</v>
      </c>
      <c r="EJ14" s="505">
        <f t="shared" si="279"/>
        <v>0</v>
      </c>
      <c r="EK14" s="505">
        <f t="shared" si="279"/>
        <v>0</v>
      </c>
      <c r="EL14" s="505">
        <f t="shared" si="279"/>
        <v>0</v>
      </c>
      <c r="EM14" s="505">
        <f t="shared" si="279"/>
        <v>0</v>
      </c>
      <c r="EN14" s="505">
        <f t="shared" si="279"/>
        <v>0</v>
      </c>
      <c r="EO14" s="505">
        <f t="shared" si="279"/>
        <v>0</v>
      </c>
      <c r="EP14" s="505">
        <f t="shared" si="279"/>
        <v>0</v>
      </c>
      <c r="EQ14" s="505">
        <f t="shared" si="279"/>
        <v>0</v>
      </c>
      <c r="ER14" s="505">
        <f t="shared" si="279"/>
        <v>0</v>
      </c>
      <c r="ES14" s="505">
        <f t="shared" si="279"/>
        <v>0</v>
      </c>
      <c r="ET14" s="505">
        <f t="shared" si="279"/>
        <v>0</v>
      </c>
      <c r="EU14" s="505">
        <f t="shared" si="279"/>
        <v>0</v>
      </c>
      <c r="EV14" s="505">
        <f t="shared" si="279"/>
        <v>0</v>
      </c>
      <c r="EW14" s="505">
        <f t="shared" si="279"/>
        <v>0</v>
      </c>
      <c r="EX14" s="505">
        <f t="shared" si="279"/>
        <v>0</v>
      </c>
      <c r="EY14" s="505">
        <f t="shared" si="279"/>
        <v>0</v>
      </c>
      <c r="EZ14" s="505">
        <f t="shared" si="279"/>
        <v>0</v>
      </c>
      <c r="FA14" s="505">
        <f t="shared" si="279"/>
        <v>0</v>
      </c>
      <c r="FB14" s="505">
        <f t="shared" si="279"/>
        <v>0</v>
      </c>
      <c r="FC14" s="505">
        <f t="shared" si="279"/>
        <v>0</v>
      </c>
      <c r="FD14" s="505">
        <f t="shared" si="279"/>
        <v>0</v>
      </c>
      <c r="FE14" s="505">
        <f t="shared" si="279"/>
        <v>0</v>
      </c>
      <c r="FF14" s="505">
        <f t="shared" si="279"/>
        <v>0</v>
      </c>
      <c r="FG14" s="505">
        <f t="shared" si="279"/>
        <v>0</v>
      </c>
      <c r="FH14" s="505">
        <f t="shared" si="279"/>
        <v>0</v>
      </c>
      <c r="FI14" s="505">
        <f t="shared" si="279"/>
        <v>0</v>
      </c>
      <c r="FJ14" s="505">
        <f t="shared" si="279"/>
        <v>0</v>
      </c>
      <c r="FK14" s="505">
        <f t="shared" si="279"/>
        <v>0</v>
      </c>
      <c r="FL14" s="505">
        <f t="shared" si="279"/>
        <v>0</v>
      </c>
      <c r="FM14" s="505">
        <f t="shared" si="279"/>
        <v>0</v>
      </c>
      <c r="FN14" s="505">
        <f t="shared" si="279"/>
        <v>0</v>
      </c>
      <c r="FO14" s="505">
        <f t="shared" si="279"/>
        <v>0</v>
      </c>
      <c r="FP14" s="505">
        <f t="shared" si="279"/>
        <v>0</v>
      </c>
      <c r="FQ14" s="505">
        <f t="shared" si="279"/>
        <v>0</v>
      </c>
      <c r="FR14" s="505">
        <f t="shared" si="279"/>
        <v>0</v>
      </c>
      <c r="FS14" s="505">
        <f t="shared" si="279"/>
        <v>0</v>
      </c>
      <c r="FT14" s="505">
        <f t="shared" si="279"/>
        <v>0</v>
      </c>
      <c r="FU14" s="505">
        <f t="shared" si="279"/>
        <v>0</v>
      </c>
      <c r="FV14" s="505">
        <f t="shared" si="279"/>
        <v>0</v>
      </c>
      <c r="FW14" s="505">
        <f t="shared" si="279"/>
        <v>0</v>
      </c>
      <c r="FX14" s="505">
        <f t="shared" si="279"/>
        <v>0</v>
      </c>
      <c r="FY14" s="505">
        <f t="shared" si="279"/>
        <v>0</v>
      </c>
      <c r="FZ14" s="505">
        <f t="shared" si="279"/>
        <v>0</v>
      </c>
      <c r="GA14" s="505">
        <f t="shared" si="279"/>
        <v>0</v>
      </c>
      <c r="GB14" s="505">
        <f t="shared" si="279"/>
        <v>0</v>
      </c>
      <c r="GC14" s="505">
        <f t="shared" si="279"/>
        <v>0</v>
      </c>
      <c r="GD14" s="505">
        <f t="shared" si="279"/>
        <v>0</v>
      </c>
      <c r="GE14" s="505">
        <f t="shared" si="279"/>
        <v>0</v>
      </c>
      <c r="GF14" s="505">
        <f t="shared" si="279"/>
        <v>0</v>
      </c>
      <c r="GG14" s="505">
        <f t="shared" si="279"/>
        <v>0</v>
      </c>
      <c r="GH14" s="505">
        <f t="shared" si="279"/>
        <v>0</v>
      </c>
      <c r="GI14" s="505">
        <f t="shared" si="279"/>
        <v>0</v>
      </c>
      <c r="GJ14" s="505">
        <f t="shared" si="279"/>
        <v>0</v>
      </c>
      <c r="GK14" s="505">
        <f t="shared" si="279"/>
        <v>0</v>
      </c>
      <c r="GL14" s="505">
        <f t="shared" si="279"/>
        <v>0</v>
      </c>
      <c r="GM14" s="505">
        <f t="shared" si="279"/>
        <v>0</v>
      </c>
      <c r="GN14" s="505">
        <f t="shared" si="279"/>
        <v>0</v>
      </c>
      <c r="GO14" s="505">
        <f t="shared" si="279"/>
        <v>0</v>
      </c>
      <c r="GP14" s="505">
        <f t="shared" si="279"/>
        <v>0</v>
      </c>
      <c r="GQ14" s="505">
        <f t="shared" si="279"/>
        <v>0</v>
      </c>
      <c r="GR14" s="505">
        <f t="shared" si="279"/>
        <v>0</v>
      </c>
      <c r="GS14" s="505">
        <f t="shared" si="279"/>
        <v>0</v>
      </c>
      <c r="GT14" s="505">
        <f t="shared" si="279"/>
        <v>0</v>
      </c>
      <c r="GU14" s="505">
        <f t="shared" ref="GU14:JF14" si="280">SUM(GU12:GU13)</f>
        <v>0</v>
      </c>
      <c r="GV14" s="505">
        <f t="shared" si="280"/>
        <v>0</v>
      </c>
      <c r="GW14" s="505">
        <f t="shared" si="280"/>
        <v>0</v>
      </c>
      <c r="GX14" s="505">
        <f t="shared" si="280"/>
        <v>0</v>
      </c>
      <c r="GY14" s="505">
        <f t="shared" si="280"/>
        <v>0</v>
      </c>
      <c r="GZ14" s="505">
        <f t="shared" si="280"/>
        <v>0</v>
      </c>
      <c r="HA14" s="505">
        <f t="shared" si="280"/>
        <v>0</v>
      </c>
      <c r="HB14" s="505">
        <f t="shared" si="280"/>
        <v>0</v>
      </c>
      <c r="HC14" s="505">
        <f t="shared" si="280"/>
        <v>0</v>
      </c>
      <c r="HD14" s="505">
        <f t="shared" si="280"/>
        <v>0</v>
      </c>
      <c r="HE14" s="505">
        <f t="shared" si="280"/>
        <v>0</v>
      </c>
      <c r="HF14" s="505">
        <f t="shared" si="280"/>
        <v>0</v>
      </c>
      <c r="HG14" s="505">
        <f t="shared" si="280"/>
        <v>0</v>
      </c>
      <c r="HH14" s="505">
        <f t="shared" si="280"/>
        <v>0</v>
      </c>
      <c r="HI14" s="505">
        <f t="shared" si="280"/>
        <v>0</v>
      </c>
      <c r="HJ14" s="505">
        <f t="shared" si="280"/>
        <v>0</v>
      </c>
      <c r="HK14" s="505">
        <f t="shared" si="280"/>
        <v>0</v>
      </c>
      <c r="HL14" s="505">
        <f t="shared" si="280"/>
        <v>0</v>
      </c>
      <c r="HM14" s="505">
        <f t="shared" si="280"/>
        <v>0</v>
      </c>
      <c r="HN14" s="505">
        <f t="shared" si="280"/>
        <v>0</v>
      </c>
      <c r="HO14" s="505">
        <f t="shared" si="280"/>
        <v>0</v>
      </c>
      <c r="HP14" s="505">
        <f t="shared" si="280"/>
        <v>0</v>
      </c>
      <c r="HQ14" s="505">
        <f t="shared" si="280"/>
        <v>0</v>
      </c>
      <c r="HR14" s="505">
        <f t="shared" si="280"/>
        <v>0</v>
      </c>
      <c r="HS14" s="505">
        <f t="shared" si="280"/>
        <v>0</v>
      </c>
      <c r="HT14" s="505">
        <f t="shared" si="280"/>
        <v>0</v>
      </c>
      <c r="HU14" s="505">
        <f t="shared" si="280"/>
        <v>0</v>
      </c>
      <c r="HV14" s="505">
        <f t="shared" si="280"/>
        <v>0</v>
      </c>
      <c r="HW14" s="505">
        <f t="shared" si="280"/>
        <v>0</v>
      </c>
      <c r="HX14" s="505">
        <f t="shared" si="280"/>
        <v>0</v>
      </c>
      <c r="HY14" s="505">
        <f t="shared" si="280"/>
        <v>0</v>
      </c>
      <c r="HZ14" s="505">
        <f t="shared" si="280"/>
        <v>0</v>
      </c>
      <c r="IA14" s="505">
        <f t="shared" si="280"/>
        <v>0</v>
      </c>
      <c r="IB14" s="505">
        <f t="shared" si="280"/>
        <v>0</v>
      </c>
      <c r="IC14" s="505">
        <f t="shared" si="280"/>
        <v>0</v>
      </c>
      <c r="ID14" s="505">
        <f t="shared" si="280"/>
        <v>0</v>
      </c>
      <c r="IE14" s="505">
        <f t="shared" si="280"/>
        <v>0</v>
      </c>
      <c r="IF14" s="505">
        <f t="shared" si="280"/>
        <v>0</v>
      </c>
      <c r="IG14" s="505">
        <f t="shared" si="280"/>
        <v>0</v>
      </c>
      <c r="IH14" s="505">
        <f t="shared" si="280"/>
        <v>0</v>
      </c>
      <c r="II14" s="505">
        <f t="shared" si="280"/>
        <v>0</v>
      </c>
      <c r="IJ14" s="505">
        <f t="shared" si="280"/>
        <v>0</v>
      </c>
      <c r="IK14" s="505">
        <f t="shared" si="280"/>
        <v>0</v>
      </c>
      <c r="IL14" s="505">
        <f t="shared" si="280"/>
        <v>0</v>
      </c>
      <c r="IM14" s="505">
        <f t="shared" si="280"/>
        <v>0</v>
      </c>
      <c r="IN14" s="505">
        <f t="shared" si="280"/>
        <v>0</v>
      </c>
      <c r="IO14" s="505">
        <f t="shared" si="280"/>
        <v>0</v>
      </c>
      <c r="IP14" s="505">
        <f t="shared" si="280"/>
        <v>0</v>
      </c>
      <c r="IQ14" s="505">
        <f t="shared" si="280"/>
        <v>0</v>
      </c>
      <c r="IR14" s="505">
        <f t="shared" si="280"/>
        <v>0</v>
      </c>
      <c r="IS14" s="505">
        <f t="shared" si="280"/>
        <v>0</v>
      </c>
      <c r="IT14" s="505">
        <f t="shared" si="280"/>
        <v>0</v>
      </c>
      <c r="IU14" s="505">
        <f t="shared" si="280"/>
        <v>0</v>
      </c>
      <c r="IV14" s="505">
        <f t="shared" si="280"/>
        <v>0</v>
      </c>
      <c r="IW14" s="505">
        <f t="shared" si="280"/>
        <v>0</v>
      </c>
      <c r="IX14" s="505">
        <f t="shared" si="280"/>
        <v>0</v>
      </c>
      <c r="IY14" s="505">
        <f t="shared" si="280"/>
        <v>0</v>
      </c>
      <c r="IZ14" s="505">
        <f t="shared" si="280"/>
        <v>0</v>
      </c>
      <c r="JA14" s="505">
        <f t="shared" si="280"/>
        <v>0</v>
      </c>
      <c r="JB14" s="505">
        <f t="shared" si="280"/>
        <v>0</v>
      </c>
      <c r="JC14" s="505">
        <f t="shared" si="280"/>
        <v>0</v>
      </c>
      <c r="JD14" s="505">
        <f t="shared" si="280"/>
        <v>0</v>
      </c>
      <c r="JE14" s="505">
        <f t="shared" si="280"/>
        <v>0</v>
      </c>
      <c r="JF14" s="505">
        <f t="shared" si="280"/>
        <v>0</v>
      </c>
      <c r="JG14" s="505">
        <f t="shared" ref="JG14:LR14" si="281">SUM(JG12:JG13)</f>
        <v>0</v>
      </c>
      <c r="JH14" s="505">
        <f t="shared" si="281"/>
        <v>0</v>
      </c>
      <c r="JI14" s="505">
        <f t="shared" si="281"/>
        <v>0</v>
      </c>
      <c r="JJ14" s="505">
        <f t="shared" si="281"/>
        <v>0</v>
      </c>
      <c r="JK14" s="505">
        <f t="shared" si="281"/>
        <v>0</v>
      </c>
      <c r="JL14" s="505">
        <f t="shared" si="281"/>
        <v>0</v>
      </c>
      <c r="JM14" s="505">
        <f t="shared" si="281"/>
        <v>0</v>
      </c>
      <c r="JN14" s="505">
        <f t="shared" si="281"/>
        <v>0</v>
      </c>
      <c r="JO14" s="505">
        <f t="shared" si="281"/>
        <v>0</v>
      </c>
      <c r="JP14" s="505">
        <f t="shared" si="281"/>
        <v>0</v>
      </c>
      <c r="JQ14" s="505">
        <f t="shared" si="281"/>
        <v>0</v>
      </c>
      <c r="JR14" s="505">
        <f t="shared" si="281"/>
        <v>0</v>
      </c>
      <c r="JS14" s="505">
        <f t="shared" si="281"/>
        <v>0</v>
      </c>
      <c r="JT14" s="505">
        <f t="shared" si="281"/>
        <v>0</v>
      </c>
      <c r="JU14" s="505">
        <f t="shared" si="281"/>
        <v>0</v>
      </c>
      <c r="JV14" s="505">
        <f t="shared" si="281"/>
        <v>0</v>
      </c>
      <c r="JW14" s="505">
        <f t="shared" si="281"/>
        <v>0</v>
      </c>
      <c r="JX14" s="505">
        <f t="shared" si="281"/>
        <v>0</v>
      </c>
      <c r="JY14" s="505">
        <f t="shared" si="281"/>
        <v>0</v>
      </c>
      <c r="JZ14" s="505">
        <f t="shared" si="281"/>
        <v>0</v>
      </c>
      <c r="KA14" s="505">
        <f t="shared" si="281"/>
        <v>0</v>
      </c>
      <c r="KB14" s="505">
        <f t="shared" si="281"/>
        <v>0</v>
      </c>
      <c r="KC14" s="505">
        <f t="shared" si="281"/>
        <v>0</v>
      </c>
      <c r="KD14" s="505">
        <f t="shared" si="281"/>
        <v>0</v>
      </c>
      <c r="KE14" s="505">
        <f t="shared" si="281"/>
        <v>0</v>
      </c>
      <c r="KF14" s="505">
        <f t="shared" si="281"/>
        <v>0</v>
      </c>
      <c r="KG14" s="505">
        <f t="shared" si="281"/>
        <v>0</v>
      </c>
      <c r="KH14" s="505">
        <f t="shared" si="281"/>
        <v>0</v>
      </c>
      <c r="KI14" s="505">
        <f t="shared" si="281"/>
        <v>0</v>
      </c>
      <c r="KJ14" s="505">
        <f t="shared" si="281"/>
        <v>0</v>
      </c>
      <c r="KK14" s="505">
        <f t="shared" si="281"/>
        <v>0</v>
      </c>
      <c r="KL14" s="505">
        <f t="shared" si="281"/>
        <v>0</v>
      </c>
      <c r="KM14" s="505">
        <f t="shared" si="281"/>
        <v>0</v>
      </c>
      <c r="KN14" s="505">
        <f t="shared" si="281"/>
        <v>0</v>
      </c>
      <c r="KO14" s="505">
        <f t="shared" si="281"/>
        <v>0</v>
      </c>
      <c r="KP14" s="505">
        <f t="shared" si="281"/>
        <v>0</v>
      </c>
      <c r="KQ14" s="505">
        <f t="shared" si="281"/>
        <v>0</v>
      </c>
      <c r="KR14" s="505">
        <f t="shared" si="281"/>
        <v>0</v>
      </c>
      <c r="KS14" s="505">
        <f t="shared" si="281"/>
        <v>0</v>
      </c>
      <c r="KT14" s="505">
        <f t="shared" si="281"/>
        <v>0</v>
      </c>
      <c r="KU14" s="505">
        <f t="shared" si="281"/>
        <v>0</v>
      </c>
      <c r="KV14" s="505">
        <f t="shared" si="281"/>
        <v>0</v>
      </c>
      <c r="KW14" s="505">
        <f t="shared" si="281"/>
        <v>0</v>
      </c>
      <c r="KX14" s="505">
        <f t="shared" si="281"/>
        <v>0</v>
      </c>
      <c r="KY14" s="505">
        <f t="shared" si="281"/>
        <v>0</v>
      </c>
      <c r="KZ14" s="505">
        <f t="shared" si="281"/>
        <v>0</v>
      </c>
      <c r="LA14" s="505">
        <f t="shared" si="281"/>
        <v>0</v>
      </c>
      <c r="LB14" s="505">
        <f t="shared" si="281"/>
        <v>0</v>
      </c>
      <c r="LC14" s="505">
        <f t="shared" si="281"/>
        <v>0</v>
      </c>
      <c r="LD14" s="505">
        <f t="shared" si="281"/>
        <v>0</v>
      </c>
      <c r="LE14" s="505">
        <f t="shared" si="281"/>
        <v>0</v>
      </c>
      <c r="LF14" s="505">
        <f t="shared" si="281"/>
        <v>0</v>
      </c>
      <c r="LG14" s="505">
        <f t="shared" si="281"/>
        <v>0</v>
      </c>
      <c r="LH14" s="505">
        <f t="shared" si="281"/>
        <v>0</v>
      </c>
      <c r="LI14" s="505">
        <f t="shared" si="281"/>
        <v>0</v>
      </c>
      <c r="LJ14" s="505">
        <f t="shared" si="281"/>
        <v>0</v>
      </c>
      <c r="LK14" s="505">
        <f t="shared" si="281"/>
        <v>0</v>
      </c>
      <c r="LL14" s="505">
        <f t="shared" si="281"/>
        <v>0</v>
      </c>
      <c r="LM14" s="505">
        <f t="shared" si="281"/>
        <v>0</v>
      </c>
      <c r="LN14" s="505">
        <f t="shared" si="281"/>
        <v>0</v>
      </c>
      <c r="LO14" s="505">
        <f t="shared" si="281"/>
        <v>0</v>
      </c>
      <c r="LP14" s="505">
        <f t="shared" si="281"/>
        <v>0</v>
      </c>
      <c r="LQ14" s="505">
        <f t="shared" si="281"/>
        <v>0</v>
      </c>
      <c r="LR14" s="505">
        <f t="shared" si="281"/>
        <v>0</v>
      </c>
      <c r="LS14" s="505">
        <f t="shared" ref="LS14:OD14" si="282">SUM(LS12:LS13)</f>
        <v>0</v>
      </c>
      <c r="LT14" s="505">
        <f t="shared" si="282"/>
        <v>0</v>
      </c>
      <c r="LU14" s="505">
        <f t="shared" si="282"/>
        <v>0</v>
      </c>
      <c r="LV14" s="505">
        <f t="shared" si="282"/>
        <v>0</v>
      </c>
      <c r="LW14" s="505">
        <f t="shared" si="282"/>
        <v>0</v>
      </c>
      <c r="LX14" s="505">
        <f t="shared" si="282"/>
        <v>0</v>
      </c>
      <c r="LY14" s="505">
        <f t="shared" si="282"/>
        <v>0</v>
      </c>
      <c r="LZ14" s="505">
        <f t="shared" si="282"/>
        <v>0</v>
      </c>
      <c r="MA14" s="505">
        <f t="shared" si="282"/>
        <v>0</v>
      </c>
      <c r="MB14" s="505">
        <f t="shared" si="282"/>
        <v>0</v>
      </c>
      <c r="MC14" s="505">
        <f t="shared" si="282"/>
        <v>0</v>
      </c>
      <c r="MD14" s="505">
        <f t="shared" si="282"/>
        <v>0</v>
      </c>
      <c r="ME14" s="505">
        <f t="shared" si="282"/>
        <v>0</v>
      </c>
      <c r="MF14" s="505">
        <f t="shared" si="282"/>
        <v>0</v>
      </c>
      <c r="MG14" s="505">
        <f t="shared" si="282"/>
        <v>0</v>
      </c>
      <c r="MH14" s="505">
        <f t="shared" si="282"/>
        <v>0</v>
      </c>
      <c r="MI14" s="505">
        <f t="shared" si="282"/>
        <v>0</v>
      </c>
      <c r="MJ14" s="505">
        <f t="shared" si="282"/>
        <v>0</v>
      </c>
      <c r="MK14" s="505">
        <f t="shared" si="282"/>
        <v>0</v>
      </c>
      <c r="ML14" s="505">
        <f t="shared" si="282"/>
        <v>0</v>
      </c>
      <c r="MM14" s="505">
        <f t="shared" si="282"/>
        <v>0</v>
      </c>
      <c r="MN14" s="505">
        <f t="shared" si="282"/>
        <v>0</v>
      </c>
      <c r="MO14" s="505">
        <f t="shared" si="282"/>
        <v>0</v>
      </c>
      <c r="MP14" s="505">
        <f t="shared" si="282"/>
        <v>0</v>
      </c>
      <c r="MQ14" s="505">
        <f t="shared" si="282"/>
        <v>0</v>
      </c>
      <c r="MR14" s="505">
        <f t="shared" si="282"/>
        <v>0</v>
      </c>
      <c r="MS14" s="505">
        <f t="shared" si="282"/>
        <v>0</v>
      </c>
      <c r="MT14" s="505">
        <f t="shared" si="282"/>
        <v>0</v>
      </c>
      <c r="MU14" s="505">
        <f t="shared" si="282"/>
        <v>0</v>
      </c>
      <c r="MV14" s="505">
        <f t="shared" si="282"/>
        <v>0</v>
      </c>
      <c r="MW14" s="505">
        <f t="shared" si="282"/>
        <v>0</v>
      </c>
      <c r="MX14" s="505">
        <f t="shared" si="282"/>
        <v>0</v>
      </c>
      <c r="MY14" s="505">
        <f t="shared" si="282"/>
        <v>0</v>
      </c>
      <c r="MZ14" s="505">
        <f t="shared" si="282"/>
        <v>0</v>
      </c>
      <c r="NA14" s="505">
        <f t="shared" si="282"/>
        <v>0</v>
      </c>
      <c r="NB14" s="505">
        <f t="shared" si="282"/>
        <v>0</v>
      </c>
      <c r="NC14" s="505">
        <f t="shared" si="282"/>
        <v>0</v>
      </c>
      <c r="ND14" s="505">
        <f t="shared" si="282"/>
        <v>0</v>
      </c>
      <c r="NE14" s="505">
        <f t="shared" si="282"/>
        <v>0</v>
      </c>
      <c r="NF14" s="505">
        <f t="shared" si="282"/>
        <v>0</v>
      </c>
      <c r="NG14" s="505">
        <f t="shared" si="282"/>
        <v>0</v>
      </c>
      <c r="NH14" s="505">
        <f t="shared" si="282"/>
        <v>0</v>
      </c>
      <c r="NI14" s="505">
        <f t="shared" si="282"/>
        <v>0</v>
      </c>
      <c r="NJ14" s="505">
        <f t="shared" si="282"/>
        <v>0</v>
      </c>
      <c r="NK14" s="505">
        <f t="shared" si="282"/>
        <v>0</v>
      </c>
      <c r="NL14" s="505">
        <f t="shared" si="282"/>
        <v>0</v>
      </c>
      <c r="NM14" s="505">
        <f t="shared" si="282"/>
        <v>0</v>
      </c>
      <c r="NN14" s="505">
        <f t="shared" si="282"/>
        <v>0</v>
      </c>
      <c r="NO14" s="505">
        <f t="shared" si="282"/>
        <v>0</v>
      </c>
      <c r="NP14" s="505">
        <f t="shared" si="282"/>
        <v>0</v>
      </c>
      <c r="NQ14" s="505">
        <f t="shared" si="282"/>
        <v>0</v>
      </c>
      <c r="NR14" s="505">
        <f t="shared" si="282"/>
        <v>0</v>
      </c>
      <c r="NS14" s="505">
        <f t="shared" si="282"/>
        <v>0</v>
      </c>
      <c r="NT14" s="505">
        <f t="shared" si="282"/>
        <v>0</v>
      </c>
      <c r="NU14" s="505">
        <f t="shared" si="282"/>
        <v>0</v>
      </c>
      <c r="NV14" s="505">
        <f t="shared" si="282"/>
        <v>0</v>
      </c>
      <c r="NW14" s="505">
        <f t="shared" si="282"/>
        <v>0</v>
      </c>
      <c r="NX14" s="505">
        <f t="shared" si="282"/>
        <v>0</v>
      </c>
      <c r="NY14" s="505">
        <f t="shared" si="282"/>
        <v>0</v>
      </c>
      <c r="NZ14" s="505">
        <f t="shared" si="282"/>
        <v>0</v>
      </c>
      <c r="OA14" s="505">
        <f t="shared" si="282"/>
        <v>0</v>
      </c>
      <c r="OB14" s="505">
        <f t="shared" si="282"/>
        <v>0</v>
      </c>
      <c r="OC14" s="505">
        <f t="shared" si="282"/>
        <v>0</v>
      </c>
      <c r="OD14" s="505">
        <f t="shared" si="282"/>
        <v>0</v>
      </c>
      <c r="OE14" s="505">
        <f t="shared" ref="OE14:OO14" si="283">SUM(OE12:OE13)</f>
        <v>0</v>
      </c>
      <c r="OF14" s="505">
        <f t="shared" si="283"/>
        <v>0</v>
      </c>
      <c r="OG14" s="505">
        <f t="shared" si="283"/>
        <v>0</v>
      </c>
      <c r="OH14" s="505">
        <f t="shared" si="283"/>
        <v>0</v>
      </c>
      <c r="OI14" s="505">
        <f t="shared" si="283"/>
        <v>0</v>
      </c>
      <c r="OJ14" s="505">
        <f t="shared" si="283"/>
        <v>0</v>
      </c>
      <c r="OK14" s="505">
        <f t="shared" si="283"/>
        <v>0</v>
      </c>
      <c r="OL14" s="505">
        <f t="shared" si="283"/>
        <v>0</v>
      </c>
      <c r="OM14" s="505">
        <f t="shared" si="283"/>
        <v>0</v>
      </c>
      <c r="ON14" s="505">
        <f t="shared" si="283"/>
        <v>0</v>
      </c>
      <c r="OO14" s="505">
        <f t="shared" si="283"/>
        <v>0</v>
      </c>
    </row>
    <row r="15" spans="2:406">
      <c r="B15" s="97"/>
      <c r="C15" s="97"/>
      <c r="D15" s="478"/>
      <c r="E15" s="97"/>
      <c r="F15" s="97"/>
      <c r="G15" s="97"/>
      <c r="H15" s="97"/>
      <c r="I15" s="97"/>
      <c r="J15" s="97"/>
      <c r="K15" s="97"/>
      <c r="L15" s="479"/>
      <c r="M15" s="479"/>
      <c r="N15" s="479"/>
      <c r="O15" s="479"/>
      <c r="P15" s="479"/>
      <c r="Q15" s="479"/>
      <c r="R15" s="479"/>
      <c r="S15" s="479"/>
      <c r="T15" s="479"/>
      <c r="U15" s="479"/>
      <c r="V15" s="479"/>
      <c r="W15" s="479"/>
      <c r="X15" s="479"/>
      <c r="Y15" s="479"/>
      <c r="Z15" s="479"/>
      <c r="AA15" s="479"/>
      <c r="AB15" s="479"/>
      <c r="AC15" s="479"/>
      <c r="AD15" s="479"/>
      <c r="AE15" s="479"/>
      <c r="AF15" s="479"/>
      <c r="AG15" s="479"/>
      <c r="AH15" s="479"/>
      <c r="AI15" s="479"/>
      <c r="AJ15" s="479"/>
      <c r="AK15" s="479"/>
      <c r="AL15" s="479"/>
      <c r="AM15" s="479"/>
      <c r="AN15" s="479"/>
      <c r="AO15" s="479"/>
      <c r="AP15" s="97"/>
      <c r="AQ15" s="97"/>
    </row>
    <row r="16" spans="2:406">
      <c r="B16" s="52" t="s">
        <v>427</v>
      </c>
      <c r="C16" s="52"/>
      <c r="D16" s="478"/>
      <c r="E16" s="97"/>
      <c r="F16" s="97"/>
      <c r="G16" s="97"/>
      <c r="H16" s="97"/>
      <c r="I16" s="97"/>
      <c r="J16" s="97"/>
      <c r="K16" s="97"/>
      <c r="L16" s="479"/>
      <c r="M16" s="479"/>
      <c r="N16" s="479"/>
      <c r="O16" s="479"/>
      <c r="P16" s="479"/>
      <c r="Q16" s="479"/>
      <c r="R16" s="479"/>
      <c r="S16" s="479"/>
      <c r="T16" s="479"/>
      <c r="U16" s="479"/>
      <c r="V16" s="479"/>
      <c r="W16" s="479"/>
      <c r="X16" s="479"/>
      <c r="Y16" s="479"/>
      <c r="Z16" s="479"/>
      <c r="AA16" s="479"/>
      <c r="AB16" s="479"/>
      <c r="AC16" s="479"/>
      <c r="AD16" s="479"/>
      <c r="AE16" s="479"/>
      <c r="AF16" s="479"/>
      <c r="AG16" s="479"/>
      <c r="AH16" s="479"/>
      <c r="AI16" s="479"/>
      <c r="AJ16" s="479"/>
      <c r="AK16" s="479"/>
      <c r="AL16" s="479"/>
      <c r="AM16" s="479"/>
      <c r="AN16" s="479"/>
      <c r="AO16" s="479"/>
      <c r="AP16" s="97"/>
      <c r="AQ16" s="97"/>
    </row>
    <row r="17" spans="2:405">
      <c r="B17" s="97" t="str">
        <f>Assumptions!B80</f>
        <v>Contractor Price</v>
      </c>
      <c r="C17" s="97"/>
      <c r="D17" s="500">
        <f>Assumptions!C80</f>
        <v>0</v>
      </c>
      <c r="E17" s="507">
        <f>Assumptions!$C$10</f>
        <v>46418</v>
      </c>
      <c r="F17" s="507">
        <f>EOMONTH(E17,Assumptions!$C$11-1)</f>
        <v>47118</v>
      </c>
      <c r="G17" s="97">
        <f t="shared" ref="G17:G28" si="284">((YEAR(F17)-YEAR(E17))*12+MONTH(F17)-MONTH(E17)+1)</f>
        <v>24</v>
      </c>
      <c r="H17" s="97"/>
      <c r="I17" s="97"/>
      <c r="J17" s="479">
        <f>-IF(J$7&gt;=$E17,IF(J$7&lt;=$F17,$D17/$G17,0),0)</f>
        <v>0</v>
      </c>
      <c r="K17" s="479">
        <f t="shared" ref="K17:BV20" si="285">-IF(K$7&gt;=$E17,IF(K$7&lt;=$F17,$D17/$G17,0),0)</f>
        <v>0</v>
      </c>
      <c r="L17" s="479">
        <f t="shared" si="285"/>
        <v>0</v>
      </c>
      <c r="M17" s="479">
        <f t="shared" si="285"/>
        <v>0</v>
      </c>
      <c r="N17" s="479">
        <f t="shared" si="285"/>
        <v>0</v>
      </c>
      <c r="O17" s="479">
        <f t="shared" si="285"/>
        <v>0</v>
      </c>
      <c r="P17" s="479">
        <f t="shared" si="285"/>
        <v>0</v>
      </c>
      <c r="Q17" s="479">
        <f t="shared" si="285"/>
        <v>0</v>
      </c>
      <c r="R17" s="479">
        <f t="shared" si="285"/>
        <v>0</v>
      </c>
      <c r="S17" s="479">
        <f t="shared" si="285"/>
        <v>0</v>
      </c>
      <c r="T17" s="479">
        <f t="shared" si="285"/>
        <v>0</v>
      </c>
      <c r="U17" s="479">
        <f t="shared" si="285"/>
        <v>0</v>
      </c>
      <c r="V17" s="479">
        <f t="shared" si="285"/>
        <v>0</v>
      </c>
      <c r="W17" s="479">
        <f t="shared" si="285"/>
        <v>0</v>
      </c>
      <c r="X17" s="479">
        <f t="shared" si="285"/>
        <v>0</v>
      </c>
      <c r="Y17" s="479">
        <f t="shared" si="285"/>
        <v>0</v>
      </c>
      <c r="Z17" s="479">
        <f t="shared" si="285"/>
        <v>0</v>
      </c>
      <c r="AA17" s="479">
        <f t="shared" si="285"/>
        <v>0</v>
      </c>
      <c r="AB17" s="479">
        <f t="shared" si="285"/>
        <v>0</v>
      </c>
      <c r="AC17" s="479">
        <f t="shared" si="285"/>
        <v>0</v>
      </c>
      <c r="AD17" s="479">
        <f t="shared" si="285"/>
        <v>0</v>
      </c>
      <c r="AE17" s="479">
        <f t="shared" si="285"/>
        <v>0</v>
      </c>
      <c r="AF17" s="479">
        <f t="shared" si="285"/>
        <v>0</v>
      </c>
      <c r="AG17" s="479">
        <f t="shared" si="285"/>
        <v>0</v>
      </c>
      <c r="AH17" s="479">
        <f t="shared" si="285"/>
        <v>0</v>
      </c>
      <c r="AI17" s="479">
        <f t="shared" si="285"/>
        <v>0</v>
      </c>
      <c r="AJ17" s="479">
        <f t="shared" si="285"/>
        <v>0</v>
      </c>
      <c r="AK17" s="479">
        <f t="shared" si="285"/>
        <v>0</v>
      </c>
      <c r="AL17" s="479">
        <f t="shared" si="285"/>
        <v>0</v>
      </c>
      <c r="AM17" s="479">
        <f t="shared" si="285"/>
        <v>0</v>
      </c>
      <c r="AN17" s="479">
        <f t="shared" si="285"/>
        <v>0</v>
      </c>
      <c r="AO17" s="479">
        <f t="shared" si="285"/>
        <v>0</v>
      </c>
      <c r="AP17" s="479">
        <f t="shared" si="285"/>
        <v>0</v>
      </c>
      <c r="AQ17" s="479">
        <f t="shared" si="285"/>
        <v>0</v>
      </c>
      <c r="AR17" s="479">
        <f t="shared" si="285"/>
        <v>0</v>
      </c>
      <c r="AS17" s="479">
        <f t="shared" si="285"/>
        <v>0</v>
      </c>
      <c r="AT17" s="479">
        <f t="shared" si="285"/>
        <v>0</v>
      </c>
      <c r="AU17" s="479">
        <f t="shared" si="285"/>
        <v>0</v>
      </c>
      <c r="AV17" s="479">
        <f t="shared" si="285"/>
        <v>0</v>
      </c>
      <c r="AW17" s="479">
        <f t="shared" si="285"/>
        <v>0</v>
      </c>
      <c r="AX17" s="479">
        <f t="shared" si="285"/>
        <v>0</v>
      </c>
      <c r="AY17" s="479">
        <f t="shared" si="285"/>
        <v>0</v>
      </c>
      <c r="AZ17" s="479">
        <f t="shared" si="285"/>
        <v>0</v>
      </c>
      <c r="BA17" s="479">
        <f t="shared" si="285"/>
        <v>0</v>
      </c>
      <c r="BB17" s="479">
        <f t="shared" si="285"/>
        <v>0</v>
      </c>
      <c r="BC17" s="479">
        <f t="shared" si="285"/>
        <v>0</v>
      </c>
      <c r="BD17" s="479">
        <f t="shared" si="285"/>
        <v>0</v>
      </c>
      <c r="BE17" s="479">
        <f t="shared" si="285"/>
        <v>0</v>
      </c>
      <c r="BF17" s="479">
        <f t="shared" si="285"/>
        <v>0</v>
      </c>
      <c r="BG17" s="479">
        <f t="shared" si="285"/>
        <v>0</v>
      </c>
      <c r="BH17" s="479">
        <f t="shared" si="285"/>
        <v>0</v>
      </c>
      <c r="BI17" s="479">
        <f t="shared" si="285"/>
        <v>0</v>
      </c>
      <c r="BJ17" s="479">
        <f t="shared" si="285"/>
        <v>0</v>
      </c>
      <c r="BK17" s="479">
        <f t="shared" si="285"/>
        <v>0</v>
      </c>
      <c r="BL17" s="479">
        <f t="shared" si="285"/>
        <v>0</v>
      </c>
      <c r="BM17" s="479">
        <f t="shared" si="285"/>
        <v>0</v>
      </c>
      <c r="BN17" s="479">
        <f t="shared" si="285"/>
        <v>0</v>
      </c>
      <c r="BO17" s="479">
        <f t="shared" si="285"/>
        <v>0</v>
      </c>
      <c r="BP17" s="479">
        <f t="shared" si="285"/>
        <v>0</v>
      </c>
      <c r="BQ17" s="479">
        <f t="shared" si="285"/>
        <v>0</v>
      </c>
      <c r="BR17" s="479">
        <f t="shared" si="285"/>
        <v>0</v>
      </c>
      <c r="BS17" s="479">
        <f t="shared" si="285"/>
        <v>0</v>
      </c>
      <c r="BT17" s="479">
        <f t="shared" si="285"/>
        <v>0</v>
      </c>
      <c r="BU17" s="479">
        <f t="shared" si="285"/>
        <v>0</v>
      </c>
      <c r="BV17" s="479">
        <f t="shared" si="285"/>
        <v>0</v>
      </c>
      <c r="BW17" s="479">
        <f t="shared" ref="BW17:EH20" si="286">-IF(BW$7&gt;=$E17,IF(BW$7&lt;=$F17,$D17/$G17,0),0)</f>
        <v>0</v>
      </c>
      <c r="BX17" s="479">
        <f t="shared" si="286"/>
        <v>0</v>
      </c>
      <c r="BY17" s="479">
        <f t="shared" si="286"/>
        <v>0</v>
      </c>
      <c r="BZ17" s="479">
        <f t="shared" si="286"/>
        <v>0</v>
      </c>
      <c r="CA17" s="479">
        <f t="shared" si="286"/>
        <v>0</v>
      </c>
      <c r="CB17" s="479">
        <f t="shared" si="286"/>
        <v>0</v>
      </c>
      <c r="CC17" s="479">
        <f t="shared" si="286"/>
        <v>0</v>
      </c>
      <c r="CD17" s="479">
        <f t="shared" si="286"/>
        <v>0</v>
      </c>
      <c r="CE17" s="479">
        <f t="shared" si="286"/>
        <v>0</v>
      </c>
      <c r="CF17" s="479">
        <f t="shared" si="286"/>
        <v>0</v>
      </c>
      <c r="CG17" s="479">
        <f t="shared" si="286"/>
        <v>0</v>
      </c>
      <c r="CH17" s="479">
        <f t="shared" si="286"/>
        <v>0</v>
      </c>
      <c r="CI17" s="479">
        <f t="shared" si="286"/>
        <v>0</v>
      </c>
      <c r="CJ17" s="479">
        <f t="shared" si="286"/>
        <v>0</v>
      </c>
      <c r="CK17" s="479">
        <f t="shared" si="286"/>
        <v>0</v>
      </c>
      <c r="CL17" s="479">
        <f t="shared" si="286"/>
        <v>0</v>
      </c>
      <c r="CM17" s="479">
        <f t="shared" si="286"/>
        <v>0</v>
      </c>
      <c r="CN17" s="479">
        <f t="shared" si="286"/>
        <v>0</v>
      </c>
      <c r="CO17" s="479">
        <f t="shared" si="286"/>
        <v>0</v>
      </c>
      <c r="CP17" s="479">
        <f t="shared" si="286"/>
        <v>0</v>
      </c>
      <c r="CQ17" s="479">
        <f t="shared" si="286"/>
        <v>0</v>
      </c>
      <c r="CR17" s="479">
        <f t="shared" si="286"/>
        <v>0</v>
      </c>
      <c r="CS17" s="479">
        <f t="shared" si="286"/>
        <v>0</v>
      </c>
      <c r="CT17" s="479">
        <f t="shared" si="286"/>
        <v>0</v>
      </c>
      <c r="CU17" s="479">
        <f t="shared" si="286"/>
        <v>0</v>
      </c>
      <c r="CV17" s="479">
        <f t="shared" si="286"/>
        <v>0</v>
      </c>
      <c r="CW17" s="479">
        <f t="shared" si="286"/>
        <v>0</v>
      </c>
      <c r="CX17" s="479">
        <f t="shared" si="286"/>
        <v>0</v>
      </c>
      <c r="CY17" s="479">
        <f t="shared" si="286"/>
        <v>0</v>
      </c>
      <c r="CZ17" s="479">
        <f t="shared" si="286"/>
        <v>0</v>
      </c>
      <c r="DA17" s="479">
        <f t="shared" si="286"/>
        <v>0</v>
      </c>
      <c r="DB17" s="479">
        <f t="shared" si="286"/>
        <v>0</v>
      </c>
      <c r="DC17" s="479">
        <f t="shared" si="286"/>
        <v>0</v>
      </c>
      <c r="DD17" s="479">
        <f t="shared" si="286"/>
        <v>0</v>
      </c>
      <c r="DE17" s="479">
        <f t="shared" si="286"/>
        <v>0</v>
      </c>
      <c r="DF17" s="479">
        <f t="shared" si="286"/>
        <v>0</v>
      </c>
      <c r="DG17" s="479">
        <f t="shared" si="286"/>
        <v>0</v>
      </c>
      <c r="DH17" s="479">
        <f t="shared" si="286"/>
        <v>0</v>
      </c>
      <c r="DI17" s="479">
        <f t="shared" si="286"/>
        <v>0</v>
      </c>
      <c r="DJ17" s="479">
        <f t="shared" si="286"/>
        <v>0</v>
      </c>
      <c r="DK17" s="479">
        <f t="shared" si="286"/>
        <v>0</v>
      </c>
      <c r="DL17" s="479">
        <f t="shared" si="286"/>
        <v>0</v>
      </c>
      <c r="DM17" s="479">
        <f t="shared" si="286"/>
        <v>0</v>
      </c>
      <c r="DN17" s="479">
        <f t="shared" si="286"/>
        <v>0</v>
      </c>
      <c r="DO17" s="479">
        <f t="shared" si="286"/>
        <v>0</v>
      </c>
      <c r="DP17" s="479">
        <f t="shared" si="286"/>
        <v>0</v>
      </c>
      <c r="DQ17" s="479">
        <f t="shared" si="286"/>
        <v>0</v>
      </c>
      <c r="DR17" s="479">
        <f t="shared" si="286"/>
        <v>0</v>
      </c>
      <c r="DS17" s="479">
        <f t="shared" si="286"/>
        <v>0</v>
      </c>
      <c r="DT17" s="479">
        <f t="shared" si="286"/>
        <v>0</v>
      </c>
      <c r="DU17" s="479">
        <f t="shared" si="286"/>
        <v>0</v>
      </c>
      <c r="DV17" s="479">
        <f t="shared" si="286"/>
        <v>0</v>
      </c>
      <c r="DW17" s="479">
        <f t="shared" si="286"/>
        <v>0</v>
      </c>
      <c r="DX17" s="479">
        <f t="shared" si="286"/>
        <v>0</v>
      </c>
      <c r="DY17" s="479">
        <f t="shared" si="286"/>
        <v>0</v>
      </c>
      <c r="DZ17" s="479">
        <f t="shared" si="286"/>
        <v>0</v>
      </c>
      <c r="EA17" s="479">
        <f t="shared" si="286"/>
        <v>0</v>
      </c>
      <c r="EB17" s="479">
        <f t="shared" si="286"/>
        <v>0</v>
      </c>
      <c r="EC17" s="479">
        <f t="shared" si="286"/>
        <v>0</v>
      </c>
      <c r="ED17" s="479">
        <f t="shared" si="286"/>
        <v>0</v>
      </c>
      <c r="EE17" s="479">
        <f t="shared" si="286"/>
        <v>0</v>
      </c>
      <c r="EF17" s="479">
        <f t="shared" si="286"/>
        <v>0</v>
      </c>
      <c r="EG17" s="479">
        <f t="shared" si="286"/>
        <v>0</v>
      </c>
      <c r="EH17" s="479">
        <f t="shared" si="286"/>
        <v>0</v>
      </c>
      <c r="EI17" s="479">
        <f t="shared" ref="EI17:GT20" si="287">-IF(EI$7&gt;=$E17,IF(EI$7&lt;=$F17,$D17/$G17,0),0)</f>
        <v>0</v>
      </c>
      <c r="EJ17" s="479">
        <f t="shared" si="287"/>
        <v>0</v>
      </c>
      <c r="EK17" s="479">
        <f t="shared" si="287"/>
        <v>0</v>
      </c>
      <c r="EL17" s="479">
        <f t="shared" si="287"/>
        <v>0</v>
      </c>
      <c r="EM17" s="479">
        <f t="shared" si="287"/>
        <v>0</v>
      </c>
      <c r="EN17" s="479">
        <f t="shared" si="287"/>
        <v>0</v>
      </c>
      <c r="EO17" s="479">
        <f t="shared" si="287"/>
        <v>0</v>
      </c>
      <c r="EP17" s="479">
        <f t="shared" si="287"/>
        <v>0</v>
      </c>
      <c r="EQ17" s="479">
        <f t="shared" si="287"/>
        <v>0</v>
      </c>
      <c r="ER17" s="479">
        <f t="shared" si="287"/>
        <v>0</v>
      </c>
      <c r="ES17" s="479">
        <f t="shared" si="287"/>
        <v>0</v>
      </c>
      <c r="ET17" s="479">
        <f t="shared" si="287"/>
        <v>0</v>
      </c>
      <c r="EU17" s="479">
        <f t="shared" si="287"/>
        <v>0</v>
      </c>
      <c r="EV17" s="479">
        <f t="shared" si="287"/>
        <v>0</v>
      </c>
      <c r="EW17" s="479">
        <f t="shared" si="287"/>
        <v>0</v>
      </c>
      <c r="EX17" s="479">
        <f t="shared" si="287"/>
        <v>0</v>
      </c>
      <c r="EY17" s="479">
        <f t="shared" si="287"/>
        <v>0</v>
      </c>
      <c r="EZ17" s="479">
        <f t="shared" si="287"/>
        <v>0</v>
      </c>
      <c r="FA17" s="479">
        <f t="shared" si="287"/>
        <v>0</v>
      </c>
      <c r="FB17" s="479">
        <f t="shared" si="287"/>
        <v>0</v>
      </c>
      <c r="FC17" s="479">
        <f t="shared" si="287"/>
        <v>0</v>
      </c>
      <c r="FD17" s="479">
        <f t="shared" si="287"/>
        <v>0</v>
      </c>
      <c r="FE17" s="479">
        <f t="shared" si="287"/>
        <v>0</v>
      </c>
      <c r="FF17" s="479">
        <f t="shared" si="287"/>
        <v>0</v>
      </c>
      <c r="FG17" s="479">
        <f t="shared" si="287"/>
        <v>0</v>
      </c>
      <c r="FH17" s="479">
        <f t="shared" si="287"/>
        <v>0</v>
      </c>
      <c r="FI17" s="479">
        <f t="shared" si="287"/>
        <v>0</v>
      </c>
      <c r="FJ17" s="479">
        <f t="shared" si="287"/>
        <v>0</v>
      </c>
      <c r="FK17" s="479">
        <f t="shared" si="287"/>
        <v>0</v>
      </c>
      <c r="FL17" s="479">
        <f t="shared" si="287"/>
        <v>0</v>
      </c>
      <c r="FM17" s="479">
        <f t="shared" si="287"/>
        <v>0</v>
      </c>
      <c r="FN17" s="479">
        <f t="shared" si="287"/>
        <v>0</v>
      </c>
      <c r="FO17" s="479">
        <f t="shared" si="287"/>
        <v>0</v>
      </c>
      <c r="FP17" s="479">
        <f t="shared" si="287"/>
        <v>0</v>
      </c>
      <c r="FQ17" s="479">
        <f t="shared" si="287"/>
        <v>0</v>
      </c>
      <c r="FR17" s="479">
        <f t="shared" si="287"/>
        <v>0</v>
      </c>
      <c r="FS17" s="479">
        <f t="shared" si="287"/>
        <v>0</v>
      </c>
      <c r="FT17" s="479">
        <f t="shared" si="287"/>
        <v>0</v>
      </c>
      <c r="FU17" s="479">
        <f t="shared" si="287"/>
        <v>0</v>
      </c>
      <c r="FV17" s="479">
        <f t="shared" si="287"/>
        <v>0</v>
      </c>
      <c r="FW17" s="479">
        <f t="shared" si="287"/>
        <v>0</v>
      </c>
      <c r="FX17" s="479">
        <f t="shared" si="287"/>
        <v>0</v>
      </c>
      <c r="FY17" s="479">
        <f t="shared" si="287"/>
        <v>0</v>
      </c>
      <c r="FZ17" s="479">
        <f t="shared" si="287"/>
        <v>0</v>
      </c>
      <c r="GA17" s="479">
        <f t="shared" si="287"/>
        <v>0</v>
      </c>
      <c r="GB17" s="479">
        <f t="shared" si="287"/>
        <v>0</v>
      </c>
      <c r="GC17" s="479">
        <f t="shared" si="287"/>
        <v>0</v>
      </c>
      <c r="GD17" s="479">
        <f t="shared" si="287"/>
        <v>0</v>
      </c>
      <c r="GE17" s="479">
        <f t="shared" si="287"/>
        <v>0</v>
      </c>
      <c r="GF17" s="479">
        <f t="shared" si="287"/>
        <v>0</v>
      </c>
      <c r="GG17" s="479">
        <f t="shared" si="287"/>
        <v>0</v>
      </c>
      <c r="GH17" s="479">
        <f t="shared" si="287"/>
        <v>0</v>
      </c>
      <c r="GI17" s="479">
        <f t="shared" si="287"/>
        <v>0</v>
      </c>
      <c r="GJ17" s="479">
        <f t="shared" si="287"/>
        <v>0</v>
      </c>
      <c r="GK17" s="479">
        <f t="shared" si="287"/>
        <v>0</v>
      </c>
      <c r="GL17" s="479">
        <f t="shared" si="287"/>
        <v>0</v>
      </c>
      <c r="GM17" s="479">
        <f t="shared" si="287"/>
        <v>0</v>
      </c>
      <c r="GN17" s="479">
        <f t="shared" si="287"/>
        <v>0</v>
      </c>
      <c r="GO17" s="479">
        <f t="shared" si="287"/>
        <v>0</v>
      </c>
      <c r="GP17" s="479">
        <f t="shared" si="287"/>
        <v>0</v>
      </c>
      <c r="GQ17" s="479">
        <f t="shared" si="287"/>
        <v>0</v>
      </c>
      <c r="GR17" s="479">
        <f t="shared" si="287"/>
        <v>0</v>
      </c>
      <c r="GS17" s="479">
        <f t="shared" si="287"/>
        <v>0</v>
      </c>
      <c r="GT17" s="479">
        <f t="shared" si="287"/>
        <v>0</v>
      </c>
      <c r="GU17" s="479">
        <f t="shared" ref="GU17:JF20" si="288">-IF(GU$7&gt;=$E17,IF(GU$7&lt;=$F17,$D17/$G17,0),0)</f>
        <v>0</v>
      </c>
      <c r="GV17" s="479">
        <f t="shared" si="288"/>
        <v>0</v>
      </c>
      <c r="GW17" s="479">
        <f t="shared" si="288"/>
        <v>0</v>
      </c>
      <c r="GX17" s="479">
        <f t="shared" si="288"/>
        <v>0</v>
      </c>
      <c r="GY17" s="479">
        <f t="shared" si="288"/>
        <v>0</v>
      </c>
      <c r="GZ17" s="479">
        <f t="shared" si="288"/>
        <v>0</v>
      </c>
      <c r="HA17" s="479">
        <f t="shared" si="288"/>
        <v>0</v>
      </c>
      <c r="HB17" s="479">
        <f t="shared" si="288"/>
        <v>0</v>
      </c>
      <c r="HC17" s="479">
        <f t="shared" si="288"/>
        <v>0</v>
      </c>
      <c r="HD17" s="479">
        <f t="shared" si="288"/>
        <v>0</v>
      </c>
      <c r="HE17" s="479">
        <f t="shared" si="288"/>
        <v>0</v>
      </c>
      <c r="HF17" s="479">
        <f t="shared" si="288"/>
        <v>0</v>
      </c>
      <c r="HG17" s="479">
        <f t="shared" si="288"/>
        <v>0</v>
      </c>
      <c r="HH17" s="479">
        <f t="shared" si="288"/>
        <v>0</v>
      </c>
      <c r="HI17" s="479">
        <f t="shared" si="288"/>
        <v>0</v>
      </c>
      <c r="HJ17" s="479">
        <f t="shared" si="288"/>
        <v>0</v>
      </c>
      <c r="HK17" s="479">
        <f t="shared" si="288"/>
        <v>0</v>
      </c>
      <c r="HL17" s="479">
        <f t="shared" si="288"/>
        <v>0</v>
      </c>
      <c r="HM17" s="479">
        <f t="shared" si="288"/>
        <v>0</v>
      </c>
      <c r="HN17" s="479">
        <f t="shared" si="288"/>
        <v>0</v>
      </c>
      <c r="HO17" s="479">
        <f t="shared" si="288"/>
        <v>0</v>
      </c>
      <c r="HP17" s="479">
        <f t="shared" si="288"/>
        <v>0</v>
      </c>
      <c r="HQ17" s="479">
        <f t="shared" si="288"/>
        <v>0</v>
      </c>
      <c r="HR17" s="479">
        <f t="shared" si="288"/>
        <v>0</v>
      </c>
      <c r="HS17" s="479">
        <f t="shared" si="288"/>
        <v>0</v>
      </c>
      <c r="HT17" s="479">
        <f t="shared" si="288"/>
        <v>0</v>
      </c>
      <c r="HU17" s="479">
        <f t="shared" si="288"/>
        <v>0</v>
      </c>
      <c r="HV17" s="479">
        <f t="shared" si="288"/>
        <v>0</v>
      </c>
      <c r="HW17" s="479">
        <f t="shared" si="288"/>
        <v>0</v>
      </c>
      <c r="HX17" s="479">
        <f t="shared" si="288"/>
        <v>0</v>
      </c>
      <c r="HY17" s="479">
        <f t="shared" si="288"/>
        <v>0</v>
      </c>
      <c r="HZ17" s="479">
        <f t="shared" si="288"/>
        <v>0</v>
      </c>
      <c r="IA17" s="479">
        <f t="shared" si="288"/>
        <v>0</v>
      </c>
      <c r="IB17" s="479">
        <f t="shared" si="288"/>
        <v>0</v>
      </c>
      <c r="IC17" s="479">
        <f t="shared" si="288"/>
        <v>0</v>
      </c>
      <c r="ID17" s="479">
        <f t="shared" si="288"/>
        <v>0</v>
      </c>
      <c r="IE17" s="479">
        <f t="shared" si="288"/>
        <v>0</v>
      </c>
      <c r="IF17" s="479">
        <f t="shared" si="288"/>
        <v>0</v>
      </c>
      <c r="IG17" s="479">
        <f t="shared" si="288"/>
        <v>0</v>
      </c>
      <c r="IH17" s="479">
        <f t="shared" si="288"/>
        <v>0</v>
      </c>
      <c r="II17" s="479">
        <f t="shared" si="288"/>
        <v>0</v>
      </c>
      <c r="IJ17" s="479">
        <f t="shared" si="288"/>
        <v>0</v>
      </c>
      <c r="IK17" s="479">
        <f t="shared" si="288"/>
        <v>0</v>
      </c>
      <c r="IL17" s="479">
        <f t="shared" si="288"/>
        <v>0</v>
      </c>
      <c r="IM17" s="479">
        <f t="shared" si="288"/>
        <v>0</v>
      </c>
      <c r="IN17" s="479">
        <f t="shared" si="288"/>
        <v>0</v>
      </c>
      <c r="IO17" s="479">
        <f t="shared" si="288"/>
        <v>0</v>
      </c>
      <c r="IP17" s="479">
        <f t="shared" si="288"/>
        <v>0</v>
      </c>
      <c r="IQ17" s="479">
        <f t="shared" si="288"/>
        <v>0</v>
      </c>
      <c r="IR17" s="479">
        <f t="shared" si="288"/>
        <v>0</v>
      </c>
      <c r="IS17" s="479">
        <f t="shared" si="288"/>
        <v>0</v>
      </c>
      <c r="IT17" s="479">
        <f t="shared" si="288"/>
        <v>0</v>
      </c>
      <c r="IU17" s="479">
        <f t="shared" si="288"/>
        <v>0</v>
      </c>
      <c r="IV17" s="479">
        <f t="shared" si="288"/>
        <v>0</v>
      </c>
      <c r="IW17" s="479">
        <f t="shared" si="288"/>
        <v>0</v>
      </c>
      <c r="IX17" s="479">
        <f t="shared" si="288"/>
        <v>0</v>
      </c>
      <c r="IY17" s="479">
        <f t="shared" si="288"/>
        <v>0</v>
      </c>
      <c r="IZ17" s="479">
        <f t="shared" si="288"/>
        <v>0</v>
      </c>
      <c r="JA17" s="479">
        <f t="shared" si="288"/>
        <v>0</v>
      </c>
      <c r="JB17" s="479">
        <f t="shared" si="288"/>
        <v>0</v>
      </c>
      <c r="JC17" s="479">
        <f t="shared" si="288"/>
        <v>0</v>
      </c>
      <c r="JD17" s="479">
        <f t="shared" si="288"/>
        <v>0</v>
      </c>
      <c r="JE17" s="479">
        <f t="shared" si="288"/>
        <v>0</v>
      </c>
      <c r="JF17" s="479">
        <f t="shared" si="288"/>
        <v>0</v>
      </c>
      <c r="JG17" s="479">
        <f t="shared" ref="JG17:LR20" si="289">-IF(JG$7&gt;=$E17,IF(JG$7&lt;=$F17,$D17/$G17,0),0)</f>
        <v>0</v>
      </c>
      <c r="JH17" s="479">
        <f t="shared" si="289"/>
        <v>0</v>
      </c>
      <c r="JI17" s="479">
        <f t="shared" si="289"/>
        <v>0</v>
      </c>
      <c r="JJ17" s="479">
        <f t="shared" si="289"/>
        <v>0</v>
      </c>
      <c r="JK17" s="479">
        <f t="shared" si="289"/>
        <v>0</v>
      </c>
      <c r="JL17" s="479">
        <f t="shared" si="289"/>
        <v>0</v>
      </c>
      <c r="JM17" s="479">
        <f t="shared" si="289"/>
        <v>0</v>
      </c>
      <c r="JN17" s="479">
        <f t="shared" si="289"/>
        <v>0</v>
      </c>
      <c r="JO17" s="479">
        <f t="shared" si="289"/>
        <v>0</v>
      </c>
      <c r="JP17" s="479">
        <f t="shared" si="289"/>
        <v>0</v>
      </c>
      <c r="JQ17" s="479">
        <f t="shared" si="289"/>
        <v>0</v>
      </c>
      <c r="JR17" s="479">
        <f t="shared" si="289"/>
        <v>0</v>
      </c>
      <c r="JS17" s="479">
        <f t="shared" si="289"/>
        <v>0</v>
      </c>
      <c r="JT17" s="479">
        <f t="shared" si="289"/>
        <v>0</v>
      </c>
      <c r="JU17" s="479">
        <f t="shared" si="289"/>
        <v>0</v>
      </c>
      <c r="JV17" s="479">
        <f t="shared" si="289"/>
        <v>0</v>
      </c>
      <c r="JW17" s="479">
        <f t="shared" si="289"/>
        <v>0</v>
      </c>
      <c r="JX17" s="479">
        <f t="shared" si="289"/>
        <v>0</v>
      </c>
      <c r="JY17" s="479">
        <f t="shared" si="289"/>
        <v>0</v>
      </c>
      <c r="JZ17" s="479">
        <f t="shared" si="289"/>
        <v>0</v>
      </c>
      <c r="KA17" s="479">
        <f t="shared" si="289"/>
        <v>0</v>
      </c>
      <c r="KB17" s="479">
        <f t="shared" si="289"/>
        <v>0</v>
      </c>
      <c r="KC17" s="479">
        <f t="shared" si="289"/>
        <v>0</v>
      </c>
      <c r="KD17" s="479">
        <f t="shared" si="289"/>
        <v>0</v>
      </c>
      <c r="KE17" s="479">
        <f t="shared" si="289"/>
        <v>0</v>
      </c>
      <c r="KF17" s="479">
        <f t="shared" si="289"/>
        <v>0</v>
      </c>
      <c r="KG17" s="479">
        <f t="shared" si="289"/>
        <v>0</v>
      </c>
      <c r="KH17" s="479">
        <f t="shared" si="289"/>
        <v>0</v>
      </c>
      <c r="KI17" s="479">
        <f t="shared" si="289"/>
        <v>0</v>
      </c>
      <c r="KJ17" s="479">
        <f t="shared" si="289"/>
        <v>0</v>
      </c>
      <c r="KK17" s="479">
        <f t="shared" si="289"/>
        <v>0</v>
      </c>
      <c r="KL17" s="479">
        <f t="shared" si="289"/>
        <v>0</v>
      </c>
      <c r="KM17" s="479">
        <f t="shared" si="289"/>
        <v>0</v>
      </c>
      <c r="KN17" s="479">
        <f t="shared" si="289"/>
        <v>0</v>
      </c>
      <c r="KO17" s="479">
        <f t="shared" si="289"/>
        <v>0</v>
      </c>
      <c r="KP17" s="479">
        <f t="shared" si="289"/>
        <v>0</v>
      </c>
      <c r="KQ17" s="479">
        <f t="shared" si="289"/>
        <v>0</v>
      </c>
      <c r="KR17" s="479">
        <f t="shared" si="289"/>
        <v>0</v>
      </c>
      <c r="KS17" s="479">
        <f t="shared" si="289"/>
        <v>0</v>
      </c>
      <c r="KT17" s="479">
        <f t="shared" si="289"/>
        <v>0</v>
      </c>
      <c r="KU17" s="479">
        <f t="shared" si="289"/>
        <v>0</v>
      </c>
      <c r="KV17" s="479">
        <f t="shared" si="289"/>
        <v>0</v>
      </c>
      <c r="KW17" s="479">
        <f t="shared" si="289"/>
        <v>0</v>
      </c>
      <c r="KX17" s="479">
        <f t="shared" si="289"/>
        <v>0</v>
      </c>
      <c r="KY17" s="479">
        <f t="shared" si="289"/>
        <v>0</v>
      </c>
      <c r="KZ17" s="479">
        <f t="shared" si="289"/>
        <v>0</v>
      </c>
      <c r="LA17" s="479">
        <f t="shared" si="289"/>
        <v>0</v>
      </c>
      <c r="LB17" s="479">
        <f t="shared" si="289"/>
        <v>0</v>
      </c>
      <c r="LC17" s="479">
        <f t="shared" si="289"/>
        <v>0</v>
      </c>
      <c r="LD17" s="479">
        <f t="shared" si="289"/>
        <v>0</v>
      </c>
      <c r="LE17" s="479">
        <f t="shared" si="289"/>
        <v>0</v>
      </c>
      <c r="LF17" s="479">
        <f t="shared" si="289"/>
        <v>0</v>
      </c>
      <c r="LG17" s="479">
        <f t="shared" si="289"/>
        <v>0</v>
      </c>
      <c r="LH17" s="479">
        <f t="shared" si="289"/>
        <v>0</v>
      </c>
      <c r="LI17" s="479">
        <f t="shared" si="289"/>
        <v>0</v>
      </c>
      <c r="LJ17" s="479">
        <f t="shared" si="289"/>
        <v>0</v>
      </c>
      <c r="LK17" s="479">
        <f t="shared" si="289"/>
        <v>0</v>
      </c>
      <c r="LL17" s="479">
        <f t="shared" si="289"/>
        <v>0</v>
      </c>
      <c r="LM17" s="479">
        <f t="shared" si="289"/>
        <v>0</v>
      </c>
      <c r="LN17" s="479">
        <f t="shared" si="289"/>
        <v>0</v>
      </c>
      <c r="LO17" s="479">
        <f t="shared" si="289"/>
        <v>0</v>
      </c>
      <c r="LP17" s="479">
        <f t="shared" si="289"/>
        <v>0</v>
      </c>
      <c r="LQ17" s="479">
        <f t="shared" si="289"/>
        <v>0</v>
      </c>
      <c r="LR17" s="479">
        <f t="shared" si="289"/>
        <v>0</v>
      </c>
      <c r="LS17" s="479">
        <f t="shared" ref="LS17:OD20" si="290">-IF(LS$7&gt;=$E17,IF(LS$7&lt;=$F17,$D17/$G17,0),0)</f>
        <v>0</v>
      </c>
      <c r="LT17" s="479">
        <f t="shared" si="290"/>
        <v>0</v>
      </c>
      <c r="LU17" s="479">
        <f t="shared" si="290"/>
        <v>0</v>
      </c>
      <c r="LV17" s="479">
        <f t="shared" si="290"/>
        <v>0</v>
      </c>
      <c r="LW17" s="479">
        <f t="shared" si="290"/>
        <v>0</v>
      </c>
      <c r="LX17" s="479">
        <f t="shared" si="290"/>
        <v>0</v>
      </c>
      <c r="LY17" s="479">
        <f t="shared" si="290"/>
        <v>0</v>
      </c>
      <c r="LZ17" s="479">
        <f t="shared" si="290"/>
        <v>0</v>
      </c>
      <c r="MA17" s="479">
        <f t="shared" si="290"/>
        <v>0</v>
      </c>
      <c r="MB17" s="479">
        <f t="shared" si="290"/>
        <v>0</v>
      </c>
      <c r="MC17" s="479">
        <f t="shared" si="290"/>
        <v>0</v>
      </c>
      <c r="MD17" s="479">
        <f t="shared" si="290"/>
        <v>0</v>
      </c>
      <c r="ME17" s="479">
        <f t="shared" si="290"/>
        <v>0</v>
      </c>
      <c r="MF17" s="479">
        <f t="shared" si="290"/>
        <v>0</v>
      </c>
      <c r="MG17" s="479">
        <f t="shared" si="290"/>
        <v>0</v>
      </c>
      <c r="MH17" s="479">
        <f t="shared" si="290"/>
        <v>0</v>
      </c>
      <c r="MI17" s="479">
        <f t="shared" si="290"/>
        <v>0</v>
      </c>
      <c r="MJ17" s="479">
        <f t="shared" si="290"/>
        <v>0</v>
      </c>
      <c r="MK17" s="479">
        <f t="shared" si="290"/>
        <v>0</v>
      </c>
      <c r="ML17" s="479">
        <f t="shared" si="290"/>
        <v>0</v>
      </c>
      <c r="MM17" s="479">
        <f t="shared" si="290"/>
        <v>0</v>
      </c>
      <c r="MN17" s="479">
        <f t="shared" si="290"/>
        <v>0</v>
      </c>
      <c r="MO17" s="479">
        <f t="shared" si="290"/>
        <v>0</v>
      </c>
      <c r="MP17" s="479">
        <f t="shared" si="290"/>
        <v>0</v>
      </c>
      <c r="MQ17" s="479">
        <f t="shared" si="290"/>
        <v>0</v>
      </c>
      <c r="MR17" s="479">
        <f t="shared" si="290"/>
        <v>0</v>
      </c>
      <c r="MS17" s="479">
        <f t="shared" si="290"/>
        <v>0</v>
      </c>
      <c r="MT17" s="479">
        <f t="shared" si="290"/>
        <v>0</v>
      </c>
      <c r="MU17" s="479">
        <f t="shared" si="290"/>
        <v>0</v>
      </c>
      <c r="MV17" s="479">
        <f t="shared" si="290"/>
        <v>0</v>
      </c>
      <c r="MW17" s="479">
        <f t="shared" si="290"/>
        <v>0</v>
      </c>
      <c r="MX17" s="479">
        <f t="shared" si="290"/>
        <v>0</v>
      </c>
      <c r="MY17" s="479">
        <f t="shared" si="290"/>
        <v>0</v>
      </c>
      <c r="MZ17" s="479">
        <f t="shared" si="290"/>
        <v>0</v>
      </c>
      <c r="NA17" s="479">
        <f t="shared" si="290"/>
        <v>0</v>
      </c>
      <c r="NB17" s="479">
        <f t="shared" si="290"/>
        <v>0</v>
      </c>
      <c r="NC17" s="479">
        <f t="shared" si="290"/>
        <v>0</v>
      </c>
      <c r="ND17" s="479">
        <f t="shared" si="290"/>
        <v>0</v>
      </c>
      <c r="NE17" s="479">
        <f t="shared" si="290"/>
        <v>0</v>
      </c>
      <c r="NF17" s="479">
        <f t="shared" si="290"/>
        <v>0</v>
      </c>
      <c r="NG17" s="479">
        <f t="shared" si="290"/>
        <v>0</v>
      </c>
      <c r="NH17" s="479">
        <f t="shared" si="290"/>
        <v>0</v>
      </c>
      <c r="NI17" s="479">
        <f t="shared" si="290"/>
        <v>0</v>
      </c>
      <c r="NJ17" s="479">
        <f t="shared" si="290"/>
        <v>0</v>
      </c>
      <c r="NK17" s="479">
        <f t="shared" si="290"/>
        <v>0</v>
      </c>
      <c r="NL17" s="479">
        <f t="shared" si="290"/>
        <v>0</v>
      </c>
      <c r="NM17" s="479">
        <f t="shared" si="290"/>
        <v>0</v>
      </c>
      <c r="NN17" s="479">
        <f t="shared" si="290"/>
        <v>0</v>
      </c>
      <c r="NO17" s="479">
        <f t="shared" si="290"/>
        <v>0</v>
      </c>
      <c r="NP17" s="479">
        <f t="shared" si="290"/>
        <v>0</v>
      </c>
      <c r="NQ17" s="479">
        <f t="shared" si="290"/>
        <v>0</v>
      </c>
      <c r="NR17" s="479">
        <f t="shared" si="290"/>
        <v>0</v>
      </c>
      <c r="NS17" s="479">
        <f t="shared" si="290"/>
        <v>0</v>
      </c>
      <c r="NT17" s="479">
        <f t="shared" si="290"/>
        <v>0</v>
      </c>
      <c r="NU17" s="479">
        <f t="shared" si="290"/>
        <v>0</v>
      </c>
      <c r="NV17" s="479">
        <f t="shared" si="290"/>
        <v>0</v>
      </c>
      <c r="NW17" s="479">
        <f t="shared" si="290"/>
        <v>0</v>
      </c>
      <c r="NX17" s="479">
        <f t="shared" si="290"/>
        <v>0</v>
      </c>
      <c r="NY17" s="479">
        <f t="shared" si="290"/>
        <v>0</v>
      </c>
      <c r="NZ17" s="479">
        <f t="shared" si="290"/>
        <v>0</v>
      </c>
      <c r="OA17" s="479">
        <f t="shared" si="290"/>
        <v>0</v>
      </c>
      <c r="OB17" s="479">
        <f t="shared" si="290"/>
        <v>0</v>
      </c>
      <c r="OC17" s="479">
        <f t="shared" si="290"/>
        <v>0</v>
      </c>
      <c r="OD17" s="479">
        <f t="shared" si="290"/>
        <v>0</v>
      </c>
      <c r="OE17" s="479">
        <f t="shared" ref="OE17:OO28" si="291">-IF(OE$7&gt;=$E17,IF(OE$7&lt;=$F17,$D17/$G17,0),0)</f>
        <v>0</v>
      </c>
      <c r="OF17" s="479">
        <f t="shared" si="291"/>
        <v>0</v>
      </c>
      <c r="OG17" s="479">
        <f t="shared" si="291"/>
        <v>0</v>
      </c>
      <c r="OH17" s="479">
        <f t="shared" si="291"/>
        <v>0</v>
      </c>
      <c r="OI17" s="479">
        <f t="shared" si="291"/>
        <v>0</v>
      </c>
      <c r="OJ17" s="479">
        <f t="shared" si="291"/>
        <v>0</v>
      </c>
      <c r="OK17" s="479">
        <f t="shared" si="291"/>
        <v>0</v>
      </c>
      <c r="OL17" s="479">
        <f t="shared" si="291"/>
        <v>0</v>
      </c>
      <c r="OM17" s="479">
        <f t="shared" si="291"/>
        <v>0</v>
      </c>
      <c r="ON17" s="479">
        <f t="shared" si="291"/>
        <v>0</v>
      </c>
      <c r="OO17" s="479">
        <f t="shared" si="291"/>
        <v>0</v>
      </c>
    </row>
    <row r="18" spans="2:405">
      <c r="B18" s="97" t="str">
        <f>Assumptions!B81</f>
        <v>Residential</v>
      </c>
      <c r="C18" s="97"/>
      <c r="D18" s="500">
        <f>Assumptions!C81</f>
        <v>164862000</v>
      </c>
      <c r="E18" s="507">
        <f>Assumptions!$C$10</f>
        <v>46418</v>
      </c>
      <c r="F18" s="507">
        <f>EOMONTH(E18,Assumptions!$C$11-1)</f>
        <v>47118</v>
      </c>
      <c r="G18" s="97">
        <f t="shared" si="284"/>
        <v>24</v>
      </c>
      <c r="H18" s="97"/>
      <c r="I18" s="97"/>
      <c r="J18" s="479">
        <f t="shared" ref="J18:Y28" si="292">-IF(J$7&gt;=$E18,IF(J$7&lt;=$F18,$D18/$G18,0),0)</f>
        <v>0</v>
      </c>
      <c r="K18" s="479">
        <f t="shared" si="285"/>
        <v>0</v>
      </c>
      <c r="L18" s="479">
        <f t="shared" si="285"/>
        <v>0</v>
      </c>
      <c r="M18" s="479">
        <f t="shared" si="285"/>
        <v>0</v>
      </c>
      <c r="N18" s="479">
        <f t="shared" si="285"/>
        <v>0</v>
      </c>
      <c r="O18" s="479">
        <f t="shared" si="285"/>
        <v>0</v>
      </c>
      <c r="P18" s="479">
        <f t="shared" si="285"/>
        <v>-6869250</v>
      </c>
      <c r="Q18" s="479">
        <f t="shared" si="285"/>
        <v>-6869250</v>
      </c>
      <c r="R18" s="479">
        <f t="shared" si="285"/>
        <v>-6869250</v>
      </c>
      <c r="S18" s="479">
        <f t="shared" si="285"/>
        <v>-6869250</v>
      </c>
      <c r="T18" s="479">
        <f t="shared" si="285"/>
        <v>-6869250</v>
      </c>
      <c r="U18" s="479">
        <f t="shared" si="285"/>
        <v>-6869250</v>
      </c>
      <c r="V18" s="479">
        <f t="shared" si="285"/>
        <v>-6869250</v>
      </c>
      <c r="W18" s="479">
        <f t="shared" si="285"/>
        <v>-6869250</v>
      </c>
      <c r="X18" s="479">
        <f t="shared" si="285"/>
        <v>-6869250</v>
      </c>
      <c r="Y18" s="479">
        <f t="shared" si="285"/>
        <v>-6869250</v>
      </c>
      <c r="Z18" s="479">
        <f t="shared" si="285"/>
        <v>-6869250</v>
      </c>
      <c r="AA18" s="479">
        <f t="shared" si="285"/>
        <v>-6869250</v>
      </c>
      <c r="AB18" s="479">
        <f t="shared" si="285"/>
        <v>-6869250</v>
      </c>
      <c r="AC18" s="479">
        <f t="shared" si="285"/>
        <v>-6869250</v>
      </c>
      <c r="AD18" s="479">
        <f t="shared" si="285"/>
        <v>-6869250</v>
      </c>
      <c r="AE18" s="479">
        <f t="shared" si="285"/>
        <v>-6869250</v>
      </c>
      <c r="AF18" s="479">
        <f t="shared" si="285"/>
        <v>-6869250</v>
      </c>
      <c r="AG18" s="479">
        <f t="shared" si="285"/>
        <v>-6869250</v>
      </c>
      <c r="AH18" s="479">
        <f t="shared" si="285"/>
        <v>-6869250</v>
      </c>
      <c r="AI18" s="479">
        <f t="shared" si="285"/>
        <v>-6869250</v>
      </c>
      <c r="AJ18" s="479">
        <f t="shared" si="285"/>
        <v>-6869250</v>
      </c>
      <c r="AK18" s="479">
        <f t="shared" si="285"/>
        <v>-6869250</v>
      </c>
      <c r="AL18" s="479">
        <f t="shared" si="285"/>
        <v>-6869250</v>
      </c>
      <c r="AM18" s="479">
        <f t="shared" si="285"/>
        <v>-6869250</v>
      </c>
      <c r="AN18" s="479">
        <f t="shared" si="285"/>
        <v>0</v>
      </c>
      <c r="AO18" s="479">
        <f t="shared" si="285"/>
        <v>0</v>
      </c>
      <c r="AP18" s="479">
        <f t="shared" si="285"/>
        <v>0</v>
      </c>
      <c r="AQ18" s="479">
        <f t="shared" si="285"/>
        <v>0</v>
      </c>
      <c r="AR18" s="479">
        <f t="shared" si="285"/>
        <v>0</v>
      </c>
      <c r="AS18" s="479">
        <f t="shared" si="285"/>
        <v>0</v>
      </c>
      <c r="AT18" s="479">
        <f t="shared" si="285"/>
        <v>0</v>
      </c>
      <c r="AU18" s="479">
        <f t="shared" si="285"/>
        <v>0</v>
      </c>
      <c r="AV18" s="479">
        <f t="shared" si="285"/>
        <v>0</v>
      </c>
      <c r="AW18" s="479">
        <f t="shared" si="285"/>
        <v>0</v>
      </c>
      <c r="AX18" s="479">
        <f t="shared" si="285"/>
        <v>0</v>
      </c>
      <c r="AY18" s="479">
        <f t="shared" si="285"/>
        <v>0</v>
      </c>
      <c r="AZ18" s="479">
        <f t="shared" si="285"/>
        <v>0</v>
      </c>
      <c r="BA18" s="479">
        <f t="shared" si="285"/>
        <v>0</v>
      </c>
      <c r="BB18" s="479">
        <f t="shared" si="285"/>
        <v>0</v>
      </c>
      <c r="BC18" s="479">
        <f t="shared" si="285"/>
        <v>0</v>
      </c>
      <c r="BD18" s="479">
        <f t="shared" si="285"/>
        <v>0</v>
      </c>
      <c r="BE18" s="479">
        <f t="shared" si="285"/>
        <v>0</v>
      </c>
      <c r="BF18" s="479">
        <f t="shared" si="285"/>
        <v>0</v>
      </c>
      <c r="BG18" s="479">
        <f t="shared" si="285"/>
        <v>0</v>
      </c>
      <c r="BH18" s="479">
        <f t="shared" si="285"/>
        <v>0</v>
      </c>
      <c r="BI18" s="479">
        <f t="shared" si="285"/>
        <v>0</v>
      </c>
      <c r="BJ18" s="479">
        <f t="shared" si="285"/>
        <v>0</v>
      </c>
      <c r="BK18" s="479">
        <f t="shared" si="285"/>
        <v>0</v>
      </c>
      <c r="BL18" s="479">
        <f t="shared" si="285"/>
        <v>0</v>
      </c>
      <c r="BM18" s="479">
        <f t="shared" si="285"/>
        <v>0</v>
      </c>
      <c r="BN18" s="479">
        <f t="shared" si="285"/>
        <v>0</v>
      </c>
      <c r="BO18" s="479">
        <f t="shared" si="285"/>
        <v>0</v>
      </c>
      <c r="BP18" s="479">
        <f t="shared" si="285"/>
        <v>0</v>
      </c>
      <c r="BQ18" s="479">
        <f t="shared" si="285"/>
        <v>0</v>
      </c>
      <c r="BR18" s="479">
        <f t="shared" si="285"/>
        <v>0</v>
      </c>
      <c r="BS18" s="479">
        <f t="shared" si="285"/>
        <v>0</v>
      </c>
      <c r="BT18" s="479">
        <f t="shared" si="285"/>
        <v>0</v>
      </c>
      <c r="BU18" s="479">
        <f t="shared" si="285"/>
        <v>0</v>
      </c>
      <c r="BV18" s="479">
        <f t="shared" si="285"/>
        <v>0</v>
      </c>
      <c r="BW18" s="479">
        <f t="shared" si="286"/>
        <v>0</v>
      </c>
      <c r="BX18" s="479">
        <f t="shared" si="286"/>
        <v>0</v>
      </c>
      <c r="BY18" s="479">
        <f t="shared" si="286"/>
        <v>0</v>
      </c>
      <c r="BZ18" s="479">
        <f t="shared" si="286"/>
        <v>0</v>
      </c>
      <c r="CA18" s="479">
        <f t="shared" si="286"/>
        <v>0</v>
      </c>
      <c r="CB18" s="479">
        <f t="shared" si="286"/>
        <v>0</v>
      </c>
      <c r="CC18" s="479">
        <f t="shared" si="286"/>
        <v>0</v>
      </c>
      <c r="CD18" s="479">
        <f t="shared" si="286"/>
        <v>0</v>
      </c>
      <c r="CE18" s="479">
        <f t="shared" si="286"/>
        <v>0</v>
      </c>
      <c r="CF18" s="479">
        <f t="shared" si="286"/>
        <v>0</v>
      </c>
      <c r="CG18" s="479">
        <f t="shared" si="286"/>
        <v>0</v>
      </c>
      <c r="CH18" s="479">
        <f t="shared" si="286"/>
        <v>0</v>
      </c>
      <c r="CI18" s="479">
        <f t="shared" si="286"/>
        <v>0</v>
      </c>
      <c r="CJ18" s="479">
        <f t="shared" si="286"/>
        <v>0</v>
      </c>
      <c r="CK18" s="479">
        <f t="shared" si="286"/>
        <v>0</v>
      </c>
      <c r="CL18" s="479">
        <f t="shared" si="286"/>
        <v>0</v>
      </c>
      <c r="CM18" s="479">
        <f t="shared" si="286"/>
        <v>0</v>
      </c>
      <c r="CN18" s="479">
        <f t="shared" si="286"/>
        <v>0</v>
      </c>
      <c r="CO18" s="479">
        <f t="shared" si="286"/>
        <v>0</v>
      </c>
      <c r="CP18" s="479">
        <f t="shared" si="286"/>
        <v>0</v>
      </c>
      <c r="CQ18" s="479">
        <f t="shared" si="286"/>
        <v>0</v>
      </c>
      <c r="CR18" s="479">
        <f t="shared" si="286"/>
        <v>0</v>
      </c>
      <c r="CS18" s="479">
        <f t="shared" si="286"/>
        <v>0</v>
      </c>
      <c r="CT18" s="479">
        <f t="shared" si="286"/>
        <v>0</v>
      </c>
      <c r="CU18" s="479">
        <f t="shared" si="286"/>
        <v>0</v>
      </c>
      <c r="CV18" s="479">
        <f t="shared" si="286"/>
        <v>0</v>
      </c>
      <c r="CW18" s="479">
        <f t="shared" si="286"/>
        <v>0</v>
      </c>
      <c r="CX18" s="479">
        <f t="shared" si="286"/>
        <v>0</v>
      </c>
      <c r="CY18" s="479">
        <f t="shared" si="286"/>
        <v>0</v>
      </c>
      <c r="CZ18" s="479">
        <f t="shared" si="286"/>
        <v>0</v>
      </c>
      <c r="DA18" s="479">
        <f t="shared" si="286"/>
        <v>0</v>
      </c>
      <c r="DB18" s="479">
        <f t="shared" si="286"/>
        <v>0</v>
      </c>
      <c r="DC18" s="479">
        <f t="shared" si="286"/>
        <v>0</v>
      </c>
      <c r="DD18" s="479">
        <f t="shared" si="286"/>
        <v>0</v>
      </c>
      <c r="DE18" s="479">
        <f t="shared" si="286"/>
        <v>0</v>
      </c>
      <c r="DF18" s="479">
        <f t="shared" si="286"/>
        <v>0</v>
      </c>
      <c r="DG18" s="479">
        <f t="shared" si="286"/>
        <v>0</v>
      </c>
      <c r="DH18" s="479">
        <f t="shared" si="286"/>
        <v>0</v>
      </c>
      <c r="DI18" s="479">
        <f t="shared" si="286"/>
        <v>0</v>
      </c>
      <c r="DJ18" s="479">
        <f t="shared" si="286"/>
        <v>0</v>
      </c>
      <c r="DK18" s="479">
        <f t="shared" si="286"/>
        <v>0</v>
      </c>
      <c r="DL18" s="479">
        <f t="shared" si="286"/>
        <v>0</v>
      </c>
      <c r="DM18" s="479">
        <f t="shared" si="286"/>
        <v>0</v>
      </c>
      <c r="DN18" s="479">
        <f t="shared" si="286"/>
        <v>0</v>
      </c>
      <c r="DO18" s="479">
        <f t="shared" si="286"/>
        <v>0</v>
      </c>
      <c r="DP18" s="479">
        <f t="shared" si="286"/>
        <v>0</v>
      </c>
      <c r="DQ18" s="479">
        <f t="shared" si="286"/>
        <v>0</v>
      </c>
      <c r="DR18" s="479">
        <f t="shared" si="286"/>
        <v>0</v>
      </c>
      <c r="DS18" s="479">
        <f t="shared" si="286"/>
        <v>0</v>
      </c>
      <c r="DT18" s="479">
        <f t="shared" si="286"/>
        <v>0</v>
      </c>
      <c r="DU18" s="479">
        <f t="shared" si="286"/>
        <v>0</v>
      </c>
      <c r="DV18" s="479">
        <f t="shared" si="286"/>
        <v>0</v>
      </c>
      <c r="DW18" s="479">
        <f t="shared" si="286"/>
        <v>0</v>
      </c>
      <c r="DX18" s="479">
        <f t="shared" si="286"/>
        <v>0</v>
      </c>
      <c r="DY18" s="479">
        <f t="shared" si="286"/>
        <v>0</v>
      </c>
      <c r="DZ18" s="479">
        <f t="shared" si="286"/>
        <v>0</v>
      </c>
      <c r="EA18" s="479">
        <f t="shared" si="286"/>
        <v>0</v>
      </c>
      <c r="EB18" s="479">
        <f t="shared" si="286"/>
        <v>0</v>
      </c>
      <c r="EC18" s="479">
        <f t="shared" si="286"/>
        <v>0</v>
      </c>
      <c r="ED18" s="479">
        <f t="shared" si="286"/>
        <v>0</v>
      </c>
      <c r="EE18" s="479">
        <f t="shared" si="286"/>
        <v>0</v>
      </c>
      <c r="EF18" s="479">
        <f t="shared" si="286"/>
        <v>0</v>
      </c>
      <c r="EG18" s="479">
        <f t="shared" si="286"/>
        <v>0</v>
      </c>
      <c r="EH18" s="479">
        <f t="shared" si="286"/>
        <v>0</v>
      </c>
      <c r="EI18" s="479">
        <f t="shared" si="287"/>
        <v>0</v>
      </c>
      <c r="EJ18" s="479">
        <f t="shared" si="287"/>
        <v>0</v>
      </c>
      <c r="EK18" s="479">
        <f t="shared" si="287"/>
        <v>0</v>
      </c>
      <c r="EL18" s="479">
        <f t="shared" si="287"/>
        <v>0</v>
      </c>
      <c r="EM18" s="479">
        <f t="shared" si="287"/>
        <v>0</v>
      </c>
      <c r="EN18" s="479">
        <f t="shared" si="287"/>
        <v>0</v>
      </c>
      <c r="EO18" s="479">
        <f t="shared" si="287"/>
        <v>0</v>
      </c>
      <c r="EP18" s="479">
        <f t="shared" si="287"/>
        <v>0</v>
      </c>
      <c r="EQ18" s="479">
        <f t="shared" si="287"/>
        <v>0</v>
      </c>
      <c r="ER18" s="479">
        <f t="shared" si="287"/>
        <v>0</v>
      </c>
      <c r="ES18" s="479">
        <f t="shared" si="287"/>
        <v>0</v>
      </c>
      <c r="ET18" s="479">
        <f t="shared" si="287"/>
        <v>0</v>
      </c>
      <c r="EU18" s="479">
        <f t="shared" si="287"/>
        <v>0</v>
      </c>
      <c r="EV18" s="479">
        <f t="shared" si="287"/>
        <v>0</v>
      </c>
      <c r="EW18" s="479">
        <f t="shared" si="287"/>
        <v>0</v>
      </c>
      <c r="EX18" s="479">
        <f t="shared" si="287"/>
        <v>0</v>
      </c>
      <c r="EY18" s="479">
        <f t="shared" si="287"/>
        <v>0</v>
      </c>
      <c r="EZ18" s="479">
        <f t="shared" si="287"/>
        <v>0</v>
      </c>
      <c r="FA18" s="479">
        <f t="shared" si="287"/>
        <v>0</v>
      </c>
      <c r="FB18" s="479">
        <f t="shared" si="287"/>
        <v>0</v>
      </c>
      <c r="FC18" s="479">
        <f t="shared" si="287"/>
        <v>0</v>
      </c>
      <c r="FD18" s="479">
        <f t="shared" si="287"/>
        <v>0</v>
      </c>
      <c r="FE18" s="479">
        <f t="shared" si="287"/>
        <v>0</v>
      </c>
      <c r="FF18" s="479">
        <f t="shared" si="287"/>
        <v>0</v>
      </c>
      <c r="FG18" s="479">
        <f t="shared" si="287"/>
        <v>0</v>
      </c>
      <c r="FH18" s="479">
        <f t="shared" si="287"/>
        <v>0</v>
      </c>
      <c r="FI18" s="479">
        <f t="shared" si="287"/>
        <v>0</v>
      </c>
      <c r="FJ18" s="479">
        <f t="shared" si="287"/>
        <v>0</v>
      </c>
      <c r="FK18" s="479">
        <f t="shared" si="287"/>
        <v>0</v>
      </c>
      <c r="FL18" s="479">
        <f t="shared" si="287"/>
        <v>0</v>
      </c>
      <c r="FM18" s="479">
        <f t="shared" si="287"/>
        <v>0</v>
      </c>
      <c r="FN18" s="479">
        <f t="shared" si="287"/>
        <v>0</v>
      </c>
      <c r="FO18" s="479">
        <f t="shared" si="287"/>
        <v>0</v>
      </c>
      <c r="FP18" s="479">
        <f t="shared" si="287"/>
        <v>0</v>
      </c>
      <c r="FQ18" s="479">
        <f t="shared" si="287"/>
        <v>0</v>
      </c>
      <c r="FR18" s="479">
        <f t="shared" si="287"/>
        <v>0</v>
      </c>
      <c r="FS18" s="479">
        <f t="shared" si="287"/>
        <v>0</v>
      </c>
      <c r="FT18" s="479">
        <f t="shared" si="287"/>
        <v>0</v>
      </c>
      <c r="FU18" s="479">
        <f t="shared" si="287"/>
        <v>0</v>
      </c>
      <c r="FV18" s="479">
        <f t="shared" si="287"/>
        <v>0</v>
      </c>
      <c r="FW18" s="479">
        <f t="shared" si="287"/>
        <v>0</v>
      </c>
      <c r="FX18" s="479">
        <f t="shared" si="287"/>
        <v>0</v>
      </c>
      <c r="FY18" s="479">
        <f t="shared" si="287"/>
        <v>0</v>
      </c>
      <c r="FZ18" s="479">
        <f t="shared" si="287"/>
        <v>0</v>
      </c>
      <c r="GA18" s="479">
        <f t="shared" si="287"/>
        <v>0</v>
      </c>
      <c r="GB18" s="479">
        <f t="shared" si="287"/>
        <v>0</v>
      </c>
      <c r="GC18" s="479">
        <f t="shared" si="287"/>
        <v>0</v>
      </c>
      <c r="GD18" s="479">
        <f t="shared" si="287"/>
        <v>0</v>
      </c>
      <c r="GE18" s="479">
        <f t="shared" si="287"/>
        <v>0</v>
      </c>
      <c r="GF18" s="479">
        <f t="shared" si="287"/>
        <v>0</v>
      </c>
      <c r="GG18" s="479">
        <f t="shared" si="287"/>
        <v>0</v>
      </c>
      <c r="GH18" s="479">
        <f t="shared" si="287"/>
        <v>0</v>
      </c>
      <c r="GI18" s="479">
        <f t="shared" si="287"/>
        <v>0</v>
      </c>
      <c r="GJ18" s="479">
        <f t="shared" si="287"/>
        <v>0</v>
      </c>
      <c r="GK18" s="479">
        <f t="shared" si="287"/>
        <v>0</v>
      </c>
      <c r="GL18" s="479">
        <f t="shared" si="287"/>
        <v>0</v>
      </c>
      <c r="GM18" s="479">
        <f t="shared" si="287"/>
        <v>0</v>
      </c>
      <c r="GN18" s="479">
        <f t="shared" si="287"/>
        <v>0</v>
      </c>
      <c r="GO18" s="479">
        <f t="shared" si="287"/>
        <v>0</v>
      </c>
      <c r="GP18" s="479">
        <f t="shared" si="287"/>
        <v>0</v>
      </c>
      <c r="GQ18" s="479">
        <f t="shared" si="287"/>
        <v>0</v>
      </c>
      <c r="GR18" s="479">
        <f t="shared" si="287"/>
        <v>0</v>
      </c>
      <c r="GS18" s="479">
        <f t="shared" si="287"/>
        <v>0</v>
      </c>
      <c r="GT18" s="479">
        <f t="shared" si="287"/>
        <v>0</v>
      </c>
      <c r="GU18" s="479">
        <f t="shared" si="288"/>
        <v>0</v>
      </c>
      <c r="GV18" s="479">
        <f t="shared" si="288"/>
        <v>0</v>
      </c>
      <c r="GW18" s="479">
        <f t="shared" si="288"/>
        <v>0</v>
      </c>
      <c r="GX18" s="479">
        <f t="shared" si="288"/>
        <v>0</v>
      </c>
      <c r="GY18" s="479">
        <f t="shared" si="288"/>
        <v>0</v>
      </c>
      <c r="GZ18" s="479">
        <f t="shared" si="288"/>
        <v>0</v>
      </c>
      <c r="HA18" s="479">
        <f t="shared" si="288"/>
        <v>0</v>
      </c>
      <c r="HB18" s="479">
        <f t="shared" si="288"/>
        <v>0</v>
      </c>
      <c r="HC18" s="479">
        <f t="shared" si="288"/>
        <v>0</v>
      </c>
      <c r="HD18" s="479">
        <f t="shared" si="288"/>
        <v>0</v>
      </c>
      <c r="HE18" s="479">
        <f t="shared" si="288"/>
        <v>0</v>
      </c>
      <c r="HF18" s="479">
        <f t="shared" si="288"/>
        <v>0</v>
      </c>
      <c r="HG18" s="479">
        <f t="shared" si="288"/>
        <v>0</v>
      </c>
      <c r="HH18" s="479">
        <f t="shared" si="288"/>
        <v>0</v>
      </c>
      <c r="HI18" s="479">
        <f t="shared" si="288"/>
        <v>0</v>
      </c>
      <c r="HJ18" s="479">
        <f t="shared" si="288"/>
        <v>0</v>
      </c>
      <c r="HK18" s="479">
        <f t="shared" si="288"/>
        <v>0</v>
      </c>
      <c r="HL18" s="479">
        <f t="shared" si="288"/>
        <v>0</v>
      </c>
      <c r="HM18" s="479">
        <f t="shared" si="288"/>
        <v>0</v>
      </c>
      <c r="HN18" s="479">
        <f t="shared" si="288"/>
        <v>0</v>
      </c>
      <c r="HO18" s="479">
        <f t="shared" si="288"/>
        <v>0</v>
      </c>
      <c r="HP18" s="479">
        <f t="shared" si="288"/>
        <v>0</v>
      </c>
      <c r="HQ18" s="479">
        <f t="shared" si="288"/>
        <v>0</v>
      </c>
      <c r="HR18" s="479">
        <f t="shared" si="288"/>
        <v>0</v>
      </c>
      <c r="HS18" s="479">
        <f t="shared" si="288"/>
        <v>0</v>
      </c>
      <c r="HT18" s="479">
        <f t="shared" si="288"/>
        <v>0</v>
      </c>
      <c r="HU18" s="479">
        <f t="shared" si="288"/>
        <v>0</v>
      </c>
      <c r="HV18" s="479">
        <f t="shared" si="288"/>
        <v>0</v>
      </c>
      <c r="HW18" s="479">
        <f t="shared" si="288"/>
        <v>0</v>
      </c>
      <c r="HX18" s="479">
        <f t="shared" si="288"/>
        <v>0</v>
      </c>
      <c r="HY18" s="479">
        <f t="shared" si="288"/>
        <v>0</v>
      </c>
      <c r="HZ18" s="479">
        <f t="shared" si="288"/>
        <v>0</v>
      </c>
      <c r="IA18" s="479">
        <f t="shared" si="288"/>
        <v>0</v>
      </c>
      <c r="IB18" s="479">
        <f t="shared" si="288"/>
        <v>0</v>
      </c>
      <c r="IC18" s="479">
        <f t="shared" si="288"/>
        <v>0</v>
      </c>
      <c r="ID18" s="479">
        <f t="shared" si="288"/>
        <v>0</v>
      </c>
      <c r="IE18" s="479">
        <f t="shared" si="288"/>
        <v>0</v>
      </c>
      <c r="IF18" s="479">
        <f t="shared" si="288"/>
        <v>0</v>
      </c>
      <c r="IG18" s="479">
        <f t="shared" si="288"/>
        <v>0</v>
      </c>
      <c r="IH18" s="479">
        <f t="shared" si="288"/>
        <v>0</v>
      </c>
      <c r="II18" s="479">
        <f t="shared" si="288"/>
        <v>0</v>
      </c>
      <c r="IJ18" s="479">
        <f t="shared" si="288"/>
        <v>0</v>
      </c>
      <c r="IK18" s="479">
        <f t="shared" si="288"/>
        <v>0</v>
      </c>
      <c r="IL18" s="479">
        <f t="shared" si="288"/>
        <v>0</v>
      </c>
      <c r="IM18" s="479">
        <f t="shared" si="288"/>
        <v>0</v>
      </c>
      <c r="IN18" s="479">
        <f t="shared" si="288"/>
        <v>0</v>
      </c>
      <c r="IO18" s="479">
        <f t="shared" si="288"/>
        <v>0</v>
      </c>
      <c r="IP18" s="479">
        <f t="shared" si="288"/>
        <v>0</v>
      </c>
      <c r="IQ18" s="479">
        <f t="shared" si="288"/>
        <v>0</v>
      </c>
      <c r="IR18" s="479">
        <f t="shared" si="288"/>
        <v>0</v>
      </c>
      <c r="IS18" s="479">
        <f t="shared" si="288"/>
        <v>0</v>
      </c>
      <c r="IT18" s="479">
        <f t="shared" si="288"/>
        <v>0</v>
      </c>
      <c r="IU18" s="479">
        <f t="shared" si="288"/>
        <v>0</v>
      </c>
      <c r="IV18" s="479">
        <f t="shared" si="288"/>
        <v>0</v>
      </c>
      <c r="IW18" s="479">
        <f t="shared" si="288"/>
        <v>0</v>
      </c>
      <c r="IX18" s="479">
        <f t="shared" si="288"/>
        <v>0</v>
      </c>
      <c r="IY18" s="479">
        <f t="shared" si="288"/>
        <v>0</v>
      </c>
      <c r="IZ18" s="479">
        <f t="shared" si="288"/>
        <v>0</v>
      </c>
      <c r="JA18" s="479">
        <f t="shared" si="288"/>
        <v>0</v>
      </c>
      <c r="JB18" s="479">
        <f t="shared" si="288"/>
        <v>0</v>
      </c>
      <c r="JC18" s="479">
        <f t="shared" si="288"/>
        <v>0</v>
      </c>
      <c r="JD18" s="479">
        <f t="shared" si="288"/>
        <v>0</v>
      </c>
      <c r="JE18" s="479">
        <f t="shared" si="288"/>
        <v>0</v>
      </c>
      <c r="JF18" s="479">
        <f t="shared" si="288"/>
        <v>0</v>
      </c>
      <c r="JG18" s="479">
        <f t="shared" si="289"/>
        <v>0</v>
      </c>
      <c r="JH18" s="479">
        <f t="shared" si="289"/>
        <v>0</v>
      </c>
      <c r="JI18" s="479">
        <f t="shared" si="289"/>
        <v>0</v>
      </c>
      <c r="JJ18" s="479">
        <f t="shared" si="289"/>
        <v>0</v>
      </c>
      <c r="JK18" s="479">
        <f t="shared" si="289"/>
        <v>0</v>
      </c>
      <c r="JL18" s="479">
        <f t="shared" si="289"/>
        <v>0</v>
      </c>
      <c r="JM18" s="479">
        <f t="shared" si="289"/>
        <v>0</v>
      </c>
      <c r="JN18" s="479">
        <f t="shared" si="289"/>
        <v>0</v>
      </c>
      <c r="JO18" s="479">
        <f t="shared" si="289"/>
        <v>0</v>
      </c>
      <c r="JP18" s="479">
        <f t="shared" si="289"/>
        <v>0</v>
      </c>
      <c r="JQ18" s="479">
        <f t="shared" si="289"/>
        <v>0</v>
      </c>
      <c r="JR18" s="479">
        <f t="shared" si="289"/>
        <v>0</v>
      </c>
      <c r="JS18" s="479">
        <f t="shared" si="289"/>
        <v>0</v>
      </c>
      <c r="JT18" s="479">
        <f t="shared" si="289"/>
        <v>0</v>
      </c>
      <c r="JU18" s="479">
        <f t="shared" si="289"/>
        <v>0</v>
      </c>
      <c r="JV18" s="479">
        <f t="shared" si="289"/>
        <v>0</v>
      </c>
      <c r="JW18" s="479">
        <f t="shared" si="289"/>
        <v>0</v>
      </c>
      <c r="JX18" s="479">
        <f t="shared" si="289"/>
        <v>0</v>
      </c>
      <c r="JY18" s="479">
        <f t="shared" si="289"/>
        <v>0</v>
      </c>
      <c r="JZ18" s="479">
        <f t="shared" si="289"/>
        <v>0</v>
      </c>
      <c r="KA18" s="479">
        <f t="shared" si="289"/>
        <v>0</v>
      </c>
      <c r="KB18" s="479">
        <f t="shared" si="289"/>
        <v>0</v>
      </c>
      <c r="KC18" s="479">
        <f t="shared" si="289"/>
        <v>0</v>
      </c>
      <c r="KD18" s="479">
        <f t="shared" si="289"/>
        <v>0</v>
      </c>
      <c r="KE18" s="479">
        <f t="shared" si="289"/>
        <v>0</v>
      </c>
      <c r="KF18" s="479">
        <f t="shared" si="289"/>
        <v>0</v>
      </c>
      <c r="KG18" s="479">
        <f t="shared" si="289"/>
        <v>0</v>
      </c>
      <c r="KH18" s="479">
        <f t="shared" si="289"/>
        <v>0</v>
      </c>
      <c r="KI18" s="479">
        <f t="shared" si="289"/>
        <v>0</v>
      </c>
      <c r="KJ18" s="479">
        <f t="shared" si="289"/>
        <v>0</v>
      </c>
      <c r="KK18" s="479">
        <f t="shared" si="289"/>
        <v>0</v>
      </c>
      <c r="KL18" s="479">
        <f t="shared" si="289"/>
        <v>0</v>
      </c>
      <c r="KM18" s="479">
        <f t="shared" si="289"/>
        <v>0</v>
      </c>
      <c r="KN18" s="479">
        <f t="shared" si="289"/>
        <v>0</v>
      </c>
      <c r="KO18" s="479">
        <f t="shared" si="289"/>
        <v>0</v>
      </c>
      <c r="KP18" s="479">
        <f t="shared" si="289"/>
        <v>0</v>
      </c>
      <c r="KQ18" s="479">
        <f t="shared" si="289"/>
        <v>0</v>
      </c>
      <c r="KR18" s="479">
        <f t="shared" si="289"/>
        <v>0</v>
      </c>
      <c r="KS18" s="479">
        <f t="shared" si="289"/>
        <v>0</v>
      </c>
      <c r="KT18" s="479">
        <f t="shared" si="289"/>
        <v>0</v>
      </c>
      <c r="KU18" s="479">
        <f t="shared" si="289"/>
        <v>0</v>
      </c>
      <c r="KV18" s="479">
        <f t="shared" si="289"/>
        <v>0</v>
      </c>
      <c r="KW18" s="479">
        <f t="shared" si="289"/>
        <v>0</v>
      </c>
      <c r="KX18" s="479">
        <f t="shared" si="289"/>
        <v>0</v>
      </c>
      <c r="KY18" s="479">
        <f t="shared" si="289"/>
        <v>0</v>
      </c>
      <c r="KZ18" s="479">
        <f t="shared" si="289"/>
        <v>0</v>
      </c>
      <c r="LA18" s="479">
        <f t="shared" si="289"/>
        <v>0</v>
      </c>
      <c r="LB18" s="479">
        <f t="shared" si="289"/>
        <v>0</v>
      </c>
      <c r="LC18" s="479">
        <f t="shared" si="289"/>
        <v>0</v>
      </c>
      <c r="LD18" s="479">
        <f t="shared" si="289"/>
        <v>0</v>
      </c>
      <c r="LE18" s="479">
        <f t="shared" si="289"/>
        <v>0</v>
      </c>
      <c r="LF18" s="479">
        <f t="shared" si="289"/>
        <v>0</v>
      </c>
      <c r="LG18" s="479">
        <f t="shared" si="289"/>
        <v>0</v>
      </c>
      <c r="LH18" s="479">
        <f t="shared" si="289"/>
        <v>0</v>
      </c>
      <c r="LI18" s="479">
        <f t="shared" si="289"/>
        <v>0</v>
      </c>
      <c r="LJ18" s="479">
        <f t="shared" si="289"/>
        <v>0</v>
      </c>
      <c r="LK18" s="479">
        <f t="shared" si="289"/>
        <v>0</v>
      </c>
      <c r="LL18" s="479">
        <f t="shared" si="289"/>
        <v>0</v>
      </c>
      <c r="LM18" s="479">
        <f t="shared" si="289"/>
        <v>0</v>
      </c>
      <c r="LN18" s="479">
        <f t="shared" si="289"/>
        <v>0</v>
      </c>
      <c r="LO18" s="479">
        <f t="shared" si="289"/>
        <v>0</v>
      </c>
      <c r="LP18" s="479">
        <f t="shared" si="289"/>
        <v>0</v>
      </c>
      <c r="LQ18" s="479">
        <f t="shared" si="289"/>
        <v>0</v>
      </c>
      <c r="LR18" s="479">
        <f t="shared" si="289"/>
        <v>0</v>
      </c>
      <c r="LS18" s="479">
        <f t="shared" si="290"/>
        <v>0</v>
      </c>
      <c r="LT18" s="479">
        <f t="shared" si="290"/>
        <v>0</v>
      </c>
      <c r="LU18" s="479">
        <f t="shared" si="290"/>
        <v>0</v>
      </c>
      <c r="LV18" s="479">
        <f t="shared" si="290"/>
        <v>0</v>
      </c>
      <c r="LW18" s="479">
        <f t="shared" si="290"/>
        <v>0</v>
      </c>
      <c r="LX18" s="479">
        <f t="shared" si="290"/>
        <v>0</v>
      </c>
      <c r="LY18" s="479">
        <f t="shared" si="290"/>
        <v>0</v>
      </c>
      <c r="LZ18" s="479">
        <f t="shared" si="290"/>
        <v>0</v>
      </c>
      <c r="MA18" s="479">
        <f t="shared" si="290"/>
        <v>0</v>
      </c>
      <c r="MB18" s="479">
        <f t="shared" si="290"/>
        <v>0</v>
      </c>
      <c r="MC18" s="479">
        <f t="shared" si="290"/>
        <v>0</v>
      </c>
      <c r="MD18" s="479">
        <f t="shared" si="290"/>
        <v>0</v>
      </c>
      <c r="ME18" s="479">
        <f t="shared" si="290"/>
        <v>0</v>
      </c>
      <c r="MF18" s="479">
        <f t="shared" si="290"/>
        <v>0</v>
      </c>
      <c r="MG18" s="479">
        <f t="shared" si="290"/>
        <v>0</v>
      </c>
      <c r="MH18" s="479">
        <f t="shared" si="290"/>
        <v>0</v>
      </c>
      <c r="MI18" s="479">
        <f t="shared" si="290"/>
        <v>0</v>
      </c>
      <c r="MJ18" s="479">
        <f t="shared" si="290"/>
        <v>0</v>
      </c>
      <c r="MK18" s="479">
        <f t="shared" si="290"/>
        <v>0</v>
      </c>
      <c r="ML18" s="479">
        <f t="shared" si="290"/>
        <v>0</v>
      </c>
      <c r="MM18" s="479">
        <f t="shared" si="290"/>
        <v>0</v>
      </c>
      <c r="MN18" s="479">
        <f t="shared" si="290"/>
        <v>0</v>
      </c>
      <c r="MO18" s="479">
        <f t="shared" si="290"/>
        <v>0</v>
      </c>
      <c r="MP18" s="479">
        <f t="shared" si="290"/>
        <v>0</v>
      </c>
      <c r="MQ18" s="479">
        <f t="shared" si="290"/>
        <v>0</v>
      </c>
      <c r="MR18" s="479">
        <f t="shared" si="290"/>
        <v>0</v>
      </c>
      <c r="MS18" s="479">
        <f t="shared" si="290"/>
        <v>0</v>
      </c>
      <c r="MT18" s="479">
        <f t="shared" si="290"/>
        <v>0</v>
      </c>
      <c r="MU18" s="479">
        <f t="shared" si="290"/>
        <v>0</v>
      </c>
      <c r="MV18" s="479">
        <f t="shared" si="290"/>
        <v>0</v>
      </c>
      <c r="MW18" s="479">
        <f t="shared" si="290"/>
        <v>0</v>
      </c>
      <c r="MX18" s="479">
        <f t="shared" si="290"/>
        <v>0</v>
      </c>
      <c r="MY18" s="479">
        <f t="shared" si="290"/>
        <v>0</v>
      </c>
      <c r="MZ18" s="479">
        <f t="shared" si="290"/>
        <v>0</v>
      </c>
      <c r="NA18" s="479">
        <f t="shared" si="290"/>
        <v>0</v>
      </c>
      <c r="NB18" s="479">
        <f t="shared" si="290"/>
        <v>0</v>
      </c>
      <c r="NC18" s="479">
        <f t="shared" si="290"/>
        <v>0</v>
      </c>
      <c r="ND18" s="479">
        <f t="shared" si="290"/>
        <v>0</v>
      </c>
      <c r="NE18" s="479">
        <f t="shared" si="290"/>
        <v>0</v>
      </c>
      <c r="NF18" s="479">
        <f t="shared" si="290"/>
        <v>0</v>
      </c>
      <c r="NG18" s="479">
        <f t="shared" si="290"/>
        <v>0</v>
      </c>
      <c r="NH18" s="479">
        <f t="shared" si="290"/>
        <v>0</v>
      </c>
      <c r="NI18" s="479">
        <f t="shared" si="290"/>
        <v>0</v>
      </c>
      <c r="NJ18" s="479">
        <f t="shared" si="290"/>
        <v>0</v>
      </c>
      <c r="NK18" s="479">
        <f t="shared" si="290"/>
        <v>0</v>
      </c>
      <c r="NL18" s="479">
        <f t="shared" si="290"/>
        <v>0</v>
      </c>
      <c r="NM18" s="479">
        <f t="shared" si="290"/>
        <v>0</v>
      </c>
      <c r="NN18" s="479">
        <f t="shared" si="290"/>
        <v>0</v>
      </c>
      <c r="NO18" s="479">
        <f t="shared" si="290"/>
        <v>0</v>
      </c>
      <c r="NP18" s="479">
        <f t="shared" si="290"/>
        <v>0</v>
      </c>
      <c r="NQ18" s="479">
        <f t="shared" si="290"/>
        <v>0</v>
      </c>
      <c r="NR18" s="479">
        <f t="shared" si="290"/>
        <v>0</v>
      </c>
      <c r="NS18" s="479">
        <f t="shared" si="290"/>
        <v>0</v>
      </c>
      <c r="NT18" s="479">
        <f t="shared" si="290"/>
        <v>0</v>
      </c>
      <c r="NU18" s="479">
        <f t="shared" si="290"/>
        <v>0</v>
      </c>
      <c r="NV18" s="479">
        <f t="shared" si="290"/>
        <v>0</v>
      </c>
      <c r="NW18" s="479">
        <f t="shared" si="290"/>
        <v>0</v>
      </c>
      <c r="NX18" s="479">
        <f t="shared" si="290"/>
        <v>0</v>
      </c>
      <c r="NY18" s="479">
        <f t="shared" si="290"/>
        <v>0</v>
      </c>
      <c r="NZ18" s="479">
        <f t="shared" si="290"/>
        <v>0</v>
      </c>
      <c r="OA18" s="479">
        <f t="shared" si="290"/>
        <v>0</v>
      </c>
      <c r="OB18" s="479">
        <f t="shared" si="290"/>
        <v>0</v>
      </c>
      <c r="OC18" s="479">
        <f t="shared" si="290"/>
        <v>0</v>
      </c>
      <c r="OD18" s="479">
        <f t="shared" si="290"/>
        <v>0</v>
      </c>
      <c r="OE18" s="479">
        <f t="shared" si="291"/>
        <v>0</v>
      </c>
      <c r="OF18" s="479">
        <f t="shared" si="291"/>
        <v>0</v>
      </c>
      <c r="OG18" s="479">
        <f t="shared" si="291"/>
        <v>0</v>
      </c>
      <c r="OH18" s="479">
        <f t="shared" si="291"/>
        <v>0</v>
      </c>
      <c r="OI18" s="479">
        <f t="shared" si="291"/>
        <v>0</v>
      </c>
      <c r="OJ18" s="479">
        <f t="shared" si="291"/>
        <v>0</v>
      </c>
      <c r="OK18" s="479">
        <f t="shared" si="291"/>
        <v>0</v>
      </c>
      <c r="OL18" s="479">
        <f t="shared" si="291"/>
        <v>0</v>
      </c>
      <c r="OM18" s="479">
        <f t="shared" si="291"/>
        <v>0</v>
      </c>
      <c r="ON18" s="479">
        <f t="shared" si="291"/>
        <v>0</v>
      </c>
      <c r="OO18" s="479">
        <f t="shared" si="291"/>
        <v>0</v>
      </c>
    </row>
    <row r="19" spans="2:405">
      <c r="B19" s="97" t="str">
        <f>Assumptions!B82</f>
        <v>Commercial Space</v>
      </c>
      <c r="C19" s="97"/>
      <c r="D19" s="500">
        <f>Assumptions!C82</f>
        <v>0</v>
      </c>
      <c r="E19" s="507">
        <f>Assumptions!$C$10</f>
        <v>46418</v>
      </c>
      <c r="F19" s="507">
        <f>EOMONTH(E19,Assumptions!$C$11-1)</f>
        <v>47118</v>
      </c>
      <c r="G19" s="97">
        <f t="shared" si="284"/>
        <v>24</v>
      </c>
      <c r="H19" s="97"/>
      <c r="I19" s="97"/>
      <c r="J19" s="479">
        <f t="shared" si="292"/>
        <v>0</v>
      </c>
      <c r="K19" s="479">
        <f t="shared" si="285"/>
        <v>0</v>
      </c>
      <c r="L19" s="479">
        <f t="shared" si="285"/>
        <v>0</v>
      </c>
      <c r="M19" s="479">
        <f t="shared" si="285"/>
        <v>0</v>
      </c>
      <c r="N19" s="479">
        <f t="shared" si="285"/>
        <v>0</v>
      </c>
      <c r="O19" s="479">
        <f t="shared" si="285"/>
        <v>0</v>
      </c>
      <c r="P19" s="479">
        <f t="shared" si="285"/>
        <v>0</v>
      </c>
      <c r="Q19" s="479">
        <f t="shared" si="285"/>
        <v>0</v>
      </c>
      <c r="R19" s="479">
        <f t="shared" si="285"/>
        <v>0</v>
      </c>
      <c r="S19" s="479">
        <f t="shared" si="285"/>
        <v>0</v>
      </c>
      <c r="T19" s="479">
        <f t="shared" si="285"/>
        <v>0</v>
      </c>
      <c r="U19" s="479">
        <f t="shared" si="285"/>
        <v>0</v>
      </c>
      <c r="V19" s="479">
        <f t="shared" si="285"/>
        <v>0</v>
      </c>
      <c r="W19" s="479">
        <f t="shared" si="285"/>
        <v>0</v>
      </c>
      <c r="X19" s="479">
        <f t="shared" si="285"/>
        <v>0</v>
      </c>
      <c r="Y19" s="479">
        <f t="shared" si="285"/>
        <v>0</v>
      </c>
      <c r="Z19" s="479">
        <f t="shared" si="285"/>
        <v>0</v>
      </c>
      <c r="AA19" s="479">
        <f t="shared" si="285"/>
        <v>0</v>
      </c>
      <c r="AB19" s="479">
        <f t="shared" si="285"/>
        <v>0</v>
      </c>
      <c r="AC19" s="479">
        <f t="shared" si="285"/>
        <v>0</v>
      </c>
      <c r="AD19" s="479">
        <f t="shared" si="285"/>
        <v>0</v>
      </c>
      <c r="AE19" s="479">
        <f t="shared" si="285"/>
        <v>0</v>
      </c>
      <c r="AF19" s="479">
        <f t="shared" si="285"/>
        <v>0</v>
      </c>
      <c r="AG19" s="479">
        <f t="shared" si="285"/>
        <v>0</v>
      </c>
      <c r="AH19" s="479">
        <f t="shared" si="285"/>
        <v>0</v>
      </c>
      <c r="AI19" s="479">
        <f t="shared" si="285"/>
        <v>0</v>
      </c>
      <c r="AJ19" s="479">
        <f t="shared" si="285"/>
        <v>0</v>
      </c>
      <c r="AK19" s="479">
        <f t="shared" si="285"/>
        <v>0</v>
      </c>
      <c r="AL19" s="479">
        <f t="shared" si="285"/>
        <v>0</v>
      </c>
      <c r="AM19" s="479">
        <f t="shared" si="285"/>
        <v>0</v>
      </c>
      <c r="AN19" s="479">
        <f t="shared" si="285"/>
        <v>0</v>
      </c>
      <c r="AO19" s="479">
        <f t="shared" si="285"/>
        <v>0</v>
      </c>
      <c r="AP19" s="479">
        <f t="shared" si="285"/>
        <v>0</v>
      </c>
      <c r="AQ19" s="479">
        <f t="shared" si="285"/>
        <v>0</v>
      </c>
      <c r="AR19" s="479">
        <f t="shared" si="285"/>
        <v>0</v>
      </c>
      <c r="AS19" s="479">
        <f t="shared" si="285"/>
        <v>0</v>
      </c>
      <c r="AT19" s="479">
        <f t="shared" si="285"/>
        <v>0</v>
      </c>
      <c r="AU19" s="479">
        <f t="shared" si="285"/>
        <v>0</v>
      </c>
      <c r="AV19" s="479">
        <f t="shared" si="285"/>
        <v>0</v>
      </c>
      <c r="AW19" s="479">
        <f t="shared" si="285"/>
        <v>0</v>
      </c>
      <c r="AX19" s="479">
        <f t="shared" si="285"/>
        <v>0</v>
      </c>
      <c r="AY19" s="479">
        <f t="shared" si="285"/>
        <v>0</v>
      </c>
      <c r="AZ19" s="479">
        <f t="shared" si="285"/>
        <v>0</v>
      </c>
      <c r="BA19" s="479">
        <f t="shared" si="285"/>
        <v>0</v>
      </c>
      <c r="BB19" s="479">
        <f t="shared" si="285"/>
        <v>0</v>
      </c>
      <c r="BC19" s="479">
        <f t="shared" si="285"/>
        <v>0</v>
      </c>
      <c r="BD19" s="479">
        <f t="shared" si="285"/>
        <v>0</v>
      </c>
      <c r="BE19" s="479">
        <f t="shared" si="285"/>
        <v>0</v>
      </c>
      <c r="BF19" s="479">
        <f t="shared" si="285"/>
        <v>0</v>
      </c>
      <c r="BG19" s="479">
        <f t="shared" si="285"/>
        <v>0</v>
      </c>
      <c r="BH19" s="479">
        <f t="shared" si="285"/>
        <v>0</v>
      </c>
      <c r="BI19" s="479">
        <f t="shared" si="285"/>
        <v>0</v>
      </c>
      <c r="BJ19" s="479">
        <f t="shared" si="285"/>
        <v>0</v>
      </c>
      <c r="BK19" s="479">
        <f t="shared" si="285"/>
        <v>0</v>
      </c>
      <c r="BL19" s="479">
        <f t="shared" si="285"/>
        <v>0</v>
      </c>
      <c r="BM19" s="479">
        <f t="shared" si="285"/>
        <v>0</v>
      </c>
      <c r="BN19" s="479">
        <f t="shared" si="285"/>
        <v>0</v>
      </c>
      <c r="BO19" s="479">
        <f t="shared" si="285"/>
        <v>0</v>
      </c>
      <c r="BP19" s="479">
        <f t="shared" si="285"/>
        <v>0</v>
      </c>
      <c r="BQ19" s="479">
        <f t="shared" si="285"/>
        <v>0</v>
      </c>
      <c r="BR19" s="479">
        <f t="shared" si="285"/>
        <v>0</v>
      </c>
      <c r="BS19" s="479">
        <f t="shared" si="285"/>
        <v>0</v>
      </c>
      <c r="BT19" s="479">
        <f t="shared" si="285"/>
        <v>0</v>
      </c>
      <c r="BU19" s="479">
        <f t="shared" si="285"/>
        <v>0</v>
      </c>
      <c r="BV19" s="479">
        <f t="shared" si="285"/>
        <v>0</v>
      </c>
      <c r="BW19" s="479">
        <f t="shared" si="286"/>
        <v>0</v>
      </c>
      <c r="BX19" s="479">
        <f t="shared" si="286"/>
        <v>0</v>
      </c>
      <c r="BY19" s="479">
        <f t="shared" si="286"/>
        <v>0</v>
      </c>
      <c r="BZ19" s="479">
        <f t="shared" si="286"/>
        <v>0</v>
      </c>
      <c r="CA19" s="479">
        <f t="shared" si="286"/>
        <v>0</v>
      </c>
      <c r="CB19" s="479">
        <f t="shared" si="286"/>
        <v>0</v>
      </c>
      <c r="CC19" s="479">
        <f t="shared" si="286"/>
        <v>0</v>
      </c>
      <c r="CD19" s="479">
        <f t="shared" si="286"/>
        <v>0</v>
      </c>
      <c r="CE19" s="479">
        <f t="shared" si="286"/>
        <v>0</v>
      </c>
      <c r="CF19" s="479">
        <f t="shared" si="286"/>
        <v>0</v>
      </c>
      <c r="CG19" s="479">
        <f t="shared" si="286"/>
        <v>0</v>
      </c>
      <c r="CH19" s="479">
        <f t="shared" si="286"/>
        <v>0</v>
      </c>
      <c r="CI19" s="479">
        <f t="shared" si="286"/>
        <v>0</v>
      </c>
      <c r="CJ19" s="479">
        <f t="shared" si="286"/>
        <v>0</v>
      </c>
      <c r="CK19" s="479">
        <f t="shared" si="286"/>
        <v>0</v>
      </c>
      <c r="CL19" s="479">
        <f t="shared" si="286"/>
        <v>0</v>
      </c>
      <c r="CM19" s="479">
        <f t="shared" si="286"/>
        <v>0</v>
      </c>
      <c r="CN19" s="479">
        <f t="shared" si="286"/>
        <v>0</v>
      </c>
      <c r="CO19" s="479">
        <f t="shared" si="286"/>
        <v>0</v>
      </c>
      <c r="CP19" s="479">
        <f t="shared" si="286"/>
        <v>0</v>
      </c>
      <c r="CQ19" s="479">
        <f t="shared" si="286"/>
        <v>0</v>
      </c>
      <c r="CR19" s="479">
        <f t="shared" si="286"/>
        <v>0</v>
      </c>
      <c r="CS19" s="479">
        <f t="shared" si="286"/>
        <v>0</v>
      </c>
      <c r="CT19" s="479">
        <f t="shared" si="286"/>
        <v>0</v>
      </c>
      <c r="CU19" s="479">
        <f t="shared" si="286"/>
        <v>0</v>
      </c>
      <c r="CV19" s="479">
        <f t="shared" si="286"/>
        <v>0</v>
      </c>
      <c r="CW19" s="479">
        <f t="shared" si="286"/>
        <v>0</v>
      </c>
      <c r="CX19" s="479">
        <f t="shared" si="286"/>
        <v>0</v>
      </c>
      <c r="CY19" s="479">
        <f t="shared" si="286"/>
        <v>0</v>
      </c>
      <c r="CZ19" s="479">
        <f t="shared" si="286"/>
        <v>0</v>
      </c>
      <c r="DA19" s="479">
        <f t="shared" si="286"/>
        <v>0</v>
      </c>
      <c r="DB19" s="479">
        <f t="shared" si="286"/>
        <v>0</v>
      </c>
      <c r="DC19" s="479">
        <f t="shared" si="286"/>
        <v>0</v>
      </c>
      <c r="DD19" s="479">
        <f t="shared" si="286"/>
        <v>0</v>
      </c>
      <c r="DE19" s="479">
        <f t="shared" si="286"/>
        <v>0</v>
      </c>
      <c r="DF19" s="479">
        <f t="shared" si="286"/>
        <v>0</v>
      </c>
      <c r="DG19" s="479">
        <f t="shared" si="286"/>
        <v>0</v>
      </c>
      <c r="DH19" s="479">
        <f t="shared" si="286"/>
        <v>0</v>
      </c>
      <c r="DI19" s="479">
        <f t="shared" si="286"/>
        <v>0</v>
      </c>
      <c r="DJ19" s="479">
        <f t="shared" si="286"/>
        <v>0</v>
      </c>
      <c r="DK19" s="479">
        <f t="shared" si="286"/>
        <v>0</v>
      </c>
      <c r="DL19" s="479">
        <f t="shared" si="286"/>
        <v>0</v>
      </c>
      <c r="DM19" s="479">
        <f t="shared" si="286"/>
        <v>0</v>
      </c>
      <c r="DN19" s="479">
        <f t="shared" si="286"/>
        <v>0</v>
      </c>
      <c r="DO19" s="479">
        <f t="shared" si="286"/>
        <v>0</v>
      </c>
      <c r="DP19" s="479">
        <f t="shared" si="286"/>
        <v>0</v>
      </c>
      <c r="DQ19" s="479">
        <f t="shared" si="286"/>
        <v>0</v>
      </c>
      <c r="DR19" s="479">
        <f t="shared" si="286"/>
        <v>0</v>
      </c>
      <c r="DS19" s="479">
        <f t="shared" si="286"/>
        <v>0</v>
      </c>
      <c r="DT19" s="479">
        <f t="shared" si="286"/>
        <v>0</v>
      </c>
      <c r="DU19" s="479">
        <f t="shared" si="286"/>
        <v>0</v>
      </c>
      <c r="DV19" s="479">
        <f t="shared" si="286"/>
        <v>0</v>
      </c>
      <c r="DW19" s="479">
        <f t="shared" si="286"/>
        <v>0</v>
      </c>
      <c r="DX19" s="479">
        <f t="shared" si="286"/>
        <v>0</v>
      </c>
      <c r="DY19" s="479">
        <f t="shared" si="286"/>
        <v>0</v>
      </c>
      <c r="DZ19" s="479">
        <f t="shared" si="286"/>
        <v>0</v>
      </c>
      <c r="EA19" s="479">
        <f t="shared" si="286"/>
        <v>0</v>
      </c>
      <c r="EB19" s="479">
        <f t="shared" si="286"/>
        <v>0</v>
      </c>
      <c r="EC19" s="479">
        <f t="shared" si="286"/>
        <v>0</v>
      </c>
      <c r="ED19" s="479">
        <f t="shared" si="286"/>
        <v>0</v>
      </c>
      <c r="EE19" s="479">
        <f t="shared" si="286"/>
        <v>0</v>
      </c>
      <c r="EF19" s="479">
        <f t="shared" si="286"/>
        <v>0</v>
      </c>
      <c r="EG19" s="479">
        <f t="shared" si="286"/>
        <v>0</v>
      </c>
      <c r="EH19" s="479">
        <f t="shared" si="286"/>
        <v>0</v>
      </c>
      <c r="EI19" s="479">
        <f t="shared" si="287"/>
        <v>0</v>
      </c>
      <c r="EJ19" s="479">
        <f t="shared" si="287"/>
        <v>0</v>
      </c>
      <c r="EK19" s="479">
        <f t="shared" si="287"/>
        <v>0</v>
      </c>
      <c r="EL19" s="479">
        <f t="shared" si="287"/>
        <v>0</v>
      </c>
      <c r="EM19" s="479">
        <f t="shared" si="287"/>
        <v>0</v>
      </c>
      <c r="EN19" s="479">
        <f t="shared" si="287"/>
        <v>0</v>
      </c>
      <c r="EO19" s="479">
        <f t="shared" si="287"/>
        <v>0</v>
      </c>
      <c r="EP19" s="479">
        <f t="shared" si="287"/>
        <v>0</v>
      </c>
      <c r="EQ19" s="479">
        <f t="shared" si="287"/>
        <v>0</v>
      </c>
      <c r="ER19" s="479">
        <f t="shared" si="287"/>
        <v>0</v>
      </c>
      <c r="ES19" s="479">
        <f t="shared" si="287"/>
        <v>0</v>
      </c>
      <c r="ET19" s="479">
        <f t="shared" si="287"/>
        <v>0</v>
      </c>
      <c r="EU19" s="479">
        <f t="shared" si="287"/>
        <v>0</v>
      </c>
      <c r="EV19" s="479">
        <f t="shared" si="287"/>
        <v>0</v>
      </c>
      <c r="EW19" s="479">
        <f t="shared" si="287"/>
        <v>0</v>
      </c>
      <c r="EX19" s="479">
        <f t="shared" si="287"/>
        <v>0</v>
      </c>
      <c r="EY19" s="479">
        <f t="shared" si="287"/>
        <v>0</v>
      </c>
      <c r="EZ19" s="479">
        <f t="shared" si="287"/>
        <v>0</v>
      </c>
      <c r="FA19" s="479">
        <f t="shared" si="287"/>
        <v>0</v>
      </c>
      <c r="FB19" s="479">
        <f t="shared" si="287"/>
        <v>0</v>
      </c>
      <c r="FC19" s="479">
        <f t="shared" si="287"/>
        <v>0</v>
      </c>
      <c r="FD19" s="479">
        <f t="shared" si="287"/>
        <v>0</v>
      </c>
      <c r="FE19" s="479">
        <f t="shared" si="287"/>
        <v>0</v>
      </c>
      <c r="FF19" s="479">
        <f t="shared" si="287"/>
        <v>0</v>
      </c>
      <c r="FG19" s="479">
        <f t="shared" si="287"/>
        <v>0</v>
      </c>
      <c r="FH19" s="479">
        <f t="shared" si="287"/>
        <v>0</v>
      </c>
      <c r="FI19" s="479">
        <f t="shared" si="287"/>
        <v>0</v>
      </c>
      <c r="FJ19" s="479">
        <f t="shared" si="287"/>
        <v>0</v>
      </c>
      <c r="FK19" s="479">
        <f t="shared" si="287"/>
        <v>0</v>
      </c>
      <c r="FL19" s="479">
        <f t="shared" si="287"/>
        <v>0</v>
      </c>
      <c r="FM19" s="479">
        <f t="shared" si="287"/>
        <v>0</v>
      </c>
      <c r="FN19" s="479">
        <f t="shared" si="287"/>
        <v>0</v>
      </c>
      <c r="FO19" s="479">
        <f t="shared" si="287"/>
        <v>0</v>
      </c>
      <c r="FP19" s="479">
        <f t="shared" si="287"/>
        <v>0</v>
      </c>
      <c r="FQ19" s="479">
        <f t="shared" si="287"/>
        <v>0</v>
      </c>
      <c r="FR19" s="479">
        <f t="shared" si="287"/>
        <v>0</v>
      </c>
      <c r="FS19" s="479">
        <f t="shared" si="287"/>
        <v>0</v>
      </c>
      <c r="FT19" s="479">
        <f t="shared" si="287"/>
        <v>0</v>
      </c>
      <c r="FU19" s="479">
        <f t="shared" si="287"/>
        <v>0</v>
      </c>
      <c r="FV19" s="479">
        <f t="shared" si="287"/>
        <v>0</v>
      </c>
      <c r="FW19" s="479">
        <f t="shared" si="287"/>
        <v>0</v>
      </c>
      <c r="FX19" s="479">
        <f t="shared" si="287"/>
        <v>0</v>
      </c>
      <c r="FY19" s="479">
        <f t="shared" si="287"/>
        <v>0</v>
      </c>
      <c r="FZ19" s="479">
        <f t="shared" si="287"/>
        <v>0</v>
      </c>
      <c r="GA19" s="479">
        <f t="shared" si="287"/>
        <v>0</v>
      </c>
      <c r="GB19" s="479">
        <f t="shared" si="287"/>
        <v>0</v>
      </c>
      <c r="GC19" s="479">
        <f t="shared" si="287"/>
        <v>0</v>
      </c>
      <c r="GD19" s="479">
        <f t="shared" si="287"/>
        <v>0</v>
      </c>
      <c r="GE19" s="479">
        <f t="shared" si="287"/>
        <v>0</v>
      </c>
      <c r="GF19" s="479">
        <f t="shared" si="287"/>
        <v>0</v>
      </c>
      <c r="GG19" s="479">
        <f t="shared" si="287"/>
        <v>0</v>
      </c>
      <c r="GH19" s="479">
        <f t="shared" si="287"/>
        <v>0</v>
      </c>
      <c r="GI19" s="479">
        <f t="shared" si="287"/>
        <v>0</v>
      </c>
      <c r="GJ19" s="479">
        <f t="shared" si="287"/>
        <v>0</v>
      </c>
      <c r="GK19" s="479">
        <f t="shared" si="287"/>
        <v>0</v>
      </c>
      <c r="GL19" s="479">
        <f t="shared" si="287"/>
        <v>0</v>
      </c>
      <c r="GM19" s="479">
        <f t="shared" si="287"/>
        <v>0</v>
      </c>
      <c r="GN19" s="479">
        <f t="shared" si="287"/>
        <v>0</v>
      </c>
      <c r="GO19" s="479">
        <f t="shared" si="287"/>
        <v>0</v>
      </c>
      <c r="GP19" s="479">
        <f t="shared" si="287"/>
        <v>0</v>
      </c>
      <c r="GQ19" s="479">
        <f t="shared" si="287"/>
        <v>0</v>
      </c>
      <c r="GR19" s="479">
        <f t="shared" si="287"/>
        <v>0</v>
      </c>
      <c r="GS19" s="479">
        <f t="shared" si="287"/>
        <v>0</v>
      </c>
      <c r="GT19" s="479">
        <f t="shared" si="287"/>
        <v>0</v>
      </c>
      <c r="GU19" s="479">
        <f t="shared" si="288"/>
        <v>0</v>
      </c>
      <c r="GV19" s="479">
        <f t="shared" si="288"/>
        <v>0</v>
      </c>
      <c r="GW19" s="479">
        <f t="shared" si="288"/>
        <v>0</v>
      </c>
      <c r="GX19" s="479">
        <f t="shared" si="288"/>
        <v>0</v>
      </c>
      <c r="GY19" s="479">
        <f t="shared" si="288"/>
        <v>0</v>
      </c>
      <c r="GZ19" s="479">
        <f t="shared" si="288"/>
        <v>0</v>
      </c>
      <c r="HA19" s="479">
        <f t="shared" si="288"/>
        <v>0</v>
      </c>
      <c r="HB19" s="479">
        <f t="shared" si="288"/>
        <v>0</v>
      </c>
      <c r="HC19" s="479">
        <f t="shared" si="288"/>
        <v>0</v>
      </c>
      <c r="HD19" s="479">
        <f t="shared" si="288"/>
        <v>0</v>
      </c>
      <c r="HE19" s="479">
        <f t="shared" si="288"/>
        <v>0</v>
      </c>
      <c r="HF19" s="479">
        <f t="shared" si="288"/>
        <v>0</v>
      </c>
      <c r="HG19" s="479">
        <f t="shared" si="288"/>
        <v>0</v>
      </c>
      <c r="HH19" s="479">
        <f t="shared" si="288"/>
        <v>0</v>
      </c>
      <c r="HI19" s="479">
        <f t="shared" si="288"/>
        <v>0</v>
      </c>
      <c r="HJ19" s="479">
        <f t="shared" si="288"/>
        <v>0</v>
      </c>
      <c r="HK19" s="479">
        <f t="shared" si="288"/>
        <v>0</v>
      </c>
      <c r="HL19" s="479">
        <f t="shared" si="288"/>
        <v>0</v>
      </c>
      <c r="HM19" s="479">
        <f t="shared" si="288"/>
        <v>0</v>
      </c>
      <c r="HN19" s="479">
        <f t="shared" si="288"/>
        <v>0</v>
      </c>
      <c r="HO19" s="479">
        <f t="shared" si="288"/>
        <v>0</v>
      </c>
      <c r="HP19" s="479">
        <f t="shared" si="288"/>
        <v>0</v>
      </c>
      <c r="HQ19" s="479">
        <f t="shared" si="288"/>
        <v>0</v>
      </c>
      <c r="HR19" s="479">
        <f t="shared" si="288"/>
        <v>0</v>
      </c>
      <c r="HS19" s="479">
        <f t="shared" si="288"/>
        <v>0</v>
      </c>
      <c r="HT19" s="479">
        <f t="shared" si="288"/>
        <v>0</v>
      </c>
      <c r="HU19" s="479">
        <f t="shared" si="288"/>
        <v>0</v>
      </c>
      <c r="HV19" s="479">
        <f t="shared" si="288"/>
        <v>0</v>
      </c>
      <c r="HW19" s="479">
        <f t="shared" si="288"/>
        <v>0</v>
      </c>
      <c r="HX19" s="479">
        <f t="shared" si="288"/>
        <v>0</v>
      </c>
      <c r="HY19" s="479">
        <f t="shared" si="288"/>
        <v>0</v>
      </c>
      <c r="HZ19" s="479">
        <f t="shared" si="288"/>
        <v>0</v>
      </c>
      <c r="IA19" s="479">
        <f t="shared" si="288"/>
        <v>0</v>
      </c>
      <c r="IB19" s="479">
        <f t="shared" si="288"/>
        <v>0</v>
      </c>
      <c r="IC19" s="479">
        <f t="shared" si="288"/>
        <v>0</v>
      </c>
      <c r="ID19" s="479">
        <f t="shared" si="288"/>
        <v>0</v>
      </c>
      <c r="IE19" s="479">
        <f t="shared" si="288"/>
        <v>0</v>
      </c>
      <c r="IF19" s="479">
        <f t="shared" si="288"/>
        <v>0</v>
      </c>
      <c r="IG19" s="479">
        <f t="shared" si="288"/>
        <v>0</v>
      </c>
      <c r="IH19" s="479">
        <f t="shared" si="288"/>
        <v>0</v>
      </c>
      <c r="II19" s="479">
        <f t="shared" si="288"/>
        <v>0</v>
      </c>
      <c r="IJ19" s="479">
        <f t="shared" si="288"/>
        <v>0</v>
      </c>
      <c r="IK19" s="479">
        <f t="shared" si="288"/>
        <v>0</v>
      </c>
      <c r="IL19" s="479">
        <f t="shared" si="288"/>
        <v>0</v>
      </c>
      <c r="IM19" s="479">
        <f t="shared" si="288"/>
        <v>0</v>
      </c>
      <c r="IN19" s="479">
        <f t="shared" si="288"/>
        <v>0</v>
      </c>
      <c r="IO19" s="479">
        <f t="shared" si="288"/>
        <v>0</v>
      </c>
      <c r="IP19" s="479">
        <f t="shared" si="288"/>
        <v>0</v>
      </c>
      <c r="IQ19" s="479">
        <f t="shared" si="288"/>
        <v>0</v>
      </c>
      <c r="IR19" s="479">
        <f t="shared" si="288"/>
        <v>0</v>
      </c>
      <c r="IS19" s="479">
        <f t="shared" si="288"/>
        <v>0</v>
      </c>
      <c r="IT19" s="479">
        <f t="shared" si="288"/>
        <v>0</v>
      </c>
      <c r="IU19" s="479">
        <f t="shared" si="288"/>
        <v>0</v>
      </c>
      <c r="IV19" s="479">
        <f t="shared" si="288"/>
        <v>0</v>
      </c>
      <c r="IW19" s="479">
        <f t="shared" si="288"/>
        <v>0</v>
      </c>
      <c r="IX19" s="479">
        <f t="shared" si="288"/>
        <v>0</v>
      </c>
      <c r="IY19" s="479">
        <f t="shared" si="288"/>
        <v>0</v>
      </c>
      <c r="IZ19" s="479">
        <f t="shared" si="288"/>
        <v>0</v>
      </c>
      <c r="JA19" s="479">
        <f t="shared" si="288"/>
        <v>0</v>
      </c>
      <c r="JB19" s="479">
        <f t="shared" si="288"/>
        <v>0</v>
      </c>
      <c r="JC19" s="479">
        <f t="shared" si="288"/>
        <v>0</v>
      </c>
      <c r="JD19" s="479">
        <f t="shared" si="288"/>
        <v>0</v>
      </c>
      <c r="JE19" s="479">
        <f t="shared" si="288"/>
        <v>0</v>
      </c>
      <c r="JF19" s="479">
        <f t="shared" si="288"/>
        <v>0</v>
      </c>
      <c r="JG19" s="479">
        <f t="shared" si="289"/>
        <v>0</v>
      </c>
      <c r="JH19" s="479">
        <f t="shared" si="289"/>
        <v>0</v>
      </c>
      <c r="JI19" s="479">
        <f t="shared" si="289"/>
        <v>0</v>
      </c>
      <c r="JJ19" s="479">
        <f t="shared" si="289"/>
        <v>0</v>
      </c>
      <c r="JK19" s="479">
        <f t="shared" si="289"/>
        <v>0</v>
      </c>
      <c r="JL19" s="479">
        <f t="shared" si="289"/>
        <v>0</v>
      </c>
      <c r="JM19" s="479">
        <f t="shared" si="289"/>
        <v>0</v>
      </c>
      <c r="JN19" s="479">
        <f t="shared" si="289"/>
        <v>0</v>
      </c>
      <c r="JO19" s="479">
        <f t="shared" si="289"/>
        <v>0</v>
      </c>
      <c r="JP19" s="479">
        <f t="shared" si="289"/>
        <v>0</v>
      </c>
      <c r="JQ19" s="479">
        <f t="shared" si="289"/>
        <v>0</v>
      </c>
      <c r="JR19" s="479">
        <f t="shared" si="289"/>
        <v>0</v>
      </c>
      <c r="JS19" s="479">
        <f t="shared" si="289"/>
        <v>0</v>
      </c>
      <c r="JT19" s="479">
        <f t="shared" si="289"/>
        <v>0</v>
      </c>
      <c r="JU19" s="479">
        <f t="shared" si="289"/>
        <v>0</v>
      </c>
      <c r="JV19" s="479">
        <f t="shared" si="289"/>
        <v>0</v>
      </c>
      <c r="JW19" s="479">
        <f t="shared" si="289"/>
        <v>0</v>
      </c>
      <c r="JX19" s="479">
        <f t="shared" si="289"/>
        <v>0</v>
      </c>
      <c r="JY19" s="479">
        <f t="shared" si="289"/>
        <v>0</v>
      </c>
      <c r="JZ19" s="479">
        <f t="shared" si="289"/>
        <v>0</v>
      </c>
      <c r="KA19" s="479">
        <f t="shared" si="289"/>
        <v>0</v>
      </c>
      <c r="KB19" s="479">
        <f t="shared" si="289"/>
        <v>0</v>
      </c>
      <c r="KC19" s="479">
        <f t="shared" si="289"/>
        <v>0</v>
      </c>
      <c r="KD19" s="479">
        <f t="shared" si="289"/>
        <v>0</v>
      </c>
      <c r="KE19" s="479">
        <f t="shared" si="289"/>
        <v>0</v>
      </c>
      <c r="KF19" s="479">
        <f t="shared" si="289"/>
        <v>0</v>
      </c>
      <c r="KG19" s="479">
        <f t="shared" si="289"/>
        <v>0</v>
      </c>
      <c r="KH19" s="479">
        <f t="shared" si="289"/>
        <v>0</v>
      </c>
      <c r="KI19" s="479">
        <f t="shared" si="289"/>
        <v>0</v>
      </c>
      <c r="KJ19" s="479">
        <f t="shared" si="289"/>
        <v>0</v>
      </c>
      <c r="KK19" s="479">
        <f t="shared" si="289"/>
        <v>0</v>
      </c>
      <c r="KL19" s="479">
        <f t="shared" si="289"/>
        <v>0</v>
      </c>
      <c r="KM19" s="479">
        <f t="shared" si="289"/>
        <v>0</v>
      </c>
      <c r="KN19" s="479">
        <f t="shared" si="289"/>
        <v>0</v>
      </c>
      <c r="KO19" s="479">
        <f t="shared" si="289"/>
        <v>0</v>
      </c>
      <c r="KP19" s="479">
        <f t="shared" si="289"/>
        <v>0</v>
      </c>
      <c r="KQ19" s="479">
        <f t="shared" si="289"/>
        <v>0</v>
      </c>
      <c r="KR19" s="479">
        <f t="shared" si="289"/>
        <v>0</v>
      </c>
      <c r="KS19" s="479">
        <f t="shared" si="289"/>
        <v>0</v>
      </c>
      <c r="KT19" s="479">
        <f t="shared" si="289"/>
        <v>0</v>
      </c>
      <c r="KU19" s="479">
        <f t="shared" si="289"/>
        <v>0</v>
      </c>
      <c r="KV19" s="479">
        <f t="shared" si="289"/>
        <v>0</v>
      </c>
      <c r="KW19" s="479">
        <f t="shared" si="289"/>
        <v>0</v>
      </c>
      <c r="KX19" s="479">
        <f t="shared" si="289"/>
        <v>0</v>
      </c>
      <c r="KY19" s="479">
        <f t="shared" si="289"/>
        <v>0</v>
      </c>
      <c r="KZ19" s="479">
        <f t="shared" si="289"/>
        <v>0</v>
      </c>
      <c r="LA19" s="479">
        <f t="shared" si="289"/>
        <v>0</v>
      </c>
      <c r="LB19" s="479">
        <f t="shared" si="289"/>
        <v>0</v>
      </c>
      <c r="LC19" s="479">
        <f t="shared" si="289"/>
        <v>0</v>
      </c>
      <c r="LD19" s="479">
        <f t="shared" si="289"/>
        <v>0</v>
      </c>
      <c r="LE19" s="479">
        <f t="shared" si="289"/>
        <v>0</v>
      </c>
      <c r="LF19" s="479">
        <f t="shared" si="289"/>
        <v>0</v>
      </c>
      <c r="LG19" s="479">
        <f t="shared" si="289"/>
        <v>0</v>
      </c>
      <c r="LH19" s="479">
        <f t="shared" si="289"/>
        <v>0</v>
      </c>
      <c r="LI19" s="479">
        <f t="shared" si="289"/>
        <v>0</v>
      </c>
      <c r="LJ19" s="479">
        <f t="shared" si="289"/>
        <v>0</v>
      </c>
      <c r="LK19" s="479">
        <f t="shared" si="289"/>
        <v>0</v>
      </c>
      <c r="LL19" s="479">
        <f t="shared" si="289"/>
        <v>0</v>
      </c>
      <c r="LM19" s="479">
        <f t="shared" si="289"/>
        <v>0</v>
      </c>
      <c r="LN19" s="479">
        <f t="shared" si="289"/>
        <v>0</v>
      </c>
      <c r="LO19" s="479">
        <f t="shared" si="289"/>
        <v>0</v>
      </c>
      <c r="LP19" s="479">
        <f t="shared" si="289"/>
        <v>0</v>
      </c>
      <c r="LQ19" s="479">
        <f t="shared" si="289"/>
        <v>0</v>
      </c>
      <c r="LR19" s="479">
        <f t="shared" si="289"/>
        <v>0</v>
      </c>
      <c r="LS19" s="479">
        <f t="shared" si="290"/>
        <v>0</v>
      </c>
      <c r="LT19" s="479">
        <f t="shared" si="290"/>
        <v>0</v>
      </c>
      <c r="LU19" s="479">
        <f t="shared" si="290"/>
        <v>0</v>
      </c>
      <c r="LV19" s="479">
        <f t="shared" si="290"/>
        <v>0</v>
      </c>
      <c r="LW19" s="479">
        <f t="shared" si="290"/>
        <v>0</v>
      </c>
      <c r="LX19" s="479">
        <f t="shared" si="290"/>
        <v>0</v>
      </c>
      <c r="LY19" s="479">
        <f t="shared" si="290"/>
        <v>0</v>
      </c>
      <c r="LZ19" s="479">
        <f t="shared" si="290"/>
        <v>0</v>
      </c>
      <c r="MA19" s="479">
        <f t="shared" si="290"/>
        <v>0</v>
      </c>
      <c r="MB19" s="479">
        <f t="shared" si="290"/>
        <v>0</v>
      </c>
      <c r="MC19" s="479">
        <f t="shared" si="290"/>
        <v>0</v>
      </c>
      <c r="MD19" s="479">
        <f t="shared" si="290"/>
        <v>0</v>
      </c>
      <c r="ME19" s="479">
        <f t="shared" si="290"/>
        <v>0</v>
      </c>
      <c r="MF19" s="479">
        <f t="shared" si="290"/>
        <v>0</v>
      </c>
      <c r="MG19" s="479">
        <f t="shared" si="290"/>
        <v>0</v>
      </c>
      <c r="MH19" s="479">
        <f t="shared" si="290"/>
        <v>0</v>
      </c>
      <c r="MI19" s="479">
        <f t="shared" si="290"/>
        <v>0</v>
      </c>
      <c r="MJ19" s="479">
        <f t="shared" si="290"/>
        <v>0</v>
      </c>
      <c r="MK19" s="479">
        <f t="shared" si="290"/>
        <v>0</v>
      </c>
      <c r="ML19" s="479">
        <f t="shared" si="290"/>
        <v>0</v>
      </c>
      <c r="MM19" s="479">
        <f t="shared" si="290"/>
        <v>0</v>
      </c>
      <c r="MN19" s="479">
        <f t="shared" si="290"/>
        <v>0</v>
      </c>
      <c r="MO19" s="479">
        <f t="shared" si="290"/>
        <v>0</v>
      </c>
      <c r="MP19" s="479">
        <f t="shared" si="290"/>
        <v>0</v>
      </c>
      <c r="MQ19" s="479">
        <f t="shared" si="290"/>
        <v>0</v>
      </c>
      <c r="MR19" s="479">
        <f t="shared" si="290"/>
        <v>0</v>
      </c>
      <c r="MS19" s="479">
        <f t="shared" si="290"/>
        <v>0</v>
      </c>
      <c r="MT19" s="479">
        <f t="shared" si="290"/>
        <v>0</v>
      </c>
      <c r="MU19" s="479">
        <f t="shared" si="290"/>
        <v>0</v>
      </c>
      <c r="MV19" s="479">
        <f t="shared" si="290"/>
        <v>0</v>
      </c>
      <c r="MW19" s="479">
        <f t="shared" si="290"/>
        <v>0</v>
      </c>
      <c r="MX19" s="479">
        <f t="shared" si="290"/>
        <v>0</v>
      </c>
      <c r="MY19" s="479">
        <f t="shared" si="290"/>
        <v>0</v>
      </c>
      <c r="MZ19" s="479">
        <f t="shared" si="290"/>
        <v>0</v>
      </c>
      <c r="NA19" s="479">
        <f t="shared" si="290"/>
        <v>0</v>
      </c>
      <c r="NB19" s="479">
        <f t="shared" si="290"/>
        <v>0</v>
      </c>
      <c r="NC19" s="479">
        <f t="shared" si="290"/>
        <v>0</v>
      </c>
      <c r="ND19" s="479">
        <f t="shared" si="290"/>
        <v>0</v>
      </c>
      <c r="NE19" s="479">
        <f t="shared" si="290"/>
        <v>0</v>
      </c>
      <c r="NF19" s="479">
        <f t="shared" si="290"/>
        <v>0</v>
      </c>
      <c r="NG19" s="479">
        <f t="shared" si="290"/>
        <v>0</v>
      </c>
      <c r="NH19" s="479">
        <f t="shared" si="290"/>
        <v>0</v>
      </c>
      <c r="NI19" s="479">
        <f t="shared" si="290"/>
        <v>0</v>
      </c>
      <c r="NJ19" s="479">
        <f t="shared" si="290"/>
        <v>0</v>
      </c>
      <c r="NK19" s="479">
        <f t="shared" si="290"/>
        <v>0</v>
      </c>
      <c r="NL19" s="479">
        <f t="shared" si="290"/>
        <v>0</v>
      </c>
      <c r="NM19" s="479">
        <f t="shared" si="290"/>
        <v>0</v>
      </c>
      <c r="NN19" s="479">
        <f t="shared" si="290"/>
        <v>0</v>
      </c>
      <c r="NO19" s="479">
        <f t="shared" si="290"/>
        <v>0</v>
      </c>
      <c r="NP19" s="479">
        <f t="shared" si="290"/>
        <v>0</v>
      </c>
      <c r="NQ19" s="479">
        <f t="shared" si="290"/>
        <v>0</v>
      </c>
      <c r="NR19" s="479">
        <f t="shared" si="290"/>
        <v>0</v>
      </c>
      <c r="NS19" s="479">
        <f t="shared" si="290"/>
        <v>0</v>
      </c>
      <c r="NT19" s="479">
        <f t="shared" si="290"/>
        <v>0</v>
      </c>
      <c r="NU19" s="479">
        <f t="shared" si="290"/>
        <v>0</v>
      </c>
      <c r="NV19" s="479">
        <f t="shared" si="290"/>
        <v>0</v>
      </c>
      <c r="NW19" s="479">
        <f t="shared" si="290"/>
        <v>0</v>
      </c>
      <c r="NX19" s="479">
        <f t="shared" si="290"/>
        <v>0</v>
      </c>
      <c r="NY19" s="479">
        <f t="shared" si="290"/>
        <v>0</v>
      </c>
      <c r="NZ19" s="479">
        <f t="shared" si="290"/>
        <v>0</v>
      </c>
      <c r="OA19" s="479">
        <f t="shared" si="290"/>
        <v>0</v>
      </c>
      <c r="OB19" s="479">
        <f t="shared" si="290"/>
        <v>0</v>
      </c>
      <c r="OC19" s="479">
        <f t="shared" si="290"/>
        <v>0</v>
      </c>
      <c r="OD19" s="479">
        <f t="shared" si="290"/>
        <v>0</v>
      </c>
      <c r="OE19" s="479">
        <f t="shared" si="291"/>
        <v>0</v>
      </c>
      <c r="OF19" s="479">
        <f t="shared" si="291"/>
        <v>0</v>
      </c>
      <c r="OG19" s="479">
        <f t="shared" si="291"/>
        <v>0</v>
      </c>
      <c r="OH19" s="479">
        <f t="shared" si="291"/>
        <v>0</v>
      </c>
      <c r="OI19" s="479">
        <f t="shared" si="291"/>
        <v>0</v>
      </c>
      <c r="OJ19" s="479">
        <f t="shared" si="291"/>
        <v>0</v>
      </c>
      <c r="OK19" s="479">
        <f t="shared" si="291"/>
        <v>0</v>
      </c>
      <c r="OL19" s="479">
        <f t="shared" si="291"/>
        <v>0</v>
      </c>
      <c r="OM19" s="479">
        <f t="shared" si="291"/>
        <v>0</v>
      </c>
      <c r="ON19" s="479">
        <f t="shared" si="291"/>
        <v>0</v>
      </c>
      <c r="OO19" s="479">
        <f t="shared" si="291"/>
        <v>0</v>
      </c>
    </row>
    <row r="20" spans="2:405">
      <c r="B20" s="97" t="str">
        <f>Assumptions!B83</f>
        <v>Community Space</v>
      </c>
      <c r="C20" s="97"/>
      <c r="D20" s="500">
        <f>Assumptions!C83</f>
        <v>6300000</v>
      </c>
      <c r="E20" s="507">
        <f>Assumptions!$C$10</f>
        <v>46418</v>
      </c>
      <c r="F20" s="507">
        <f>EOMONTH(E20,Assumptions!$C$11-1)</f>
        <v>47118</v>
      </c>
      <c r="G20" s="97">
        <f t="shared" si="284"/>
        <v>24</v>
      </c>
      <c r="H20" s="97"/>
      <c r="I20" s="97"/>
      <c r="J20" s="479">
        <f t="shared" si="292"/>
        <v>0</v>
      </c>
      <c r="K20" s="479">
        <f t="shared" si="285"/>
        <v>0</v>
      </c>
      <c r="L20" s="479">
        <f t="shared" si="285"/>
        <v>0</v>
      </c>
      <c r="M20" s="479">
        <f t="shared" si="285"/>
        <v>0</v>
      </c>
      <c r="N20" s="479">
        <f t="shared" si="285"/>
        <v>0</v>
      </c>
      <c r="O20" s="479">
        <f t="shared" si="285"/>
        <v>0</v>
      </c>
      <c r="P20" s="479">
        <f t="shared" si="285"/>
        <v>-262500</v>
      </c>
      <c r="Q20" s="479">
        <f t="shared" si="285"/>
        <v>-262500</v>
      </c>
      <c r="R20" s="479">
        <f t="shared" si="285"/>
        <v>-262500</v>
      </c>
      <c r="S20" s="479">
        <f t="shared" si="285"/>
        <v>-262500</v>
      </c>
      <c r="T20" s="479">
        <f t="shared" si="285"/>
        <v>-262500</v>
      </c>
      <c r="U20" s="479">
        <f t="shared" si="285"/>
        <v>-262500</v>
      </c>
      <c r="V20" s="479">
        <f t="shared" si="285"/>
        <v>-262500</v>
      </c>
      <c r="W20" s="479">
        <f t="shared" si="285"/>
        <v>-262500</v>
      </c>
      <c r="X20" s="479">
        <f t="shared" si="285"/>
        <v>-262500</v>
      </c>
      <c r="Y20" s="479">
        <f t="shared" si="285"/>
        <v>-262500</v>
      </c>
      <c r="Z20" s="479">
        <f t="shared" si="285"/>
        <v>-262500</v>
      </c>
      <c r="AA20" s="479">
        <f t="shared" si="285"/>
        <v>-262500</v>
      </c>
      <c r="AB20" s="479">
        <f t="shared" si="285"/>
        <v>-262500</v>
      </c>
      <c r="AC20" s="479">
        <f t="shared" si="285"/>
        <v>-262500</v>
      </c>
      <c r="AD20" s="479">
        <f t="shared" si="285"/>
        <v>-262500</v>
      </c>
      <c r="AE20" s="479">
        <f t="shared" si="285"/>
        <v>-262500</v>
      </c>
      <c r="AF20" s="479">
        <f t="shared" si="285"/>
        <v>-262500</v>
      </c>
      <c r="AG20" s="479">
        <f t="shared" si="285"/>
        <v>-262500</v>
      </c>
      <c r="AH20" s="479">
        <f t="shared" si="285"/>
        <v>-262500</v>
      </c>
      <c r="AI20" s="479">
        <f t="shared" si="285"/>
        <v>-262500</v>
      </c>
      <c r="AJ20" s="479">
        <f t="shared" si="285"/>
        <v>-262500</v>
      </c>
      <c r="AK20" s="479">
        <f t="shared" si="285"/>
        <v>-262500</v>
      </c>
      <c r="AL20" s="479">
        <f t="shared" si="285"/>
        <v>-262500</v>
      </c>
      <c r="AM20" s="479">
        <f t="shared" si="285"/>
        <v>-262500</v>
      </c>
      <c r="AN20" s="479">
        <f t="shared" si="285"/>
        <v>0</v>
      </c>
      <c r="AO20" s="479">
        <f t="shared" si="285"/>
        <v>0</v>
      </c>
      <c r="AP20" s="479">
        <f t="shared" si="285"/>
        <v>0</v>
      </c>
      <c r="AQ20" s="479">
        <f t="shared" si="285"/>
        <v>0</v>
      </c>
      <c r="AR20" s="479">
        <f t="shared" si="285"/>
        <v>0</v>
      </c>
      <c r="AS20" s="479">
        <f t="shared" si="285"/>
        <v>0</v>
      </c>
      <c r="AT20" s="479">
        <f t="shared" si="285"/>
        <v>0</v>
      </c>
      <c r="AU20" s="479">
        <f t="shared" si="285"/>
        <v>0</v>
      </c>
      <c r="AV20" s="479">
        <f t="shared" si="285"/>
        <v>0</v>
      </c>
      <c r="AW20" s="479">
        <f t="shared" si="285"/>
        <v>0</v>
      </c>
      <c r="AX20" s="479">
        <f t="shared" si="285"/>
        <v>0</v>
      </c>
      <c r="AY20" s="479">
        <f t="shared" si="285"/>
        <v>0</v>
      </c>
      <c r="AZ20" s="479">
        <f t="shared" si="285"/>
        <v>0</v>
      </c>
      <c r="BA20" s="479">
        <f t="shared" si="285"/>
        <v>0</v>
      </c>
      <c r="BB20" s="479">
        <f t="shared" si="285"/>
        <v>0</v>
      </c>
      <c r="BC20" s="479">
        <f t="shared" si="285"/>
        <v>0</v>
      </c>
      <c r="BD20" s="479">
        <f t="shared" si="285"/>
        <v>0</v>
      </c>
      <c r="BE20" s="479">
        <f t="shared" si="285"/>
        <v>0</v>
      </c>
      <c r="BF20" s="479">
        <f t="shared" si="285"/>
        <v>0</v>
      </c>
      <c r="BG20" s="479">
        <f t="shared" si="285"/>
        <v>0</v>
      </c>
      <c r="BH20" s="479">
        <f t="shared" si="285"/>
        <v>0</v>
      </c>
      <c r="BI20" s="479">
        <f t="shared" si="285"/>
        <v>0</v>
      </c>
      <c r="BJ20" s="479">
        <f t="shared" si="285"/>
        <v>0</v>
      </c>
      <c r="BK20" s="479">
        <f t="shared" si="285"/>
        <v>0</v>
      </c>
      <c r="BL20" s="479">
        <f t="shared" si="285"/>
        <v>0</v>
      </c>
      <c r="BM20" s="479">
        <f t="shared" si="285"/>
        <v>0</v>
      </c>
      <c r="BN20" s="479">
        <f t="shared" si="285"/>
        <v>0</v>
      </c>
      <c r="BO20" s="479">
        <f t="shared" si="285"/>
        <v>0</v>
      </c>
      <c r="BP20" s="479">
        <f t="shared" si="285"/>
        <v>0</v>
      </c>
      <c r="BQ20" s="479">
        <f t="shared" si="285"/>
        <v>0</v>
      </c>
      <c r="BR20" s="479">
        <f t="shared" si="285"/>
        <v>0</v>
      </c>
      <c r="BS20" s="479">
        <f t="shared" si="285"/>
        <v>0</v>
      </c>
      <c r="BT20" s="479">
        <f t="shared" si="285"/>
        <v>0</v>
      </c>
      <c r="BU20" s="479">
        <f t="shared" si="285"/>
        <v>0</v>
      </c>
      <c r="BV20" s="479">
        <f t="shared" ref="K20:BV24" si="293">-IF(BV$7&gt;=$E20,IF(BV$7&lt;=$F20,$D20/$G20,0),0)</f>
        <v>0</v>
      </c>
      <c r="BW20" s="479">
        <f t="shared" si="286"/>
        <v>0</v>
      </c>
      <c r="BX20" s="479">
        <f t="shared" si="286"/>
        <v>0</v>
      </c>
      <c r="BY20" s="479">
        <f t="shared" si="286"/>
        <v>0</v>
      </c>
      <c r="BZ20" s="479">
        <f t="shared" si="286"/>
        <v>0</v>
      </c>
      <c r="CA20" s="479">
        <f t="shared" si="286"/>
        <v>0</v>
      </c>
      <c r="CB20" s="479">
        <f t="shared" si="286"/>
        <v>0</v>
      </c>
      <c r="CC20" s="479">
        <f t="shared" si="286"/>
        <v>0</v>
      </c>
      <c r="CD20" s="479">
        <f t="shared" si="286"/>
        <v>0</v>
      </c>
      <c r="CE20" s="479">
        <f t="shared" si="286"/>
        <v>0</v>
      </c>
      <c r="CF20" s="479">
        <f t="shared" si="286"/>
        <v>0</v>
      </c>
      <c r="CG20" s="479">
        <f t="shared" si="286"/>
        <v>0</v>
      </c>
      <c r="CH20" s="479">
        <f t="shared" si="286"/>
        <v>0</v>
      </c>
      <c r="CI20" s="479">
        <f t="shared" si="286"/>
        <v>0</v>
      </c>
      <c r="CJ20" s="479">
        <f t="shared" si="286"/>
        <v>0</v>
      </c>
      <c r="CK20" s="479">
        <f t="shared" si="286"/>
        <v>0</v>
      </c>
      <c r="CL20" s="479">
        <f t="shared" si="286"/>
        <v>0</v>
      </c>
      <c r="CM20" s="479">
        <f t="shared" si="286"/>
        <v>0</v>
      </c>
      <c r="CN20" s="479">
        <f t="shared" si="286"/>
        <v>0</v>
      </c>
      <c r="CO20" s="479">
        <f t="shared" si="286"/>
        <v>0</v>
      </c>
      <c r="CP20" s="479">
        <f t="shared" si="286"/>
        <v>0</v>
      </c>
      <c r="CQ20" s="479">
        <f t="shared" si="286"/>
        <v>0</v>
      </c>
      <c r="CR20" s="479">
        <f t="shared" si="286"/>
        <v>0</v>
      </c>
      <c r="CS20" s="479">
        <f t="shared" si="286"/>
        <v>0</v>
      </c>
      <c r="CT20" s="479">
        <f t="shared" si="286"/>
        <v>0</v>
      </c>
      <c r="CU20" s="479">
        <f t="shared" si="286"/>
        <v>0</v>
      </c>
      <c r="CV20" s="479">
        <f t="shared" si="286"/>
        <v>0</v>
      </c>
      <c r="CW20" s="479">
        <f t="shared" si="286"/>
        <v>0</v>
      </c>
      <c r="CX20" s="479">
        <f t="shared" si="286"/>
        <v>0</v>
      </c>
      <c r="CY20" s="479">
        <f t="shared" si="286"/>
        <v>0</v>
      </c>
      <c r="CZ20" s="479">
        <f t="shared" si="286"/>
        <v>0</v>
      </c>
      <c r="DA20" s="479">
        <f t="shared" si="286"/>
        <v>0</v>
      </c>
      <c r="DB20" s="479">
        <f t="shared" si="286"/>
        <v>0</v>
      </c>
      <c r="DC20" s="479">
        <f t="shared" si="286"/>
        <v>0</v>
      </c>
      <c r="DD20" s="479">
        <f t="shared" si="286"/>
        <v>0</v>
      </c>
      <c r="DE20" s="479">
        <f t="shared" si="286"/>
        <v>0</v>
      </c>
      <c r="DF20" s="479">
        <f t="shared" si="286"/>
        <v>0</v>
      </c>
      <c r="DG20" s="479">
        <f t="shared" si="286"/>
        <v>0</v>
      </c>
      <c r="DH20" s="479">
        <f t="shared" si="286"/>
        <v>0</v>
      </c>
      <c r="DI20" s="479">
        <f t="shared" si="286"/>
        <v>0</v>
      </c>
      <c r="DJ20" s="479">
        <f t="shared" si="286"/>
        <v>0</v>
      </c>
      <c r="DK20" s="479">
        <f t="shared" si="286"/>
        <v>0</v>
      </c>
      <c r="DL20" s="479">
        <f t="shared" si="286"/>
        <v>0</v>
      </c>
      <c r="DM20" s="479">
        <f t="shared" si="286"/>
        <v>0</v>
      </c>
      <c r="DN20" s="479">
        <f t="shared" si="286"/>
        <v>0</v>
      </c>
      <c r="DO20" s="479">
        <f t="shared" si="286"/>
        <v>0</v>
      </c>
      <c r="DP20" s="479">
        <f t="shared" si="286"/>
        <v>0</v>
      </c>
      <c r="DQ20" s="479">
        <f t="shared" si="286"/>
        <v>0</v>
      </c>
      <c r="DR20" s="479">
        <f t="shared" si="286"/>
        <v>0</v>
      </c>
      <c r="DS20" s="479">
        <f t="shared" si="286"/>
        <v>0</v>
      </c>
      <c r="DT20" s="479">
        <f t="shared" si="286"/>
        <v>0</v>
      </c>
      <c r="DU20" s="479">
        <f t="shared" si="286"/>
        <v>0</v>
      </c>
      <c r="DV20" s="479">
        <f t="shared" si="286"/>
        <v>0</v>
      </c>
      <c r="DW20" s="479">
        <f t="shared" si="286"/>
        <v>0</v>
      </c>
      <c r="DX20" s="479">
        <f t="shared" si="286"/>
        <v>0</v>
      </c>
      <c r="DY20" s="479">
        <f t="shared" si="286"/>
        <v>0</v>
      </c>
      <c r="DZ20" s="479">
        <f t="shared" si="286"/>
        <v>0</v>
      </c>
      <c r="EA20" s="479">
        <f t="shared" si="286"/>
        <v>0</v>
      </c>
      <c r="EB20" s="479">
        <f t="shared" si="286"/>
        <v>0</v>
      </c>
      <c r="EC20" s="479">
        <f t="shared" si="286"/>
        <v>0</v>
      </c>
      <c r="ED20" s="479">
        <f t="shared" si="286"/>
        <v>0</v>
      </c>
      <c r="EE20" s="479">
        <f t="shared" si="286"/>
        <v>0</v>
      </c>
      <c r="EF20" s="479">
        <f t="shared" si="286"/>
        <v>0</v>
      </c>
      <c r="EG20" s="479">
        <f t="shared" si="286"/>
        <v>0</v>
      </c>
      <c r="EH20" s="479">
        <f t="shared" ref="BW20:EH24" si="294">-IF(EH$7&gt;=$E20,IF(EH$7&lt;=$F20,$D20/$G20,0),0)</f>
        <v>0</v>
      </c>
      <c r="EI20" s="479">
        <f t="shared" si="287"/>
        <v>0</v>
      </c>
      <c r="EJ20" s="479">
        <f t="shared" si="287"/>
        <v>0</v>
      </c>
      <c r="EK20" s="479">
        <f t="shared" si="287"/>
        <v>0</v>
      </c>
      <c r="EL20" s="479">
        <f t="shared" si="287"/>
        <v>0</v>
      </c>
      <c r="EM20" s="479">
        <f t="shared" si="287"/>
        <v>0</v>
      </c>
      <c r="EN20" s="479">
        <f t="shared" si="287"/>
        <v>0</v>
      </c>
      <c r="EO20" s="479">
        <f t="shared" si="287"/>
        <v>0</v>
      </c>
      <c r="EP20" s="479">
        <f t="shared" si="287"/>
        <v>0</v>
      </c>
      <c r="EQ20" s="479">
        <f t="shared" si="287"/>
        <v>0</v>
      </c>
      <c r="ER20" s="479">
        <f t="shared" si="287"/>
        <v>0</v>
      </c>
      <c r="ES20" s="479">
        <f t="shared" si="287"/>
        <v>0</v>
      </c>
      <c r="ET20" s="479">
        <f t="shared" si="287"/>
        <v>0</v>
      </c>
      <c r="EU20" s="479">
        <f t="shared" si="287"/>
        <v>0</v>
      </c>
      <c r="EV20" s="479">
        <f t="shared" si="287"/>
        <v>0</v>
      </c>
      <c r="EW20" s="479">
        <f t="shared" si="287"/>
        <v>0</v>
      </c>
      <c r="EX20" s="479">
        <f t="shared" si="287"/>
        <v>0</v>
      </c>
      <c r="EY20" s="479">
        <f t="shared" si="287"/>
        <v>0</v>
      </c>
      <c r="EZ20" s="479">
        <f t="shared" si="287"/>
        <v>0</v>
      </c>
      <c r="FA20" s="479">
        <f t="shared" si="287"/>
        <v>0</v>
      </c>
      <c r="FB20" s="479">
        <f t="shared" si="287"/>
        <v>0</v>
      </c>
      <c r="FC20" s="479">
        <f t="shared" si="287"/>
        <v>0</v>
      </c>
      <c r="FD20" s="479">
        <f t="shared" si="287"/>
        <v>0</v>
      </c>
      <c r="FE20" s="479">
        <f t="shared" si="287"/>
        <v>0</v>
      </c>
      <c r="FF20" s="479">
        <f t="shared" si="287"/>
        <v>0</v>
      </c>
      <c r="FG20" s="479">
        <f t="shared" si="287"/>
        <v>0</v>
      </c>
      <c r="FH20" s="479">
        <f t="shared" si="287"/>
        <v>0</v>
      </c>
      <c r="FI20" s="479">
        <f t="shared" si="287"/>
        <v>0</v>
      </c>
      <c r="FJ20" s="479">
        <f t="shared" si="287"/>
        <v>0</v>
      </c>
      <c r="FK20" s="479">
        <f t="shared" si="287"/>
        <v>0</v>
      </c>
      <c r="FL20" s="479">
        <f t="shared" si="287"/>
        <v>0</v>
      </c>
      <c r="FM20" s="479">
        <f t="shared" si="287"/>
        <v>0</v>
      </c>
      <c r="FN20" s="479">
        <f t="shared" si="287"/>
        <v>0</v>
      </c>
      <c r="FO20" s="479">
        <f t="shared" si="287"/>
        <v>0</v>
      </c>
      <c r="FP20" s="479">
        <f t="shared" si="287"/>
        <v>0</v>
      </c>
      <c r="FQ20" s="479">
        <f t="shared" si="287"/>
        <v>0</v>
      </c>
      <c r="FR20" s="479">
        <f t="shared" si="287"/>
        <v>0</v>
      </c>
      <c r="FS20" s="479">
        <f t="shared" si="287"/>
        <v>0</v>
      </c>
      <c r="FT20" s="479">
        <f t="shared" si="287"/>
        <v>0</v>
      </c>
      <c r="FU20" s="479">
        <f t="shared" si="287"/>
        <v>0</v>
      </c>
      <c r="FV20" s="479">
        <f t="shared" si="287"/>
        <v>0</v>
      </c>
      <c r="FW20" s="479">
        <f t="shared" si="287"/>
        <v>0</v>
      </c>
      <c r="FX20" s="479">
        <f t="shared" si="287"/>
        <v>0</v>
      </c>
      <c r="FY20" s="479">
        <f t="shared" si="287"/>
        <v>0</v>
      </c>
      <c r="FZ20" s="479">
        <f t="shared" si="287"/>
        <v>0</v>
      </c>
      <c r="GA20" s="479">
        <f t="shared" si="287"/>
        <v>0</v>
      </c>
      <c r="GB20" s="479">
        <f t="shared" si="287"/>
        <v>0</v>
      </c>
      <c r="GC20" s="479">
        <f t="shared" si="287"/>
        <v>0</v>
      </c>
      <c r="GD20" s="479">
        <f t="shared" si="287"/>
        <v>0</v>
      </c>
      <c r="GE20" s="479">
        <f t="shared" si="287"/>
        <v>0</v>
      </c>
      <c r="GF20" s="479">
        <f t="shared" si="287"/>
        <v>0</v>
      </c>
      <c r="GG20" s="479">
        <f t="shared" si="287"/>
        <v>0</v>
      </c>
      <c r="GH20" s="479">
        <f t="shared" si="287"/>
        <v>0</v>
      </c>
      <c r="GI20" s="479">
        <f t="shared" si="287"/>
        <v>0</v>
      </c>
      <c r="GJ20" s="479">
        <f t="shared" si="287"/>
        <v>0</v>
      </c>
      <c r="GK20" s="479">
        <f t="shared" si="287"/>
        <v>0</v>
      </c>
      <c r="GL20" s="479">
        <f t="shared" si="287"/>
        <v>0</v>
      </c>
      <c r="GM20" s="479">
        <f t="shared" si="287"/>
        <v>0</v>
      </c>
      <c r="GN20" s="479">
        <f t="shared" si="287"/>
        <v>0</v>
      </c>
      <c r="GO20" s="479">
        <f t="shared" si="287"/>
        <v>0</v>
      </c>
      <c r="GP20" s="479">
        <f t="shared" si="287"/>
        <v>0</v>
      </c>
      <c r="GQ20" s="479">
        <f t="shared" si="287"/>
        <v>0</v>
      </c>
      <c r="GR20" s="479">
        <f t="shared" si="287"/>
        <v>0</v>
      </c>
      <c r="GS20" s="479">
        <f t="shared" si="287"/>
        <v>0</v>
      </c>
      <c r="GT20" s="479">
        <f t="shared" ref="EI20:GT24" si="295">-IF(GT$7&gt;=$E20,IF(GT$7&lt;=$F20,$D20/$G20,0),0)</f>
        <v>0</v>
      </c>
      <c r="GU20" s="479">
        <f t="shared" si="288"/>
        <v>0</v>
      </c>
      <c r="GV20" s="479">
        <f t="shared" si="288"/>
        <v>0</v>
      </c>
      <c r="GW20" s="479">
        <f t="shared" si="288"/>
        <v>0</v>
      </c>
      <c r="GX20" s="479">
        <f t="shared" si="288"/>
        <v>0</v>
      </c>
      <c r="GY20" s="479">
        <f t="shared" si="288"/>
        <v>0</v>
      </c>
      <c r="GZ20" s="479">
        <f t="shared" si="288"/>
        <v>0</v>
      </c>
      <c r="HA20" s="479">
        <f t="shared" si="288"/>
        <v>0</v>
      </c>
      <c r="HB20" s="479">
        <f t="shared" si="288"/>
        <v>0</v>
      </c>
      <c r="HC20" s="479">
        <f t="shared" si="288"/>
        <v>0</v>
      </c>
      <c r="HD20" s="479">
        <f t="shared" si="288"/>
        <v>0</v>
      </c>
      <c r="HE20" s="479">
        <f t="shared" si="288"/>
        <v>0</v>
      </c>
      <c r="HF20" s="479">
        <f t="shared" si="288"/>
        <v>0</v>
      </c>
      <c r="HG20" s="479">
        <f t="shared" si="288"/>
        <v>0</v>
      </c>
      <c r="HH20" s="479">
        <f t="shared" si="288"/>
        <v>0</v>
      </c>
      <c r="HI20" s="479">
        <f t="shared" si="288"/>
        <v>0</v>
      </c>
      <c r="HJ20" s="479">
        <f t="shared" si="288"/>
        <v>0</v>
      </c>
      <c r="HK20" s="479">
        <f t="shared" si="288"/>
        <v>0</v>
      </c>
      <c r="HL20" s="479">
        <f t="shared" si="288"/>
        <v>0</v>
      </c>
      <c r="HM20" s="479">
        <f t="shared" si="288"/>
        <v>0</v>
      </c>
      <c r="HN20" s="479">
        <f t="shared" si="288"/>
        <v>0</v>
      </c>
      <c r="HO20" s="479">
        <f t="shared" si="288"/>
        <v>0</v>
      </c>
      <c r="HP20" s="479">
        <f t="shared" si="288"/>
        <v>0</v>
      </c>
      <c r="HQ20" s="479">
        <f t="shared" si="288"/>
        <v>0</v>
      </c>
      <c r="HR20" s="479">
        <f t="shared" si="288"/>
        <v>0</v>
      </c>
      <c r="HS20" s="479">
        <f t="shared" si="288"/>
        <v>0</v>
      </c>
      <c r="HT20" s="479">
        <f t="shared" si="288"/>
        <v>0</v>
      </c>
      <c r="HU20" s="479">
        <f t="shared" si="288"/>
        <v>0</v>
      </c>
      <c r="HV20" s="479">
        <f t="shared" si="288"/>
        <v>0</v>
      </c>
      <c r="HW20" s="479">
        <f t="shared" si="288"/>
        <v>0</v>
      </c>
      <c r="HX20" s="479">
        <f t="shared" si="288"/>
        <v>0</v>
      </c>
      <c r="HY20" s="479">
        <f t="shared" si="288"/>
        <v>0</v>
      </c>
      <c r="HZ20" s="479">
        <f t="shared" si="288"/>
        <v>0</v>
      </c>
      <c r="IA20" s="479">
        <f t="shared" si="288"/>
        <v>0</v>
      </c>
      <c r="IB20" s="479">
        <f t="shared" si="288"/>
        <v>0</v>
      </c>
      <c r="IC20" s="479">
        <f t="shared" si="288"/>
        <v>0</v>
      </c>
      <c r="ID20" s="479">
        <f t="shared" si="288"/>
        <v>0</v>
      </c>
      <c r="IE20" s="479">
        <f t="shared" si="288"/>
        <v>0</v>
      </c>
      <c r="IF20" s="479">
        <f t="shared" si="288"/>
        <v>0</v>
      </c>
      <c r="IG20" s="479">
        <f t="shared" si="288"/>
        <v>0</v>
      </c>
      <c r="IH20" s="479">
        <f t="shared" si="288"/>
        <v>0</v>
      </c>
      <c r="II20" s="479">
        <f t="shared" si="288"/>
        <v>0</v>
      </c>
      <c r="IJ20" s="479">
        <f t="shared" si="288"/>
        <v>0</v>
      </c>
      <c r="IK20" s="479">
        <f t="shared" si="288"/>
        <v>0</v>
      </c>
      <c r="IL20" s="479">
        <f t="shared" si="288"/>
        <v>0</v>
      </c>
      <c r="IM20" s="479">
        <f t="shared" si="288"/>
        <v>0</v>
      </c>
      <c r="IN20" s="479">
        <f t="shared" si="288"/>
        <v>0</v>
      </c>
      <c r="IO20" s="479">
        <f t="shared" si="288"/>
        <v>0</v>
      </c>
      <c r="IP20" s="479">
        <f t="shared" si="288"/>
        <v>0</v>
      </c>
      <c r="IQ20" s="479">
        <f t="shared" si="288"/>
        <v>0</v>
      </c>
      <c r="IR20" s="479">
        <f t="shared" si="288"/>
        <v>0</v>
      </c>
      <c r="IS20" s="479">
        <f t="shared" si="288"/>
        <v>0</v>
      </c>
      <c r="IT20" s="479">
        <f t="shared" si="288"/>
        <v>0</v>
      </c>
      <c r="IU20" s="479">
        <f t="shared" si="288"/>
        <v>0</v>
      </c>
      <c r="IV20" s="479">
        <f t="shared" si="288"/>
        <v>0</v>
      </c>
      <c r="IW20" s="479">
        <f t="shared" si="288"/>
        <v>0</v>
      </c>
      <c r="IX20" s="479">
        <f t="shared" si="288"/>
        <v>0</v>
      </c>
      <c r="IY20" s="479">
        <f t="shared" si="288"/>
        <v>0</v>
      </c>
      <c r="IZ20" s="479">
        <f t="shared" si="288"/>
        <v>0</v>
      </c>
      <c r="JA20" s="479">
        <f t="shared" si="288"/>
        <v>0</v>
      </c>
      <c r="JB20" s="479">
        <f t="shared" si="288"/>
        <v>0</v>
      </c>
      <c r="JC20" s="479">
        <f t="shared" si="288"/>
        <v>0</v>
      </c>
      <c r="JD20" s="479">
        <f t="shared" si="288"/>
        <v>0</v>
      </c>
      <c r="JE20" s="479">
        <f t="shared" si="288"/>
        <v>0</v>
      </c>
      <c r="JF20" s="479">
        <f t="shared" ref="GU20:JF24" si="296">-IF(JF$7&gt;=$E20,IF(JF$7&lt;=$F20,$D20/$G20,0),0)</f>
        <v>0</v>
      </c>
      <c r="JG20" s="479">
        <f t="shared" si="289"/>
        <v>0</v>
      </c>
      <c r="JH20" s="479">
        <f t="shared" si="289"/>
        <v>0</v>
      </c>
      <c r="JI20" s="479">
        <f t="shared" si="289"/>
        <v>0</v>
      </c>
      <c r="JJ20" s="479">
        <f t="shared" si="289"/>
        <v>0</v>
      </c>
      <c r="JK20" s="479">
        <f t="shared" si="289"/>
        <v>0</v>
      </c>
      <c r="JL20" s="479">
        <f t="shared" si="289"/>
        <v>0</v>
      </c>
      <c r="JM20" s="479">
        <f t="shared" si="289"/>
        <v>0</v>
      </c>
      <c r="JN20" s="479">
        <f t="shared" si="289"/>
        <v>0</v>
      </c>
      <c r="JO20" s="479">
        <f t="shared" si="289"/>
        <v>0</v>
      </c>
      <c r="JP20" s="479">
        <f t="shared" si="289"/>
        <v>0</v>
      </c>
      <c r="JQ20" s="479">
        <f t="shared" si="289"/>
        <v>0</v>
      </c>
      <c r="JR20" s="479">
        <f t="shared" si="289"/>
        <v>0</v>
      </c>
      <c r="JS20" s="479">
        <f t="shared" si="289"/>
        <v>0</v>
      </c>
      <c r="JT20" s="479">
        <f t="shared" si="289"/>
        <v>0</v>
      </c>
      <c r="JU20" s="479">
        <f t="shared" si="289"/>
        <v>0</v>
      </c>
      <c r="JV20" s="479">
        <f t="shared" si="289"/>
        <v>0</v>
      </c>
      <c r="JW20" s="479">
        <f t="shared" si="289"/>
        <v>0</v>
      </c>
      <c r="JX20" s="479">
        <f t="shared" si="289"/>
        <v>0</v>
      </c>
      <c r="JY20" s="479">
        <f t="shared" si="289"/>
        <v>0</v>
      </c>
      <c r="JZ20" s="479">
        <f t="shared" si="289"/>
        <v>0</v>
      </c>
      <c r="KA20" s="479">
        <f t="shared" si="289"/>
        <v>0</v>
      </c>
      <c r="KB20" s="479">
        <f t="shared" si="289"/>
        <v>0</v>
      </c>
      <c r="KC20" s="479">
        <f t="shared" si="289"/>
        <v>0</v>
      </c>
      <c r="KD20" s="479">
        <f t="shared" si="289"/>
        <v>0</v>
      </c>
      <c r="KE20" s="479">
        <f t="shared" si="289"/>
        <v>0</v>
      </c>
      <c r="KF20" s="479">
        <f t="shared" si="289"/>
        <v>0</v>
      </c>
      <c r="KG20" s="479">
        <f t="shared" si="289"/>
        <v>0</v>
      </c>
      <c r="KH20" s="479">
        <f t="shared" si="289"/>
        <v>0</v>
      </c>
      <c r="KI20" s="479">
        <f t="shared" si="289"/>
        <v>0</v>
      </c>
      <c r="KJ20" s="479">
        <f t="shared" si="289"/>
        <v>0</v>
      </c>
      <c r="KK20" s="479">
        <f t="shared" si="289"/>
        <v>0</v>
      </c>
      <c r="KL20" s="479">
        <f t="shared" si="289"/>
        <v>0</v>
      </c>
      <c r="KM20" s="479">
        <f t="shared" si="289"/>
        <v>0</v>
      </c>
      <c r="KN20" s="479">
        <f t="shared" si="289"/>
        <v>0</v>
      </c>
      <c r="KO20" s="479">
        <f t="shared" si="289"/>
        <v>0</v>
      </c>
      <c r="KP20" s="479">
        <f t="shared" si="289"/>
        <v>0</v>
      </c>
      <c r="KQ20" s="479">
        <f t="shared" si="289"/>
        <v>0</v>
      </c>
      <c r="KR20" s="479">
        <f t="shared" si="289"/>
        <v>0</v>
      </c>
      <c r="KS20" s="479">
        <f t="shared" si="289"/>
        <v>0</v>
      </c>
      <c r="KT20" s="479">
        <f t="shared" si="289"/>
        <v>0</v>
      </c>
      <c r="KU20" s="479">
        <f t="shared" si="289"/>
        <v>0</v>
      </c>
      <c r="KV20" s="479">
        <f t="shared" si="289"/>
        <v>0</v>
      </c>
      <c r="KW20" s="479">
        <f t="shared" si="289"/>
        <v>0</v>
      </c>
      <c r="KX20" s="479">
        <f t="shared" si="289"/>
        <v>0</v>
      </c>
      <c r="KY20" s="479">
        <f t="shared" si="289"/>
        <v>0</v>
      </c>
      <c r="KZ20" s="479">
        <f t="shared" si="289"/>
        <v>0</v>
      </c>
      <c r="LA20" s="479">
        <f t="shared" si="289"/>
        <v>0</v>
      </c>
      <c r="LB20" s="479">
        <f t="shared" si="289"/>
        <v>0</v>
      </c>
      <c r="LC20" s="479">
        <f t="shared" si="289"/>
        <v>0</v>
      </c>
      <c r="LD20" s="479">
        <f t="shared" si="289"/>
        <v>0</v>
      </c>
      <c r="LE20" s="479">
        <f t="shared" si="289"/>
        <v>0</v>
      </c>
      <c r="LF20" s="479">
        <f t="shared" si="289"/>
        <v>0</v>
      </c>
      <c r="LG20" s="479">
        <f t="shared" si="289"/>
        <v>0</v>
      </c>
      <c r="LH20" s="479">
        <f t="shared" si="289"/>
        <v>0</v>
      </c>
      <c r="LI20" s="479">
        <f t="shared" si="289"/>
        <v>0</v>
      </c>
      <c r="LJ20" s="479">
        <f t="shared" si="289"/>
        <v>0</v>
      </c>
      <c r="LK20" s="479">
        <f t="shared" si="289"/>
        <v>0</v>
      </c>
      <c r="LL20" s="479">
        <f t="shared" si="289"/>
        <v>0</v>
      </c>
      <c r="LM20" s="479">
        <f t="shared" si="289"/>
        <v>0</v>
      </c>
      <c r="LN20" s="479">
        <f t="shared" si="289"/>
        <v>0</v>
      </c>
      <c r="LO20" s="479">
        <f t="shared" si="289"/>
        <v>0</v>
      </c>
      <c r="LP20" s="479">
        <f t="shared" si="289"/>
        <v>0</v>
      </c>
      <c r="LQ20" s="479">
        <f t="shared" si="289"/>
        <v>0</v>
      </c>
      <c r="LR20" s="479">
        <f t="shared" ref="JG20:LR24" si="297">-IF(LR$7&gt;=$E20,IF(LR$7&lt;=$F20,$D20/$G20,0),0)</f>
        <v>0</v>
      </c>
      <c r="LS20" s="479">
        <f t="shared" si="290"/>
        <v>0</v>
      </c>
      <c r="LT20" s="479">
        <f t="shared" si="290"/>
        <v>0</v>
      </c>
      <c r="LU20" s="479">
        <f t="shared" si="290"/>
        <v>0</v>
      </c>
      <c r="LV20" s="479">
        <f t="shared" si="290"/>
        <v>0</v>
      </c>
      <c r="LW20" s="479">
        <f t="shared" si="290"/>
        <v>0</v>
      </c>
      <c r="LX20" s="479">
        <f t="shared" si="290"/>
        <v>0</v>
      </c>
      <c r="LY20" s="479">
        <f t="shared" si="290"/>
        <v>0</v>
      </c>
      <c r="LZ20" s="479">
        <f t="shared" si="290"/>
        <v>0</v>
      </c>
      <c r="MA20" s="479">
        <f t="shared" si="290"/>
        <v>0</v>
      </c>
      <c r="MB20" s="479">
        <f t="shared" si="290"/>
        <v>0</v>
      </c>
      <c r="MC20" s="479">
        <f t="shared" si="290"/>
        <v>0</v>
      </c>
      <c r="MD20" s="479">
        <f t="shared" si="290"/>
        <v>0</v>
      </c>
      <c r="ME20" s="479">
        <f t="shared" si="290"/>
        <v>0</v>
      </c>
      <c r="MF20" s="479">
        <f t="shared" si="290"/>
        <v>0</v>
      </c>
      <c r="MG20" s="479">
        <f t="shared" si="290"/>
        <v>0</v>
      </c>
      <c r="MH20" s="479">
        <f t="shared" si="290"/>
        <v>0</v>
      </c>
      <c r="MI20" s="479">
        <f t="shared" si="290"/>
        <v>0</v>
      </c>
      <c r="MJ20" s="479">
        <f t="shared" si="290"/>
        <v>0</v>
      </c>
      <c r="MK20" s="479">
        <f t="shared" si="290"/>
        <v>0</v>
      </c>
      <c r="ML20" s="479">
        <f t="shared" si="290"/>
        <v>0</v>
      </c>
      <c r="MM20" s="479">
        <f t="shared" si="290"/>
        <v>0</v>
      </c>
      <c r="MN20" s="479">
        <f t="shared" si="290"/>
        <v>0</v>
      </c>
      <c r="MO20" s="479">
        <f t="shared" si="290"/>
        <v>0</v>
      </c>
      <c r="MP20" s="479">
        <f t="shared" si="290"/>
        <v>0</v>
      </c>
      <c r="MQ20" s="479">
        <f t="shared" si="290"/>
        <v>0</v>
      </c>
      <c r="MR20" s="479">
        <f t="shared" si="290"/>
        <v>0</v>
      </c>
      <c r="MS20" s="479">
        <f t="shared" si="290"/>
        <v>0</v>
      </c>
      <c r="MT20" s="479">
        <f t="shared" si="290"/>
        <v>0</v>
      </c>
      <c r="MU20" s="479">
        <f t="shared" si="290"/>
        <v>0</v>
      </c>
      <c r="MV20" s="479">
        <f t="shared" si="290"/>
        <v>0</v>
      </c>
      <c r="MW20" s="479">
        <f t="shared" si="290"/>
        <v>0</v>
      </c>
      <c r="MX20" s="479">
        <f t="shared" si="290"/>
        <v>0</v>
      </c>
      <c r="MY20" s="479">
        <f t="shared" si="290"/>
        <v>0</v>
      </c>
      <c r="MZ20" s="479">
        <f t="shared" si="290"/>
        <v>0</v>
      </c>
      <c r="NA20" s="479">
        <f t="shared" si="290"/>
        <v>0</v>
      </c>
      <c r="NB20" s="479">
        <f t="shared" si="290"/>
        <v>0</v>
      </c>
      <c r="NC20" s="479">
        <f t="shared" si="290"/>
        <v>0</v>
      </c>
      <c r="ND20" s="479">
        <f t="shared" si="290"/>
        <v>0</v>
      </c>
      <c r="NE20" s="479">
        <f t="shared" si="290"/>
        <v>0</v>
      </c>
      <c r="NF20" s="479">
        <f t="shared" si="290"/>
        <v>0</v>
      </c>
      <c r="NG20" s="479">
        <f t="shared" si="290"/>
        <v>0</v>
      </c>
      <c r="NH20" s="479">
        <f t="shared" si="290"/>
        <v>0</v>
      </c>
      <c r="NI20" s="479">
        <f t="shared" si="290"/>
        <v>0</v>
      </c>
      <c r="NJ20" s="479">
        <f t="shared" si="290"/>
        <v>0</v>
      </c>
      <c r="NK20" s="479">
        <f t="shared" si="290"/>
        <v>0</v>
      </c>
      <c r="NL20" s="479">
        <f t="shared" si="290"/>
        <v>0</v>
      </c>
      <c r="NM20" s="479">
        <f t="shared" si="290"/>
        <v>0</v>
      </c>
      <c r="NN20" s="479">
        <f t="shared" si="290"/>
        <v>0</v>
      </c>
      <c r="NO20" s="479">
        <f t="shared" si="290"/>
        <v>0</v>
      </c>
      <c r="NP20" s="479">
        <f t="shared" si="290"/>
        <v>0</v>
      </c>
      <c r="NQ20" s="479">
        <f t="shared" si="290"/>
        <v>0</v>
      </c>
      <c r="NR20" s="479">
        <f t="shared" si="290"/>
        <v>0</v>
      </c>
      <c r="NS20" s="479">
        <f t="shared" si="290"/>
        <v>0</v>
      </c>
      <c r="NT20" s="479">
        <f t="shared" si="290"/>
        <v>0</v>
      </c>
      <c r="NU20" s="479">
        <f t="shared" si="290"/>
        <v>0</v>
      </c>
      <c r="NV20" s="479">
        <f t="shared" si="290"/>
        <v>0</v>
      </c>
      <c r="NW20" s="479">
        <f t="shared" si="290"/>
        <v>0</v>
      </c>
      <c r="NX20" s="479">
        <f t="shared" si="290"/>
        <v>0</v>
      </c>
      <c r="NY20" s="479">
        <f t="shared" si="290"/>
        <v>0</v>
      </c>
      <c r="NZ20" s="479">
        <f t="shared" si="290"/>
        <v>0</v>
      </c>
      <c r="OA20" s="479">
        <f t="shared" si="290"/>
        <v>0</v>
      </c>
      <c r="OB20" s="479">
        <f t="shared" si="290"/>
        <v>0</v>
      </c>
      <c r="OC20" s="479">
        <f t="shared" si="290"/>
        <v>0</v>
      </c>
      <c r="OD20" s="479">
        <f t="shared" ref="LS20:OD24" si="298">-IF(OD$7&gt;=$E20,IF(OD$7&lt;=$F20,$D20/$G20,0),0)</f>
        <v>0</v>
      </c>
      <c r="OE20" s="479">
        <f t="shared" si="291"/>
        <v>0</v>
      </c>
      <c r="OF20" s="479">
        <f t="shared" si="291"/>
        <v>0</v>
      </c>
      <c r="OG20" s="479">
        <f t="shared" si="291"/>
        <v>0</v>
      </c>
      <c r="OH20" s="479">
        <f t="shared" si="291"/>
        <v>0</v>
      </c>
      <c r="OI20" s="479">
        <f t="shared" si="291"/>
        <v>0</v>
      </c>
      <c r="OJ20" s="479">
        <f t="shared" si="291"/>
        <v>0</v>
      </c>
      <c r="OK20" s="479">
        <f t="shared" si="291"/>
        <v>0</v>
      </c>
      <c r="OL20" s="479">
        <f t="shared" si="291"/>
        <v>0</v>
      </c>
      <c r="OM20" s="479">
        <f t="shared" si="291"/>
        <v>0</v>
      </c>
      <c r="ON20" s="479">
        <f t="shared" si="291"/>
        <v>0</v>
      </c>
      <c r="OO20" s="479">
        <f t="shared" si="291"/>
        <v>0</v>
      </c>
    </row>
    <row r="21" spans="2:405">
      <c r="B21" s="97" t="str">
        <f>Assumptions!B84</f>
        <v>Parking</v>
      </c>
      <c r="C21" s="97"/>
      <c r="D21" s="500">
        <f>Assumptions!C84</f>
        <v>0</v>
      </c>
      <c r="E21" s="507">
        <f>Assumptions!$C$10</f>
        <v>46418</v>
      </c>
      <c r="F21" s="507">
        <f>EOMONTH(E21,Assumptions!$C$11-1)</f>
        <v>47118</v>
      </c>
      <c r="G21" s="97">
        <f t="shared" si="284"/>
        <v>24</v>
      </c>
      <c r="H21" s="97"/>
      <c r="I21" s="481"/>
      <c r="J21" s="479">
        <f t="shared" si="292"/>
        <v>0</v>
      </c>
      <c r="K21" s="479">
        <f t="shared" si="293"/>
        <v>0</v>
      </c>
      <c r="L21" s="479">
        <f t="shared" si="293"/>
        <v>0</v>
      </c>
      <c r="M21" s="479">
        <f t="shared" si="293"/>
        <v>0</v>
      </c>
      <c r="N21" s="479">
        <f t="shared" si="293"/>
        <v>0</v>
      </c>
      <c r="O21" s="479">
        <f t="shared" si="293"/>
        <v>0</v>
      </c>
      <c r="P21" s="479">
        <f t="shared" si="293"/>
        <v>0</v>
      </c>
      <c r="Q21" s="479">
        <f t="shared" si="293"/>
        <v>0</v>
      </c>
      <c r="R21" s="479">
        <f t="shared" si="293"/>
        <v>0</v>
      </c>
      <c r="S21" s="479">
        <f t="shared" si="293"/>
        <v>0</v>
      </c>
      <c r="T21" s="479">
        <f t="shared" si="293"/>
        <v>0</v>
      </c>
      <c r="U21" s="479">
        <f t="shared" si="293"/>
        <v>0</v>
      </c>
      <c r="V21" s="479">
        <f t="shared" si="293"/>
        <v>0</v>
      </c>
      <c r="W21" s="479">
        <f t="shared" si="293"/>
        <v>0</v>
      </c>
      <c r="X21" s="479">
        <f t="shared" si="293"/>
        <v>0</v>
      </c>
      <c r="Y21" s="479">
        <f t="shared" si="293"/>
        <v>0</v>
      </c>
      <c r="Z21" s="479">
        <f t="shared" si="293"/>
        <v>0</v>
      </c>
      <c r="AA21" s="479">
        <f t="shared" si="293"/>
        <v>0</v>
      </c>
      <c r="AB21" s="479">
        <f t="shared" si="293"/>
        <v>0</v>
      </c>
      <c r="AC21" s="479">
        <f t="shared" si="293"/>
        <v>0</v>
      </c>
      <c r="AD21" s="479">
        <f t="shared" si="293"/>
        <v>0</v>
      </c>
      <c r="AE21" s="479">
        <f t="shared" si="293"/>
        <v>0</v>
      </c>
      <c r="AF21" s="479">
        <f t="shared" si="293"/>
        <v>0</v>
      </c>
      <c r="AG21" s="479">
        <f t="shared" si="293"/>
        <v>0</v>
      </c>
      <c r="AH21" s="479">
        <f t="shared" si="293"/>
        <v>0</v>
      </c>
      <c r="AI21" s="479">
        <f t="shared" si="293"/>
        <v>0</v>
      </c>
      <c r="AJ21" s="479">
        <f t="shared" si="293"/>
        <v>0</v>
      </c>
      <c r="AK21" s="479">
        <f t="shared" si="293"/>
        <v>0</v>
      </c>
      <c r="AL21" s="479">
        <f t="shared" si="293"/>
        <v>0</v>
      </c>
      <c r="AM21" s="479">
        <f t="shared" si="293"/>
        <v>0</v>
      </c>
      <c r="AN21" s="479">
        <f t="shared" si="293"/>
        <v>0</v>
      </c>
      <c r="AO21" s="479">
        <f t="shared" si="293"/>
        <v>0</v>
      </c>
      <c r="AP21" s="479">
        <f t="shared" si="293"/>
        <v>0</v>
      </c>
      <c r="AQ21" s="479">
        <f t="shared" si="293"/>
        <v>0</v>
      </c>
      <c r="AR21" s="479">
        <f t="shared" si="293"/>
        <v>0</v>
      </c>
      <c r="AS21" s="479">
        <f t="shared" si="293"/>
        <v>0</v>
      </c>
      <c r="AT21" s="479">
        <f t="shared" si="293"/>
        <v>0</v>
      </c>
      <c r="AU21" s="479">
        <f t="shared" si="293"/>
        <v>0</v>
      </c>
      <c r="AV21" s="479">
        <f t="shared" si="293"/>
        <v>0</v>
      </c>
      <c r="AW21" s="479">
        <f t="shared" si="293"/>
        <v>0</v>
      </c>
      <c r="AX21" s="479">
        <f t="shared" si="293"/>
        <v>0</v>
      </c>
      <c r="AY21" s="479">
        <f t="shared" si="293"/>
        <v>0</v>
      </c>
      <c r="AZ21" s="479">
        <f t="shared" si="293"/>
        <v>0</v>
      </c>
      <c r="BA21" s="479">
        <f t="shared" si="293"/>
        <v>0</v>
      </c>
      <c r="BB21" s="479">
        <f t="shared" si="293"/>
        <v>0</v>
      </c>
      <c r="BC21" s="479">
        <f t="shared" si="293"/>
        <v>0</v>
      </c>
      <c r="BD21" s="479">
        <f t="shared" si="293"/>
        <v>0</v>
      </c>
      <c r="BE21" s="479">
        <f t="shared" si="293"/>
        <v>0</v>
      </c>
      <c r="BF21" s="479">
        <f t="shared" si="293"/>
        <v>0</v>
      </c>
      <c r="BG21" s="479">
        <f t="shared" si="293"/>
        <v>0</v>
      </c>
      <c r="BH21" s="479">
        <f t="shared" si="293"/>
        <v>0</v>
      </c>
      <c r="BI21" s="479">
        <f t="shared" si="293"/>
        <v>0</v>
      </c>
      <c r="BJ21" s="479">
        <f t="shared" si="293"/>
        <v>0</v>
      </c>
      <c r="BK21" s="479">
        <f t="shared" si="293"/>
        <v>0</v>
      </c>
      <c r="BL21" s="479">
        <f t="shared" si="293"/>
        <v>0</v>
      </c>
      <c r="BM21" s="479">
        <f t="shared" si="293"/>
        <v>0</v>
      </c>
      <c r="BN21" s="479">
        <f t="shared" si="293"/>
        <v>0</v>
      </c>
      <c r="BO21" s="479">
        <f t="shared" si="293"/>
        <v>0</v>
      </c>
      <c r="BP21" s="479">
        <f t="shared" si="293"/>
        <v>0</v>
      </c>
      <c r="BQ21" s="479">
        <f t="shared" si="293"/>
        <v>0</v>
      </c>
      <c r="BR21" s="479">
        <f t="shared" si="293"/>
        <v>0</v>
      </c>
      <c r="BS21" s="479">
        <f t="shared" si="293"/>
        <v>0</v>
      </c>
      <c r="BT21" s="479">
        <f t="shared" si="293"/>
        <v>0</v>
      </c>
      <c r="BU21" s="479">
        <f t="shared" si="293"/>
        <v>0</v>
      </c>
      <c r="BV21" s="479">
        <f t="shared" si="293"/>
        <v>0</v>
      </c>
      <c r="BW21" s="479">
        <f t="shared" si="294"/>
        <v>0</v>
      </c>
      <c r="BX21" s="479">
        <f t="shared" si="294"/>
        <v>0</v>
      </c>
      <c r="BY21" s="479">
        <f t="shared" si="294"/>
        <v>0</v>
      </c>
      <c r="BZ21" s="479">
        <f t="shared" si="294"/>
        <v>0</v>
      </c>
      <c r="CA21" s="479">
        <f t="shared" si="294"/>
        <v>0</v>
      </c>
      <c r="CB21" s="479">
        <f t="shared" si="294"/>
        <v>0</v>
      </c>
      <c r="CC21" s="479">
        <f t="shared" si="294"/>
        <v>0</v>
      </c>
      <c r="CD21" s="479">
        <f t="shared" si="294"/>
        <v>0</v>
      </c>
      <c r="CE21" s="479">
        <f t="shared" si="294"/>
        <v>0</v>
      </c>
      <c r="CF21" s="479">
        <f t="shared" si="294"/>
        <v>0</v>
      </c>
      <c r="CG21" s="479">
        <f t="shared" si="294"/>
        <v>0</v>
      </c>
      <c r="CH21" s="479">
        <f t="shared" si="294"/>
        <v>0</v>
      </c>
      <c r="CI21" s="479">
        <f t="shared" si="294"/>
        <v>0</v>
      </c>
      <c r="CJ21" s="479">
        <f t="shared" si="294"/>
        <v>0</v>
      </c>
      <c r="CK21" s="479">
        <f t="shared" si="294"/>
        <v>0</v>
      </c>
      <c r="CL21" s="479">
        <f t="shared" si="294"/>
        <v>0</v>
      </c>
      <c r="CM21" s="479">
        <f t="shared" si="294"/>
        <v>0</v>
      </c>
      <c r="CN21" s="479">
        <f t="shared" si="294"/>
        <v>0</v>
      </c>
      <c r="CO21" s="479">
        <f t="shared" si="294"/>
        <v>0</v>
      </c>
      <c r="CP21" s="479">
        <f t="shared" si="294"/>
        <v>0</v>
      </c>
      <c r="CQ21" s="479">
        <f t="shared" si="294"/>
        <v>0</v>
      </c>
      <c r="CR21" s="479">
        <f t="shared" si="294"/>
        <v>0</v>
      </c>
      <c r="CS21" s="479">
        <f t="shared" si="294"/>
        <v>0</v>
      </c>
      <c r="CT21" s="479">
        <f t="shared" si="294"/>
        <v>0</v>
      </c>
      <c r="CU21" s="479">
        <f t="shared" si="294"/>
        <v>0</v>
      </c>
      <c r="CV21" s="479">
        <f t="shared" si="294"/>
        <v>0</v>
      </c>
      <c r="CW21" s="479">
        <f t="shared" si="294"/>
        <v>0</v>
      </c>
      <c r="CX21" s="479">
        <f t="shared" si="294"/>
        <v>0</v>
      </c>
      <c r="CY21" s="479">
        <f t="shared" si="294"/>
        <v>0</v>
      </c>
      <c r="CZ21" s="479">
        <f t="shared" si="294"/>
        <v>0</v>
      </c>
      <c r="DA21" s="479">
        <f t="shared" si="294"/>
        <v>0</v>
      </c>
      <c r="DB21" s="479">
        <f t="shared" si="294"/>
        <v>0</v>
      </c>
      <c r="DC21" s="479">
        <f t="shared" si="294"/>
        <v>0</v>
      </c>
      <c r="DD21" s="479">
        <f t="shared" si="294"/>
        <v>0</v>
      </c>
      <c r="DE21" s="479">
        <f t="shared" si="294"/>
        <v>0</v>
      </c>
      <c r="DF21" s="479">
        <f t="shared" si="294"/>
        <v>0</v>
      </c>
      <c r="DG21" s="479">
        <f t="shared" si="294"/>
        <v>0</v>
      </c>
      <c r="DH21" s="479">
        <f t="shared" si="294"/>
        <v>0</v>
      </c>
      <c r="DI21" s="479">
        <f t="shared" si="294"/>
        <v>0</v>
      </c>
      <c r="DJ21" s="479">
        <f t="shared" si="294"/>
        <v>0</v>
      </c>
      <c r="DK21" s="479">
        <f t="shared" si="294"/>
        <v>0</v>
      </c>
      <c r="DL21" s="479">
        <f t="shared" si="294"/>
        <v>0</v>
      </c>
      <c r="DM21" s="479">
        <f t="shared" si="294"/>
        <v>0</v>
      </c>
      <c r="DN21" s="479">
        <f t="shared" si="294"/>
        <v>0</v>
      </c>
      <c r="DO21" s="479">
        <f t="shared" si="294"/>
        <v>0</v>
      </c>
      <c r="DP21" s="479">
        <f t="shared" si="294"/>
        <v>0</v>
      </c>
      <c r="DQ21" s="479">
        <f t="shared" si="294"/>
        <v>0</v>
      </c>
      <c r="DR21" s="479">
        <f t="shared" si="294"/>
        <v>0</v>
      </c>
      <c r="DS21" s="479">
        <f t="shared" si="294"/>
        <v>0</v>
      </c>
      <c r="DT21" s="479">
        <f t="shared" si="294"/>
        <v>0</v>
      </c>
      <c r="DU21" s="479">
        <f t="shared" si="294"/>
        <v>0</v>
      </c>
      <c r="DV21" s="479">
        <f t="shared" si="294"/>
        <v>0</v>
      </c>
      <c r="DW21" s="479">
        <f t="shared" si="294"/>
        <v>0</v>
      </c>
      <c r="DX21" s="479">
        <f t="shared" si="294"/>
        <v>0</v>
      </c>
      <c r="DY21" s="479">
        <f t="shared" si="294"/>
        <v>0</v>
      </c>
      <c r="DZ21" s="479">
        <f t="shared" si="294"/>
        <v>0</v>
      </c>
      <c r="EA21" s="479">
        <f t="shared" si="294"/>
        <v>0</v>
      </c>
      <c r="EB21" s="479">
        <f t="shared" si="294"/>
        <v>0</v>
      </c>
      <c r="EC21" s="479">
        <f t="shared" si="294"/>
        <v>0</v>
      </c>
      <c r="ED21" s="479">
        <f t="shared" si="294"/>
        <v>0</v>
      </c>
      <c r="EE21" s="479">
        <f t="shared" si="294"/>
        <v>0</v>
      </c>
      <c r="EF21" s="479">
        <f t="shared" si="294"/>
        <v>0</v>
      </c>
      <c r="EG21" s="479">
        <f t="shared" si="294"/>
        <v>0</v>
      </c>
      <c r="EH21" s="479">
        <f t="shared" si="294"/>
        <v>0</v>
      </c>
      <c r="EI21" s="479">
        <f t="shared" si="295"/>
        <v>0</v>
      </c>
      <c r="EJ21" s="479">
        <f t="shared" si="295"/>
        <v>0</v>
      </c>
      <c r="EK21" s="479">
        <f t="shared" si="295"/>
        <v>0</v>
      </c>
      <c r="EL21" s="479">
        <f t="shared" si="295"/>
        <v>0</v>
      </c>
      <c r="EM21" s="479">
        <f t="shared" si="295"/>
        <v>0</v>
      </c>
      <c r="EN21" s="479">
        <f t="shared" si="295"/>
        <v>0</v>
      </c>
      <c r="EO21" s="479">
        <f t="shared" si="295"/>
        <v>0</v>
      </c>
      <c r="EP21" s="479">
        <f t="shared" si="295"/>
        <v>0</v>
      </c>
      <c r="EQ21" s="479">
        <f t="shared" si="295"/>
        <v>0</v>
      </c>
      <c r="ER21" s="479">
        <f t="shared" si="295"/>
        <v>0</v>
      </c>
      <c r="ES21" s="479">
        <f t="shared" si="295"/>
        <v>0</v>
      </c>
      <c r="ET21" s="479">
        <f t="shared" si="295"/>
        <v>0</v>
      </c>
      <c r="EU21" s="479">
        <f t="shared" si="295"/>
        <v>0</v>
      </c>
      <c r="EV21" s="479">
        <f t="shared" si="295"/>
        <v>0</v>
      </c>
      <c r="EW21" s="479">
        <f t="shared" si="295"/>
        <v>0</v>
      </c>
      <c r="EX21" s="479">
        <f t="shared" si="295"/>
        <v>0</v>
      </c>
      <c r="EY21" s="479">
        <f t="shared" si="295"/>
        <v>0</v>
      </c>
      <c r="EZ21" s="479">
        <f t="shared" si="295"/>
        <v>0</v>
      </c>
      <c r="FA21" s="479">
        <f t="shared" si="295"/>
        <v>0</v>
      </c>
      <c r="FB21" s="479">
        <f t="shared" si="295"/>
        <v>0</v>
      </c>
      <c r="FC21" s="479">
        <f t="shared" si="295"/>
        <v>0</v>
      </c>
      <c r="FD21" s="479">
        <f t="shared" si="295"/>
        <v>0</v>
      </c>
      <c r="FE21" s="479">
        <f t="shared" si="295"/>
        <v>0</v>
      </c>
      <c r="FF21" s="479">
        <f t="shared" si="295"/>
        <v>0</v>
      </c>
      <c r="FG21" s="479">
        <f t="shared" si="295"/>
        <v>0</v>
      </c>
      <c r="FH21" s="479">
        <f t="shared" si="295"/>
        <v>0</v>
      </c>
      <c r="FI21" s="479">
        <f t="shared" si="295"/>
        <v>0</v>
      </c>
      <c r="FJ21" s="479">
        <f t="shared" si="295"/>
        <v>0</v>
      </c>
      <c r="FK21" s="479">
        <f t="shared" si="295"/>
        <v>0</v>
      </c>
      <c r="FL21" s="479">
        <f t="shared" si="295"/>
        <v>0</v>
      </c>
      <c r="FM21" s="479">
        <f t="shared" si="295"/>
        <v>0</v>
      </c>
      <c r="FN21" s="479">
        <f t="shared" si="295"/>
        <v>0</v>
      </c>
      <c r="FO21" s="479">
        <f t="shared" si="295"/>
        <v>0</v>
      </c>
      <c r="FP21" s="479">
        <f t="shared" si="295"/>
        <v>0</v>
      </c>
      <c r="FQ21" s="479">
        <f t="shared" si="295"/>
        <v>0</v>
      </c>
      <c r="FR21" s="479">
        <f t="shared" si="295"/>
        <v>0</v>
      </c>
      <c r="FS21" s="479">
        <f t="shared" si="295"/>
        <v>0</v>
      </c>
      <c r="FT21" s="479">
        <f t="shared" si="295"/>
        <v>0</v>
      </c>
      <c r="FU21" s="479">
        <f t="shared" si="295"/>
        <v>0</v>
      </c>
      <c r="FV21" s="479">
        <f t="shared" si="295"/>
        <v>0</v>
      </c>
      <c r="FW21" s="479">
        <f t="shared" si="295"/>
        <v>0</v>
      </c>
      <c r="FX21" s="479">
        <f t="shared" si="295"/>
        <v>0</v>
      </c>
      <c r="FY21" s="479">
        <f t="shared" si="295"/>
        <v>0</v>
      </c>
      <c r="FZ21" s="479">
        <f t="shared" si="295"/>
        <v>0</v>
      </c>
      <c r="GA21" s="479">
        <f t="shared" si="295"/>
        <v>0</v>
      </c>
      <c r="GB21" s="479">
        <f t="shared" si="295"/>
        <v>0</v>
      </c>
      <c r="GC21" s="479">
        <f t="shared" si="295"/>
        <v>0</v>
      </c>
      <c r="GD21" s="479">
        <f t="shared" si="295"/>
        <v>0</v>
      </c>
      <c r="GE21" s="479">
        <f t="shared" si="295"/>
        <v>0</v>
      </c>
      <c r="GF21" s="479">
        <f t="shared" si="295"/>
        <v>0</v>
      </c>
      <c r="GG21" s="479">
        <f t="shared" si="295"/>
        <v>0</v>
      </c>
      <c r="GH21" s="479">
        <f t="shared" si="295"/>
        <v>0</v>
      </c>
      <c r="GI21" s="479">
        <f t="shared" si="295"/>
        <v>0</v>
      </c>
      <c r="GJ21" s="479">
        <f t="shared" si="295"/>
        <v>0</v>
      </c>
      <c r="GK21" s="479">
        <f t="shared" si="295"/>
        <v>0</v>
      </c>
      <c r="GL21" s="479">
        <f t="shared" si="295"/>
        <v>0</v>
      </c>
      <c r="GM21" s="479">
        <f t="shared" si="295"/>
        <v>0</v>
      </c>
      <c r="GN21" s="479">
        <f t="shared" si="295"/>
        <v>0</v>
      </c>
      <c r="GO21" s="479">
        <f t="shared" si="295"/>
        <v>0</v>
      </c>
      <c r="GP21" s="479">
        <f t="shared" si="295"/>
        <v>0</v>
      </c>
      <c r="GQ21" s="479">
        <f t="shared" si="295"/>
        <v>0</v>
      </c>
      <c r="GR21" s="479">
        <f t="shared" si="295"/>
        <v>0</v>
      </c>
      <c r="GS21" s="479">
        <f t="shared" si="295"/>
        <v>0</v>
      </c>
      <c r="GT21" s="479">
        <f t="shared" si="295"/>
        <v>0</v>
      </c>
      <c r="GU21" s="479">
        <f t="shared" si="296"/>
        <v>0</v>
      </c>
      <c r="GV21" s="479">
        <f t="shared" si="296"/>
        <v>0</v>
      </c>
      <c r="GW21" s="479">
        <f t="shared" si="296"/>
        <v>0</v>
      </c>
      <c r="GX21" s="479">
        <f t="shared" si="296"/>
        <v>0</v>
      </c>
      <c r="GY21" s="479">
        <f t="shared" si="296"/>
        <v>0</v>
      </c>
      <c r="GZ21" s="479">
        <f t="shared" si="296"/>
        <v>0</v>
      </c>
      <c r="HA21" s="479">
        <f t="shared" si="296"/>
        <v>0</v>
      </c>
      <c r="HB21" s="479">
        <f t="shared" si="296"/>
        <v>0</v>
      </c>
      <c r="HC21" s="479">
        <f t="shared" si="296"/>
        <v>0</v>
      </c>
      <c r="HD21" s="479">
        <f t="shared" si="296"/>
        <v>0</v>
      </c>
      <c r="HE21" s="479">
        <f t="shared" si="296"/>
        <v>0</v>
      </c>
      <c r="HF21" s="479">
        <f t="shared" si="296"/>
        <v>0</v>
      </c>
      <c r="HG21" s="479">
        <f t="shared" si="296"/>
        <v>0</v>
      </c>
      <c r="HH21" s="479">
        <f t="shared" si="296"/>
        <v>0</v>
      </c>
      <c r="HI21" s="479">
        <f t="shared" si="296"/>
        <v>0</v>
      </c>
      <c r="HJ21" s="479">
        <f t="shared" si="296"/>
        <v>0</v>
      </c>
      <c r="HK21" s="479">
        <f t="shared" si="296"/>
        <v>0</v>
      </c>
      <c r="HL21" s="479">
        <f t="shared" si="296"/>
        <v>0</v>
      </c>
      <c r="HM21" s="479">
        <f t="shared" si="296"/>
        <v>0</v>
      </c>
      <c r="HN21" s="479">
        <f t="shared" si="296"/>
        <v>0</v>
      </c>
      <c r="HO21" s="479">
        <f t="shared" si="296"/>
        <v>0</v>
      </c>
      <c r="HP21" s="479">
        <f t="shared" si="296"/>
        <v>0</v>
      </c>
      <c r="HQ21" s="479">
        <f t="shared" si="296"/>
        <v>0</v>
      </c>
      <c r="HR21" s="479">
        <f t="shared" si="296"/>
        <v>0</v>
      </c>
      <c r="HS21" s="479">
        <f t="shared" si="296"/>
        <v>0</v>
      </c>
      <c r="HT21" s="479">
        <f t="shared" si="296"/>
        <v>0</v>
      </c>
      <c r="HU21" s="479">
        <f t="shared" si="296"/>
        <v>0</v>
      </c>
      <c r="HV21" s="479">
        <f t="shared" si="296"/>
        <v>0</v>
      </c>
      <c r="HW21" s="479">
        <f t="shared" si="296"/>
        <v>0</v>
      </c>
      <c r="HX21" s="479">
        <f t="shared" si="296"/>
        <v>0</v>
      </c>
      <c r="HY21" s="479">
        <f t="shared" si="296"/>
        <v>0</v>
      </c>
      <c r="HZ21" s="479">
        <f t="shared" si="296"/>
        <v>0</v>
      </c>
      <c r="IA21" s="479">
        <f t="shared" si="296"/>
        <v>0</v>
      </c>
      <c r="IB21" s="479">
        <f t="shared" si="296"/>
        <v>0</v>
      </c>
      <c r="IC21" s="479">
        <f t="shared" si="296"/>
        <v>0</v>
      </c>
      <c r="ID21" s="479">
        <f t="shared" si="296"/>
        <v>0</v>
      </c>
      <c r="IE21" s="479">
        <f t="shared" si="296"/>
        <v>0</v>
      </c>
      <c r="IF21" s="479">
        <f t="shared" si="296"/>
        <v>0</v>
      </c>
      <c r="IG21" s="479">
        <f t="shared" si="296"/>
        <v>0</v>
      </c>
      <c r="IH21" s="479">
        <f t="shared" si="296"/>
        <v>0</v>
      </c>
      <c r="II21" s="479">
        <f t="shared" si="296"/>
        <v>0</v>
      </c>
      <c r="IJ21" s="479">
        <f t="shared" si="296"/>
        <v>0</v>
      </c>
      <c r="IK21" s="479">
        <f t="shared" si="296"/>
        <v>0</v>
      </c>
      <c r="IL21" s="479">
        <f t="shared" si="296"/>
        <v>0</v>
      </c>
      <c r="IM21" s="479">
        <f t="shared" si="296"/>
        <v>0</v>
      </c>
      <c r="IN21" s="479">
        <f t="shared" si="296"/>
        <v>0</v>
      </c>
      <c r="IO21" s="479">
        <f t="shared" si="296"/>
        <v>0</v>
      </c>
      <c r="IP21" s="479">
        <f t="shared" si="296"/>
        <v>0</v>
      </c>
      <c r="IQ21" s="479">
        <f t="shared" si="296"/>
        <v>0</v>
      </c>
      <c r="IR21" s="479">
        <f t="shared" si="296"/>
        <v>0</v>
      </c>
      <c r="IS21" s="479">
        <f t="shared" si="296"/>
        <v>0</v>
      </c>
      <c r="IT21" s="479">
        <f t="shared" si="296"/>
        <v>0</v>
      </c>
      <c r="IU21" s="479">
        <f t="shared" si="296"/>
        <v>0</v>
      </c>
      <c r="IV21" s="479">
        <f t="shared" si="296"/>
        <v>0</v>
      </c>
      <c r="IW21" s="479">
        <f t="shared" si="296"/>
        <v>0</v>
      </c>
      <c r="IX21" s="479">
        <f t="shared" si="296"/>
        <v>0</v>
      </c>
      <c r="IY21" s="479">
        <f t="shared" si="296"/>
        <v>0</v>
      </c>
      <c r="IZ21" s="479">
        <f t="shared" si="296"/>
        <v>0</v>
      </c>
      <c r="JA21" s="479">
        <f t="shared" si="296"/>
        <v>0</v>
      </c>
      <c r="JB21" s="479">
        <f t="shared" si="296"/>
        <v>0</v>
      </c>
      <c r="JC21" s="479">
        <f t="shared" si="296"/>
        <v>0</v>
      </c>
      <c r="JD21" s="479">
        <f t="shared" si="296"/>
        <v>0</v>
      </c>
      <c r="JE21" s="479">
        <f t="shared" si="296"/>
        <v>0</v>
      </c>
      <c r="JF21" s="479">
        <f t="shared" si="296"/>
        <v>0</v>
      </c>
      <c r="JG21" s="479">
        <f t="shared" si="297"/>
        <v>0</v>
      </c>
      <c r="JH21" s="479">
        <f t="shared" si="297"/>
        <v>0</v>
      </c>
      <c r="JI21" s="479">
        <f t="shared" si="297"/>
        <v>0</v>
      </c>
      <c r="JJ21" s="479">
        <f t="shared" si="297"/>
        <v>0</v>
      </c>
      <c r="JK21" s="479">
        <f t="shared" si="297"/>
        <v>0</v>
      </c>
      <c r="JL21" s="479">
        <f t="shared" si="297"/>
        <v>0</v>
      </c>
      <c r="JM21" s="479">
        <f t="shared" si="297"/>
        <v>0</v>
      </c>
      <c r="JN21" s="479">
        <f t="shared" si="297"/>
        <v>0</v>
      </c>
      <c r="JO21" s="479">
        <f t="shared" si="297"/>
        <v>0</v>
      </c>
      <c r="JP21" s="479">
        <f t="shared" si="297"/>
        <v>0</v>
      </c>
      <c r="JQ21" s="479">
        <f t="shared" si="297"/>
        <v>0</v>
      </c>
      <c r="JR21" s="479">
        <f t="shared" si="297"/>
        <v>0</v>
      </c>
      <c r="JS21" s="479">
        <f t="shared" si="297"/>
        <v>0</v>
      </c>
      <c r="JT21" s="479">
        <f t="shared" si="297"/>
        <v>0</v>
      </c>
      <c r="JU21" s="479">
        <f t="shared" si="297"/>
        <v>0</v>
      </c>
      <c r="JV21" s="479">
        <f t="shared" si="297"/>
        <v>0</v>
      </c>
      <c r="JW21" s="479">
        <f t="shared" si="297"/>
        <v>0</v>
      </c>
      <c r="JX21" s="479">
        <f t="shared" si="297"/>
        <v>0</v>
      </c>
      <c r="JY21" s="479">
        <f t="shared" si="297"/>
        <v>0</v>
      </c>
      <c r="JZ21" s="479">
        <f t="shared" si="297"/>
        <v>0</v>
      </c>
      <c r="KA21" s="479">
        <f t="shared" si="297"/>
        <v>0</v>
      </c>
      <c r="KB21" s="479">
        <f t="shared" si="297"/>
        <v>0</v>
      </c>
      <c r="KC21" s="479">
        <f t="shared" si="297"/>
        <v>0</v>
      </c>
      <c r="KD21" s="479">
        <f t="shared" si="297"/>
        <v>0</v>
      </c>
      <c r="KE21" s="479">
        <f t="shared" si="297"/>
        <v>0</v>
      </c>
      <c r="KF21" s="479">
        <f t="shared" si="297"/>
        <v>0</v>
      </c>
      <c r="KG21" s="479">
        <f t="shared" si="297"/>
        <v>0</v>
      </c>
      <c r="KH21" s="479">
        <f t="shared" si="297"/>
        <v>0</v>
      </c>
      <c r="KI21" s="479">
        <f t="shared" si="297"/>
        <v>0</v>
      </c>
      <c r="KJ21" s="479">
        <f t="shared" si="297"/>
        <v>0</v>
      </c>
      <c r="KK21" s="479">
        <f t="shared" si="297"/>
        <v>0</v>
      </c>
      <c r="KL21" s="479">
        <f t="shared" si="297"/>
        <v>0</v>
      </c>
      <c r="KM21" s="479">
        <f t="shared" si="297"/>
        <v>0</v>
      </c>
      <c r="KN21" s="479">
        <f t="shared" si="297"/>
        <v>0</v>
      </c>
      <c r="KO21" s="479">
        <f t="shared" si="297"/>
        <v>0</v>
      </c>
      <c r="KP21" s="479">
        <f t="shared" si="297"/>
        <v>0</v>
      </c>
      <c r="KQ21" s="479">
        <f t="shared" si="297"/>
        <v>0</v>
      </c>
      <c r="KR21" s="479">
        <f t="shared" si="297"/>
        <v>0</v>
      </c>
      <c r="KS21" s="479">
        <f t="shared" si="297"/>
        <v>0</v>
      </c>
      <c r="KT21" s="479">
        <f t="shared" si="297"/>
        <v>0</v>
      </c>
      <c r="KU21" s="479">
        <f t="shared" si="297"/>
        <v>0</v>
      </c>
      <c r="KV21" s="479">
        <f t="shared" si="297"/>
        <v>0</v>
      </c>
      <c r="KW21" s="479">
        <f t="shared" si="297"/>
        <v>0</v>
      </c>
      <c r="KX21" s="479">
        <f t="shared" si="297"/>
        <v>0</v>
      </c>
      <c r="KY21" s="479">
        <f t="shared" si="297"/>
        <v>0</v>
      </c>
      <c r="KZ21" s="479">
        <f t="shared" si="297"/>
        <v>0</v>
      </c>
      <c r="LA21" s="479">
        <f t="shared" si="297"/>
        <v>0</v>
      </c>
      <c r="LB21" s="479">
        <f t="shared" si="297"/>
        <v>0</v>
      </c>
      <c r="LC21" s="479">
        <f t="shared" si="297"/>
        <v>0</v>
      </c>
      <c r="LD21" s="479">
        <f t="shared" si="297"/>
        <v>0</v>
      </c>
      <c r="LE21" s="479">
        <f t="shared" si="297"/>
        <v>0</v>
      </c>
      <c r="LF21" s="479">
        <f t="shared" si="297"/>
        <v>0</v>
      </c>
      <c r="LG21" s="479">
        <f t="shared" si="297"/>
        <v>0</v>
      </c>
      <c r="LH21" s="479">
        <f t="shared" si="297"/>
        <v>0</v>
      </c>
      <c r="LI21" s="479">
        <f t="shared" si="297"/>
        <v>0</v>
      </c>
      <c r="LJ21" s="479">
        <f t="shared" si="297"/>
        <v>0</v>
      </c>
      <c r="LK21" s="479">
        <f t="shared" si="297"/>
        <v>0</v>
      </c>
      <c r="LL21" s="479">
        <f t="shared" si="297"/>
        <v>0</v>
      </c>
      <c r="LM21" s="479">
        <f t="shared" si="297"/>
        <v>0</v>
      </c>
      <c r="LN21" s="479">
        <f t="shared" si="297"/>
        <v>0</v>
      </c>
      <c r="LO21" s="479">
        <f t="shared" si="297"/>
        <v>0</v>
      </c>
      <c r="LP21" s="479">
        <f t="shared" si="297"/>
        <v>0</v>
      </c>
      <c r="LQ21" s="479">
        <f t="shared" si="297"/>
        <v>0</v>
      </c>
      <c r="LR21" s="479">
        <f t="shared" si="297"/>
        <v>0</v>
      </c>
      <c r="LS21" s="479">
        <f t="shared" si="298"/>
        <v>0</v>
      </c>
      <c r="LT21" s="479">
        <f t="shared" si="298"/>
        <v>0</v>
      </c>
      <c r="LU21" s="479">
        <f t="shared" si="298"/>
        <v>0</v>
      </c>
      <c r="LV21" s="479">
        <f t="shared" si="298"/>
        <v>0</v>
      </c>
      <c r="LW21" s="479">
        <f t="shared" si="298"/>
        <v>0</v>
      </c>
      <c r="LX21" s="479">
        <f t="shared" si="298"/>
        <v>0</v>
      </c>
      <c r="LY21" s="479">
        <f t="shared" si="298"/>
        <v>0</v>
      </c>
      <c r="LZ21" s="479">
        <f t="shared" si="298"/>
        <v>0</v>
      </c>
      <c r="MA21" s="479">
        <f t="shared" si="298"/>
        <v>0</v>
      </c>
      <c r="MB21" s="479">
        <f t="shared" si="298"/>
        <v>0</v>
      </c>
      <c r="MC21" s="479">
        <f t="shared" si="298"/>
        <v>0</v>
      </c>
      <c r="MD21" s="479">
        <f t="shared" si="298"/>
        <v>0</v>
      </c>
      <c r="ME21" s="479">
        <f t="shared" si="298"/>
        <v>0</v>
      </c>
      <c r="MF21" s="479">
        <f t="shared" si="298"/>
        <v>0</v>
      </c>
      <c r="MG21" s="479">
        <f t="shared" si="298"/>
        <v>0</v>
      </c>
      <c r="MH21" s="479">
        <f t="shared" si="298"/>
        <v>0</v>
      </c>
      <c r="MI21" s="479">
        <f t="shared" si="298"/>
        <v>0</v>
      </c>
      <c r="MJ21" s="479">
        <f t="shared" si="298"/>
        <v>0</v>
      </c>
      <c r="MK21" s="479">
        <f t="shared" si="298"/>
        <v>0</v>
      </c>
      <c r="ML21" s="479">
        <f t="shared" si="298"/>
        <v>0</v>
      </c>
      <c r="MM21" s="479">
        <f t="shared" si="298"/>
        <v>0</v>
      </c>
      <c r="MN21" s="479">
        <f t="shared" si="298"/>
        <v>0</v>
      </c>
      <c r="MO21" s="479">
        <f t="shared" si="298"/>
        <v>0</v>
      </c>
      <c r="MP21" s="479">
        <f t="shared" si="298"/>
        <v>0</v>
      </c>
      <c r="MQ21" s="479">
        <f t="shared" si="298"/>
        <v>0</v>
      </c>
      <c r="MR21" s="479">
        <f t="shared" si="298"/>
        <v>0</v>
      </c>
      <c r="MS21" s="479">
        <f t="shared" si="298"/>
        <v>0</v>
      </c>
      <c r="MT21" s="479">
        <f t="shared" si="298"/>
        <v>0</v>
      </c>
      <c r="MU21" s="479">
        <f t="shared" si="298"/>
        <v>0</v>
      </c>
      <c r="MV21" s="479">
        <f t="shared" si="298"/>
        <v>0</v>
      </c>
      <c r="MW21" s="479">
        <f t="shared" si="298"/>
        <v>0</v>
      </c>
      <c r="MX21" s="479">
        <f t="shared" si="298"/>
        <v>0</v>
      </c>
      <c r="MY21" s="479">
        <f t="shared" si="298"/>
        <v>0</v>
      </c>
      <c r="MZ21" s="479">
        <f t="shared" si="298"/>
        <v>0</v>
      </c>
      <c r="NA21" s="479">
        <f t="shared" si="298"/>
        <v>0</v>
      </c>
      <c r="NB21" s="479">
        <f t="shared" si="298"/>
        <v>0</v>
      </c>
      <c r="NC21" s="479">
        <f t="shared" si="298"/>
        <v>0</v>
      </c>
      <c r="ND21" s="479">
        <f t="shared" si="298"/>
        <v>0</v>
      </c>
      <c r="NE21" s="479">
        <f t="shared" si="298"/>
        <v>0</v>
      </c>
      <c r="NF21" s="479">
        <f t="shared" si="298"/>
        <v>0</v>
      </c>
      <c r="NG21" s="479">
        <f t="shared" si="298"/>
        <v>0</v>
      </c>
      <c r="NH21" s="479">
        <f t="shared" si="298"/>
        <v>0</v>
      </c>
      <c r="NI21" s="479">
        <f t="shared" si="298"/>
        <v>0</v>
      </c>
      <c r="NJ21" s="479">
        <f t="shared" si="298"/>
        <v>0</v>
      </c>
      <c r="NK21" s="479">
        <f t="shared" si="298"/>
        <v>0</v>
      </c>
      <c r="NL21" s="479">
        <f t="shared" si="298"/>
        <v>0</v>
      </c>
      <c r="NM21" s="479">
        <f t="shared" si="298"/>
        <v>0</v>
      </c>
      <c r="NN21" s="479">
        <f t="shared" si="298"/>
        <v>0</v>
      </c>
      <c r="NO21" s="479">
        <f t="shared" si="298"/>
        <v>0</v>
      </c>
      <c r="NP21" s="479">
        <f t="shared" si="298"/>
        <v>0</v>
      </c>
      <c r="NQ21" s="479">
        <f t="shared" si="298"/>
        <v>0</v>
      </c>
      <c r="NR21" s="479">
        <f t="shared" si="298"/>
        <v>0</v>
      </c>
      <c r="NS21" s="479">
        <f t="shared" si="298"/>
        <v>0</v>
      </c>
      <c r="NT21" s="479">
        <f t="shared" si="298"/>
        <v>0</v>
      </c>
      <c r="NU21" s="479">
        <f t="shared" si="298"/>
        <v>0</v>
      </c>
      <c r="NV21" s="479">
        <f t="shared" si="298"/>
        <v>0</v>
      </c>
      <c r="NW21" s="479">
        <f t="shared" si="298"/>
        <v>0</v>
      </c>
      <c r="NX21" s="479">
        <f t="shared" si="298"/>
        <v>0</v>
      </c>
      <c r="NY21" s="479">
        <f t="shared" si="298"/>
        <v>0</v>
      </c>
      <c r="NZ21" s="479">
        <f t="shared" si="298"/>
        <v>0</v>
      </c>
      <c r="OA21" s="479">
        <f t="shared" si="298"/>
        <v>0</v>
      </c>
      <c r="OB21" s="479">
        <f t="shared" si="298"/>
        <v>0</v>
      </c>
      <c r="OC21" s="479">
        <f t="shared" si="298"/>
        <v>0</v>
      </c>
      <c r="OD21" s="479">
        <f t="shared" si="298"/>
        <v>0</v>
      </c>
      <c r="OE21" s="479">
        <f t="shared" si="291"/>
        <v>0</v>
      </c>
      <c r="OF21" s="479">
        <f t="shared" si="291"/>
        <v>0</v>
      </c>
      <c r="OG21" s="479">
        <f t="shared" si="291"/>
        <v>0</v>
      </c>
      <c r="OH21" s="479">
        <f t="shared" si="291"/>
        <v>0</v>
      </c>
      <c r="OI21" s="479">
        <f t="shared" si="291"/>
        <v>0</v>
      </c>
      <c r="OJ21" s="479">
        <f t="shared" si="291"/>
        <v>0</v>
      </c>
      <c r="OK21" s="479">
        <f t="shared" si="291"/>
        <v>0</v>
      </c>
      <c r="OL21" s="479">
        <f t="shared" si="291"/>
        <v>0</v>
      </c>
      <c r="OM21" s="479">
        <f t="shared" si="291"/>
        <v>0</v>
      </c>
      <c r="ON21" s="479">
        <f t="shared" si="291"/>
        <v>0</v>
      </c>
      <c r="OO21" s="479">
        <f t="shared" si="291"/>
        <v>0</v>
      </c>
    </row>
    <row r="22" spans="2:405">
      <c r="B22" s="97" t="str">
        <f>Assumptions!B85</f>
        <v>Developer Fee</v>
      </c>
      <c r="C22" s="97"/>
      <c r="D22" s="500">
        <f>Assumptions!C85</f>
        <v>878000</v>
      </c>
      <c r="E22" s="507">
        <f>Assumptions!$C$10</f>
        <v>46418</v>
      </c>
      <c r="F22" s="507">
        <f>EOMONTH(E22,Assumptions!$C$11-1)</f>
        <v>47118</v>
      </c>
      <c r="G22" s="97">
        <f t="shared" si="284"/>
        <v>24</v>
      </c>
      <c r="H22" s="97"/>
      <c r="I22" s="481"/>
      <c r="J22" s="479">
        <f t="shared" si="292"/>
        <v>0</v>
      </c>
      <c r="K22" s="479">
        <f t="shared" si="293"/>
        <v>0</v>
      </c>
      <c r="L22" s="479">
        <f t="shared" si="293"/>
        <v>0</v>
      </c>
      <c r="M22" s="479">
        <f t="shared" si="293"/>
        <v>0</v>
      </c>
      <c r="N22" s="479">
        <f t="shared" si="293"/>
        <v>0</v>
      </c>
      <c r="O22" s="479">
        <f t="shared" si="293"/>
        <v>0</v>
      </c>
      <c r="P22" s="479">
        <f t="shared" si="293"/>
        <v>-36583.333333333336</v>
      </c>
      <c r="Q22" s="479">
        <f t="shared" si="293"/>
        <v>-36583.333333333336</v>
      </c>
      <c r="R22" s="479">
        <f t="shared" si="293"/>
        <v>-36583.333333333336</v>
      </c>
      <c r="S22" s="479">
        <f t="shared" si="293"/>
        <v>-36583.333333333336</v>
      </c>
      <c r="T22" s="479">
        <f t="shared" si="293"/>
        <v>-36583.333333333336</v>
      </c>
      <c r="U22" s="479">
        <f t="shared" si="293"/>
        <v>-36583.333333333336</v>
      </c>
      <c r="V22" s="479">
        <f t="shared" si="293"/>
        <v>-36583.333333333336</v>
      </c>
      <c r="W22" s="479">
        <f t="shared" si="293"/>
        <v>-36583.333333333336</v>
      </c>
      <c r="X22" s="479">
        <f t="shared" si="293"/>
        <v>-36583.333333333336</v>
      </c>
      <c r="Y22" s="479">
        <f t="shared" si="293"/>
        <v>-36583.333333333336</v>
      </c>
      <c r="Z22" s="479">
        <f t="shared" si="293"/>
        <v>-36583.333333333336</v>
      </c>
      <c r="AA22" s="479">
        <f t="shared" si="293"/>
        <v>-36583.333333333336</v>
      </c>
      <c r="AB22" s="479">
        <f t="shared" si="293"/>
        <v>-36583.333333333336</v>
      </c>
      <c r="AC22" s="479">
        <f t="shared" si="293"/>
        <v>-36583.333333333336</v>
      </c>
      <c r="AD22" s="479">
        <f t="shared" si="293"/>
        <v>-36583.333333333336</v>
      </c>
      <c r="AE22" s="479">
        <f t="shared" si="293"/>
        <v>-36583.333333333336</v>
      </c>
      <c r="AF22" s="479">
        <f t="shared" si="293"/>
        <v>-36583.333333333336</v>
      </c>
      <c r="AG22" s="479">
        <f t="shared" si="293"/>
        <v>-36583.333333333336</v>
      </c>
      <c r="AH22" s="479">
        <f t="shared" si="293"/>
        <v>-36583.333333333336</v>
      </c>
      <c r="AI22" s="479">
        <f t="shared" si="293"/>
        <v>-36583.333333333336</v>
      </c>
      <c r="AJ22" s="479">
        <f t="shared" si="293"/>
        <v>-36583.333333333336</v>
      </c>
      <c r="AK22" s="479">
        <f t="shared" si="293"/>
        <v>-36583.333333333336</v>
      </c>
      <c r="AL22" s="479">
        <f t="shared" si="293"/>
        <v>-36583.333333333336</v>
      </c>
      <c r="AM22" s="479">
        <f t="shared" si="293"/>
        <v>-36583.333333333336</v>
      </c>
      <c r="AN22" s="479">
        <f t="shared" si="293"/>
        <v>0</v>
      </c>
      <c r="AO22" s="479">
        <f t="shared" si="293"/>
        <v>0</v>
      </c>
      <c r="AP22" s="479">
        <f t="shared" si="293"/>
        <v>0</v>
      </c>
      <c r="AQ22" s="479">
        <f t="shared" si="293"/>
        <v>0</v>
      </c>
      <c r="AR22" s="479">
        <f t="shared" si="293"/>
        <v>0</v>
      </c>
      <c r="AS22" s="479">
        <f t="shared" si="293"/>
        <v>0</v>
      </c>
      <c r="AT22" s="479">
        <f t="shared" si="293"/>
        <v>0</v>
      </c>
      <c r="AU22" s="479">
        <f t="shared" si="293"/>
        <v>0</v>
      </c>
      <c r="AV22" s="479">
        <f t="shared" si="293"/>
        <v>0</v>
      </c>
      <c r="AW22" s="479">
        <f t="shared" si="293"/>
        <v>0</v>
      </c>
      <c r="AX22" s="479">
        <f t="shared" si="293"/>
        <v>0</v>
      </c>
      <c r="AY22" s="479">
        <f t="shared" si="293"/>
        <v>0</v>
      </c>
      <c r="AZ22" s="479">
        <f t="shared" si="293"/>
        <v>0</v>
      </c>
      <c r="BA22" s="479">
        <f t="shared" si="293"/>
        <v>0</v>
      </c>
      <c r="BB22" s="479">
        <f t="shared" si="293"/>
        <v>0</v>
      </c>
      <c r="BC22" s="479">
        <f t="shared" si="293"/>
        <v>0</v>
      </c>
      <c r="BD22" s="479">
        <f t="shared" si="293"/>
        <v>0</v>
      </c>
      <c r="BE22" s="479">
        <f t="shared" si="293"/>
        <v>0</v>
      </c>
      <c r="BF22" s="479">
        <f t="shared" si="293"/>
        <v>0</v>
      </c>
      <c r="BG22" s="479">
        <f t="shared" si="293"/>
        <v>0</v>
      </c>
      <c r="BH22" s="479">
        <f t="shared" si="293"/>
        <v>0</v>
      </c>
      <c r="BI22" s="479">
        <f t="shared" si="293"/>
        <v>0</v>
      </c>
      <c r="BJ22" s="479">
        <f t="shared" si="293"/>
        <v>0</v>
      </c>
      <c r="BK22" s="479">
        <f t="shared" si="293"/>
        <v>0</v>
      </c>
      <c r="BL22" s="479">
        <f t="shared" si="293"/>
        <v>0</v>
      </c>
      <c r="BM22" s="479">
        <f t="shared" si="293"/>
        <v>0</v>
      </c>
      <c r="BN22" s="479">
        <f t="shared" si="293"/>
        <v>0</v>
      </c>
      <c r="BO22" s="479">
        <f t="shared" si="293"/>
        <v>0</v>
      </c>
      <c r="BP22" s="479">
        <f t="shared" si="293"/>
        <v>0</v>
      </c>
      <c r="BQ22" s="479">
        <f t="shared" si="293"/>
        <v>0</v>
      </c>
      <c r="BR22" s="479">
        <f t="shared" si="293"/>
        <v>0</v>
      </c>
      <c r="BS22" s="479">
        <f t="shared" si="293"/>
        <v>0</v>
      </c>
      <c r="BT22" s="479">
        <f t="shared" si="293"/>
        <v>0</v>
      </c>
      <c r="BU22" s="479">
        <f t="shared" si="293"/>
        <v>0</v>
      </c>
      <c r="BV22" s="479">
        <f t="shared" si="293"/>
        <v>0</v>
      </c>
      <c r="BW22" s="479">
        <f t="shared" si="294"/>
        <v>0</v>
      </c>
      <c r="BX22" s="479">
        <f t="shared" si="294"/>
        <v>0</v>
      </c>
      <c r="BY22" s="479">
        <f t="shared" si="294"/>
        <v>0</v>
      </c>
      <c r="BZ22" s="479">
        <f t="shared" si="294"/>
        <v>0</v>
      </c>
      <c r="CA22" s="479">
        <f t="shared" si="294"/>
        <v>0</v>
      </c>
      <c r="CB22" s="479">
        <f t="shared" si="294"/>
        <v>0</v>
      </c>
      <c r="CC22" s="479">
        <f t="shared" si="294"/>
        <v>0</v>
      </c>
      <c r="CD22" s="479">
        <f t="shared" si="294"/>
        <v>0</v>
      </c>
      <c r="CE22" s="479">
        <f t="shared" si="294"/>
        <v>0</v>
      </c>
      <c r="CF22" s="479">
        <f t="shared" si="294"/>
        <v>0</v>
      </c>
      <c r="CG22" s="479">
        <f t="shared" si="294"/>
        <v>0</v>
      </c>
      <c r="CH22" s="479">
        <f t="shared" si="294"/>
        <v>0</v>
      </c>
      <c r="CI22" s="479">
        <f t="shared" si="294"/>
        <v>0</v>
      </c>
      <c r="CJ22" s="479">
        <f t="shared" si="294"/>
        <v>0</v>
      </c>
      <c r="CK22" s="479">
        <f t="shared" si="294"/>
        <v>0</v>
      </c>
      <c r="CL22" s="479">
        <f t="shared" si="294"/>
        <v>0</v>
      </c>
      <c r="CM22" s="479">
        <f t="shared" si="294"/>
        <v>0</v>
      </c>
      <c r="CN22" s="479">
        <f t="shared" si="294"/>
        <v>0</v>
      </c>
      <c r="CO22" s="479">
        <f t="shared" si="294"/>
        <v>0</v>
      </c>
      <c r="CP22" s="479">
        <f t="shared" si="294"/>
        <v>0</v>
      </c>
      <c r="CQ22" s="479">
        <f t="shared" si="294"/>
        <v>0</v>
      </c>
      <c r="CR22" s="479">
        <f t="shared" si="294"/>
        <v>0</v>
      </c>
      <c r="CS22" s="479">
        <f t="shared" si="294"/>
        <v>0</v>
      </c>
      <c r="CT22" s="479">
        <f t="shared" si="294"/>
        <v>0</v>
      </c>
      <c r="CU22" s="479">
        <f t="shared" si="294"/>
        <v>0</v>
      </c>
      <c r="CV22" s="479">
        <f t="shared" si="294"/>
        <v>0</v>
      </c>
      <c r="CW22" s="479">
        <f t="shared" si="294"/>
        <v>0</v>
      </c>
      <c r="CX22" s="479">
        <f t="shared" si="294"/>
        <v>0</v>
      </c>
      <c r="CY22" s="479">
        <f t="shared" si="294"/>
        <v>0</v>
      </c>
      <c r="CZ22" s="479">
        <f t="shared" si="294"/>
        <v>0</v>
      </c>
      <c r="DA22" s="479">
        <f t="shared" si="294"/>
        <v>0</v>
      </c>
      <c r="DB22" s="479">
        <f t="shared" si="294"/>
        <v>0</v>
      </c>
      <c r="DC22" s="479">
        <f t="shared" si="294"/>
        <v>0</v>
      </c>
      <c r="DD22" s="479">
        <f t="shared" si="294"/>
        <v>0</v>
      </c>
      <c r="DE22" s="479">
        <f t="shared" si="294"/>
        <v>0</v>
      </c>
      <c r="DF22" s="479">
        <f t="shared" si="294"/>
        <v>0</v>
      </c>
      <c r="DG22" s="479">
        <f t="shared" si="294"/>
        <v>0</v>
      </c>
      <c r="DH22" s="479">
        <f t="shared" si="294"/>
        <v>0</v>
      </c>
      <c r="DI22" s="479">
        <f t="shared" si="294"/>
        <v>0</v>
      </c>
      <c r="DJ22" s="479">
        <f t="shared" si="294"/>
        <v>0</v>
      </c>
      <c r="DK22" s="479">
        <f t="shared" si="294"/>
        <v>0</v>
      </c>
      <c r="DL22" s="479">
        <f t="shared" si="294"/>
        <v>0</v>
      </c>
      <c r="DM22" s="479">
        <f t="shared" si="294"/>
        <v>0</v>
      </c>
      <c r="DN22" s="479">
        <f t="shared" si="294"/>
        <v>0</v>
      </c>
      <c r="DO22" s="479">
        <f t="shared" si="294"/>
        <v>0</v>
      </c>
      <c r="DP22" s="479">
        <f t="shared" si="294"/>
        <v>0</v>
      </c>
      <c r="DQ22" s="479">
        <f t="shared" si="294"/>
        <v>0</v>
      </c>
      <c r="DR22" s="479">
        <f t="shared" si="294"/>
        <v>0</v>
      </c>
      <c r="DS22" s="479">
        <f t="shared" si="294"/>
        <v>0</v>
      </c>
      <c r="DT22" s="479">
        <f t="shared" si="294"/>
        <v>0</v>
      </c>
      <c r="DU22" s="479">
        <f t="shared" si="294"/>
        <v>0</v>
      </c>
      <c r="DV22" s="479">
        <f t="shared" si="294"/>
        <v>0</v>
      </c>
      <c r="DW22" s="479">
        <f t="shared" si="294"/>
        <v>0</v>
      </c>
      <c r="DX22" s="479">
        <f t="shared" si="294"/>
        <v>0</v>
      </c>
      <c r="DY22" s="479">
        <f t="shared" si="294"/>
        <v>0</v>
      </c>
      <c r="DZ22" s="479">
        <f t="shared" si="294"/>
        <v>0</v>
      </c>
      <c r="EA22" s="479">
        <f t="shared" si="294"/>
        <v>0</v>
      </c>
      <c r="EB22" s="479">
        <f t="shared" si="294"/>
        <v>0</v>
      </c>
      <c r="EC22" s="479">
        <f t="shared" si="294"/>
        <v>0</v>
      </c>
      <c r="ED22" s="479">
        <f t="shared" si="294"/>
        <v>0</v>
      </c>
      <c r="EE22" s="479">
        <f t="shared" si="294"/>
        <v>0</v>
      </c>
      <c r="EF22" s="479">
        <f t="shared" si="294"/>
        <v>0</v>
      </c>
      <c r="EG22" s="479">
        <f t="shared" si="294"/>
        <v>0</v>
      </c>
      <c r="EH22" s="479">
        <f t="shared" si="294"/>
        <v>0</v>
      </c>
      <c r="EI22" s="479">
        <f t="shared" si="295"/>
        <v>0</v>
      </c>
      <c r="EJ22" s="479">
        <f t="shared" si="295"/>
        <v>0</v>
      </c>
      <c r="EK22" s="479">
        <f t="shared" si="295"/>
        <v>0</v>
      </c>
      <c r="EL22" s="479">
        <f t="shared" si="295"/>
        <v>0</v>
      </c>
      <c r="EM22" s="479">
        <f t="shared" si="295"/>
        <v>0</v>
      </c>
      <c r="EN22" s="479">
        <f t="shared" si="295"/>
        <v>0</v>
      </c>
      <c r="EO22" s="479">
        <f t="shared" si="295"/>
        <v>0</v>
      </c>
      <c r="EP22" s="479">
        <f t="shared" si="295"/>
        <v>0</v>
      </c>
      <c r="EQ22" s="479">
        <f t="shared" si="295"/>
        <v>0</v>
      </c>
      <c r="ER22" s="479">
        <f t="shared" si="295"/>
        <v>0</v>
      </c>
      <c r="ES22" s="479">
        <f t="shared" si="295"/>
        <v>0</v>
      </c>
      <c r="ET22" s="479">
        <f t="shared" si="295"/>
        <v>0</v>
      </c>
      <c r="EU22" s="479">
        <f t="shared" si="295"/>
        <v>0</v>
      </c>
      <c r="EV22" s="479">
        <f t="shared" si="295"/>
        <v>0</v>
      </c>
      <c r="EW22" s="479">
        <f t="shared" si="295"/>
        <v>0</v>
      </c>
      <c r="EX22" s="479">
        <f t="shared" si="295"/>
        <v>0</v>
      </c>
      <c r="EY22" s="479">
        <f t="shared" si="295"/>
        <v>0</v>
      </c>
      <c r="EZ22" s="479">
        <f t="shared" si="295"/>
        <v>0</v>
      </c>
      <c r="FA22" s="479">
        <f t="shared" si="295"/>
        <v>0</v>
      </c>
      <c r="FB22" s="479">
        <f t="shared" si="295"/>
        <v>0</v>
      </c>
      <c r="FC22" s="479">
        <f t="shared" si="295"/>
        <v>0</v>
      </c>
      <c r="FD22" s="479">
        <f t="shared" si="295"/>
        <v>0</v>
      </c>
      <c r="FE22" s="479">
        <f t="shared" si="295"/>
        <v>0</v>
      </c>
      <c r="FF22" s="479">
        <f t="shared" si="295"/>
        <v>0</v>
      </c>
      <c r="FG22" s="479">
        <f t="shared" si="295"/>
        <v>0</v>
      </c>
      <c r="FH22" s="479">
        <f t="shared" si="295"/>
        <v>0</v>
      </c>
      <c r="FI22" s="479">
        <f t="shared" si="295"/>
        <v>0</v>
      </c>
      <c r="FJ22" s="479">
        <f t="shared" si="295"/>
        <v>0</v>
      </c>
      <c r="FK22" s="479">
        <f t="shared" si="295"/>
        <v>0</v>
      </c>
      <c r="FL22" s="479">
        <f t="shared" si="295"/>
        <v>0</v>
      </c>
      <c r="FM22" s="479">
        <f t="shared" si="295"/>
        <v>0</v>
      </c>
      <c r="FN22" s="479">
        <f t="shared" si="295"/>
        <v>0</v>
      </c>
      <c r="FO22" s="479">
        <f t="shared" si="295"/>
        <v>0</v>
      </c>
      <c r="FP22" s="479">
        <f t="shared" si="295"/>
        <v>0</v>
      </c>
      <c r="FQ22" s="479">
        <f t="shared" si="295"/>
        <v>0</v>
      </c>
      <c r="FR22" s="479">
        <f t="shared" si="295"/>
        <v>0</v>
      </c>
      <c r="FS22" s="479">
        <f t="shared" si="295"/>
        <v>0</v>
      </c>
      <c r="FT22" s="479">
        <f t="shared" si="295"/>
        <v>0</v>
      </c>
      <c r="FU22" s="479">
        <f t="shared" si="295"/>
        <v>0</v>
      </c>
      <c r="FV22" s="479">
        <f t="shared" si="295"/>
        <v>0</v>
      </c>
      <c r="FW22" s="479">
        <f t="shared" si="295"/>
        <v>0</v>
      </c>
      <c r="FX22" s="479">
        <f t="shared" si="295"/>
        <v>0</v>
      </c>
      <c r="FY22" s="479">
        <f t="shared" si="295"/>
        <v>0</v>
      </c>
      <c r="FZ22" s="479">
        <f t="shared" si="295"/>
        <v>0</v>
      </c>
      <c r="GA22" s="479">
        <f t="shared" si="295"/>
        <v>0</v>
      </c>
      <c r="GB22" s="479">
        <f t="shared" si="295"/>
        <v>0</v>
      </c>
      <c r="GC22" s="479">
        <f t="shared" si="295"/>
        <v>0</v>
      </c>
      <c r="GD22" s="479">
        <f t="shared" si="295"/>
        <v>0</v>
      </c>
      <c r="GE22" s="479">
        <f t="shared" si="295"/>
        <v>0</v>
      </c>
      <c r="GF22" s="479">
        <f t="shared" si="295"/>
        <v>0</v>
      </c>
      <c r="GG22" s="479">
        <f t="shared" si="295"/>
        <v>0</v>
      </c>
      <c r="GH22" s="479">
        <f t="shared" si="295"/>
        <v>0</v>
      </c>
      <c r="GI22" s="479">
        <f t="shared" si="295"/>
        <v>0</v>
      </c>
      <c r="GJ22" s="479">
        <f t="shared" si="295"/>
        <v>0</v>
      </c>
      <c r="GK22" s="479">
        <f t="shared" si="295"/>
        <v>0</v>
      </c>
      <c r="GL22" s="479">
        <f t="shared" si="295"/>
        <v>0</v>
      </c>
      <c r="GM22" s="479">
        <f t="shared" si="295"/>
        <v>0</v>
      </c>
      <c r="GN22" s="479">
        <f t="shared" si="295"/>
        <v>0</v>
      </c>
      <c r="GO22" s="479">
        <f t="shared" si="295"/>
        <v>0</v>
      </c>
      <c r="GP22" s="479">
        <f t="shared" si="295"/>
        <v>0</v>
      </c>
      <c r="GQ22" s="479">
        <f t="shared" si="295"/>
        <v>0</v>
      </c>
      <c r="GR22" s="479">
        <f t="shared" si="295"/>
        <v>0</v>
      </c>
      <c r="GS22" s="479">
        <f t="shared" si="295"/>
        <v>0</v>
      </c>
      <c r="GT22" s="479">
        <f t="shared" si="295"/>
        <v>0</v>
      </c>
      <c r="GU22" s="479">
        <f t="shared" si="296"/>
        <v>0</v>
      </c>
      <c r="GV22" s="479">
        <f t="shared" si="296"/>
        <v>0</v>
      </c>
      <c r="GW22" s="479">
        <f t="shared" si="296"/>
        <v>0</v>
      </c>
      <c r="GX22" s="479">
        <f t="shared" si="296"/>
        <v>0</v>
      </c>
      <c r="GY22" s="479">
        <f t="shared" si="296"/>
        <v>0</v>
      </c>
      <c r="GZ22" s="479">
        <f t="shared" si="296"/>
        <v>0</v>
      </c>
      <c r="HA22" s="479">
        <f t="shared" si="296"/>
        <v>0</v>
      </c>
      <c r="HB22" s="479">
        <f t="shared" si="296"/>
        <v>0</v>
      </c>
      <c r="HC22" s="479">
        <f t="shared" si="296"/>
        <v>0</v>
      </c>
      <c r="HD22" s="479">
        <f t="shared" si="296"/>
        <v>0</v>
      </c>
      <c r="HE22" s="479">
        <f t="shared" si="296"/>
        <v>0</v>
      </c>
      <c r="HF22" s="479">
        <f t="shared" si="296"/>
        <v>0</v>
      </c>
      <c r="HG22" s="479">
        <f t="shared" si="296"/>
        <v>0</v>
      </c>
      <c r="HH22" s="479">
        <f t="shared" si="296"/>
        <v>0</v>
      </c>
      <c r="HI22" s="479">
        <f t="shared" si="296"/>
        <v>0</v>
      </c>
      <c r="HJ22" s="479">
        <f t="shared" si="296"/>
        <v>0</v>
      </c>
      <c r="HK22" s="479">
        <f t="shared" si="296"/>
        <v>0</v>
      </c>
      <c r="HL22" s="479">
        <f t="shared" si="296"/>
        <v>0</v>
      </c>
      <c r="HM22" s="479">
        <f t="shared" si="296"/>
        <v>0</v>
      </c>
      <c r="HN22" s="479">
        <f t="shared" si="296"/>
        <v>0</v>
      </c>
      <c r="HO22" s="479">
        <f t="shared" si="296"/>
        <v>0</v>
      </c>
      <c r="HP22" s="479">
        <f t="shared" si="296"/>
        <v>0</v>
      </c>
      <c r="HQ22" s="479">
        <f t="shared" si="296"/>
        <v>0</v>
      </c>
      <c r="HR22" s="479">
        <f t="shared" si="296"/>
        <v>0</v>
      </c>
      <c r="HS22" s="479">
        <f t="shared" si="296"/>
        <v>0</v>
      </c>
      <c r="HT22" s="479">
        <f t="shared" si="296"/>
        <v>0</v>
      </c>
      <c r="HU22" s="479">
        <f t="shared" si="296"/>
        <v>0</v>
      </c>
      <c r="HV22" s="479">
        <f t="shared" si="296"/>
        <v>0</v>
      </c>
      <c r="HW22" s="479">
        <f t="shared" si="296"/>
        <v>0</v>
      </c>
      <c r="HX22" s="479">
        <f t="shared" si="296"/>
        <v>0</v>
      </c>
      <c r="HY22" s="479">
        <f t="shared" si="296"/>
        <v>0</v>
      </c>
      <c r="HZ22" s="479">
        <f t="shared" si="296"/>
        <v>0</v>
      </c>
      <c r="IA22" s="479">
        <f t="shared" si="296"/>
        <v>0</v>
      </c>
      <c r="IB22" s="479">
        <f t="shared" si="296"/>
        <v>0</v>
      </c>
      <c r="IC22" s="479">
        <f t="shared" si="296"/>
        <v>0</v>
      </c>
      <c r="ID22" s="479">
        <f t="shared" si="296"/>
        <v>0</v>
      </c>
      <c r="IE22" s="479">
        <f t="shared" si="296"/>
        <v>0</v>
      </c>
      <c r="IF22" s="479">
        <f t="shared" si="296"/>
        <v>0</v>
      </c>
      <c r="IG22" s="479">
        <f t="shared" si="296"/>
        <v>0</v>
      </c>
      <c r="IH22" s="479">
        <f t="shared" si="296"/>
        <v>0</v>
      </c>
      <c r="II22" s="479">
        <f t="shared" si="296"/>
        <v>0</v>
      </c>
      <c r="IJ22" s="479">
        <f t="shared" si="296"/>
        <v>0</v>
      </c>
      <c r="IK22" s="479">
        <f t="shared" si="296"/>
        <v>0</v>
      </c>
      <c r="IL22" s="479">
        <f t="shared" si="296"/>
        <v>0</v>
      </c>
      <c r="IM22" s="479">
        <f t="shared" si="296"/>
        <v>0</v>
      </c>
      <c r="IN22" s="479">
        <f t="shared" si="296"/>
        <v>0</v>
      </c>
      <c r="IO22" s="479">
        <f t="shared" si="296"/>
        <v>0</v>
      </c>
      <c r="IP22" s="479">
        <f t="shared" si="296"/>
        <v>0</v>
      </c>
      <c r="IQ22" s="479">
        <f t="shared" si="296"/>
        <v>0</v>
      </c>
      <c r="IR22" s="479">
        <f t="shared" si="296"/>
        <v>0</v>
      </c>
      <c r="IS22" s="479">
        <f t="shared" si="296"/>
        <v>0</v>
      </c>
      <c r="IT22" s="479">
        <f t="shared" si="296"/>
        <v>0</v>
      </c>
      <c r="IU22" s="479">
        <f t="shared" si="296"/>
        <v>0</v>
      </c>
      <c r="IV22" s="479">
        <f t="shared" si="296"/>
        <v>0</v>
      </c>
      <c r="IW22" s="479">
        <f t="shared" si="296"/>
        <v>0</v>
      </c>
      <c r="IX22" s="479">
        <f t="shared" si="296"/>
        <v>0</v>
      </c>
      <c r="IY22" s="479">
        <f t="shared" si="296"/>
        <v>0</v>
      </c>
      <c r="IZ22" s="479">
        <f t="shared" si="296"/>
        <v>0</v>
      </c>
      <c r="JA22" s="479">
        <f t="shared" si="296"/>
        <v>0</v>
      </c>
      <c r="JB22" s="479">
        <f t="shared" si="296"/>
        <v>0</v>
      </c>
      <c r="JC22" s="479">
        <f t="shared" si="296"/>
        <v>0</v>
      </c>
      <c r="JD22" s="479">
        <f t="shared" si="296"/>
        <v>0</v>
      </c>
      <c r="JE22" s="479">
        <f t="shared" si="296"/>
        <v>0</v>
      </c>
      <c r="JF22" s="479">
        <f t="shared" si="296"/>
        <v>0</v>
      </c>
      <c r="JG22" s="479">
        <f t="shared" si="297"/>
        <v>0</v>
      </c>
      <c r="JH22" s="479">
        <f t="shared" si="297"/>
        <v>0</v>
      </c>
      <c r="JI22" s="479">
        <f t="shared" si="297"/>
        <v>0</v>
      </c>
      <c r="JJ22" s="479">
        <f t="shared" si="297"/>
        <v>0</v>
      </c>
      <c r="JK22" s="479">
        <f t="shared" si="297"/>
        <v>0</v>
      </c>
      <c r="JL22" s="479">
        <f t="shared" si="297"/>
        <v>0</v>
      </c>
      <c r="JM22" s="479">
        <f t="shared" si="297"/>
        <v>0</v>
      </c>
      <c r="JN22" s="479">
        <f t="shared" si="297"/>
        <v>0</v>
      </c>
      <c r="JO22" s="479">
        <f t="shared" si="297"/>
        <v>0</v>
      </c>
      <c r="JP22" s="479">
        <f t="shared" si="297"/>
        <v>0</v>
      </c>
      <c r="JQ22" s="479">
        <f t="shared" si="297"/>
        <v>0</v>
      </c>
      <c r="JR22" s="479">
        <f t="shared" si="297"/>
        <v>0</v>
      </c>
      <c r="JS22" s="479">
        <f t="shared" si="297"/>
        <v>0</v>
      </c>
      <c r="JT22" s="479">
        <f t="shared" si="297"/>
        <v>0</v>
      </c>
      <c r="JU22" s="479">
        <f t="shared" si="297"/>
        <v>0</v>
      </c>
      <c r="JV22" s="479">
        <f t="shared" si="297"/>
        <v>0</v>
      </c>
      <c r="JW22" s="479">
        <f t="shared" si="297"/>
        <v>0</v>
      </c>
      <c r="JX22" s="479">
        <f t="shared" si="297"/>
        <v>0</v>
      </c>
      <c r="JY22" s="479">
        <f t="shared" si="297"/>
        <v>0</v>
      </c>
      <c r="JZ22" s="479">
        <f t="shared" si="297"/>
        <v>0</v>
      </c>
      <c r="KA22" s="479">
        <f t="shared" si="297"/>
        <v>0</v>
      </c>
      <c r="KB22" s="479">
        <f t="shared" si="297"/>
        <v>0</v>
      </c>
      <c r="KC22" s="479">
        <f t="shared" si="297"/>
        <v>0</v>
      </c>
      <c r="KD22" s="479">
        <f t="shared" si="297"/>
        <v>0</v>
      </c>
      <c r="KE22" s="479">
        <f t="shared" si="297"/>
        <v>0</v>
      </c>
      <c r="KF22" s="479">
        <f t="shared" si="297"/>
        <v>0</v>
      </c>
      <c r="KG22" s="479">
        <f t="shared" si="297"/>
        <v>0</v>
      </c>
      <c r="KH22" s="479">
        <f t="shared" si="297"/>
        <v>0</v>
      </c>
      <c r="KI22" s="479">
        <f t="shared" si="297"/>
        <v>0</v>
      </c>
      <c r="KJ22" s="479">
        <f t="shared" si="297"/>
        <v>0</v>
      </c>
      <c r="KK22" s="479">
        <f t="shared" si="297"/>
        <v>0</v>
      </c>
      <c r="KL22" s="479">
        <f t="shared" si="297"/>
        <v>0</v>
      </c>
      <c r="KM22" s="479">
        <f t="shared" si="297"/>
        <v>0</v>
      </c>
      <c r="KN22" s="479">
        <f t="shared" si="297"/>
        <v>0</v>
      </c>
      <c r="KO22" s="479">
        <f t="shared" si="297"/>
        <v>0</v>
      </c>
      <c r="KP22" s="479">
        <f t="shared" si="297"/>
        <v>0</v>
      </c>
      <c r="KQ22" s="479">
        <f t="shared" si="297"/>
        <v>0</v>
      </c>
      <c r="KR22" s="479">
        <f t="shared" si="297"/>
        <v>0</v>
      </c>
      <c r="KS22" s="479">
        <f t="shared" si="297"/>
        <v>0</v>
      </c>
      <c r="KT22" s="479">
        <f t="shared" si="297"/>
        <v>0</v>
      </c>
      <c r="KU22" s="479">
        <f t="shared" si="297"/>
        <v>0</v>
      </c>
      <c r="KV22" s="479">
        <f t="shared" si="297"/>
        <v>0</v>
      </c>
      <c r="KW22" s="479">
        <f t="shared" si="297"/>
        <v>0</v>
      </c>
      <c r="KX22" s="479">
        <f t="shared" si="297"/>
        <v>0</v>
      </c>
      <c r="KY22" s="479">
        <f t="shared" si="297"/>
        <v>0</v>
      </c>
      <c r="KZ22" s="479">
        <f t="shared" si="297"/>
        <v>0</v>
      </c>
      <c r="LA22" s="479">
        <f t="shared" si="297"/>
        <v>0</v>
      </c>
      <c r="LB22" s="479">
        <f t="shared" si="297"/>
        <v>0</v>
      </c>
      <c r="LC22" s="479">
        <f t="shared" si="297"/>
        <v>0</v>
      </c>
      <c r="LD22" s="479">
        <f t="shared" si="297"/>
        <v>0</v>
      </c>
      <c r="LE22" s="479">
        <f t="shared" si="297"/>
        <v>0</v>
      </c>
      <c r="LF22" s="479">
        <f t="shared" si="297"/>
        <v>0</v>
      </c>
      <c r="LG22" s="479">
        <f t="shared" si="297"/>
        <v>0</v>
      </c>
      <c r="LH22" s="479">
        <f t="shared" si="297"/>
        <v>0</v>
      </c>
      <c r="LI22" s="479">
        <f t="shared" si="297"/>
        <v>0</v>
      </c>
      <c r="LJ22" s="479">
        <f t="shared" si="297"/>
        <v>0</v>
      </c>
      <c r="LK22" s="479">
        <f t="shared" si="297"/>
        <v>0</v>
      </c>
      <c r="LL22" s="479">
        <f t="shared" si="297"/>
        <v>0</v>
      </c>
      <c r="LM22" s="479">
        <f t="shared" si="297"/>
        <v>0</v>
      </c>
      <c r="LN22" s="479">
        <f t="shared" si="297"/>
        <v>0</v>
      </c>
      <c r="LO22" s="479">
        <f t="shared" si="297"/>
        <v>0</v>
      </c>
      <c r="LP22" s="479">
        <f t="shared" si="297"/>
        <v>0</v>
      </c>
      <c r="LQ22" s="479">
        <f t="shared" si="297"/>
        <v>0</v>
      </c>
      <c r="LR22" s="479">
        <f t="shared" si="297"/>
        <v>0</v>
      </c>
      <c r="LS22" s="479">
        <f t="shared" si="298"/>
        <v>0</v>
      </c>
      <c r="LT22" s="479">
        <f t="shared" si="298"/>
        <v>0</v>
      </c>
      <c r="LU22" s="479">
        <f t="shared" si="298"/>
        <v>0</v>
      </c>
      <c r="LV22" s="479">
        <f t="shared" si="298"/>
        <v>0</v>
      </c>
      <c r="LW22" s="479">
        <f t="shared" si="298"/>
        <v>0</v>
      </c>
      <c r="LX22" s="479">
        <f t="shared" si="298"/>
        <v>0</v>
      </c>
      <c r="LY22" s="479">
        <f t="shared" si="298"/>
        <v>0</v>
      </c>
      <c r="LZ22" s="479">
        <f t="shared" si="298"/>
        <v>0</v>
      </c>
      <c r="MA22" s="479">
        <f t="shared" si="298"/>
        <v>0</v>
      </c>
      <c r="MB22" s="479">
        <f t="shared" si="298"/>
        <v>0</v>
      </c>
      <c r="MC22" s="479">
        <f t="shared" si="298"/>
        <v>0</v>
      </c>
      <c r="MD22" s="479">
        <f t="shared" si="298"/>
        <v>0</v>
      </c>
      <c r="ME22" s="479">
        <f t="shared" si="298"/>
        <v>0</v>
      </c>
      <c r="MF22" s="479">
        <f t="shared" si="298"/>
        <v>0</v>
      </c>
      <c r="MG22" s="479">
        <f t="shared" si="298"/>
        <v>0</v>
      </c>
      <c r="MH22" s="479">
        <f t="shared" si="298"/>
        <v>0</v>
      </c>
      <c r="MI22" s="479">
        <f t="shared" si="298"/>
        <v>0</v>
      </c>
      <c r="MJ22" s="479">
        <f t="shared" si="298"/>
        <v>0</v>
      </c>
      <c r="MK22" s="479">
        <f t="shared" si="298"/>
        <v>0</v>
      </c>
      <c r="ML22" s="479">
        <f t="shared" si="298"/>
        <v>0</v>
      </c>
      <c r="MM22" s="479">
        <f t="shared" si="298"/>
        <v>0</v>
      </c>
      <c r="MN22" s="479">
        <f t="shared" si="298"/>
        <v>0</v>
      </c>
      <c r="MO22" s="479">
        <f t="shared" si="298"/>
        <v>0</v>
      </c>
      <c r="MP22" s="479">
        <f t="shared" si="298"/>
        <v>0</v>
      </c>
      <c r="MQ22" s="479">
        <f t="shared" si="298"/>
        <v>0</v>
      </c>
      <c r="MR22" s="479">
        <f t="shared" si="298"/>
        <v>0</v>
      </c>
      <c r="MS22" s="479">
        <f t="shared" si="298"/>
        <v>0</v>
      </c>
      <c r="MT22" s="479">
        <f t="shared" si="298"/>
        <v>0</v>
      </c>
      <c r="MU22" s="479">
        <f t="shared" si="298"/>
        <v>0</v>
      </c>
      <c r="MV22" s="479">
        <f t="shared" si="298"/>
        <v>0</v>
      </c>
      <c r="MW22" s="479">
        <f t="shared" si="298"/>
        <v>0</v>
      </c>
      <c r="MX22" s="479">
        <f t="shared" si="298"/>
        <v>0</v>
      </c>
      <c r="MY22" s="479">
        <f t="shared" si="298"/>
        <v>0</v>
      </c>
      <c r="MZ22" s="479">
        <f t="shared" si="298"/>
        <v>0</v>
      </c>
      <c r="NA22" s="479">
        <f t="shared" si="298"/>
        <v>0</v>
      </c>
      <c r="NB22" s="479">
        <f t="shared" si="298"/>
        <v>0</v>
      </c>
      <c r="NC22" s="479">
        <f t="shared" si="298"/>
        <v>0</v>
      </c>
      <c r="ND22" s="479">
        <f t="shared" si="298"/>
        <v>0</v>
      </c>
      <c r="NE22" s="479">
        <f t="shared" si="298"/>
        <v>0</v>
      </c>
      <c r="NF22" s="479">
        <f t="shared" si="298"/>
        <v>0</v>
      </c>
      <c r="NG22" s="479">
        <f t="shared" si="298"/>
        <v>0</v>
      </c>
      <c r="NH22" s="479">
        <f t="shared" si="298"/>
        <v>0</v>
      </c>
      <c r="NI22" s="479">
        <f t="shared" si="298"/>
        <v>0</v>
      </c>
      <c r="NJ22" s="479">
        <f t="shared" si="298"/>
        <v>0</v>
      </c>
      <c r="NK22" s="479">
        <f t="shared" si="298"/>
        <v>0</v>
      </c>
      <c r="NL22" s="479">
        <f t="shared" si="298"/>
        <v>0</v>
      </c>
      <c r="NM22" s="479">
        <f t="shared" si="298"/>
        <v>0</v>
      </c>
      <c r="NN22" s="479">
        <f t="shared" si="298"/>
        <v>0</v>
      </c>
      <c r="NO22" s="479">
        <f t="shared" si="298"/>
        <v>0</v>
      </c>
      <c r="NP22" s="479">
        <f t="shared" si="298"/>
        <v>0</v>
      </c>
      <c r="NQ22" s="479">
        <f t="shared" si="298"/>
        <v>0</v>
      </c>
      <c r="NR22" s="479">
        <f t="shared" si="298"/>
        <v>0</v>
      </c>
      <c r="NS22" s="479">
        <f t="shared" si="298"/>
        <v>0</v>
      </c>
      <c r="NT22" s="479">
        <f t="shared" si="298"/>
        <v>0</v>
      </c>
      <c r="NU22" s="479">
        <f t="shared" si="298"/>
        <v>0</v>
      </c>
      <c r="NV22" s="479">
        <f t="shared" si="298"/>
        <v>0</v>
      </c>
      <c r="NW22" s="479">
        <f t="shared" si="298"/>
        <v>0</v>
      </c>
      <c r="NX22" s="479">
        <f t="shared" si="298"/>
        <v>0</v>
      </c>
      <c r="NY22" s="479">
        <f t="shared" si="298"/>
        <v>0</v>
      </c>
      <c r="NZ22" s="479">
        <f t="shared" si="298"/>
        <v>0</v>
      </c>
      <c r="OA22" s="479">
        <f t="shared" si="298"/>
        <v>0</v>
      </c>
      <c r="OB22" s="479">
        <f t="shared" si="298"/>
        <v>0</v>
      </c>
      <c r="OC22" s="479">
        <f t="shared" si="298"/>
        <v>0</v>
      </c>
      <c r="OD22" s="479">
        <f t="shared" si="298"/>
        <v>0</v>
      </c>
      <c r="OE22" s="479">
        <f t="shared" si="291"/>
        <v>0</v>
      </c>
      <c r="OF22" s="479">
        <f t="shared" si="291"/>
        <v>0</v>
      </c>
      <c r="OG22" s="479">
        <f t="shared" si="291"/>
        <v>0</v>
      </c>
      <c r="OH22" s="479">
        <f t="shared" si="291"/>
        <v>0</v>
      </c>
      <c r="OI22" s="479">
        <f t="shared" si="291"/>
        <v>0</v>
      </c>
      <c r="OJ22" s="479">
        <f t="shared" si="291"/>
        <v>0</v>
      </c>
      <c r="OK22" s="479">
        <f t="shared" si="291"/>
        <v>0</v>
      </c>
      <c r="OL22" s="479">
        <f t="shared" si="291"/>
        <v>0</v>
      </c>
      <c r="OM22" s="479">
        <f t="shared" si="291"/>
        <v>0</v>
      </c>
      <c r="ON22" s="479">
        <f t="shared" si="291"/>
        <v>0</v>
      </c>
      <c r="OO22" s="479">
        <f t="shared" si="291"/>
        <v>0</v>
      </c>
    </row>
    <row r="23" spans="2:405">
      <c r="B23" s="97" t="str">
        <f>Assumptions!B86</f>
        <v>Contingent Hard Costs</v>
      </c>
      <c r="C23" s="97"/>
      <c r="D23" s="500">
        <f>Assumptions!C86</f>
        <v>0</v>
      </c>
      <c r="E23" s="507">
        <f>Assumptions!$C$10</f>
        <v>46418</v>
      </c>
      <c r="F23" s="507">
        <f>EOMONTH(E23,Assumptions!$C$11-1)</f>
        <v>47118</v>
      </c>
      <c r="G23" s="97">
        <f t="shared" si="284"/>
        <v>24</v>
      </c>
      <c r="H23" s="97"/>
      <c r="I23" s="481"/>
      <c r="J23" s="479">
        <f t="shared" si="292"/>
        <v>0</v>
      </c>
      <c r="K23" s="479">
        <f t="shared" si="293"/>
        <v>0</v>
      </c>
      <c r="L23" s="479">
        <f t="shared" si="293"/>
        <v>0</v>
      </c>
      <c r="M23" s="479">
        <f t="shared" si="293"/>
        <v>0</v>
      </c>
      <c r="N23" s="479">
        <f t="shared" si="293"/>
        <v>0</v>
      </c>
      <c r="O23" s="479">
        <f t="shared" si="293"/>
        <v>0</v>
      </c>
      <c r="P23" s="479">
        <f t="shared" si="293"/>
        <v>0</v>
      </c>
      <c r="Q23" s="479">
        <f t="shared" si="293"/>
        <v>0</v>
      </c>
      <c r="R23" s="479">
        <f t="shared" si="293"/>
        <v>0</v>
      </c>
      <c r="S23" s="479">
        <f t="shared" si="293"/>
        <v>0</v>
      </c>
      <c r="T23" s="479">
        <f t="shared" si="293"/>
        <v>0</v>
      </c>
      <c r="U23" s="479">
        <f t="shared" si="293"/>
        <v>0</v>
      </c>
      <c r="V23" s="479">
        <f t="shared" si="293"/>
        <v>0</v>
      </c>
      <c r="W23" s="479">
        <f t="shared" si="293"/>
        <v>0</v>
      </c>
      <c r="X23" s="479">
        <f t="shared" si="293"/>
        <v>0</v>
      </c>
      <c r="Y23" s="479">
        <f t="shared" si="293"/>
        <v>0</v>
      </c>
      <c r="Z23" s="479">
        <f t="shared" si="293"/>
        <v>0</v>
      </c>
      <c r="AA23" s="479">
        <f t="shared" si="293"/>
        <v>0</v>
      </c>
      <c r="AB23" s="479">
        <f t="shared" si="293"/>
        <v>0</v>
      </c>
      <c r="AC23" s="479">
        <f t="shared" si="293"/>
        <v>0</v>
      </c>
      <c r="AD23" s="479">
        <f t="shared" si="293"/>
        <v>0</v>
      </c>
      <c r="AE23" s="479">
        <f t="shared" si="293"/>
        <v>0</v>
      </c>
      <c r="AF23" s="479">
        <f t="shared" si="293"/>
        <v>0</v>
      </c>
      <c r="AG23" s="479">
        <f t="shared" si="293"/>
        <v>0</v>
      </c>
      <c r="AH23" s="479">
        <f t="shared" si="293"/>
        <v>0</v>
      </c>
      <c r="AI23" s="479">
        <f t="shared" si="293"/>
        <v>0</v>
      </c>
      <c r="AJ23" s="479">
        <f t="shared" si="293"/>
        <v>0</v>
      </c>
      <c r="AK23" s="479">
        <f t="shared" si="293"/>
        <v>0</v>
      </c>
      <c r="AL23" s="479">
        <f t="shared" si="293"/>
        <v>0</v>
      </c>
      <c r="AM23" s="479">
        <f t="shared" si="293"/>
        <v>0</v>
      </c>
      <c r="AN23" s="479">
        <f t="shared" si="293"/>
        <v>0</v>
      </c>
      <c r="AO23" s="479">
        <f t="shared" si="293"/>
        <v>0</v>
      </c>
      <c r="AP23" s="479">
        <f t="shared" si="293"/>
        <v>0</v>
      </c>
      <c r="AQ23" s="479">
        <f t="shared" si="293"/>
        <v>0</v>
      </c>
      <c r="AR23" s="479">
        <f t="shared" si="293"/>
        <v>0</v>
      </c>
      <c r="AS23" s="479">
        <f t="shared" si="293"/>
        <v>0</v>
      </c>
      <c r="AT23" s="479">
        <f t="shared" si="293"/>
        <v>0</v>
      </c>
      <c r="AU23" s="479">
        <f t="shared" si="293"/>
        <v>0</v>
      </c>
      <c r="AV23" s="479">
        <f t="shared" si="293"/>
        <v>0</v>
      </c>
      <c r="AW23" s="479">
        <f t="shared" si="293"/>
        <v>0</v>
      </c>
      <c r="AX23" s="479">
        <f t="shared" si="293"/>
        <v>0</v>
      </c>
      <c r="AY23" s="479">
        <f t="shared" si="293"/>
        <v>0</v>
      </c>
      <c r="AZ23" s="479">
        <f t="shared" si="293"/>
        <v>0</v>
      </c>
      <c r="BA23" s="479">
        <f t="shared" si="293"/>
        <v>0</v>
      </c>
      <c r="BB23" s="479">
        <f t="shared" si="293"/>
        <v>0</v>
      </c>
      <c r="BC23" s="479">
        <f t="shared" si="293"/>
        <v>0</v>
      </c>
      <c r="BD23" s="479">
        <f t="shared" si="293"/>
        <v>0</v>
      </c>
      <c r="BE23" s="479">
        <f t="shared" si="293"/>
        <v>0</v>
      </c>
      <c r="BF23" s="479">
        <f t="shared" si="293"/>
        <v>0</v>
      </c>
      <c r="BG23" s="479">
        <f t="shared" si="293"/>
        <v>0</v>
      </c>
      <c r="BH23" s="479">
        <f t="shared" si="293"/>
        <v>0</v>
      </c>
      <c r="BI23" s="479">
        <f t="shared" si="293"/>
        <v>0</v>
      </c>
      <c r="BJ23" s="479">
        <f t="shared" si="293"/>
        <v>0</v>
      </c>
      <c r="BK23" s="479">
        <f t="shared" si="293"/>
        <v>0</v>
      </c>
      <c r="BL23" s="479">
        <f t="shared" si="293"/>
        <v>0</v>
      </c>
      <c r="BM23" s="479">
        <f t="shared" si="293"/>
        <v>0</v>
      </c>
      <c r="BN23" s="479">
        <f t="shared" si="293"/>
        <v>0</v>
      </c>
      <c r="BO23" s="479">
        <f t="shared" si="293"/>
        <v>0</v>
      </c>
      <c r="BP23" s="479">
        <f t="shared" si="293"/>
        <v>0</v>
      </c>
      <c r="BQ23" s="479">
        <f t="shared" si="293"/>
        <v>0</v>
      </c>
      <c r="BR23" s="479">
        <f t="shared" si="293"/>
        <v>0</v>
      </c>
      <c r="BS23" s="479">
        <f t="shared" si="293"/>
        <v>0</v>
      </c>
      <c r="BT23" s="479">
        <f t="shared" si="293"/>
        <v>0</v>
      </c>
      <c r="BU23" s="479">
        <f t="shared" si="293"/>
        <v>0</v>
      </c>
      <c r="BV23" s="479">
        <f t="shared" si="293"/>
        <v>0</v>
      </c>
      <c r="BW23" s="479">
        <f t="shared" si="294"/>
        <v>0</v>
      </c>
      <c r="BX23" s="479">
        <f t="shared" si="294"/>
        <v>0</v>
      </c>
      <c r="BY23" s="479">
        <f t="shared" si="294"/>
        <v>0</v>
      </c>
      <c r="BZ23" s="479">
        <f t="shared" si="294"/>
        <v>0</v>
      </c>
      <c r="CA23" s="479">
        <f t="shared" si="294"/>
        <v>0</v>
      </c>
      <c r="CB23" s="479">
        <f t="shared" si="294"/>
        <v>0</v>
      </c>
      <c r="CC23" s="479">
        <f t="shared" si="294"/>
        <v>0</v>
      </c>
      <c r="CD23" s="479">
        <f t="shared" si="294"/>
        <v>0</v>
      </c>
      <c r="CE23" s="479">
        <f t="shared" si="294"/>
        <v>0</v>
      </c>
      <c r="CF23" s="479">
        <f t="shared" si="294"/>
        <v>0</v>
      </c>
      <c r="CG23" s="479">
        <f t="shared" si="294"/>
        <v>0</v>
      </c>
      <c r="CH23" s="479">
        <f t="shared" si="294"/>
        <v>0</v>
      </c>
      <c r="CI23" s="479">
        <f t="shared" si="294"/>
        <v>0</v>
      </c>
      <c r="CJ23" s="479">
        <f t="shared" si="294"/>
        <v>0</v>
      </c>
      <c r="CK23" s="479">
        <f t="shared" si="294"/>
        <v>0</v>
      </c>
      <c r="CL23" s="479">
        <f t="shared" si="294"/>
        <v>0</v>
      </c>
      <c r="CM23" s="479">
        <f t="shared" si="294"/>
        <v>0</v>
      </c>
      <c r="CN23" s="479">
        <f t="shared" si="294"/>
        <v>0</v>
      </c>
      <c r="CO23" s="479">
        <f t="shared" si="294"/>
        <v>0</v>
      </c>
      <c r="CP23" s="479">
        <f t="shared" si="294"/>
        <v>0</v>
      </c>
      <c r="CQ23" s="479">
        <f t="shared" si="294"/>
        <v>0</v>
      </c>
      <c r="CR23" s="479">
        <f t="shared" si="294"/>
        <v>0</v>
      </c>
      <c r="CS23" s="479">
        <f t="shared" si="294"/>
        <v>0</v>
      </c>
      <c r="CT23" s="479">
        <f t="shared" si="294"/>
        <v>0</v>
      </c>
      <c r="CU23" s="479">
        <f t="shared" si="294"/>
        <v>0</v>
      </c>
      <c r="CV23" s="479">
        <f t="shared" si="294"/>
        <v>0</v>
      </c>
      <c r="CW23" s="479">
        <f t="shared" si="294"/>
        <v>0</v>
      </c>
      <c r="CX23" s="479">
        <f t="shared" si="294"/>
        <v>0</v>
      </c>
      <c r="CY23" s="479">
        <f t="shared" si="294"/>
        <v>0</v>
      </c>
      <c r="CZ23" s="479">
        <f t="shared" si="294"/>
        <v>0</v>
      </c>
      <c r="DA23" s="479">
        <f t="shared" si="294"/>
        <v>0</v>
      </c>
      <c r="DB23" s="479">
        <f t="shared" si="294"/>
        <v>0</v>
      </c>
      <c r="DC23" s="479">
        <f t="shared" si="294"/>
        <v>0</v>
      </c>
      <c r="DD23" s="479">
        <f t="shared" si="294"/>
        <v>0</v>
      </c>
      <c r="DE23" s="479">
        <f t="shared" si="294"/>
        <v>0</v>
      </c>
      <c r="DF23" s="479">
        <f t="shared" si="294"/>
        <v>0</v>
      </c>
      <c r="DG23" s="479">
        <f t="shared" si="294"/>
        <v>0</v>
      </c>
      <c r="DH23" s="479">
        <f t="shared" si="294"/>
        <v>0</v>
      </c>
      <c r="DI23" s="479">
        <f t="shared" si="294"/>
        <v>0</v>
      </c>
      <c r="DJ23" s="479">
        <f t="shared" si="294"/>
        <v>0</v>
      </c>
      <c r="DK23" s="479">
        <f t="shared" si="294"/>
        <v>0</v>
      </c>
      <c r="DL23" s="479">
        <f t="shared" si="294"/>
        <v>0</v>
      </c>
      <c r="DM23" s="479">
        <f t="shared" si="294"/>
        <v>0</v>
      </c>
      <c r="DN23" s="479">
        <f t="shared" si="294"/>
        <v>0</v>
      </c>
      <c r="DO23" s="479">
        <f t="shared" si="294"/>
        <v>0</v>
      </c>
      <c r="DP23" s="479">
        <f t="shared" si="294"/>
        <v>0</v>
      </c>
      <c r="DQ23" s="479">
        <f t="shared" si="294"/>
        <v>0</v>
      </c>
      <c r="DR23" s="479">
        <f t="shared" si="294"/>
        <v>0</v>
      </c>
      <c r="DS23" s="479">
        <f t="shared" si="294"/>
        <v>0</v>
      </c>
      <c r="DT23" s="479">
        <f t="shared" si="294"/>
        <v>0</v>
      </c>
      <c r="DU23" s="479">
        <f t="shared" si="294"/>
        <v>0</v>
      </c>
      <c r="DV23" s="479">
        <f t="shared" si="294"/>
        <v>0</v>
      </c>
      <c r="DW23" s="479">
        <f t="shared" si="294"/>
        <v>0</v>
      </c>
      <c r="DX23" s="479">
        <f t="shared" si="294"/>
        <v>0</v>
      </c>
      <c r="DY23" s="479">
        <f t="shared" si="294"/>
        <v>0</v>
      </c>
      <c r="DZ23" s="479">
        <f t="shared" si="294"/>
        <v>0</v>
      </c>
      <c r="EA23" s="479">
        <f t="shared" si="294"/>
        <v>0</v>
      </c>
      <c r="EB23" s="479">
        <f t="shared" si="294"/>
        <v>0</v>
      </c>
      <c r="EC23" s="479">
        <f t="shared" si="294"/>
        <v>0</v>
      </c>
      <c r="ED23" s="479">
        <f t="shared" si="294"/>
        <v>0</v>
      </c>
      <c r="EE23" s="479">
        <f t="shared" si="294"/>
        <v>0</v>
      </c>
      <c r="EF23" s="479">
        <f t="shared" si="294"/>
        <v>0</v>
      </c>
      <c r="EG23" s="479">
        <f t="shared" si="294"/>
        <v>0</v>
      </c>
      <c r="EH23" s="479">
        <f t="shared" si="294"/>
        <v>0</v>
      </c>
      <c r="EI23" s="479">
        <f t="shared" si="295"/>
        <v>0</v>
      </c>
      <c r="EJ23" s="479">
        <f t="shared" si="295"/>
        <v>0</v>
      </c>
      <c r="EK23" s="479">
        <f t="shared" si="295"/>
        <v>0</v>
      </c>
      <c r="EL23" s="479">
        <f t="shared" si="295"/>
        <v>0</v>
      </c>
      <c r="EM23" s="479">
        <f t="shared" si="295"/>
        <v>0</v>
      </c>
      <c r="EN23" s="479">
        <f t="shared" si="295"/>
        <v>0</v>
      </c>
      <c r="EO23" s="479">
        <f t="shared" si="295"/>
        <v>0</v>
      </c>
      <c r="EP23" s="479">
        <f t="shared" si="295"/>
        <v>0</v>
      </c>
      <c r="EQ23" s="479">
        <f t="shared" si="295"/>
        <v>0</v>
      </c>
      <c r="ER23" s="479">
        <f t="shared" si="295"/>
        <v>0</v>
      </c>
      <c r="ES23" s="479">
        <f t="shared" si="295"/>
        <v>0</v>
      </c>
      <c r="ET23" s="479">
        <f t="shared" si="295"/>
        <v>0</v>
      </c>
      <c r="EU23" s="479">
        <f t="shared" si="295"/>
        <v>0</v>
      </c>
      <c r="EV23" s="479">
        <f t="shared" si="295"/>
        <v>0</v>
      </c>
      <c r="EW23" s="479">
        <f t="shared" si="295"/>
        <v>0</v>
      </c>
      <c r="EX23" s="479">
        <f t="shared" si="295"/>
        <v>0</v>
      </c>
      <c r="EY23" s="479">
        <f t="shared" si="295"/>
        <v>0</v>
      </c>
      <c r="EZ23" s="479">
        <f t="shared" si="295"/>
        <v>0</v>
      </c>
      <c r="FA23" s="479">
        <f t="shared" si="295"/>
        <v>0</v>
      </c>
      <c r="FB23" s="479">
        <f t="shared" si="295"/>
        <v>0</v>
      </c>
      <c r="FC23" s="479">
        <f t="shared" si="295"/>
        <v>0</v>
      </c>
      <c r="FD23" s="479">
        <f t="shared" si="295"/>
        <v>0</v>
      </c>
      <c r="FE23" s="479">
        <f t="shared" si="295"/>
        <v>0</v>
      </c>
      <c r="FF23" s="479">
        <f t="shared" si="295"/>
        <v>0</v>
      </c>
      <c r="FG23" s="479">
        <f t="shared" si="295"/>
        <v>0</v>
      </c>
      <c r="FH23" s="479">
        <f t="shared" si="295"/>
        <v>0</v>
      </c>
      <c r="FI23" s="479">
        <f t="shared" si="295"/>
        <v>0</v>
      </c>
      <c r="FJ23" s="479">
        <f t="shared" si="295"/>
        <v>0</v>
      </c>
      <c r="FK23" s="479">
        <f t="shared" si="295"/>
        <v>0</v>
      </c>
      <c r="FL23" s="479">
        <f t="shared" si="295"/>
        <v>0</v>
      </c>
      <c r="FM23" s="479">
        <f t="shared" si="295"/>
        <v>0</v>
      </c>
      <c r="FN23" s="479">
        <f t="shared" si="295"/>
        <v>0</v>
      </c>
      <c r="FO23" s="479">
        <f t="shared" si="295"/>
        <v>0</v>
      </c>
      <c r="FP23" s="479">
        <f t="shared" si="295"/>
        <v>0</v>
      </c>
      <c r="FQ23" s="479">
        <f t="shared" si="295"/>
        <v>0</v>
      </c>
      <c r="FR23" s="479">
        <f t="shared" si="295"/>
        <v>0</v>
      </c>
      <c r="FS23" s="479">
        <f t="shared" si="295"/>
        <v>0</v>
      </c>
      <c r="FT23" s="479">
        <f t="shared" si="295"/>
        <v>0</v>
      </c>
      <c r="FU23" s="479">
        <f t="shared" si="295"/>
        <v>0</v>
      </c>
      <c r="FV23" s="479">
        <f t="shared" si="295"/>
        <v>0</v>
      </c>
      <c r="FW23" s="479">
        <f t="shared" si="295"/>
        <v>0</v>
      </c>
      <c r="FX23" s="479">
        <f t="shared" si="295"/>
        <v>0</v>
      </c>
      <c r="FY23" s="479">
        <f t="shared" si="295"/>
        <v>0</v>
      </c>
      <c r="FZ23" s="479">
        <f t="shared" si="295"/>
        <v>0</v>
      </c>
      <c r="GA23" s="479">
        <f t="shared" si="295"/>
        <v>0</v>
      </c>
      <c r="GB23" s="479">
        <f t="shared" si="295"/>
        <v>0</v>
      </c>
      <c r="GC23" s="479">
        <f t="shared" si="295"/>
        <v>0</v>
      </c>
      <c r="GD23" s="479">
        <f t="shared" si="295"/>
        <v>0</v>
      </c>
      <c r="GE23" s="479">
        <f t="shared" si="295"/>
        <v>0</v>
      </c>
      <c r="GF23" s="479">
        <f t="shared" si="295"/>
        <v>0</v>
      </c>
      <c r="GG23" s="479">
        <f t="shared" si="295"/>
        <v>0</v>
      </c>
      <c r="GH23" s="479">
        <f t="shared" si="295"/>
        <v>0</v>
      </c>
      <c r="GI23" s="479">
        <f t="shared" si="295"/>
        <v>0</v>
      </c>
      <c r="GJ23" s="479">
        <f t="shared" si="295"/>
        <v>0</v>
      </c>
      <c r="GK23" s="479">
        <f t="shared" si="295"/>
        <v>0</v>
      </c>
      <c r="GL23" s="479">
        <f t="shared" si="295"/>
        <v>0</v>
      </c>
      <c r="GM23" s="479">
        <f t="shared" si="295"/>
        <v>0</v>
      </c>
      <c r="GN23" s="479">
        <f t="shared" si="295"/>
        <v>0</v>
      </c>
      <c r="GO23" s="479">
        <f t="shared" si="295"/>
        <v>0</v>
      </c>
      <c r="GP23" s="479">
        <f t="shared" si="295"/>
        <v>0</v>
      </c>
      <c r="GQ23" s="479">
        <f t="shared" si="295"/>
        <v>0</v>
      </c>
      <c r="GR23" s="479">
        <f t="shared" si="295"/>
        <v>0</v>
      </c>
      <c r="GS23" s="479">
        <f t="shared" si="295"/>
        <v>0</v>
      </c>
      <c r="GT23" s="479">
        <f t="shared" si="295"/>
        <v>0</v>
      </c>
      <c r="GU23" s="479">
        <f t="shared" si="296"/>
        <v>0</v>
      </c>
      <c r="GV23" s="479">
        <f t="shared" si="296"/>
        <v>0</v>
      </c>
      <c r="GW23" s="479">
        <f t="shared" si="296"/>
        <v>0</v>
      </c>
      <c r="GX23" s="479">
        <f t="shared" si="296"/>
        <v>0</v>
      </c>
      <c r="GY23" s="479">
        <f t="shared" si="296"/>
        <v>0</v>
      </c>
      <c r="GZ23" s="479">
        <f t="shared" si="296"/>
        <v>0</v>
      </c>
      <c r="HA23" s="479">
        <f t="shared" si="296"/>
        <v>0</v>
      </c>
      <c r="HB23" s="479">
        <f t="shared" si="296"/>
        <v>0</v>
      </c>
      <c r="HC23" s="479">
        <f t="shared" si="296"/>
        <v>0</v>
      </c>
      <c r="HD23" s="479">
        <f t="shared" si="296"/>
        <v>0</v>
      </c>
      <c r="HE23" s="479">
        <f t="shared" si="296"/>
        <v>0</v>
      </c>
      <c r="HF23" s="479">
        <f t="shared" si="296"/>
        <v>0</v>
      </c>
      <c r="HG23" s="479">
        <f t="shared" si="296"/>
        <v>0</v>
      </c>
      <c r="HH23" s="479">
        <f t="shared" si="296"/>
        <v>0</v>
      </c>
      <c r="HI23" s="479">
        <f t="shared" si="296"/>
        <v>0</v>
      </c>
      <c r="HJ23" s="479">
        <f t="shared" si="296"/>
        <v>0</v>
      </c>
      <c r="HK23" s="479">
        <f t="shared" si="296"/>
        <v>0</v>
      </c>
      <c r="HL23" s="479">
        <f t="shared" si="296"/>
        <v>0</v>
      </c>
      <c r="HM23" s="479">
        <f t="shared" si="296"/>
        <v>0</v>
      </c>
      <c r="HN23" s="479">
        <f t="shared" si="296"/>
        <v>0</v>
      </c>
      <c r="HO23" s="479">
        <f t="shared" si="296"/>
        <v>0</v>
      </c>
      <c r="HP23" s="479">
        <f t="shared" si="296"/>
        <v>0</v>
      </c>
      <c r="HQ23" s="479">
        <f t="shared" si="296"/>
        <v>0</v>
      </c>
      <c r="HR23" s="479">
        <f t="shared" si="296"/>
        <v>0</v>
      </c>
      <c r="HS23" s="479">
        <f t="shared" si="296"/>
        <v>0</v>
      </c>
      <c r="HT23" s="479">
        <f t="shared" si="296"/>
        <v>0</v>
      </c>
      <c r="HU23" s="479">
        <f t="shared" si="296"/>
        <v>0</v>
      </c>
      <c r="HV23" s="479">
        <f t="shared" si="296"/>
        <v>0</v>
      </c>
      <c r="HW23" s="479">
        <f t="shared" si="296"/>
        <v>0</v>
      </c>
      <c r="HX23" s="479">
        <f t="shared" si="296"/>
        <v>0</v>
      </c>
      <c r="HY23" s="479">
        <f t="shared" si="296"/>
        <v>0</v>
      </c>
      <c r="HZ23" s="479">
        <f t="shared" si="296"/>
        <v>0</v>
      </c>
      <c r="IA23" s="479">
        <f t="shared" si="296"/>
        <v>0</v>
      </c>
      <c r="IB23" s="479">
        <f t="shared" si="296"/>
        <v>0</v>
      </c>
      <c r="IC23" s="479">
        <f t="shared" si="296"/>
        <v>0</v>
      </c>
      <c r="ID23" s="479">
        <f t="shared" si="296"/>
        <v>0</v>
      </c>
      <c r="IE23" s="479">
        <f t="shared" si="296"/>
        <v>0</v>
      </c>
      <c r="IF23" s="479">
        <f t="shared" si="296"/>
        <v>0</v>
      </c>
      <c r="IG23" s="479">
        <f t="shared" si="296"/>
        <v>0</v>
      </c>
      <c r="IH23" s="479">
        <f t="shared" si="296"/>
        <v>0</v>
      </c>
      <c r="II23" s="479">
        <f t="shared" si="296"/>
        <v>0</v>
      </c>
      <c r="IJ23" s="479">
        <f t="shared" si="296"/>
        <v>0</v>
      </c>
      <c r="IK23" s="479">
        <f t="shared" si="296"/>
        <v>0</v>
      </c>
      <c r="IL23" s="479">
        <f t="shared" si="296"/>
        <v>0</v>
      </c>
      <c r="IM23" s="479">
        <f t="shared" si="296"/>
        <v>0</v>
      </c>
      <c r="IN23" s="479">
        <f t="shared" si="296"/>
        <v>0</v>
      </c>
      <c r="IO23" s="479">
        <f t="shared" si="296"/>
        <v>0</v>
      </c>
      <c r="IP23" s="479">
        <f t="shared" si="296"/>
        <v>0</v>
      </c>
      <c r="IQ23" s="479">
        <f t="shared" si="296"/>
        <v>0</v>
      </c>
      <c r="IR23" s="479">
        <f t="shared" si="296"/>
        <v>0</v>
      </c>
      <c r="IS23" s="479">
        <f t="shared" si="296"/>
        <v>0</v>
      </c>
      <c r="IT23" s="479">
        <f t="shared" si="296"/>
        <v>0</v>
      </c>
      <c r="IU23" s="479">
        <f t="shared" si="296"/>
        <v>0</v>
      </c>
      <c r="IV23" s="479">
        <f t="shared" si="296"/>
        <v>0</v>
      </c>
      <c r="IW23" s="479">
        <f t="shared" si="296"/>
        <v>0</v>
      </c>
      <c r="IX23" s="479">
        <f t="shared" si="296"/>
        <v>0</v>
      </c>
      <c r="IY23" s="479">
        <f t="shared" si="296"/>
        <v>0</v>
      </c>
      <c r="IZ23" s="479">
        <f t="shared" si="296"/>
        <v>0</v>
      </c>
      <c r="JA23" s="479">
        <f t="shared" si="296"/>
        <v>0</v>
      </c>
      <c r="JB23" s="479">
        <f t="shared" si="296"/>
        <v>0</v>
      </c>
      <c r="JC23" s="479">
        <f t="shared" si="296"/>
        <v>0</v>
      </c>
      <c r="JD23" s="479">
        <f t="shared" si="296"/>
        <v>0</v>
      </c>
      <c r="JE23" s="479">
        <f t="shared" si="296"/>
        <v>0</v>
      </c>
      <c r="JF23" s="479">
        <f t="shared" si="296"/>
        <v>0</v>
      </c>
      <c r="JG23" s="479">
        <f t="shared" si="297"/>
        <v>0</v>
      </c>
      <c r="JH23" s="479">
        <f t="shared" si="297"/>
        <v>0</v>
      </c>
      <c r="JI23" s="479">
        <f t="shared" si="297"/>
        <v>0</v>
      </c>
      <c r="JJ23" s="479">
        <f t="shared" si="297"/>
        <v>0</v>
      </c>
      <c r="JK23" s="479">
        <f t="shared" si="297"/>
        <v>0</v>
      </c>
      <c r="JL23" s="479">
        <f t="shared" si="297"/>
        <v>0</v>
      </c>
      <c r="JM23" s="479">
        <f t="shared" si="297"/>
        <v>0</v>
      </c>
      <c r="JN23" s="479">
        <f t="shared" si="297"/>
        <v>0</v>
      </c>
      <c r="JO23" s="479">
        <f t="shared" si="297"/>
        <v>0</v>
      </c>
      <c r="JP23" s="479">
        <f t="shared" si="297"/>
        <v>0</v>
      </c>
      <c r="JQ23" s="479">
        <f t="shared" si="297"/>
        <v>0</v>
      </c>
      <c r="JR23" s="479">
        <f t="shared" si="297"/>
        <v>0</v>
      </c>
      <c r="JS23" s="479">
        <f t="shared" si="297"/>
        <v>0</v>
      </c>
      <c r="JT23" s="479">
        <f t="shared" si="297"/>
        <v>0</v>
      </c>
      <c r="JU23" s="479">
        <f t="shared" si="297"/>
        <v>0</v>
      </c>
      <c r="JV23" s="479">
        <f t="shared" si="297"/>
        <v>0</v>
      </c>
      <c r="JW23" s="479">
        <f t="shared" si="297"/>
        <v>0</v>
      </c>
      <c r="JX23" s="479">
        <f t="shared" si="297"/>
        <v>0</v>
      </c>
      <c r="JY23" s="479">
        <f t="shared" si="297"/>
        <v>0</v>
      </c>
      <c r="JZ23" s="479">
        <f t="shared" si="297"/>
        <v>0</v>
      </c>
      <c r="KA23" s="479">
        <f t="shared" si="297"/>
        <v>0</v>
      </c>
      <c r="KB23" s="479">
        <f t="shared" si="297"/>
        <v>0</v>
      </c>
      <c r="KC23" s="479">
        <f t="shared" si="297"/>
        <v>0</v>
      </c>
      <c r="KD23" s="479">
        <f t="shared" si="297"/>
        <v>0</v>
      </c>
      <c r="KE23" s="479">
        <f t="shared" si="297"/>
        <v>0</v>
      </c>
      <c r="KF23" s="479">
        <f t="shared" si="297"/>
        <v>0</v>
      </c>
      <c r="KG23" s="479">
        <f t="shared" si="297"/>
        <v>0</v>
      </c>
      <c r="KH23" s="479">
        <f t="shared" si="297"/>
        <v>0</v>
      </c>
      <c r="KI23" s="479">
        <f t="shared" si="297"/>
        <v>0</v>
      </c>
      <c r="KJ23" s="479">
        <f t="shared" si="297"/>
        <v>0</v>
      </c>
      <c r="KK23" s="479">
        <f t="shared" si="297"/>
        <v>0</v>
      </c>
      <c r="KL23" s="479">
        <f t="shared" si="297"/>
        <v>0</v>
      </c>
      <c r="KM23" s="479">
        <f t="shared" si="297"/>
        <v>0</v>
      </c>
      <c r="KN23" s="479">
        <f t="shared" si="297"/>
        <v>0</v>
      </c>
      <c r="KO23" s="479">
        <f t="shared" si="297"/>
        <v>0</v>
      </c>
      <c r="KP23" s="479">
        <f t="shared" si="297"/>
        <v>0</v>
      </c>
      <c r="KQ23" s="479">
        <f t="shared" si="297"/>
        <v>0</v>
      </c>
      <c r="KR23" s="479">
        <f t="shared" si="297"/>
        <v>0</v>
      </c>
      <c r="KS23" s="479">
        <f t="shared" si="297"/>
        <v>0</v>
      </c>
      <c r="KT23" s="479">
        <f t="shared" si="297"/>
        <v>0</v>
      </c>
      <c r="KU23" s="479">
        <f t="shared" si="297"/>
        <v>0</v>
      </c>
      <c r="KV23" s="479">
        <f t="shared" si="297"/>
        <v>0</v>
      </c>
      <c r="KW23" s="479">
        <f t="shared" si="297"/>
        <v>0</v>
      </c>
      <c r="KX23" s="479">
        <f t="shared" si="297"/>
        <v>0</v>
      </c>
      <c r="KY23" s="479">
        <f t="shared" si="297"/>
        <v>0</v>
      </c>
      <c r="KZ23" s="479">
        <f t="shared" si="297"/>
        <v>0</v>
      </c>
      <c r="LA23" s="479">
        <f t="shared" si="297"/>
        <v>0</v>
      </c>
      <c r="LB23" s="479">
        <f t="shared" si="297"/>
        <v>0</v>
      </c>
      <c r="LC23" s="479">
        <f t="shared" si="297"/>
        <v>0</v>
      </c>
      <c r="LD23" s="479">
        <f t="shared" si="297"/>
        <v>0</v>
      </c>
      <c r="LE23" s="479">
        <f t="shared" si="297"/>
        <v>0</v>
      </c>
      <c r="LF23" s="479">
        <f t="shared" si="297"/>
        <v>0</v>
      </c>
      <c r="LG23" s="479">
        <f t="shared" si="297"/>
        <v>0</v>
      </c>
      <c r="LH23" s="479">
        <f t="shared" si="297"/>
        <v>0</v>
      </c>
      <c r="LI23" s="479">
        <f t="shared" si="297"/>
        <v>0</v>
      </c>
      <c r="LJ23" s="479">
        <f t="shared" si="297"/>
        <v>0</v>
      </c>
      <c r="LK23" s="479">
        <f t="shared" si="297"/>
        <v>0</v>
      </c>
      <c r="LL23" s="479">
        <f t="shared" si="297"/>
        <v>0</v>
      </c>
      <c r="LM23" s="479">
        <f t="shared" si="297"/>
        <v>0</v>
      </c>
      <c r="LN23" s="479">
        <f t="shared" si="297"/>
        <v>0</v>
      </c>
      <c r="LO23" s="479">
        <f t="shared" si="297"/>
        <v>0</v>
      </c>
      <c r="LP23" s="479">
        <f t="shared" si="297"/>
        <v>0</v>
      </c>
      <c r="LQ23" s="479">
        <f t="shared" si="297"/>
        <v>0</v>
      </c>
      <c r="LR23" s="479">
        <f t="shared" si="297"/>
        <v>0</v>
      </c>
      <c r="LS23" s="479">
        <f t="shared" si="298"/>
        <v>0</v>
      </c>
      <c r="LT23" s="479">
        <f t="shared" si="298"/>
        <v>0</v>
      </c>
      <c r="LU23" s="479">
        <f t="shared" si="298"/>
        <v>0</v>
      </c>
      <c r="LV23" s="479">
        <f t="shared" si="298"/>
        <v>0</v>
      </c>
      <c r="LW23" s="479">
        <f t="shared" si="298"/>
        <v>0</v>
      </c>
      <c r="LX23" s="479">
        <f t="shared" si="298"/>
        <v>0</v>
      </c>
      <c r="LY23" s="479">
        <f t="shared" si="298"/>
        <v>0</v>
      </c>
      <c r="LZ23" s="479">
        <f t="shared" si="298"/>
        <v>0</v>
      </c>
      <c r="MA23" s="479">
        <f t="shared" si="298"/>
        <v>0</v>
      </c>
      <c r="MB23" s="479">
        <f t="shared" si="298"/>
        <v>0</v>
      </c>
      <c r="MC23" s="479">
        <f t="shared" si="298"/>
        <v>0</v>
      </c>
      <c r="MD23" s="479">
        <f t="shared" si="298"/>
        <v>0</v>
      </c>
      <c r="ME23" s="479">
        <f t="shared" si="298"/>
        <v>0</v>
      </c>
      <c r="MF23" s="479">
        <f t="shared" si="298"/>
        <v>0</v>
      </c>
      <c r="MG23" s="479">
        <f t="shared" si="298"/>
        <v>0</v>
      </c>
      <c r="MH23" s="479">
        <f t="shared" si="298"/>
        <v>0</v>
      </c>
      <c r="MI23" s="479">
        <f t="shared" si="298"/>
        <v>0</v>
      </c>
      <c r="MJ23" s="479">
        <f t="shared" si="298"/>
        <v>0</v>
      </c>
      <c r="MK23" s="479">
        <f t="shared" si="298"/>
        <v>0</v>
      </c>
      <c r="ML23" s="479">
        <f t="shared" si="298"/>
        <v>0</v>
      </c>
      <c r="MM23" s="479">
        <f t="shared" si="298"/>
        <v>0</v>
      </c>
      <c r="MN23" s="479">
        <f t="shared" si="298"/>
        <v>0</v>
      </c>
      <c r="MO23" s="479">
        <f t="shared" si="298"/>
        <v>0</v>
      </c>
      <c r="MP23" s="479">
        <f t="shared" si="298"/>
        <v>0</v>
      </c>
      <c r="MQ23" s="479">
        <f t="shared" si="298"/>
        <v>0</v>
      </c>
      <c r="MR23" s="479">
        <f t="shared" si="298"/>
        <v>0</v>
      </c>
      <c r="MS23" s="479">
        <f t="shared" si="298"/>
        <v>0</v>
      </c>
      <c r="MT23" s="479">
        <f t="shared" si="298"/>
        <v>0</v>
      </c>
      <c r="MU23" s="479">
        <f t="shared" si="298"/>
        <v>0</v>
      </c>
      <c r="MV23" s="479">
        <f t="shared" si="298"/>
        <v>0</v>
      </c>
      <c r="MW23" s="479">
        <f t="shared" si="298"/>
        <v>0</v>
      </c>
      <c r="MX23" s="479">
        <f t="shared" si="298"/>
        <v>0</v>
      </c>
      <c r="MY23" s="479">
        <f t="shared" si="298"/>
        <v>0</v>
      </c>
      <c r="MZ23" s="479">
        <f t="shared" si="298"/>
        <v>0</v>
      </c>
      <c r="NA23" s="479">
        <f t="shared" si="298"/>
        <v>0</v>
      </c>
      <c r="NB23" s="479">
        <f t="shared" si="298"/>
        <v>0</v>
      </c>
      <c r="NC23" s="479">
        <f t="shared" si="298"/>
        <v>0</v>
      </c>
      <c r="ND23" s="479">
        <f t="shared" si="298"/>
        <v>0</v>
      </c>
      <c r="NE23" s="479">
        <f t="shared" si="298"/>
        <v>0</v>
      </c>
      <c r="NF23" s="479">
        <f t="shared" si="298"/>
        <v>0</v>
      </c>
      <c r="NG23" s="479">
        <f t="shared" si="298"/>
        <v>0</v>
      </c>
      <c r="NH23" s="479">
        <f t="shared" si="298"/>
        <v>0</v>
      </c>
      <c r="NI23" s="479">
        <f t="shared" si="298"/>
        <v>0</v>
      </c>
      <c r="NJ23" s="479">
        <f t="shared" si="298"/>
        <v>0</v>
      </c>
      <c r="NK23" s="479">
        <f t="shared" si="298"/>
        <v>0</v>
      </c>
      <c r="NL23" s="479">
        <f t="shared" si="298"/>
        <v>0</v>
      </c>
      <c r="NM23" s="479">
        <f t="shared" si="298"/>
        <v>0</v>
      </c>
      <c r="NN23" s="479">
        <f t="shared" si="298"/>
        <v>0</v>
      </c>
      <c r="NO23" s="479">
        <f t="shared" si="298"/>
        <v>0</v>
      </c>
      <c r="NP23" s="479">
        <f t="shared" si="298"/>
        <v>0</v>
      </c>
      <c r="NQ23" s="479">
        <f t="shared" si="298"/>
        <v>0</v>
      </c>
      <c r="NR23" s="479">
        <f t="shared" si="298"/>
        <v>0</v>
      </c>
      <c r="NS23" s="479">
        <f t="shared" si="298"/>
        <v>0</v>
      </c>
      <c r="NT23" s="479">
        <f t="shared" si="298"/>
        <v>0</v>
      </c>
      <c r="NU23" s="479">
        <f t="shared" si="298"/>
        <v>0</v>
      </c>
      <c r="NV23" s="479">
        <f t="shared" si="298"/>
        <v>0</v>
      </c>
      <c r="NW23" s="479">
        <f t="shared" si="298"/>
        <v>0</v>
      </c>
      <c r="NX23" s="479">
        <f t="shared" si="298"/>
        <v>0</v>
      </c>
      <c r="NY23" s="479">
        <f t="shared" si="298"/>
        <v>0</v>
      </c>
      <c r="NZ23" s="479">
        <f t="shared" si="298"/>
        <v>0</v>
      </c>
      <c r="OA23" s="479">
        <f t="shared" si="298"/>
        <v>0</v>
      </c>
      <c r="OB23" s="479">
        <f t="shared" si="298"/>
        <v>0</v>
      </c>
      <c r="OC23" s="479">
        <f t="shared" si="298"/>
        <v>0</v>
      </c>
      <c r="OD23" s="479">
        <f t="shared" si="298"/>
        <v>0</v>
      </c>
      <c r="OE23" s="479">
        <f t="shared" si="291"/>
        <v>0</v>
      </c>
      <c r="OF23" s="479">
        <f t="shared" si="291"/>
        <v>0</v>
      </c>
      <c r="OG23" s="479">
        <f t="shared" si="291"/>
        <v>0</v>
      </c>
      <c r="OH23" s="479">
        <f t="shared" si="291"/>
        <v>0</v>
      </c>
      <c r="OI23" s="479">
        <f t="shared" si="291"/>
        <v>0</v>
      </c>
      <c r="OJ23" s="479">
        <f t="shared" si="291"/>
        <v>0</v>
      </c>
      <c r="OK23" s="479">
        <f t="shared" si="291"/>
        <v>0</v>
      </c>
      <c r="OL23" s="479">
        <f t="shared" si="291"/>
        <v>0</v>
      </c>
      <c r="OM23" s="479">
        <f t="shared" si="291"/>
        <v>0</v>
      </c>
      <c r="ON23" s="479">
        <f t="shared" si="291"/>
        <v>0</v>
      </c>
      <c r="OO23" s="479">
        <f t="shared" si="291"/>
        <v>0</v>
      </c>
    </row>
    <row r="24" spans="2:405">
      <c r="B24" s="97" t="str">
        <f>Assumptions!B87</f>
        <v>General Conditions</v>
      </c>
      <c r="C24" s="97"/>
      <c r="D24" s="500">
        <f>Assumptions!C87</f>
        <v>10269720</v>
      </c>
      <c r="E24" s="507">
        <f>Assumptions!$C$10</f>
        <v>46418</v>
      </c>
      <c r="F24" s="507">
        <f>EOMONTH(E24,Assumptions!$C$11-1)</f>
        <v>47118</v>
      </c>
      <c r="G24" s="97">
        <f t="shared" si="284"/>
        <v>24</v>
      </c>
      <c r="H24" s="97"/>
      <c r="I24" s="481"/>
      <c r="J24" s="479">
        <f t="shared" si="292"/>
        <v>0</v>
      </c>
      <c r="K24" s="479">
        <f t="shared" si="293"/>
        <v>0</v>
      </c>
      <c r="L24" s="479">
        <f t="shared" si="293"/>
        <v>0</v>
      </c>
      <c r="M24" s="479">
        <f t="shared" si="293"/>
        <v>0</v>
      </c>
      <c r="N24" s="479">
        <f t="shared" si="293"/>
        <v>0</v>
      </c>
      <c r="O24" s="479">
        <f t="shared" si="293"/>
        <v>0</v>
      </c>
      <c r="P24" s="479">
        <f t="shared" si="293"/>
        <v>-427905</v>
      </c>
      <c r="Q24" s="479">
        <f t="shared" si="293"/>
        <v>-427905</v>
      </c>
      <c r="R24" s="479">
        <f t="shared" si="293"/>
        <v>-427905</v>
      </c>
      <c r="S24" s="479">
        <f t="shared" si="293"/>
        <v>-427905</v>
      </c>
      <c r="T24" s="479">
        <f t="shared" si="293"/>
        <v>-427905</v>
      </c>
      <c r="U24" s="479">
        <f t="shared" si="293"/>
        <v>-427905</v>
      </c>
      <c r="V24" s="479">
        <f t="shared" si="293"/>
        <v>-427905</v>
      </c>
      <c r="W24" s="479">
        <f t="shared" si="293"/>
        <v>-427905</v>
      </c>
      <c r="X24" s="479">
        <f t="shared" si="293"/>
        <v>-427905</v>
      </c>
      <c r="Y24" s="479">
        <f t="shared" si="293"/>
        <v>-427905</v>
      </c>
      <c r="Z24" s="479">
        <f t="shared" si="293"/>
        <v>-427905</v>
      </c>
      <c r="AA24" s="479">
        <f t="shared" si="293"/>
        <v>-427905</v>
      </c>
      <c r="AB24" s="479">
        <f t="shared" si="293"/>
        <v>-427905</v>
      </c>
      <c r="AC24" s="479">
        <f t="shared" si="293"/>
        <v>-427905</v>
      </c>
      <c r="AD24" s="479">
        <f t="shared" si="293"/>
        <v>-427905</v>
      </c>
      <c r="AE24" s="479">
        <f t="shared" si="293"/>
        <v>-427905</v>
      </c>
      <c r="AF24" s="479">
        <f t="shared" si="293"/>
        <v>-427905</v>
      </c>
      <c r="AG24" s="479">
        <f t="shared" si="293"/>
        <v>-427905</v>
      </c>
      <c r="AH24" s="479">
        <f t="shared" si="293"/>
        <v>-427905</v>
      </c>
      <c r="AI24" s="479">
        <f t="shared" si="293"/>
        <v>-427905</v>
      </c>
      <c r="AJ24" s="479">
        <f t="shared" si="293"/>
        <v>-427905</v>
      </c>
      <c r="AK24" s="479">
        <f t="shared" si="293"/>
        <v>-427905</v>
      </c>
      <c r="AL24" s="479">
        <f t="shared" si="293"/>
        <v>-427905</v>
      </c>
      <c r="AM24" s="479">
        <f t="shared" si="293"/>
        <v>-427905</v>
      </c>
      <c r="AN24" s="479">
        <f t="shared" si="293"/>
        <v>0</v>
      </c>
      <c r="AO24" s="479">
        <f t="shared" si="293"/>
        <v>0</v>
      </c>
      <c r="AP24" s="479">
        <f t="shared" si="293"/>
        <v>0</v>
      </c>
      <c r="AQ24" s="479">
        <f t="shared" si="293"/>
        <v>0</v>
      </c>
      <c r="AR24" s="479">
        <f t="shared" si="293"/>
        <v>0</v>
      </c>
      <c r="AS24" s="479">
        <f t="shared" si="293"/>
        <v>0</v>
      </c>
      <c r="AT24" s="479">
        <f t="shared" si="293"/>
        <v>0</v>
      </c>
      <c r="AU24" s="479">
        <f t="shared" si="293"/>
        <v>0</v>
      </c>
      <c r="AV24" s="479">
        <f t="shared" si="293"/>
        <v>0</v>
      </c>
      <c r="AW24" s="479">
        <f t="shared" si="293"/>
        <v>0</v>
      </c>
      <c r="AX24" s="479">
        <f t="shared" si="293"/>
        <v>0</v>
      </c>
      <c r="AY24" s="479">
        <f t="shared" si="293"/>
        <v>0</v>
      </c>
      <c r="AZ24" s="479">
        <f t="shared" si="293"/>
        <v>0</v>
      </c>
      <c r="BA24" s="479">
        <f t="shared" si="293"/>
        <v>0</v>
      </c>
      <c r="BB24" s="479">
        <f t="shared" si="293"/>
        <v>0</v>
      </c>
      <c r="BC24" s="479">
        <f t="shared" si="293"/>
        <v>0</v>
      </c>
      <c r="BD24" s="479">
        <f t="shared" si="293"/>
        <v>0</v>
      </c>
      <c r="BE24" s="479">
        <f t="shared" si="293"/>
        <v>0</v>
      </c>
      <c r="BF24" s="479">
        <f t="shared" si="293"/>
        <v>0</v>
      </c>
      <c r="BG24" s="479">
        <f t="shared" si="293"/>
        <v>0</v>
      </c>
      <c r="BH24" s="479">
        <f t="shared" si="293"/>
        <v>0</v>
      </c>
      <c r="BI24" s="479">
        <f t="shared" si="293"/>
        <v>0</v>
      </c>
      <c r="BJ24" s="479">
        <f t="shared" si="293"/>
        <v>0</v>
      </c>
      <c r="BK24" s="479">
        <f t="shared" si="293"/>
        <v>0</v>
      </c>
      <c r="BL24" s="479">
        <f t="shared" si="293"/>
        <v>0</v>
      </c>
      <c r="BM24" s="479">
        <f t="shared" si="293"/>
        <v>0</v>
      </c>
      <c r="BN24" s="479">
        <f t="shared" si="293"/>
        <v>0</v>
      </c>
      <c r="BO24" s="479">
        <f t="shared" si="293"/>
        <v>0</v>
      </c>
      <c r="BP24" s="479">
        <f t="shared" si="293"/>
        <v>0</v>
      </c>
      <c r="BQ24" s="479">
        <f t="shared" si="293"/>
        <v>0</v>
      </c>
      <c r="BR24" s="479">
        <f t="shared" si="293"/>
        <v>0</v>
      </c>
      <c r="BS24" s="479">
        <f t="shared" si="293"/>
        <v>0</v>
      </c>
      <c r="BT24" s="479">
        <f t="shared" si="293"/>
        <v>0</v>
      </c>
      <c r="BU24" s="479">
        <f t="shared" ref="BU24:CJ28" si="299">-IF(BU$7&gt;=$E24,IF(BU$7&lt;=$F24,$D24/$G24,0),0)</f>
        <v>0</v>
      </c>
      <c r="BV24" s="479">
        <f t="shared" si="299"/>
        <v>0</v>
      </c>
      <c r="BW24" s="479">
        <f t="shared" si="294"/>
        <v>0</v>
      </c>
      <c r="BX24" s="479">
        <f t="shared" si="294"/>
        <v>0</v>
      </c>
      <c r="BY24" s="479">
        <f t="shared" si="294"/>
        <v>0</v>
      </c>
      <c r="BZ24" s="479">
        <f t="shared" si="294"/>
        <v>0</v>
      </c>
      <c r="CA24" s="479">
        <f t="shared" si="294"/>
        <v>0</v>
      </c>
      <c r="CB24" s="479">
        <f t="shared" si="294"/>
        <v>0</v>
      </c>
      <c r="CC24" s="479">
        <f t="shared" si="294"/>
        <v>0</v>
      </c>
      <c r="CD24" s="479">
        <f t="shared" si="294"/>
        <v>0</v>
      </c>
      <c r="CE24" s="479">
        <f t="shared" si="294"/>
        <v>0</v>
      </c>
      <c r="CF24" s="479">
        <f t="shared" si="294"/>
        <v>0</v>
      </c>
      <c r="CG24" s="479">
        <f t="shared" si="294"/>
        <v>0</v>
      </c>
      <c r="CH24" s="479">
        <f t="shared" si="294"/>
        <v>0</v>
      </c>
      <c r="CI24" s="479">
        <f t="shared" si="294"/>
        <v>0</v>
      </c>
      <c r="CJ24" s="479">
        <f t="shared" si="294"/>
        <v>0</v>
      </c>
      <c r="CK24" s="479">
        <f t="shared" si="294"/>
        <v>0</v>
      </c>
      <c r="CL24" s="479">
        <f t="shared" si="294"/>
        <v>0</v>
      </c>
      <c r="CM24" s="479">
        <f t="shared" si="294"/>
        <v>0</v>
      </c>
      <c r="CN24" s="479">
        <f t="shared" si="294"/>
        <v>0</v>
      </c>
      <c r="CO24" s="479">
        <f t="shared" si="294"/>
        <v>0</v>
      </c>
      <c r="CP24" s="479">
        <f t="shared" si="294"/>
        <v>0</v>
      </c>
      <c r="CQ24" s="479">
        <f t="shared" si="294"/>
        <v>0</v>
      </c>
      <c r="CR24" s="479">
        <f t="shared" si="294"/>
        <v>0</v>
      </c>
      <c r="CS24" s="479">
        <f t="shared" si="294"/>
        <v>0</v>
      </c>
      <c r="CT24" s="479">
        <f t="shared" si="294"/>
        <v>0</v>
      </c>
      <c r="CU24" s="479">
        <f t="shared" si="294"/>
        <v>0</v>
      </c>
      <c r="CV24" s="479">
        <f t="shared" si="294"/>
        <v>0</v>
      </c>
      <c r="CW24" s="479">
        <f t="shared" si="294"/>
        <v>0</v>
      </c>
      <c r="CX24" s="479">
        <f t="shared" si="294"/>
        <v>0</v>
      </c>
      <c r="CY24" s="479">
        <f t="shared" si="294"/>
        <v>0</v>
      </c>
      <c r="CZ24" s="479">
        <f t="shared" si="294"/>
        <v>0</v>
      </c>
      <c r="DA24" s="479">
        <f t="shared" si="294"/>
        <v>0</v>
      </c>
      <c r="DB24" s="479">
        <f t="shared" si="294"/>
        <v>0</v>
      </c>
      <c r="DC24" s="479">
        <f t="shared" si="294"/>
        <v>0</v>
      </c>
      <c r="DD24" s="479">
        <f t="shared" si="294"/>
        <v>0</v>
      </c>
      <c r="DE24" s="479">
        <f t="shared" si="294"/>
        <v>0</v>
      </c>
      <c r="DF24" s="479">
        <f t="shared" si="294"/>
        <v>0</v>
      </c>
      <c r="DG24" s="479">
        <f t="shared" si="294"/>
        <v>0</v>
      </c>
      <c r="DH24" s="479">
        <f t="shared" si="294"/>
        <v>0</v>
      </c>
      <c r="DI24" s="479">
        <f t="shared" si="294"/>
        <v>0</v>
      </c>
      <c r="DJ24" s="479">
        <f t="shared" si="294"/>
        <v>0</v>
      </c>
      <c r="DK24" s="479">
        <f t="shared" si="294"/>
        <v>0</v>
      </c>
      <c r="DL24" s="479">
        <f t="shared" si="294"/>
        <v>0</v>
      </c>
      <c r="DM24" s="479">
        <f t="shared" si="294"/>
        <v>0</v>
      </c>
      <c r="DN24" s="479">
        <f t="shared" si="294"/>
        <v>0</v>
      </c>
      <c r="DO24" s="479">
        <f t="shared" si="294"/>
        <v>0</v>
      </c>
      <c r="DP24" s="479">
        <f t="shared" si="294"/>
        <v>0</v>
      </c>
      <c r="DQ24" s="479">
        <f t="shared" si="294"/>
        <v>0</v>
      </c>
      <c r="DR24" s="479">
        <f t="shared" si="294"/>
        <v>0</v>
      </c>
      <c r="DS24" s="479">
        <f t="shared" si="294"/>
        <v>0</v>
      </c>
      <c r="DT24" s="479">
        <f t="shared" si="294"/>
        <v>0</v>
      </c>
      <c r="DU24" s="479">
        <f t="shared" si="294"/>
        <v>0</v>
      </c>
      <c r="DV24" s="479">
        <f t="shared" si="294"/>
        <v>0</v>
      </c>
      <c r="DW24" s="479">
        <f t="shared" si="294"/>
        <v>0</v>
      </c>
      <c r="DX24" s="479">
        <f t="shared" si="294"/>
        <v>0</v>
      </c>
      <c r="DY24" s="479">
        <f t="shared" si="294"/>
        <v>0</v>
      </c>
      <c r="DZ24" s="479">
        <f t="shared" si="294"/>
        <v>0</v>
      </c>
      <c r="EA24" s="479">
        <f t="shared" si="294"/>
        <v>0</v>
      </c>
      <c r="EB24" s="479">
        <f t="shared" si="294"/>
        <v>0</v>
      </c>
      <c r="EC24" s="479">
        <f t="shared" si="294"/>
        <v>0</v>
      </c>
      <c r="ED24" s="479">
        <f t="shared" si="294"/>
        <v>0</v>
      </c>
      <c r="EE24" s="479">
        <f t="shared" si="294"/>
        <v>0</v>
      </c>
      <c r="EF24" s="479">
        <f t="shared" si="294"/>
        <v>0</v>
      </c>
      <c r="EG24" s="479">
        <f t="shared" ref="EG24:EV28" si="300">-IF(EG$7&gt;=$E24,IF(EG$7&lt;=$F24,$D24/$G24,0),0)</f>
        <v>0</v>
      </c>
      <c r="EH24" s="479">
        <f t="shared" si="300"/>
        <v>0</v>
      </c>
      <c r="EI24" s="479">
        <f t="shared" si="295"/>
        <v>0</v>
      </c>
      <c r="EJ24" s="479">
        <f t="shared" si="295"/>
        <v>0</v>
      </c>
      <c r="EK24" s="479">
        <f t="shared" si="295"/>
        <v>0</v>
      </c>
      <c r="EL24" s="479">
        <f t="shared" si="295"/>
        <v>0</v>
      </c>
      <c r="EM24" s="479">
        <f t="shared" si="295"/>
        <v>0</v>
      </c>
      <c r="EN24" s="479">
        <f t="shared" si="295"/>
        <v>0</v>
      </c>
      <c r="EO24" s="479">
        <f t="shared" si="295"/>
        <v>0</v>
      </c>
      <c r="EP24" s="479">
        <f t="shared" si="295"/>
        <v>0</v>
      </c>
      <c r="EQ24" s="479">
        <f t="shared" si="295"/>
        <v>0</v>
      </c>
      <c r="ER24" s="479">
        <f t="shared" si="295"/>
        <v>0</v>
      </c>
      <c r="ES24" s="479">
        <f t="shared" si="295"/>
        <v>0</v>
      </c>
      <c r="ET24" s="479">
        <f t="shared" si="295"/>
        <v>0</v>
      </c>
      <c r="EU24" s="479">
        <f t="shared" si="295"/>
        <v>0</v>
      </c>
      <c r="EV24" s="479">
        <f t="shared" si="295"/>
        <v>0</v>
      </c>
      <c r="EW24" s="479">
        <f t="shared" si="295"/>
        <v>0</v>
      </c>
      <c r="EX24" s="479">
        <f t="shared" si="295"/>
        <v>0</v>
      </c>
      <c r="EY24" s="479">
        <f t="shared" si="295"/>
        <v>0</v>
      </c>
      <c r="EZ24" s="479">
        <f t="shared" si="295"/>
        <v>0</v>
      </c>
      <c r="FA24" s="479">
        <f t="shared" si="295"/>
        <v>0</v>
      </c>
      <c r="FB24" s="479">
        <f t="shared" si="295"/>
        <v>0</v>
      </c>
      <c r="FC24" s="479">
        <f t="shared" si="295"/>
        <v>0</v>
      </c>
      <c r="FD24" s="479">
        <f t="shared" si="295"/>
        <v>0</v>
      </c>
      <c r="FE24" s="479">
        <f t="shared" si="295"/>
        <v>0</v>
      </c>
      <c r="FF24" s="479">
        <f t="shared" si="295"/>
        <v>0</v>
      </c>
      <c r="FG24" s="479">
        <f t="shared" si="295"/>
        <v>0</v>
      </c>
      <c r="FH24" s="479">
        <f t="shared" si="295"/>
        <v>0</v>
      </c>
      <c r="FI24" s="479">
        <f t="shared" si="295"/>
        <v>0</v>
      </c>
      <c r="FJ24" s="479">
        <f t="shared" si="295"/>
        <v>0</v>
      </c>
      <c r="FK24" s="479">
        <f t="shared" si="295"/>
        <v>0</v>
      </c>
      <c r="FL24" s="479">
        <f t="shared" si="295"/>
        <v>0</v>
      </c>
      <c r="FM24" s="479">
        <f t="shared" si="295"/>
        <v>0</v>
      </c>
      <c r="FN24" s="479">
        <f t="shared" si="295"/>
        <v>0</v>
      </c>
      <c r="FO24" s="479">
        <f t="shared" si="295"/>
        <v>0</v>
      </c>
      <c r="FP24" s="479">
        <f t="shared" si="295"/>
        <v>0</v>
      </c>
      <c r="FQ24" s="479">
        <f t="shared" si="295"/>
        <v>0</v>
      </c>
      <c r="FR24" s="479">
        <f t="shared" si="295"/>
        <v>0</v>
      </c>
      <c r="FS24" s="479">
        <f t="shared" si="295"/>
        <v>0</v>
      </c>
      <c r="FT24" s="479">
        <f t="shared" si="295"/>
        <v>0</v>
      </c>
      <c r="FU24" s="479">
        <f t="shared" si="295"/>
        <v>0</v>
      </c>
      <c r="FV24" s="479">
        <f t="shared" si="295"/>
        <v>0</v>
      </c>
      <c r="FW24" s="479">
        <f t="shared" si="295"/>
        <v>0</v>
      </c>
      <c r="FX24" s="479">
        <f t="shared" si="295"/>
        <v>0</v>
      </c>
      <c r="FY24" s="479">
        <f t="shared" si="295"/>
        <v>0</v>
      </c>
      <c r="FZ24" s="479">
        <f t="shared" si="295"/>
        <v>0</v>
      </c>
      <c r="GA24" s="479">
        <f t="shared" si="295"/>
        <v>0</v>
      </c>
      <c r="GB24" s="479">
        <f t="shared" si="295"/>
        <v>0</v>
      </c>
      <c r="GC24" s="479">
        <f t="shared" si="295"/>
        <v>0</v>
      </c>
      <c r="GD24" s="479">
        <f t="shared" si="295"/>
        <v>0</v>
      </c>
      <c r="GE24" s="479">
        <f t="shared" si="295"/>
        <v>0</v>
      </c>
      <c r="GF24" s="479">
        <f t="shared" si="295"/>
        <v>0</v>
      </c>
      <c r="GG24" s="479">
        <f t="shared" si="295"/>
        <v>0</v>
      </c>
      <c r="GH24" s="479">
        <f t="shared" si="295"/>
        <v>0</v>
      </c>
      <c r="GI24" s="479">
        <f t="shared" si="295"/>
        <v>0</v>
      </c>
      <c r="GJ24" s="479">
        <f t="shared" si="295"/>
        <v>0</v>
      </c>
      <c r="GK24" s="479">
        <f t="shared" si="295"/>
        <v>0</v>
      </c>
      <c r="GL24" s="479">
        <f t="shared" si="295"/>
        <v>0</v>
      </c>
      <c r="GM24" s="479">
        <f t="shared" si="295"/>
        <v>0</v>
      </c>
      <c r="GN24" s="479">
        <f t="shared" si="295"/>
        <v>0</v>
      </c>
      <c r="GO24" s="479">
        <f t="shared" si="295"/>
        <v>0</v>
      </c>
      <c r="GP24" s="479">
        <f t="shared" si="295"/>
        <v>0</v>
      </c>
      <c r="GQ24" s="479">
        <f t="shared" si="295"/>
        <v>0</v>
      </c>
      <c r="GR24" s="479">
        <f t="shared" si="295"/>
        <v>0</v>
      </c>
      <c r="GS24" s="479">
        <f t="shared" ref="GS24:HH28" si="301">-IF(GS$7&gt;=$E24,IF(GS$7&lt;=$F24,$D24/$G24,0),0)</f>
        <v>0</v>
      </c>
      <c r="GT24" s="479">
        <f t="shared" si="301"/>
        <v>0</v>
      </c>
      <c r="GU24" s="479">
        <f t="shared" si="296"/>
        <v>0</v>
      </c>
      <c r="GV24" s="479">
        <f t="shared" si="296"/>
        <v>0</v>
      </c>
      <c r="GW24" s="479">
        <f t="shared" si="296"/>
        <v>0</v>
      </c>
      <c r="GX24" s="479">
        <f t="shared" si="296"/>
        <v>0</v>
      </c>
      <c r="GY24" s="479">
        <f t="shared" si="296"/>
        <v>0</v>
      </c>
      <c r="GZ24" s="479">
        <f t="shared" si="296"/>
        <v>0</v>
      </c>
      <c r="HA24" s="479">
        <f t="shared" si="296"/>
        <v>0</v>
      </c>
      <c r="HB24" s="479">
        <f t="shared" si="296"/>
        <v>0</v>
      </c>
      <c r="HC24" s="479">
        <f t="shared" si="296"/>
        <v>0</v>
      </c>
      <c r="HD24" s="479">
        <f t="shared" si="296"/>
        <v>0</v>
      </c>
      <c r="HE24" s="479">
        <f t="shared" si="296"/>
        <v>0</v>
      </c>
      <c r="HF24" s="479">
        <f t="shared" si="296"/>
        <v>0</v>
      </c>
      <c r="HG24" s="479">
        <f t="shared" si="296"/>
        <v>0</v>
      </c>
      <c r="HH24" s="479">
        <f t="shared" si="296"/>
        <v>0</v>
      </c>
      <c r="HI24" s="479">
        <f t="shared" si="296"/>
        <v>0</v>
      </c>
      <c r="HJ24" s="479">
        <f t="shared" si="296"/>
        <v>0</v>
      </c>
      <c r="HK24" s="479">
        <f t="shared" si="296"/>
        <v>0</v>
      </c>
      <c r="HL24" s="479">
        <f t="shared" si="296"/>
        <v>0</v>
      </c>
      <c r="HM24" s="479">
        <f t="shared" si="296"/>
        <v>0</v>
      </c>
      <c r="HN24" s="479">
        <f t="shared" si="296"/>
        <v>0</v>
      </c>
      <c r="HO24" s="479">
        <f t="shared" si="296"/>
        <v>0</v>
      </c>
      <c r="HP24" s="479">
        <f t="shared" si="296"/>
        <v>0</v>
      </c>
      <c r="HQ24" s="479">
        <f t="shared" si="296"/>
        <v>0</v>
      </c>
      <c r="HR24" s="479">
        <f t="shared" si="296"/>
        <v>0</v>
      </c>
      <c r="HS24" s="479">
        <f t="shared" si="296"/>
        <v>0</v>
      </c>
      <c r="HT24" s="479">
        <f t="shared" si="296"/>
        <v>0</v>
      </c>
      <c r="HU24" s="479">
        <f t="shared" si="296"/>
        <v>0</v>
      </c>
      <c r="HV24" s="479">
        <f t="shared" si="296"/>
        <v>0</v>
      </c>
      <c r="HW24" s="479">
        <f t="shared" si="296"/>
        <v>0</v>
      </c>
      <c r="HX24" s="479">
        <f t="shared" si="296"/>
        <v>0</v>
      </c>
      <c r="HY24" s="479">
        <f t="shared" si="296"/>
        <v>0</v>
      </c>
      <c r="HZ24" s="479">
        <f t="shared" si="296"/>
        <v>0</v>
      </c>
      <c r="IA24" s="479">
        <f t="shared" si="296"/>
        <v>0</v>
      </c>
      <c r="IB24" s="479">
        <f t="shared" si="296"/>
        <v>0</v>
      </c>
      <c r="IC24" s="479">
        <f t="shared" si="296"/>
        <v>0</v>
      </c>
      <c r="ID24" s="479">
        <f t="shared" si="296"/>
        <v>0</v>
      </c>
      <c r="IE24" s="479">
        <f t="shared" si="296"/>
        <v>0</v>
      </c>
      <c r="IF24" s="479">
        <f t="shared" si="296"/>
        <v>0</v>
      </c>
      <c r="IG24" s="479">
        <f t="shared" si="296"/>
        <v>0</v>
      </c>
      <c r="IH24" s="479">
        <f t="shared" si="296"/>
        <v>0</v>
      </c>
      <c r="II24" s="479">
        <f t="shared" si="296"/>
        <v>0</v>
      </c>
      <c r="IJ24" s="479">
        <f t="shared" si="296"/>
        <v>0</v>
      </c>
      <c r="IK24" s="479">
        <f t="shared" si="296"/>
        <v>0</v>
      </c>
      <c r="IL24" s="479">
        <f t="shared" si="296"/>
        <v>0</v>
      </c>
      <c r="IM24" s="479">
        <f t="shared" si="296"/>
        <v>0</v>
      </c>
      <c r="IN24" s="479">
        <f t="shared" si="296"/>
        <v>0</v>
      </c>
      <c r="IO24" s="479">
        <f t="shared" si="296"/>
        <v>0</v>
      </c>
      <c r="IP24" s="479">
        <f t="shared" si="296"/>
        <v>0</v>
      </c>
      <c r="IQ24" s="479">
        <f t="shared" si="296"/>
        <v>0</v>
      </c>
      <c r="IR24" s="479">
        <f t="shared" si="296"/>
        <v>0</v>
      </c>
      <c r="IS24" s="479">
        <f t="shared" si="296"/>
        <v>0</v>
      </c>
      <c r="IT24" s="479">
        <f t="shared" si="296"/>
        <v>0</v>
      </c>
      <c r="IU24" s="479">
        <f t="shared" si="296"/>
        <v>0</v>
      </c>
      <c r="IV24" s="479">
        <f t="shared" si="296"/>
        <v>0</v>
      </c>
      <c r="IW24" s="479">
        <f t="shared" si="296"/>
        <v>0</v>
      </c>
      <c r="IX24" s="479">
        <f t="shared" si="296"/>
        <v>0</v>
      </c>
      <c r="IY24" s="479">
        <f t="shared" si="296"/>
        <v>0</v>
      </c>
      <c r="IZ24" s="479">
        <f t="shared" si="296"/>
        <v>0</v>
      </c>
      <c r="JA24" s="479">
        <f t="shared" si="296"/>
        <v>0</v>
      </c>
      <c r="JB24" s="479">
        <f t="shared" si="296"/>
        <v>0</v>
      </c>
      <c r="JC24" s="479">
        <f t="shared" si="296"/>
        <v>0</v>
      </c>
      <c r="JD24" s="479">
        <f t="shared" si="296"/>
        <v>0</v>
      </c>
      <c r="JE24" s="479">
        <f t="shared" ref="JE24:JT28" si="302">-IF(JE$7&gt;=$E24,IF(JE$7&lt;=$F24,$D24/$G24,0),0)</f>
        <v>0</v>
      </c>
      <c r="JF24" s="479">
        <f t="shared" si="302"/>
        <v>0</v>
      </c>
      <c r="JG24" s="479">
        <f t="shared" si="297"/>
        <v>0</v>
      </c>
      <c r="JH24" s="479">
        <f t="shared" si="297"/>
        <v>0</v>
      </c>
      <c r="JI24" s="479">
        <f t="shared" si="297"/>
        <v>0</v>
      </c>
      <c r="JJ24" s="479">
        <f t="shared" si="297"/>
        <v>0</v>
      </c>
      <c r="JK24" s="479">
        <f t="shared" si="297"/>
        <v>0</v>
      </c>
      <c r="JL24" s="479">
        <f t="shared" si="297"/>
        <v>0</v>
      </c>
      <c r="JM24" s="479">
        <f t="shared" si="297"/>
        <v>0</v>
      </c>
      <c r="JN24" s="479">
        <f t="shared" si="297"/>
        <v>0</v>
      </c>
      <c r="JO24" s="479">
        <f t="shared" si="297"/>
        <v>0</v>
      </c>
      <c r="JP24" s="479">
        <f t="shared" si="297"/>
        <v>0</v>
      </c>
      <c r="JQ24" s="479">
        <f t="shared" si="297"/>
        <v>0</v>
      </c>
      <c r="JR24" s="479">
        <f t="shared" si="297"/>
        <v>0</v>
      </c>
      <c r="JS24" s="479">
        <f t="shared" si="297"/>
        <v>0</v>
      </c>
      <c r="JT24" s="479">
        <f t="shared" si="297"/>
        <v>0</v>
      </c>
      <c r="JU24" s="479">
        <f t="shared" si="297"/>
        <v>0</v>
      </c>
      <c r="JV24" s="479">
        <f t="shared" si="297"/>
        <v>0</v>
      </c>
      <c r="JW24" s="479">
        <f t="shared" si="297"/>
        <v>0</v>
      </c>
      <c r="JX24" s="479">
        <f t="shared" si="297"/>
        <v>0</v>
      </c>
      <c r="JY24" s="479">
        <f t="shared" si="297"/>
        <v>0</v>
      </c>
      <c r="JZ24" s="479">
        <f t="shared" si="297"/>
        <v>0</v>
      </c>
      <c r="KA24" s="479">
        <f t="shared" si="297"/>
        <v>0</v>
      </c>
      <c r="KB24" s="479">
        <f t="shared" si="297"/>
        <v>0</v>
      </c>
      <c r="KC24" s="479">
        <f t="shared" si="297"/>
        <v>0</v>
      </c>
      <c r="KD24" s="479">
        <f t="shared" si="297"/>
        <v>0</v>
      </c>
      <c r="KE24" s="479">
        <f t="shared" si="297"/>
        <v>0</v>
      </c>
      <c r="KF24" s="479">
        <f t="shared" si="297"/>
        <v>0</v>
      </c>
      <c r="KG24" s="479">
        <f t="shared" si="297"/>
        <v>0</v>
      </c>
      <c r="KH24" s="479">
        <f t="shared" si="297"/>
        <v>0</v>
      </c>
      <c r="KI24" s="479">
        <f t="shared" si="297"/>
        <v>0</v>
      </c>
      <c r="KJ24" s="479">
        <f t="shared" si="297"/>
        <v>0</v>
      </c>
      <c r="KK24" s="479">
        <f t="shared" si="297"/>
        <v>0</v>
      </c>
      <c r="KL24" s="479">
        <f t="shared" si="297"/>
        <v>0</v>
      </c>
      <c r="KM24" s="479">
        <f t="shared" si="297"/>
        <v>0</v>
      </c>
      <c r="KN24" s="479">
        <f t="shared" si="297"/>
        <v>0</v>
      </c>
      <c r="KO24" s="479">
        <f t="shared" si="297"/>
        <v>0</v>
      </c>
      <c r="KP24" s="479">
        <f t="shared" si="297"/>
        <v>0</v>
      </c>
      <c r="KQ24" s="479">
        <f t="shared" si="297"/>
        <v>0</v>
      </c>
      <c r="KR24" s="479">
        <f t="shared" si="297"/>
        <v>0</v>
      </c>
      <c r="KS24" s="479">
        <f t="shared" si="297"/>
        <v>0</v>
      </c>
      <c r="KT24" s="479">
        <f t="shared" si="297"/>
        <v>0</v>
      </c>
      <c r="KU24" s="479">
        <f t="shared" si="297"/>
        <v>0</v>
      </c>
      <c r="KV24" s="479">
        <f t="shared" si="297"/>
        <v>0</v>
      </c>
      <c r="KW24" s="479">
        <f t="shared" si="297"/>
        <v>0</v>
      </c>
      <c r="KX24" s="479">
        <f t="shared" si="297"/>
        <v>0</v>
      </c>
      <c r="KY24" s="479">
        <f t="shared" si="297"/>
        <v>0</v>
      </c>
      <c r="KZ24" s="479">
        <f t="shared" si="297"/>
        <v>0</v>
      </c>
      <c r="LA24" s="479">
        <f t="shared" si="297"/>
        <v>0</v>
      </c>
      <c r="LB24" s="479">
        <f t="shared" si="297"/>
        <v>0</v>
      </c>
      <c r="LC24" s="479">
        <f t="shared" si="297"/>
        <v>0</v>
      </c>
      <c r="LD24" s="479">
        <f t="shared" si="297"/>
        <v>0</v>
      </c>
      <c r="LE24" s="479">
        <f t="shared" si="297"/>
        <v>0</v>
      </c>
      <c r="LF24" s="479">
        <f t="shared" si="297"/>
        <v>0</v>
      </c>
      <c r="LG24" s="479">
        <f t="shared" si="297"/>
        <v>0</v>
      </c>
      <c r="LH24" s="479">
        <f t="shared" si="297"/>
        <v>0</v>
      </c>
      <c r="LI24" s="479">
        <f t="shared" si="297"/>
        <v>0</v>
      </c>
      <c r="LJ24" s="479">
        <f t="shared" si="297"/>
        <v>0</v>
      </c>
      <c r="LK24" s="479">
        <f t="shared" si="297"/>
        <v>0</v>
      </c>
      <c r="LL24" s="479">
        <f t="shared" si="297"/>
        <v>0</v>
      </c>
      <c r="LM24" s="479">
        <f t="shared" si="297"/>
        <v>0</v>
      </c>
      <c r="LN24" s="479">
        <f t="shared" si="297"/>
        <v>0</v>
      </c>
      <c r="LO24" s="479">
        <f t="shared" si="297"/>
        <v>0</v>
      </c>
      <c r="LP24" s="479">
        <f t="shared" si="297"/>
        <v>0</v>
      </c>
      <c r="LQ24" s="479">
        <f t="shared" ref="LQ24:MF28" si="303">-IF(LQ$7&gt;=$E24,IF(LQ$7&lt;=$F24,$D24/$G24,0),0)</f>
        <v>0</v>
      </c>
      <c r="LR24" s="479">
        <f t="shared" si="303"/>
        <v>0</v>
      </c>
      <c r="LS24" s="479">
        <f t="shared" si="298"/>
        <v>0</v>
      </c>
      <c r="LT24" s="479">
        <f t="shared" si="298"/>
        <v>0</v>
      </c>
      <c r="LU24" s="479">
        <f t="shared" si="298"/>
        <v>0</v>
      </c>
      <c r="LV24" s="479">
        <f t="shared" si="298"/>
        <v>0</v>
      </c>
      <c r="LW24" s="479">
        <f t="shared" si="298"/>
        <v>0</v>
      </c>
      <c r="LX24" s="479">
        <f t="shared" si="298"/>
        <v>0</v>
      </c>
      <c r="LY24" s="479">
        <f t="shared" si="298"/>
        <v>0</v>
      </c>
      <c r="LZ24" s="479">
        <f t="shared" si="298"/>
        <v>0</v>
      </c>
      <c r="MA24" s="479">
        <f t="shared" si="298"/>
        <v>0</v>
      </c>
      <c r="MB24" s="479">
        <f t="shared" si="298"/>
        <v>0</v>
      </c>
      <c r="MC24" s="479">
        <f t="shared" si="298"/>
        <v>0</v>
      </c>
      <c r="MD24" s="479">
        <f t="shared" si="298"/>
        <v>0</v>
      </c>
      <c r="ME24" s="479">
        <f t="shared" si="298"/>
        <v>0</v>
      </c>
      <c r="MF24" s="479">
        <f t="shared" si="298"/>
        <v>0</v>
      </c>
      <c r="MG24" s="479">
        <f t="shared" si="298"/>
        <v>0</v>
      </c>
      <c r="MH24" s="479">
        <f t="shared" si="298"/>
        <v>0</v>
      </c>
      <c r="MI24" s="479">
        <f t="shared" si="298"/>
        <v>0</v>
      </c>
      <c r="MJ24" s="479">
        <f t="shared" si="298"/>
        <v>0</v>
      </c>
      <c r="MK24" s="479">
        <f t="shared" si="298"/>
        <v>0</v>
      </c>
      <c r="ML24" s="479">
        <f t="shared" si="298"/>
        <v>0</v>
      </c>
      <c r="MM24" s="479">
        <f t="shared" si="298"/>
        <v>0</v>
      </c>
      <c r="MN24" s="479">
        <f t="shared" si="298"/>
        <v>0</v>
      </c>
      <c r="MO24" s="479">
        <f t="shared" si="298"/>
        <v>0</v>
      </c>
      <c r="MP24" s="479">
        <f t="shared" si="298"/>
        <v>0</v>
      </c>
      <c r="MQ24" s="479">
        <f t="shared" si="298"/>
        <v>0</v>
      </c>
      <c r="MR24" s="479">
        <f t="shared" si="298"/>
        <v>0</v>
      </c>
      <c r="MS24" s="479">
        <f t="shared" si="298"/>
        <v>0</v>
      </c>
      <c r="MT24" s="479">
        <f t="shared" si="298"/>
        <v>0</v>
      </c>
      <c r="MU24" s="479">
        <f t="shared" si="298"/>
        <v>0</v>
      </c>
      <c r="MV24" s="479">
        <f t="shared" si="298"/>
        <v>0</v>
      </c>
      <c r="MW24" s="479">
        <f t="shared" si="298"/>
        <v>0</v>
      </c>
      <c r="MX24" s="479">
        <f t="shared" si="298"/>
        <v>0</v>
      </c>
      <c r="MY24" s="479">
        <f t="shared" si="298"/>
        <v>0</v>
      </c>
      <c r="MZ24" s="479">
        <f t="shared" si="298"/>
        <v>0</v>
      </c>
      <c r="NA24" s="479">
        <f t="shared" si="298"/>
        <v>0</v>
      </c>
      <c r="NB24" s="479">
        <f t="shared" si="298"/>
        <v>0</v>
      </c>
      <c r="NC24" s="479">
        <f t="shared" si="298"/>
        <v>0</v>
      </c>
      <c r="ND24" s="479">
        <f t="shared" si="298"/>
        <v>0</v>
      </c>
      <c r="NE24" s="479">
        <f t="shared" si="298"/>
        <v>0</v>
      </c>
      <c r="NF24" s="479">
        <f t="shared" si="298"/>
        <v>0</v>
      </c>
      <c r="NG24" s="479">
        <f t="shared" si="298"/>
        <v>0</v>
      </c>
      <c r="NH24" s="479">
        <f t="shared" si="298"/>
        <v>0</v>
      </c>
      <c r="NI24" s="479">
        <f t="shared" si="298"/>
        <v>0</v>
      </c>
      <c r="NJ24" s="479">
        <f t="shared" si="298"/>
        <v>0</v>
      </c>
      <c r="NK24" s="479">
        <f t="shared" si="298"/>
        <v>0</v>
      </c>
      <c r="NL24" s="479">
        <f t="shared" si="298"/>
        <v>0</v>
      </c>
      <c r="NM24" s="479">
        <f t="shared" si="298"/>
        <v>0</v>
      </c>
      <c r="NN24" s="479">
        <f t="shared" si="298"/>
        <v>0</v>
      </c>
      <c r="NO24" s="479">
        <f t="shared" si="298"/>
        <v>0</v>
      </c>
      <c r="NP24" s="479">
        <f t="shared" si="298"/>
        <v>0</v>
      </c>
      <c r="NQ24" s="479">
        <f t="shared" si="298"/>
        <v>0</v>
      </c>
      <c r="NR24" s="479">
        <f t="shared" si="298"/>
        <v>0</v>
      </c>
      <c r="NS24" s="479">
        <f t="shared" si="298"/>
        <v>0</v>
      </c>
      <c r="NT24" s="479">
        <f t="shared" si="298"/>
        <v>0</v>
      </c>
      <c r="NU24" s="479">
        <f t="shared" si="298"/>
        <v>0</v>
      </c>
      <c r="NV24" s="479">
        <f t="shared" si="298"/>
        <v>0</v>
      </c>
      <c r="NW24" s="479">
        <f t="shared" si="298"/>
        <v>0</v>
      </c>
      <c r="NX24" s="479">
        <f t="shared" si="298"/>
        <v>0</v>
      </c>
      <c r="NY24" s="479">
        <f t="shared" si="298"/>
        <v>0</v>
      </c>
      <c r="NZ24" s="479">
        <f t="shared" si="298"/>
        <v>0</v>
      </c>
      <c r="OA24" s="479">
        <f t="shared" si="298"/>
        <v>0</v>
      </c>
      <c r="OB24" s="479">
        <f t="shared" si="298"/>
        <v>0</v>
      </c>
      <c r="OC24" s="479">
        <f t="shared" ref="OC24:OD28" si="304">-IF(OC$7&gt;=$E24,IF(OC$7&lt;=$F24,$D24/$G24,0),0)</f>
        <v>0</v>
      </c>
      <c r="OD24" s="479">
        <f t="shared" si="304"/>
        <v>0</v>
      </c>
      <c r="OE24" s="479">
        <f t="shared" si="291"/>
        <v>0</v>
      </c>
      <c r="OF24" s="479">
        <f t="shared" si="291"/>
        <v>0</v>
      </c>
      <c r="OG24" s="479">
        <f t="shared" si="291"/>
        <v>0</v>
      </c>
      <c r="OH24" s="479">
        <f t="shared" si="291"/>
        <v>0</v>
      </c>
      <c r="OI24" s="479">
        <f t="shared" si="291"/>
        <v>0</v>
      </c>
      <c r="OJ24" s="479">
        <f t="shared" si="291"/>
        <v>0</v>
      </c>
      <c r="OK24" s="479">
        <f t="shared" si="291"/>
        <v>0</v>
      </c>
      <c r="OL24" s="479">
        <f t="shared" si="291"/>
        <v>0</v>
      </c>
      <c r="OM24" s="479">
        <f t="shared" si="291"/>
        <v>0</v>
      </c>
      <c r="ON24" s="479">
        <f t="shared" si="291"/>
        <v>0</v>
      </c>
      <c r="OO24" s="479">
        <f t="shared" si="291"/>
        <v>0</v>
      </c>
    </row>
    <row r="25" spans="2:405">
      <c r="B25" s="97" t="str">
        <f>Assumptions!B88</f>
        <v>Overhead</v>
      </c>
      <c r="C25" s="97"/>
      <c r="D25" s="500">
        <f>Assumptions!C88</f>
        <v>3423240</v>
      </c>
      <c r="E25" s="507">
        <f>Assumptions!$C$10</f>
        <v>46418</v>
      </c>
      <c r="F25" s="507">
        <f>EOMONTH(E25,Assumptions!$C$11-1)</f>
        <v>47118</v>
      </c>
      <c r="G25" s="97">
        <f t="shared" si="284"/>
        <v>24</v>
      </c>
      <c r="H25" s="97"/>
      <c r="I25" s="481"/>
      <c r="J25" s="479">
        <f t="shared" si="292"/>
        <v>0</v>
      </c>
      <c r="K25" s="479">
        <f t="shared" si="292"/>
        <v>0</v>
      </c>
      <c r="L25" s="479">
        <f t="shared" si="292"/>
        <v>0</v>
      </c>
      <c r="M25" s="479">
        <f t="shared" si="292"/>
        <v>0</v>
      </c>
      <c r="N25" s="479">
        <f t="shared" si="292"/>
        <v>0</v>
      </c>
      <c r="O25" s="479">
        <f t="shared" si="292"/>
        <v>0</v>
      </c>
      <c r="P25" s="479">
        <f t="shared" si="292"/>
        <v>-142635</v>
      </c>
      <c r="Q25" s="479">
        <f t="shared" si="292"/>
        <v>-142635</v>
      </c>
      <c r="R25" s="479">
        <f t="shared" si="292"/>
        <v>-142635</v>
      </c>
      <c r="S25" s="479">
        <f t="shared" si="292"/>
        <v>-142635</v>
      </c>
      <c r="T25" s="479">
        <f t="shared" si="292"/>
        <v>-142635</v>
      </c>
      <c r="U25" s="479">
        <f t="shared" si="292"/>
        <v>-142635</v>
      </c>
      <c r="V25" s="479">
        <f t="shared" si="292"/>
        <v>-142635</v>
      </c>
      <c r="W25" s="479">
        <f t="shared" si="292"/>
        <v>-142635</v>
      </c>
      <c r="X25" s="479">
        <f t="shared" si="292"/>
        <v>-142635</v>
      </c>
      <c r="Y25" s="479">
        <f t="shared" si="292"/>
        <v>-142635</v>
      </c>
      <c r="Z25" s="479">
        <f t="shared" ref="Z25:AO28" si="305">-IF(Z$7&gt;=$E25,IF(Z$7&lt;=$F25,$D25/$G25,0),0)</f>
        <v>-142635</v>
      </c>
      <c r="AA25" s="479">
        <f t="shared" si="305"/>
        <v>-142635</v>
      </c>
      <c r="AB25" s="479">
        <f t="shared" si="305"/>
        <v>-142635</v>
      </c>
      <c r="AC25" s="479">
        <f t="shared" si="305"/>
        <v>-142635</v>
      </c>
      <c r="AD25" s="479">
        <f t="shared" si="305"/>
        <v>-142635</v>
      </c>
      <c r="AE25" s="479">
        <f t="shared" si="305"/>
        <v>-142635</v>
      </c>
      <c r="AF25" s="479">
        <f t="shared" si="305"/>
        <v>-142635</v>
      </c>
      <c r="AG25" s="479">
        <f t="shared" si="305"/>
        <v>-142635</v>
      </c>
      <c r="AH25" s="479">
        <f t="shared" si="305"/>
        <v>-142635</v>
      </c>
      <c r="AI25" s="479">
        <f t="shared" si="305"/>
        <v>-142635</v>
      </c>
      <c r="AJ25" s="479">
        <f t="shared" si="305"/>
        <v>-142635</v>
      </c>
      <c r="AK25" s="479">
        <f t="shared" si="305"/>
        <v>-142635</v>
      </c>
      <c r="AL25" s="479">
        <f t="shared" si="305"/>
        <v>-142635</v>
      </c>
      <c r="AM25" s="479">
        <f t="shared" si="305"/>
        <v>-142635</v>
      </c>
      <c r="AN25" s="479">
        <f t="shared" si="305"/>
        <v>0</v>
      </c>
      <c r="AO25" s="479">
        <f t="shared" si="305"/>
        <v>0</v>
      </c>
      <c r="AP25" s="479">
        <f t="shared" ref="AP25:BE28" si="306">-IF(AP$7&gt;=$E25,IF(AP$7&lt;=$F25,$D25/$G25,0),0)</f>
        <v>0</v>
      </c>
      <c r="AQ25" s="479">
        <f t="shared" si="306"/>
        <v>0</v>
      </c>
      <c r="AR25" s="479">
        <f t="shared" si="306"/>
        <v>0</v>
      </c>
      <c r="AS25" s="479">
        <f t="shared" si="306"/>
        <v>0</v>
      </c>
      <c r="AT25" s="479">
        <f t="shared" si="306"/>
        <v>0</v>
      </c>
      <c r="AU25" s="479">
        <f t="shared" si="306"/>
        <v>0</v>
      </c>
      <c r="AV25" s="479">
        <f t="shared" si="306"/>
        <v>0</v>
      </c>
      <c r="AW25" s="479">
        <f t="shared" si="306"/>
        <v>0</v>
      </c>
      <c r="AX25" s="479">
        <f t="shared" si="306"/>
        <v>0</v>
      </c>
      <c r="AY25" s="479">
        <f t="shared" si="306"/>
        <v>0</v>
      </c>
      <c r="AZ25" s="479">
        <f t="shared" si="306"/>
        <v>0</v>
      </c>
      <c r="BA25" s="479">
        <f t="shared" si="306"/>
        <v>0</v>
      </c>
      <c r="BB25" s="479">
        <f t="shared" si="306"/>
        <v>0</v>
      </c>
      <c r="BC25" s="479">
        <f t="shared" si="306"/>
        <v>0</v>
      </c>
      <c r="BD25" s="479">
        <f t="shared" si="306"/>
        <v>0</v>
      </c>
      <c r="BE25" s="479">
        <f t="shared" si="306"/>
        <v>0</v>
      </c>
      <c r="BF25" s="479">
        <f t="shared" ref="BF25:BU28" si="307">-IF(BF$7&gt;=$E25,IF(BF$7&lt;=$F25,$D25/$G25,0),0)</f>
        <v>0</v>
      </c>
      <c r="BG25" s="479">
        <f t="shared" si="307"/>
        <v>0</v>
      </c>
      <c r="BH25" s="479">
        <f t="shared" si="307"/>
        <v>0</v>
      </c>
      <c r="BI25" s="479">
        <f t="shared" si="307"/>
        <v>0</v>
      </c>
      <c r="BJ25" s="479">
        <f t="shared" si="307"/>
        <v>0</v>
      </c>
      <c r="BK25" s="479">
        <f t="shared" si="307"/>
        <v>0</v>
      </c>
      <c r="BL25" s="479">
        <f t="shared" si="307"/>
        <v>0</v>
      </c>
      <c r="BM25" s="479">
        <f t="shared" si="307"/>
        <v>0</v>
      </c>
      <c r="BN25" s="479">
        <f t="shared" si="307"/>
        <v>0</v>
      </c>
      <c r="BO25" s="479">
        <f t="shared" si="307"/>
        <v>0</v>
      </c>
      <c r="BP25" s="479">
        <f t="shared" si="307"/>
        <v>0</v>
      </c>
      <c r="BQ25" s="479">
        <f t="shared" si="307"/>
        <v>0</v>
      </c>
      <c r="BR25" s="479">
        <f t="shared" si="307"/>
        <v>0</v>
      </c>
      <c r="BS25" s="479">
        <f t="shared" si="307"/>
        <v>0</v>
      </c>
      <c r="BT25" s="479">
        <f t="shared" si="307"/>
        <v>0</v>
      </c>
      <c r="BU25" s="479">
        <f t="shared" si="307"/>
        <v>0</v>
      </c>
      <c r="BV25" s="479">
        <f t="shared" si="299"/>
        <v>0</v>
      </c>
      <c r="BW25" s="479">
        <f t="shared" si="299"/>
        <v>0</v>
      </c>
      <c r="BX25" s="479">
        <f t="shared" si="299"/>
        <v>0</v>
      </c>
      <c r="BY25" s="479">
        <f t="shared" si="299"/>
        <v>0</v>
      </c>
      <c r="BZ25" s="479">
        <f t="shared" si="299"/>
        <v>0</v>
      </c>
      <c r="CA25" s="479">
        <f t="shared" si="299"/>
        <v>0</v>
      </c>
      <c r="CB25" s="479">
        <f t="shared" si="299"/>
        <v>0</v>
      </c>
      <c r="CC25" s="479">
        <f t="shared" si="299"/>
        <v>0</v>
      </c>
      <c r="CD25" s="479">
        <f t="shared" si="299"/>
        <v>0</v>
      </c>
      <c r="CE25" s="479">
        <f t="shared" si="299"/>
        <v>0</v>
      </c>
      <c r="CF25" s="479">
        <f t="shared" si="299"/>
        <v>0</v>
      </c>
      <c r="CG25" s="479">
        <f t="shared" si="299"/>
        <v>0</v>
      </c>
      <c r="CH25" s="479">
        <f t="shared" si="299"/>
        <v>0</v>
      </c>
      <c r="CI25" s="479">
        <f t="shared" si="299"/>
        <v>0</v>
      </c>
      <c r="CJ25" s="479">
        <f t="shared" si="299"/>
        <v>0</v>
      </c>
      <c r="CK25" s="479">
        <f t="shared" ref="CK25:CZ28" si="308">-IF(CK$7&gt;=$E25,IF(CK$7&lt;=$F25,$D25/$G25,0),0)</f>
        <v>0</v>
      </c>
      <c r="CL25" s="479">
        <f t="shared" si="308"/>
        <v>0</v>
      </c>
      <c r="CM25" s="479">
        <f t="shared" si="308"/>
        <v>0</v>
      </c>
      <c r="CN25" s="479">
        <f t="shared" si="308"/>
        <v>0</v>
      </c>
      <c r="CO25" s="479">
        <f t="shared" si="308"/>
        <v>0</v>
      </c>
      <c r="CP25" s="479">
        <f t="shared" si="308"/>
        <v>0</v>
      </c>
      <c r="CQ25" s="479">
        <f t="shared" si="308"/>
        <v>0</v>
      </c>
      <c r="CR25" s="479">
        <f t="shared" si="308"/>
        <v>0</v>
      </c>
      <c r="CS25" s="479">
        <f t="shared" si="308"/>
        <v>0</v>
      </c>
      <c r="CT25" s="479">
        <f t="shared" si="308"/>
        <v>0</v>
      </c>
      <c r="CU25" s="479">
        <f t="shared" si="308"/>
        <v>0</v>
      </c>
      <c r="CV25" s="479">
        <f t="shared" si="308"/>
        <v>0</v>
      </c>
      <c r="CW25" s="479">
        <f t="shared" si="308"/>
        <v>0</v>
      </c>
      <c r="CX25" s="479">
        <f t="shared" si="308"/>
        <v>0</v>
      </c>
      <c r="CY25" s="479">
        <f t="shared" si="308"/>
        <v>0</v>
      </c>
      <c r="CZ25" s="479">
        <f t="shared" si="308"/>
        <v>0</v>
      </c>
      <c r="DA25" s="479">
        <f t="shared" ref="DA25:DP28" si="309">-IF(DA$7&gt;=$E25,IF(DA$7&lt;=$F25,$D25/$G25,0),0)</f>
        <v>0</v>
      </c>
      <c r="DB25" s="479">
        <f t="shared" si="309"/>
        <v>0</v>
      </c>
      <c r="DC25" s="479">
        <f t="shared" si="309"/>
        <v>0</v>
      </c>
      <c r="DD25" s="479">
        <f t="shared" si="309"/>
        <v>0</v>
      </c>
      <c r="DE25" s="479">
        <f t="shared" si="309"/>
        <v>0</v>
      </c>
      <c r="DF25" s="479">
        <f t="shared" si="309"/>
        <v>0</v>
      </c>
      <c r="DG25" s="479">
        <f t="shared" si="309"/>
        <v>0</v>
      </c>
      <c r="DH25" s="479">
        <f t="shared" si="309"/>
        <v>0</v>
      </c>
      <c r="DI25" s="479">
        <f t="shared" si="309"/>
        <v>0</v>
      </c>
      <c r="DJ25" s="479">
        <f t="shared" si="309"/>
        <v>0</v>
      </c>
      <c r="DK25" s="479">
        <f t="shared" si="309"/>
        <v>0</v>
      </c>
      <c r="DL25" s="479">
        <f t="shared" si="309"/>
        <v>0</v>
      </c>
      <c r="DM25" s="479">
        <f t="shared" si="309"/>
        <v>0</v>
      </c>
      <c r="DN25" s="479">
        <f t="shared" si="309"/>
        <v>0</v>
      </c>
      <c r="DO25" s="479">
        <f t="shared" si="309"/>
        <v>0</v>
      </c>
      <c r="DP25" s="479">
        <f t="shared" si="309"/>
        <v>0</v>
      </c>
      <c r="DQ25" s="479">
        <f t="shared" ref="DQ25:EF28" si="310">-IF(DQ$7&gt;=$E25,IF(DQ$7&lt;=$F25,$D25/$G25,0),0)</f>
        <v>0</v>
      </c>
      <c r="DR25" s="479">
        <f t="shared" si="310"/>
        <v>0</v>
      </c>
      <c r="DS25" s="479">
        <f t="shared" si="310"/>
        <v>0</v>
      </c>
      <c r="DT25" s="479">
        <f t="shared" si="310"/>
        <v>0</v>
      </c>
      <c r="DU25" s="479">
        <f t="shared" si="310"/>
        <v>0</v>
      </c>
      <c r="DV25" s="479">
        <f t="shared" si="310"/>
        <v>0</v>
      </c>
      <c r="DW25" s="479">
        <f t="shared" si="310"/>
        <v>0</v>
      </c>
      <c r="DX25" s="479">
        <f t="shared" si="310"/>
        <v>0</v>
      </c>
      <c r="DY25" s="479">
        <f t="shared" si="310"/>
        <v>0</v>
      </c>
      <c r="DZ25" s="479">
        <f t="shared" si="310"/>
        <v>0</v>
      </c>
      <c r="EA25" s="479">
        <f t="shared" si="310"/>
        <v>0</v>
      </c>
      <c r="EB25" s="479">
        <f t="shared" si="310"/>
        <v>0</v>
      </c>
      <c r="EC25" s="479">
        <f t="shared" si="310"/>
        <v>0</v>
      </c>
      <c r="ED25" s="479">
        <f t="shared" si="310"/>
        <v>0</v>
      </c>
      <c r="EE25" s="479">
        <f t="shared" si="310"/>
        <v>0</v>
      </c>
      <c r="EF25" s="479">
        <f t="shared" si="310"/>
        <v>0</v>
      </c>
      <c r="EG25" s="479">
        <f t="shared" si="300"/>
        <v>0</v>
      </c>
      <c r="EH25" s="479">
        <f t="shared" si="300"/>
        <v>0</v>
      </c>
      <c r="EI25" s="479">
        <f t="shared" si="300"/>
        <v>0</v>
      </c>
      <c r="EJ25" s="479">
        <f t="shared" si="300"/>
        <v>0</v>
      </c>
      <c r="EK25" s="479">
        <f t="shared" si="300"/>
        <v>0</v>
      </c>
      <c r="EL25" s="479">
        <f t="shared" si="300"/>
        <v>0</v>
      </c>
      <c r="EM25" s="479">
        <f t="shared" si="300"/>
        <v>0</v>
      </c>
      <c r="EN25" s="479">
        <f t="shared" si="300"/>
        <v>0</v>
      </c>
      <c r="EO25" s="479">
        <f t="shared" si="300"/>
        <v>0</v>
      </c>
      <c r="EP25" s="479">
        <f t="shared" si="300"/>
        <v>0</v>
      </c>
      <c r="EQ25" s="479">
        <f t="shared" si="300"/>
        <v>0</v>
      </c>
      <c r="ER25" s="479">
        <f t="shared" si="300"/>
        <v>0</v>
      </c>
      <c r="ES25" s="479">
        <f t="shared" si="300"/>
        <v>0</v>
      </c>
      <c r="ET25" s="479">
        <f t="shared" si="300"/>
        <v>0</v>
      </c>
      <c r="EU25" s="479">
        <f t="shared" si="300"/>
        <v>0</v>
      </c>
      <c r="EV25" s="479">
        <f t="shared" si="300"/>
        <v>0</v>
      </c>
      <c r="EW25" s="479">
        <f t="shared" ref="EW25:FL28" si="311">-IF(EW$7&gt;=$E25,IF(EW$7&lt;=$F25,$D25/$G25,0),0)</f>
        <v>0</v>
      </c>
      <c r="EX25" s="479">
        <f t="shared" si="311"/>
        <v>0</v>
      </c>
      <c r="EY25" s="479">
        <f t="shared" si="311"/>
        <v>0</v>
      </c>
      <c r="EZ25" s="479">
        <f t="shared" si="311"/>
        <v>0</v>
      </c>
      <c r="FA25" s="479">
        <f t="shared" si="311"/>
        <v>0</v>
      </c>
      <c r="FB25" s="479">
        <f t="shared" si="311"/>
        <v>0</v>
      </c>
      <c r="FC25" s="479">
        <f t="shared" si="311"/>
        <v>0</v>
      </c>
      <c r="FD25" s="479">
        <f t="shared" si="311"/>
        <v>0</v>
      </c>
      <c r="FE25" s="479">
        <f t="shared" si="311"/>
        <v>0</v>
      </c>
      <c r="FF25" s="479">
        <f t="shared" si="311"/>
        <v>0</v>
      </c>
      <c r="FG25" s="479">
        <f t="shared" si="311"/>
        <v>0</v>
      </c>
      <c r="FH25" s="479">
        <f t="shared" si="311"/>
        <v>0</v>
      </c>
      <c r="FI25" s="479">
        <f t="shared" si="311"/>
        <v>0</v>
      </c>
      <c r="FJ25" s="479">
        <f t="shared" si="311"/>
        <v>0</v>
      </c>
      <c r="FK25" s="479">
        <f t="shared" si="311"/>
        <v>0</v>
      </c>
      <c r="FL25" s="479">
        <f t="shared" si="311"/>
        <v>0</v>
      </c>
      <c r="FM25" s="479">
        <f t="shared" ref="FM25:GB28" si="312">-IF(FM$7&gt;=$E25,IF(FM$7&lt;=$F25,$D25/$G25,0),0)</f>
        <v>0</v>
      </c>
      <c r="FN25" s="479">
        <f t="shared" si="312"/>
        <v>0</v>
      </c>
      <c r="FO25" s="479">
        <f t="shared" si="312"/>
        <v>0</v>
      </c>
      <c r="FP25" s="479">
        <f t="shared" si="312"/>
        <v>0</v>
      </c>
      <c r="FQ25" s="479">
        <f t="shared" si="312"/>
        <v>0</v>
      </c>
      <c r="FR25" s="479">
        <f t="shared" si="312"/>
        <v>0</v>
      </c>
      <c r="FS25" s="479">
        <f t="shared" si="312"/>
        <v>0</v>
      </c>
      <c r="FT25" s="479">
        <f t="shared" si="312"/>
        <v>0</v>
      </c>
      <c r="FU25" s="479">
        <f t="shared" si="312"/>
        <v>0</v>
      </c>
      <c r="FV25" s="479">
        <f t="shared" si="312"/>
        <v>0</v>
      </c>
      <c r="FW25" s="479">
        <f t="shared" si="312"/>
        <v>0</v>
      </c>
      <c r="FX25" s="479">
        <f t="shared" si="312"/>
        <v>0</v>
      </c>
      <c r="FY25" s="479">
        <f t="shared" si="312"/>
        <v>0</v>
      </c>
      <c r="FZ25" s="479">
        <f t="shared" si="312"/>
        <v>0</v>
      </c>
      <c r="GA25" s="479">
        <f t="shared" si="312"/>
        <v>0</v>
      </c>
      <c r="GB25" s="479">
        <f t="shared" si="312"/>
        <v>0</v>
      </c>
      <c r="GC25" s="479">
        <f t="shared" ref="GC25:GR28" si="313">-IF(GC$7&gt;=$E25,IF(GC$7&lt;=$F25,$D25/$G25,0),0)</f>
        <v>0</v>
      </c>
      <c r="GD25" s="479">
        <f t="shared" si="313"/>
        <v>0</v>
      </c>
      <c r="GE25" s="479">
        <f t="shared" si="313"/>
        <v>0</v>
      </c>
      <c r="GF25" s="479">
        <f t="shared" si="313"/>
        <v>0</v>
      </c>
      <c r="GG25" s="479">
        <f t="shared" si="313"/>
        <v>0</v>
      </c>
      <c r="GH25" s="479">
        <f t="shared" si="313"/>
        <v>0</v>
      </c>
      <c r="GI25" s="479">
        <f t="shared" si="313"/>
        <v>0</v>
      </c>
      <c r="GJ25" s="479">
        <f t="shared" si="313"/>
        <v>0</v>
      </c>
      <c r="GK25" s="479">
        <f t="shared" si="313"/>
        <v>0</v>
      </c>
      <c r="GL25" s="479">
        <f t="shared" si="313"/>
        <v>0</v>
      </c>
      <c r="GM25" s="479">
        <f t="shared" si="313"/>
        <v>0</v>
      </c>
      <c r="GN25" s="479">
        <f t="shared" si="313"/>
        <v>0</v>
      </c>
      <c r="GO25" s="479">
        <f t="shared" si="313"/>
        <v>0</v>
      </c>
      <c r="GP25" s="479">
        <f t="shared" si="313"/>
        <v>0</v>
      </c>
      <c r="GQ25" s="479">
        <f t="shared" si="313"/>
        <v>0</v>
      </c>
      <c r="GR25" s="479">
        <f t="shared" si="313"/>
        <v>0</v>
      </c>
      <c r="GS25" s="479">
        <f t="shared" si="301"/>
        <v>0</v>
      </c>
      <c r="GT25" s="479">
        <f t="shared" si="301"/>
        <v>0</v>
      </c>
      <c r="GU25" s="479">
        <f t="shared" si="301"/>
        <v>0</v>
      </c>
      <c r="GV25" s="479">
        <f t="shared" si="301"/>
        <v>0</v>
      </c>
      <c r="GW25" s="479">
        <f t="shared" si="301"/>
        <v>0</v>
      </c>
      <c r="GX25" s="479">
        <f t="shared" si="301"/>
        <v>0</v>
      </c>
      <c r="GY25" s="479">
        <f t="shared" si="301"/>
        <v>0</v>
      </c>
      <c r="GZ25" s="479">
        <f t="shared" si="301"/>
        <v>0</v>
      </c>
      <c r="HA25" s="479">
        <f t="shared" si="301"/>
        <v>0</v>
      </c>
      <c r="HB25" s="479">
        <f t="shared" si="301"/>
        <v>0</v>
      </c>
      <c r="HC25" s="479">
        <f t="shared" si="301"/>
        <v>0</v>
      </c>
      <c r="HD25" s="479">
        <f t="shared" si="301"/>
        <v>0</v>
      </c>
      <c r="HE25" s="479">
        <f t="shared" si="301"/>
        <v>0</v>
      </c>
      <c r="HF25" s="479">
        <f t="shared" si="301"/>
        <v>0</v>
      </c>
      <c r="HG25" s="479">
        <f t="shared" si="301"/>
        <v>0</v>
      </c>
      <c r="HH25" s="479">
        <f t="shared" si="301"/>
        <v>0</v>
      </c>
      <c r="HI25" s="479">
        <f t="shared" ref="HI25:HX28" si="314">-IF(HI$7&gt;=$E25,IF(HI$7&lt;=$F25,$D25/$G25,0),0)</f>
        <v>0</v>
      </c>
      <c r="HJ25" s="479">
        <f t="shared" si="314"/>
        <v>0</v>
      </c>
      <c r="HK25" s="479">
        <f t="shared" si="314"/>
        <v>0</v>
      </c>
      <c r="HL25" s="479">
        <f t="shared" si="314"/>
        <v>0</v>
      </c>
      <c r="HM25" s="479">
        <f t="shared" si="314"/>
        <v>0</v>
      </c>
      <c r="HN25" s="479">
        <f t="shared" si="314"/>
        <v>0</v>
      </c>
      <c r="HO25" s="479">
        <f t="shared" si="314"/>
        <v>0</v>
      </c>
      <c r="HP25" s="479">
        <f t="shared" si="314"/>
        <v>0</v>
      </c>
      <c r="HQ25" s="479">
        <f t="shared" si="314"/>
        <v>0</v>
      </c>
      <c r="HR25" s="479">
        <f t="shared" si="314"/>
        <v>0</v>
      </c>
      <c r="HS25" s="479">
        <f t="shared" si="314"/>
        <v>0</v>
      </c>
      <c r="HT25" s="479">
        <f t="shared" si="314"/>
        <v>0</v>
      </c>
      <c r="HU25" s="479">
        <f t="shared" si="314"/>
        <v>0</v>
      </c>
      <c r="HV25" s="479">
        <f t="shared" si="314"/>
        <v>0</v>
      </c>
      <c r="HW25" s="479">
        <f t="shared" si="314"/>
        <v>0</v>
      </c>
      <c r="HX25" s="479">
        <f t="shared" si="314"/>
        <v>0</v>
      </c>
      <c r="HY25" s="479">
        <f t="shared" ref="HY25:IN28" si="315">-IF(HY$7&gt;=$E25,IF(HY$7&lt;=$F25,$D25/$G25,0),0)</f>
        <v>0</v>
      </c>
      <c r="HZ25" s="479">
        <f t="shared" si="315"/>
        <v>0</v>
      </c>
      <c r="IA25" s="479">
        <f t="shared" si="315"/>
        <v>0</v>
      </c>
      <c r="IB25" s="479">
        <f t="shared" si="315"/>
        <v>0</v>
      </c>
      <c r="IC25" s="479">
        <f t="shared" si="315"/>
        <v>0</v>
      </c>
      <c r="ID25" s="479">
        <f t="shared" si="315"/>
        <v>0</v>
      </c>
      <c r="IE25" s="479">
        <f t="shared" si="315"/>
        <v>0</v>
      </c>
      <c r="IF25" s="479">
        <f t="shared" si="315"/>
        <v>0</v>
      </c>
      <c r="IG25" s="479">
        <f t="shared" si="315"/>
        <v>0</v>
      </c>
      <c r="IH25" s="479">
        <f t="shared" si="315"/>
        <v>0</v>
      </c>
      <c r="II25" s="479">
        <f t="shared" si="315"/>
        <v>0</v>
      </c>
      <c r="IJ25" s="479">
        <f t="shared" si="315"/>
        <v>0</v>
      </c>
      <c r="IK25" s="479">
        <f t="shared" si="315"/>
        <v>0</v>
      </c>
      <c r="IL25" s="479">
        <f t="shared" si="315"/>
        <v>0</v>
      </c>
      <c r="IM25" s="479">
        <f t="shared" si="315"/>
        <v>0</v>
      </c>
      <c r="IN25" s="479">
        <f t="shared" si="315"/>
        <v>0</v>
      </c>
      <c r="IO25" s="479">
        <f t="shared" ref="IO25:JD28" si="316">-IF(IO$7&gt;=$E25,IF(IO$7&lt;=$F25,$D25/$G25,0),0)</f>
        <v>0</v>
      </c>
      <c r="IP25" s="479">
        <f t="shared" si="316"/>
        <v>0</v>
      </c>
      <c r="IQ25" s="479">
        <f t="shared" si="316"/>
        <v>0</v>
      </c>
      <c r="IR25" s="479">
        <f t="shared" si="316"/>
        <v>0</v>
      </c>
      <c r="IS25" s="479">
        <f t="shared" si="316"/>
        <v>0</v>
      </c>
      <c r="IT25" s="479">
        <f t="shared" si="316"/>
        <v>0</v>
      </c>
      <c r="IU25" s="479">
        <f t="shared" si="316"/>
        <v>0</v>
      </c>
      <c r="IV25" s="479">
        <f t="shared" si="316"/>
        <v>0</v>
      </c>
      <c r="IW25" s="479">
        <f t="shared" si="316"/>
        <v>0</v>
      </c>
      <c r="IX25" s="479">
        <f t="shared" si="316"/>
        <v>0</v>
      </c>
      <c r="IY25" s="479">
        <f t="shared" si="316"/>
        <v>0</v>
      </c>
      <c r="IZ25" s="479">
        <f t="shared" si="316"/>
        <v>0</v>
      </c>
      <c r="JA25" s="479">
        <f t="shared" si="316"/>
        <v>0</v>
      </c>
      <c r="JB25" s="479">
        <f t="shared" si="316"/>
        <v>0</v>
      </c>
      <c r="JC25" s="479">
        <f t="shared" si="316"/>
        <v>0</v>
      </c>
      <c r="JD25" s="479">
        <f t="shared" si="316"/>
        <v>0</v>
      </c>
      <c r="JE25" s="479">
        <f t="shared" si="302"/>
        <v>0</v>
      </c>
      <c r="JF25" s="479">
        <f t="shared" si="302"/>
        <v>0</v>
      </c>
      <c r="JG25" s="479">
        <f t="shared" si="302"/>
        <v>0</v>
      </c>
      <c r="JH25" s="479">
        <f t="shared" si="302"/>
        <v>0</v>
      </c>
      <c r="JI25" s="479">
        <f t="shared" si="302"/>
        <v>0</v>
      </c>
      <c r="JJ25" s="479">
        <f t="shared" si="302"/>
        <v>0</v>
      </c>
      <c r="JK25" s="479">
        <f t="shared" si="302"/>
        <v>0</v>
      </c>
      <c r="JL25" s="479">
        <f t="shared" si="302"/>
        <v>0</v>
      </c>
      <c r="JM25" s="479">
        <f t="shared" si="302"/>
        <v>0</v>
      </c>
      <c r="JN25" s="479">
        <f t="shared" si="302"/>
        <v>0</v>
      </c>
      <c r="JO25" s="479">
        <f t="shared" si="302"/>
        <v>0</v>
      </c>
      <c r="JP25" s="479">
        <f t="shared" si="302"/>
        <v>0</v>
      </c>
      <c r="JQ25" s="479">
        <f t="shared" si="302"/>
        <v>0</v>
      </c>
      <c r="JR25" s="479">
        <f t="shared" si="302"/>
        <v>0</v>
      </c>
      <c r="JS25" s="479">
        <f t="shared" si="302"/>
        <v>0</v>
      </c>
      <c r="JT25" s="479">
        <f t="shared" si="302"/>
        <v>0</v>
      </c>
      <c r="JU25" s="479">
        <f t="shared" ref="JU25:KJ28" si="317">-IF(JU$7&gt;=$E25,IF(JU$7&lt;=$F25,$D25/$G25,0),0)</f>
        <v>0</v>
      </c>
      <c r="JV25" s="479">
        <f t="shared" si="317"/>
        <v>0</v>
      </c>
      <c r="JW25" s="479">
        <f t="shared" si="317"/>
        <v>0</v>
      </c>
      <c r="JX25" s="479">
        <f t="shared" si="317"/>
        <v>0</v>
      </c>
      <c r="JY25" s="479">
        <f t="shared" si="317"/>
        <v>0</v>
      </c>
      <c r="JZ25" s="479">
        <f t="shared" si="317"/>
        <v>0</v>
      </c>
      <c r="KA25" s="479">
        <f t="shared" si="317"/>
        <v>0</v>
      </c>
      <c r="KB25" s="479">
        <f t="shared" si="317"/>
        <v>0</v>
      </c>
      <c r="KC25" s="479">
        <f t="shared" si="317"/>
        <v>0</v>
      </c>
      <c r="KD25" s="479">
        <f t="shared" si="317"/>
        <v>0</v>
      </c>
      <c r="KE25" s="479">
        <f t="shared" si="317"/>
        <v>0</v>
      </c>
      <c r="KF25" s="479">
        <f t="shared" si="317"/>
        <v>0</v>
      </c>
      <c r="KG25" s="479">
        <f t="shared" si="317"/>
        <v>0</v>
      </c>
      <c r="KH25" s="479">
        <f t="shared" si="317"/>
        <v>0</v>
      </c>
      <c r="KI25" s="479">
        <f t="shared" si="317"/>
        <v>0</v>
      </c>
      <c r="KJ25" s="479">
        <f t="shared" si="317"/>
        <v>0</v>
      </c>
      <c r="KK25" s="479">
        <f t="shared" ref="KK25:KZ28" si="318">-IF(KK$7&gt;=$E25,IF(KK$7&lt;=$F25,$D25/$G25,0),0)</f>
        <v>0</v>
      </c>
      <c r="KL25" s="479">
        <f t="shared" si="318"/>
        <v>0</v>
      </c>
      <c r="KM25" s="479">
        <f t="shared" si="318"/>
        <v>0</v>
      </c>
      <c r="KN25" s="479">
        <f t="shared" si="318"/>
        <v>0</v>
      </c>
      <c r="KO25" s="479">
        <f t="shared" si="318"/>
        <v>0</v>
      </c>
      <c r="KP25" s="479">
        <f t="shared" si="318"/>
        <v>0</v>
      </c>
      <c r="KQ25" s="479">
        <f t="shared" si="318"/>
        <v>0</v>
      </c>
      <c r="KR25" s="479">
        <f t="shared" si="318"/>
        <v>0</v>
      </c>
      <c r="KS25" s="479">
        <f t="shared" si="318"/>
        <v>0</v>
      </c>
      <c r="KT25" s="479">
        <f t="shared" si="318"/>
        <v>0</v>
      </c>
      <c r="KU25" s="479">
        <f t="shared" si="318"/>
        <v>0</v>
      </c>
      <c r="KV25" s="479">
        <f t="shared" si="318"/>
        <v>0</v>
      </c>
      <c r="KW25" s="479">
        <f t="shared" si="318"/>
        <v>0</v>
      </c>
      <c r="KX25" s="479">
        <f t="shared" si="318"/>
        <v>0</v>
      </c>
      <c r="KY25" s="479">
        <f t="shared" si="318"/>
        <v>0</v>
      </c>
      <c r="KZ25" s="479">
        <f t="shared" si="318"/>
        <v>0</v>
      </c>
      <c r="LA25" s="479">
        <f t="shared" ref="LA25:LP28" si="319">-IF(LA$7&gt;=$E25,IF(LA$7&lt;=$F25,$D25/$G25,0),0)</f>
        <v>0</v>
      </c>
      <c r="LB25" s="479">
        <f t="shared" si="319"/>
        <v>0</v>
      </c>
      <c r="LC25" s="479">
        <f t="shared" si="319"/>
        <v>0</v>
      </c>
      <c r="LD25" s="479">
        <f t="shared" si="319"/>
        <v>0</v>
      </c>
      <c r="LE25" s="479">
        <f t="shared" si="319"/>
        <v>0</v>
      </c>
      <c r="LF25" s="479">
        <f t="shared" si="319"/>
        <v>0</v>
      </c>
      <c r="LG25" s="479">
        <f t="shared" si="319"/>
        <v>0</v>
      </c>
      <c r="LH25" s="479">
        <f t="shared" si="319"/>
        <v>0</v>
      </c>
      <c r="LI25" s="479">
        <f t="shared" si="319"/>
        <v>0</v>
      </c>
      <c r="LJ25" s="479">
        <f t="shared" si="319"/>
        <v>0</v>
      </c>
      <c r="LK25" s="479">
        <f t="shared" si="319"/>
        <v>0</v>
      </c>
      <c r="LL25" s="479">
        <f t="shared" si="319"/>
        <v>0</v>
      </c>
      <c r="LM25" s="479">
        <f t="shared" si="319"/>
        <v>0</v>
      </c>
      <c r="LN25" s="479">
        <f t="shared" si="319"/>
        <v>0</v>
      </c>
      <c r="LO25" s="479">
        <f t="shared" si="319"/>
        <v>0</v>
      </c>
      <c r="LP25" s="479">
        <f t="shared" si="319"/>
        <v>0</v>
      </c>
      <c r="LQ25" s="479">
        <f t="shared" si="303"/>
        <v>0</v>
      </c>
      <c r="LR25" s="479">
        <f t="shared" si="303"/>
        <v>0</v>
      </c>
      <c r="LS25" s="479">
        <f t="shared" si="303"/>
        <v>0</v>
      </c>
      <c r="LT25" s="479">
        <f t="shared" si="303"/>
        <v>0</v>
      </c>
      <c r="LU25" s="479">
        <f t="shared" si="303"/>
        <v>0</v>
      </c>
      <c r="LV25" s="479">
        <f t="shared" si="303"/>
        <v>0</v>
      </c>
      <c r="LW25" s="479">
        <f t="shared" si="303"/>
        <v>0</v>
      </c>
      <c r="LX25" s="479">
        <f t="shared" si="303"/>
        <v>0</v>
      </c>
      <c r="LY25" s="479">
        <f t="shared" si="303"/>
        <v>0</v>
      </c>
      <c r="LZ25" s="479">
        <f t="shared" si="303"/>
        <v>0</v>
      </c>
      <c r="MA25" s="479">
        <f t="shared" si="303"/>
        <v>0</v>
      </c>
      <c r="MB25" s="479">
        <f t="shared" si="303"/>
        <v>0</v>
      </c>
      <c r="MC25" s="479">
        <f t="shared" si="303"/>
        <v>0</v>
      </c>
      <c r="MD25" s="479">
        <f t="shared" si="303"/>
        <v>0</v>
      </c>
      <c r="ME25" s="479">
        <f t="shared" si="303"/>
        <v>0</v>
      </c>
      <c r="MF25" s="479">
        <f t="shared" si="303"/>
        <v>0</v>
      </c>
      <c r="MG25" s="479">
        <f t="shared" ref="MG25:MV28" si="320">-IF(MG$7&gt;=$E25,IF(MG$7&lt;=$F25,$D25/$G25,0),0)</f>
        <v>0</v>
      </c>
      <c r="MH25" s="479">
        <f t="shared" si="320"/>
        <v>0</v>
      </c>
      <c r="MI25" s="479">
        <f t="shared" si="320"/>
        <v>0</v>
      </c>
      <c r="MJ25" s="479">
        <f t="shared" si="320"/>
        <v>0</v>
      </c>
      <c r="MK25" s="479">
        <f t="shared" si="320"/>
        <v>0</v>
      </c>
      <c r="ML25" s="479">
        <f t="shared" si="320"/>
        <v>0</v>
      </c>
      <c r="MM25" s="479">
        <f t="shared" si="320"/>
        <v>0</v>
      </c>
      <c r="MN25" s="479">
        <f t="shared" si="320"/>
        <v>0</v>
      </c>
      <c r="MO25" s="479">
        <f t="shared" si="320"/>
        <v>0</v>
      </c>
      <c r="MP25" s="479">
        <f t="shared" si="320"/>
        <v>0</v>
      </c>
      <c r="MQ25" s="479">
        <f t="shared" si="320"/>
        <v>0</v>
      </c>
      <c r="MR25" s="479">
        <f t="shared" si="320"/>
        <v>0</v>
      </c>
      <c r="MS25" s="479">
        <f t="shared" si="320"/>
        <v>0</v>
      </c>
      <c r="MT25" s="479">
        <f t="shared" si="320"/>
        <v>0</v>
      </c>
      <c r="MU25" s="479">
        <f t="shared" si="320"/>
        <v>0</v>
      </c>
      <c r="MV25" s="479">
        <f t="shared" si="320"/>
        <v>0</v>
      </c>
      <c r="MW25" s="479">
        <f t="shared" ref="MW25:NL28" si="321">-IF(MW$7&gt;=$E25,IF(MW$7&lt;=$F25,$D25/$G25,0),0)</f>
        <v>0</v>
      </c>
      <c r="MX25" s="479">
        <f t="shared" si="321"/>
        <v>0</v>
      </c>
      <c r="MY25" s="479">
        <f t="shared" si="321"/>
        <v>0</v>
      </c>
      <c r="MZ25" s="479">
        <f t="shared" si="321"/>
        <v>0</v>
      </c>
      <c r="NA25" s="479">
        <f t="shared" si="321"/>
        <v>0</v>
      </c>
      <c r="NB25" s="479">
        <f t="shared" si="321"/>
        <v>0</v>
      </c>
      <c r="NC25" s="479">
        <f t="shared" si="321"/>
        <v>0</v>
      </c>
      <c r="ND25" s="479">
        <f t="shared" si="321"/>
        <v>0</v>
      </c>
      <c r="NE25" s="479">
        <f t="shared" si="321"/>
        <v>0</v>
      </c>
      <c r="NF25" s="479">
        <f t="shared" si="321"/>
        <v>0</v>
      </c>
      <c r="NG25" s="479">
        <f t="shared" si="321"/>
        <v>0</v>
      </c>
      <c r="NH25" s="479">
        <f t="shared" si="321"/>
        <v>0</v>
      </c>
      <c r="NI25" s="479">
        <f t="shared" si="321"/>
        <v>0</v>
      </c>
      <c r="NJ25" s="479">
        <f t="shared" si="321"/>
        <v>0</v>
      </c>
      <c r="NK25" s="479">
        <f t="shared" si="321"/>
        <v>0</v>
      </c>
      <c r="NL25" s="479">
        <f t="shared" si="321"/>
        <v>0</v>
      </c>
      <c r="NM25" s="479">
        <f t="shared" ref="NM25:OB28" si="322">-IF(NM$7&gt;=$E25,IF(NM$7&lt;=$F25,$D25/$G25,0),0)</f>
        <v>0</v>
      </c>
      <c r="NN25" s="479">
        <f t="shared" si="322"/>
        <v>0</v>
      </c>
      <c r="NO25" s="479">
        <f t="shared" si="322"/>
        <v>0</v>
      </c>
      <c r="NP25" s="479">
        <f t="shared" si="322"/>
        <v>0</v>
      </c>
      <c r="NQ25" s="479">
        <f t="shared" si="322"/>
        <v>0</v>
      </c>
      <c r="NR25" s="479">
        <f t="shared" si="322"/>
        <v>0</v>
      </c>
      <c r="NS25" s="479">
        <f t="shared" si="322"/>
        <v>0</v>
      </c>
      <c r="NT25" s="479">
        <f t="shared" si="322"/>
        <v>0</v>
      </c>
      <c r="NU25" s="479">
        <f t="shared" si="322"/>
        <v>0</v>
      </c>
      <c r="NV25" s="479">
        <f t="shared" si="322"/>
        <v>0</v>
      </c>
      <c r="NW25" s="479">
        <f t="shared" si="322"/>
        <v>0</v>
      </c>
      <c r="NX25" s="479">
        <f t="shared" si="322"/>
        <v>0</v>
      </c>
      <c r="NY25" s="479">
        <f t="shared" si="322"/>
        <v>0</v>
      </c>
      <c r="NZ25" s="479">
        <f t="shared" si="322"/>
        <v>0</v>
      </c>
      <c r="OA25" s="479">
        <f t="shared" si="322"/>
        <v>0</v>
      </c>
      <c r="OB25" s="479">
        <f t="shared" si="322"/>
        <v>0</v>
      </c>
      <c r="OC25" s="479">
        <f t="shared" si="304"/>
        <v>0</v>
      </c>
      <c r="OD25" s="479">
        <f t="shared" si="304"/>
        <v>0</v>
      </c>
      <c r="OE25" s="479">
        <f t="shared" si="291"/>
        <v>0</v>
      </c>
      <c r="OF25" s="479">
        <f t="shared" si="291"/>
        <v>0</v>
      </c>
      <c r="OG25" s="479">
        <f t="shared" si="291"/>
        <v>0</v>
      </c>
      <c r="OH25" s="479">
        <f t="shared" si="291"/>
        <v>0</v>
      </c>
      <c r="OI25" s="479">
        <f t="shared" si="291"/>
        <v>0</v>
      </c>
      <c r="OJ25" s="479">
        <f t="shared" si="291"/>
        <v>0</v>
      </c>
      <c r="OK25" s="479">
        <f t="shared" si="291"/>
        <v>0</v>
      </c>
      <c r="OL25" s="479">
        <f t="shared" si="291"/>
        <v>0</v>
      </c>
      <c r="OM25" s="479">
        <f t="shared" si="291"/>
        <v>0</v>
      </c>
      <c r="ON25" s="479">
        <f t="shared" si="291"/>
        <v>0</v>
      </c>
      <c r="OO25" s="479">
        <f t="shared" si="291"/>
        <v>0</v>
      </c>
    </row>
    <row r="26" spans="2:405">
      <c r="B26" s="97" t="str">
        <f>Assumptions!B89</f>
        <v>Contractor Profit</v>
      </c>
      <c r="C26" s="97"/>
      <c r="D26" s="500">
        <f>Assumptions!C89</f>
        <v>10269720</v>
      </c>
      <c r="E26" s="507">
        <f>Assumptions!$C$10</f>
        <v>46418</v>
      </c>
      <c r="F26" s="507">
        <f>EOMONTH(E26,Assumptions!$C$11-1)</f>
        <v>47118</v>
      </c>
      <c r="G26" s="97">
        <f t="shared" si="284"/>
        <v>24</v>
      </c>
      <c r="H26" s="97"/>
      <c r="I26" s="97"/>
      <c r="J26" s="479">
        <f t="shared" si="292"/>
        <v>0</v>
      </c>
      <c r="K26" s="479">
        <f t="shared" si="292"/>
        <v>0</v>
      </c>
      <c r="L26" s="479">
        <f t="shared" si="292"/>
        <v>0</v>
      </c>
      <c r="M26" s="479">
        <f t="shared" si="292"/>
        <v>0</v>
      </c>
      <c r="N26" s="479">
        <f t="shared" si="292"/>
        <v>0</v>
      </c>
      <c r="O26" s="479">
        <f t="shared" si="292"/>
        <v>0</v>
      </c>
      <c r="P26" s="479">
        <f t="shared" si="292"/>
        <v>-427905</v>
      </c>
      <c r="Q26" s="479">
        <f t="shared" si="292"/>
        <v>-427905</v>
      </c>
      <c r="R26" s="479">
        <f t="shared" si="292"/>
        <v>-427905</v>
      </c>
      <c r="S26" s="479">
        <f t="shared" si="292"/>
        <v>-427905</v>
      </c>
      <c r="T26" s="479">
        <f t="shared" si="292"/>
        <v>-427905</v>
      </c>
      <c r="U26" s="479">
        <f t="shared" si="292"/>
        <v>-427905</v>
      </c>
      <c r="V26" s="479">
        <f t="shared" si="292"/>
        <v>-427905</v>
      </c>
      <c r="W26" s="479">
        <f t="shared" si="292"/>
        <v>-427905</v>
      </c>
      <c r="X26" s="479">
        <f t="shared" si="292"/>
        <v>-427905</v>
      </c>
      <c r="Y26" s="479">
        <f t="shared" si="292"/>
        <v>-427905</v>
      </c>
      <c r="Z26" s="479">
        <f t="shared" si="305"/>
        <v>-427905</v>
      </c>
      <c r="AA26" s="479">
        <f t="shared" si="305"/>
        <v>-427905</v>
      </c>
      <c r="AB26" s="479">
        <f t="shared" si="305"/>
        <v>-427905</v>
      </c>
      <c r="AC26" s="479">
        <f t="shared" si="305"/>
        <v>-427905</v>
      </c>
      <c r="AD26" s="479">
        <f t="shared" si="305"/>
        <v>-427905</v>
      </c>
      <c r="AE26" s="479">
        <f t="shared" si="305"/>
        <v>-427905</v>
      </c>
      <c r="AF26" s="479">
        <f t="shared" si="305"/>
        <v>-427905</v>
      </c>
      <c r="AG26" s="479">
        <f t="shared" si="305"/>
        <v>-427905</v>
      </c>
      <c r="AH26" s="479">
        <f t="shared" si="305"/>
        <v>-427905</v>
      </c>
      <c r="AI26" s="479">
        <f t="shared" si="305"/>
        <v>-427905</v>
      </c>
      <c r="AJ26" s="479">
        <f t="shared" si="305"/>
        <v>-427905</v>
      </c>
      <c r="AK26" s="479">
        <f t="shared" si="305"/>
        <v>-427905</v>
      </c>
      <c r="AL26" s="479">
        <f t="shared" si="305"/>
        <v>-427905</v>
      </c>
      <c r="AM26" s="479">
        <f t="shared" si="305"/>
        <v>-427905</v>
      </c>
      <c r="AN26" s="479">
        <f t="shared" si="305"/>
        <v>0</v>
      </c>
      <c r="AO26" s="479">
        <f t="shared" si="305"/>
        <v>0</v>
      </c>
      <c r="AP26" s="479">
        <f t="shared" si="306"/>
        <v>0</v>
      </c>
      <c r="AQ26" s="479">
        <f t="shared" si="306"/>
        <v>0</v>
      </c>
      <c r="AR26" s="479">
        <f t="shared" si="306"/>
        <v>0</v>
      </c>
      <c r="AS26" s="479">
        <f t="shared" si="306"/>
        <v>0</v>
      </c>
      <c r="AT26" s="479">
        <f t="shared" si="306"/>
        <v>0</v>
      </c>
      <c r="AU26" s="479">
        <f t="shared" si="306"/>
        <v>0</v>
      </c>
      <c r="AV26" s="479">
        <f t="shared" si="306"/>
        <v>0</v>
      </c>
      <c r="AW26" s="479">
        <f t="shared" si="306"/>
        <v>0</v>
      </c>
      <c r="AX26" s="479">
        <f t="shared" si="306"/>
        <v>0</v>
      </c>
      <c r="AY26" s="479">
        <f t="shared" si="306"/>
        <v>0</v>
      </c>
      <c r="AZ26" s="479">
        <f t="shared" si="306"/>
        <v>0</v>
      </c>
      <c r="BA26" s="479">
        <f t="shared" si="306"/>
        <v>0</v>
      </c>
      <c r="BB26" s="479">
        <f t="shared" si="306"/>
        <v>0</v>
      </c>
      <c r="BC26" s="479">
        <f t="shared" si="306"/>
        <v>0</v>
      </c>
      <c r="BD26" s="479">
        <f t="shared" si="306"/>
        <v>0</v>
      </c>
      <c r="BE26" s="479">
        <f t="shared" si="306"/>
        <v>0</v>
      </c>
      <c r="BF26" s="479">
        <f t="shared" si="307"/>
        <v>0</v>
      </c>
      <c r="BG26" s="479">
        <f t="shared" si="307"/>
        <v>0</v>
      </c>
      <c r="BH26" s="479">
        <f t="shared" si="307"/>
        <v>0</v>
      </c>
      <c r="BI26" s="479">
        <f t="shared" si="307"/>
        <v>0</v>
      </c>
      <c r="BJ26" s="479">
        <f t="shared" si="307"/>
        <v>0</v>
      </c>
      <c r="BK26" s="479">
        <f t="shared" si="307"/>
        <v>0</v>
      </c>
      <c r="BL26" s="479">
        <f t="shared" si="307"/>
        <v>0</v>
      </c>
      <c r="BM26" s="479">
        <f t="shared" si="307"/>
        <v>0</v>
      </c>
      <c r="BN26" s="479">
        <f t="shared" si="307"/>
        <v>0</v>
      </c>
      <c r="BO26" s="479">
        <f t="shared" si="307"/>
        <v>0</v>
      </c>
      <c r="BP26" s="479">
        <f t="shared" si="307"/>
        <v>0</v>
      </c>
      <c r="BQ26" s="479">
        <f t="shared" si="307"/>
        <v>0</v>
      </c>
      <c r="BR26" s="479">
        <f t="shared" si="307"/>
        <v>0</v>
      </c>
      <c r="BS26" s="479">
        <f t="shared" si="307"/>
        <v>0</v>
      </c>
      <c r="BT26" s="479">
        <f t="shared" si="307"/>
        <v>0</v>
      </c>
      <c r="BU26" s="479">
        <f t="shared" si="307"/>
        <v>0</v>
      </c>
      <c r="BV26" s="479">
        <f t="shared" si="299"/>
        <v>0</v>
      </c>
      <c r="BW26" s="479">
        <f t="shared" si="299"/>
        <v>0</v>
      </c>
      <c r="BX26" s="479">
        <f t="shared" si="299"/>
        <v>0</v>
      </c>
      <c r="BY26" s="479">
        <f t="shared" si="299"/>
        <v>0</v>
      </c>
      <c r="BZ26" s="479">
        <f t="shared" si="299"/>
        <v>0</v>
      </c>
      <c r="CA26" s="479">
        <f t="shared" si="299"/>
        <v>0</v>
      </c>
      <c r="CB26" s="479">
        <f t="shared" si="299"/>
        <v>0</v>
      </c>
      <c r="CC26" s="479">
        <f t="shared" si="299"/>
        <v>0</v>
      </c>
      <c r="CD26" s="479">
        <f t="shared" si="299"/>
        <v>0</v>
      </c>
      <c r="CE26" s="479">
        <f t="shared" si="299"/>
        <v>0</v>
      </c>
      <c r="CF26" s="479">
        <f t="shared" si="299"/>
        <v>0</v>
      </c>
      <c r="CG26" s="479">
        <f t="shared" si="299"/>
        <v>0</v>
      </c>
      <c r="CH26" s="479">
        <f t="shared" si="299"/>
        <v>0</v>
      </c>
      <c r="CI26" s="479">
        <f t="shared" si="299"/>
        <v>0</v>
      </c>
      <c r="CJ26" s="479">
        <f t="shared" si="299"/>
        <v>0</v>
      </c>
      <c r="CK26" s="479">
        <f t="shared" si="308"/>
        <v>0</v>
      </c>
      <c r="CL26" s="479">
        <f t="shared" si="308"/>
        <v>0</v>
      </c>
      <c r="CM26" s="479">
        <f t="shared" si="308"/>
        <v>0</v>
      </c>
      <c r="CN26" s="479">
        <f t="shared" si="308"/>
        <v>0</v>
      </c>
      <c r="CO26" s="479">
        <f t="shared" si="308"/>
        <v>0</v>
      </c>
      <c r="CP26" s="479">
        <f t="shared" si="308"/>
        <v>0</v>
      </c>
      <c r="CQ26" s="479">
        <f t="shared" si="308"/>
        <v>0</v>
      </c>
      <c r="CR26" s="479">
        <f t="shared" si="308"/>
        <v>0</v>
      </c>
      <c r="CS26" s="479">
        <f t="shared" si="308"/>
        <v>0</v>
      </c>
      <c r="CT26" s="479">
        <f t="shared" si="308"/>
        <v>0</v>
      </c>
      <c r="CU26" s="479">
        <f t="shared" si="308"/>
        <v>0</v>
      </c>
      <c r="CV26" s="479">
        <f t="shared" si="308"/>
        <v>0</v>
      </c>
      <c r="CW26" s="479">
        <f t="shared" si="308"/>
        <v>0</v>
      </c>
      <c r="CX26" s="479">
        <f t="shared" si="308"/>
        <v>0</v>
      </c>
      <c r="CY26" s="479">
        <f t="shared" si="308"/>
        <v>0</v>
      </c>
      <c r="CZ26" s="479">
        <f t="shared" si="308"/>
        <v>0</v>
      </c>
      <c r="DA26" s="479">
        <f t="shared" si="309"/>
        <v>0</v>
      </c>
      <c r="DB26" s="479">
        <f t="shared" si="309"/>
        <v>0</v>
      </c>
      <c r="DC26" s="479">
        <f t="shared" si="309"/>
        <v>0</v>
      </c>
      <c r="DD26" s="479">
        <f t="shared" si="309"/>
        <v>0</v>
      </c>
      <c r="DE26" s="479">
        <f t="shared" si="309"/>
        <v>0</v>
      </c>
      <c r="DF26" s="479">
        <f t="shared" si="309"/>
        <v>0</v>
      </c>
      <c r="DG26" s="479">
        <f t="shared" si="309"/>
        <v>0</v>
      </c>
      <c r="DH26" s="479">
        <f t="shared" si="309"/>
        <v>0</v>
      </c>
      <c r="DI26" s="479">
        <f t="shared" si="309"/>
        <v>0</v>
      </c>
      <c r="DJ26" s="479">
        <f t="shared" si="309"/>
        <v>0</v>
      </c>
      <c r="DK26" s="479">
        <f t="shared" si="309"/>
        <v>0</v>
      </c>
      <c r="DL26" s="479">
        <f t="shared" si="309"/>
        <v>0</v>
      </c>
      <c r="DM26" s="479">
        <f t="shared" si="309"/>
        <v>0</v>
      </c>
      <c r="DN26" s="479">
        <f t="shared" si="309"/>
        <v>0</v>
      </c>
      <c r="DO26" s="479">
        <f t="shared" si="309"/>
        <v>0</v>
      </c>
      <c r="DP26" s="479">
        <f t="shared" si="309"/>
        <v>0</v>
      </c>
      <c r="DQ26" s="479">
        <f t="shared" si="310"/>
        <v>0</v>
      </c>
      <c r="DR26" s="479">
        <f t="shared" si="310"/>
        <v>0</v>
      </c>
      <c r="DS26" s="479">
        <f t="shared" si="310"/>
        <v>0</v>
      </c>
      <c r="DT26" s="479">
        <f t="shared" si="310"/>
        <v>0</v>
      </c>
      <c r="DU26" s="479">
        <f t="shared" si="310"/>
        <v>0</v>
      </c>
      <c r="DV26" s="479">
        <f t="shared" si="310"/>
        <v>0</v>
      </c>
      <c r="DW26" s="479">
        <f t="shared" si="310"/>
        <v>0</v>
      </c>
      <c r="DX26" s="479">
        <f t="shared" si="310"/>
        <v>0</v>
      </c>
      <c r="DY26" s="479">
        <f t="shared" si="310"/>
        <v>0</v>
      </c>
      <c r="DZ26" s="479">
        <f t="shared" si="310"/>
        <v>0</v>
      </c>
      <c r="EA26" s="479">
        <f t="shared" si="310"/>
        <v>0</v>
      </c>
      <c r="EB26" s="479">
        <f t="shared" si="310"/>
        <v>0</v>
      </c>
      <c r="EC26" s="479">
        <f t="shared" si="310"/>
        <v>0</v>
      </c>
      <c r="ED26" s="479">
        <f t="shared" si="310"/>
        <v>0</v>
      </c>
      <c r="EE26" s="479">
        <f t="shared" si="310"/>
        <v>0</v>
      </c>
      <c r="EF26" s="479">
        <f t="shared" si="310"/>
        <v>0</v>
      </c>
      <c r="EG26" s="479">
        <f t="shared" si="300"/>
        <v>0</v>
      </c>
      <c r="EH26" s="479">
        <f t="shared" si="300"/>
        <v>0</v>
      </c>
      <c r="EI26" s="479">
        <f t="shared" si="300"/>
        <v>0</v>
      </c>
      <c r="EJ26" s="479">
        <f t="shared" si="300"/>
        <v>0</v>
      </c>
      <c r="EK26" s="479">
        <f t="shared" si="300"/>
        <v>0</v>
      </c>
      <c r="EL26" s="479">
        <f t="shared" si="300"/>
        <v>0</v>
      </c>
      <c r="EM26" s="479">
        <f t="shared" si="300"/>
        <v>0</v>
      </c>
      <c r="EN26" s="479">
        <f t="shared" si="300"/>
        <v>0</v>
      </c>
      <c r="EO26" s="479">
        <f t="shared" si="300"/>
        <v>0</v>
      </c>
      <c r="EP26" s="479">
        <f t="shared" si="300"/>
        <v>0</v>
      </c>
      <c r="EQ26" s="479">
        <f t="shared" si="300"/>
        <v>0</v>
      </c>
      <c r="ER26" s="479">
        <f t="shared" si="300"/>
        <v>0</v>
      </c>
      <c r="ES26" s="479">
        <f t="shared" si="300"/>
        <v>0</v>
      </c>
      <c r="ET26" s="479">
        <f t="shared" si="300"/>
        <v>0</v>
      </c>
      <c r="EU26" s="479">
        <f t="shared" si="300"/>
        <v>0</v>
      </c>
      <c r="EV26" s="479">
        <f t="shared" si="300"/>
        <v>0</v>
      </c>
      <c r="EW26" s="479">
        <f t="shared" si="311"/>
        <v>0</v>
      </c>
      <c r="EX26" s="479">
        <f t="shared" si="311"/>
        <v>0</v>
      </c>
      <c r="EY26" s="479">
        <f t="shared" si="311"/>
        <v>0</v>
      </c>
      <c r="EZ26" s="479">
        <f t="shared" si="311"/>
        <v>0</v>
      </c>
      <c r="FA26" s="479">
        <f t="shared" si="311"/>
        <v>0</v>
      </c>
      <c r="FB26" s="479">
        <f t="shared" si="311"/>
        <v>0</v>
      </c>
      <c r="FC26" s="479">
        <f t="shared" si="311"/>
        <v>0</v>
      </c>
      <c r="FD26" s="479">
        <f t="shared" si="311"/>
        <v>0</v>
      </c>
      <c r="FE26" s="479">
        <f t="shared" si="311"/>
        <v>0</v>
      </c>
      <c r="FF26" s="479">
        <f t="shared" si="311"/>
        <v>0</v>
      </c>
      <c r="FG26" s="479">
        <f t="shared" si="311"/>
        <v>0</v>
      </c>
      <c r="FH26" s="479">
        <f t="shared" si="311"/>
        <v>0</v>
      </c>
      <c r="FI26" s="479">
        <f t="shared" si="311"/>
        <v>0</v>
      </c>
      <c r="FJ26" s="479">
        <f t="shared" si="311"/>
        <v>0</v>
      </c>
      <c r="FK26" s="479">
        <f t="shared" si="311"/>
        <v>0</v>
      </c>
      <c r="FL26" s="479">
        <f t="shared" si="311"/>
        <v>0</v>
      </c>
      <c r="FM26" s="479">
        <f t="shared" si="312"/>
        <v>0</v>
      </c>
      <c r="FN26" s="479">
        <f t="shared" si="312"/>
        <v>0</v>
      </c>
      <c r="FO26" s="479">
        <f t="shared" si="312"/>
        <v>0</v>
      </c>
      <c r="FP26" s="479">
        <f t="shared" si="312"/>
        <v>0</v>
      </c>
      <c r="FQ26" s="479">
        <f t="shared" si="312"/>
        <v>0</v>
      </c>
      <c r="FR26" s="479">
        <f t="shared" si="312"/>
        <v>0</v>
      </c>
      <c r="FS26" s="479">
        <f t="shared" si="312"/>
        <v>0</v>
      </c>
      <c r="FT26" s="479">
        <f t="shared" si="312"/>
        <v>0</v>
      </c>
      <c r="FU26" s="479">
        <f t="shared" si="312"/>
        <v>0</v>
      </c>
      <c r="FV26" s="479">
        <f t="shared" si="312"/>
        <v>0</v>
      </c>
      <c r="FW26" s="479">
        <f t="shared" si="312"/>
        <v>0</v>
      </c>
      <c r="FX26" s="479">
        <f t="shared" si="312"/>
        <v>0</v>
      </c>
      <c r="FY26" s="479">
        <f t="shared" si="312"/>
        <v>0</v>
      </c>
      <c r="FZ26" s="479">
        <f t="shared" si="312"/>
        <v>0</v>
      </c>
      <c r="GA26" s="479">
        <f t="shared" si="312"/>
        <v>0</v>
      </c>
      <c r="GB26" s="479">
        <f t="shared" si="312"/>
        <v>0</v>
      </c>
      <c r="GC26" s="479">
        <f t="shared" si="313"/>
        <v>0</v>
      </c>
      <c r="GD26" s="479">
        <f t="shared" si="313"/>
        <v>0</v>
      </c>
      <c r="GE26" s="479">
        <f t="shared" si="313"/>
        <v>0</v>
      </c>
      <c r="GF26" s="479">
        <f t="shared" si="313"/>
        <v>0</v>
      </c>
      <c r="GG26" s="479">
        <f t="shared" si="313"/>
        <v>0</v>
      </c>
      <c r="GH26" s="479">
        <f t="shared" si="313"/>
        <v>0</v>
      </c>
      <c r="GI26" s="479">
        <f t="shared" si="313"/>
        <v>0</v>
      </c>
      <c r="GJ26" s="479">
        <f t="shared" si="313"/>
        <v>0</v>
      </c>
      <c r="GK26" s="479">
        <f t="shared" si="313"/>
        <v>0</v>
      </c>
      <c r="GL26" s="479">
        <f t="shared" si="313"/>
        <v>0</v>
      </c>
      <c r="GM26" s="479">
        <f t="shared" si="313"/>
        <v>0</v>
      </c>
      <c r="GN26" s="479">
        <f t="shared" si="313"/>
        <v>0</v>
      </c>
      <c r="GO26" s="479">
        <f t="shared" si="313"/>
        <v>0</v>
      </c>
      <c r="GP26" s="479">
        <f t="shared" si="313"/>
        <v>0</v>
      </c>
      <c r="GQ26" s="479">
        <f t="shared" si="313"/>
        <v>0</v>
      </c>
      <c r="GR26" s="479">
        <f t="shared" si="313"/>
        <v>0</v>
      </c>
      <c r="GS26" s="479">
        <f t="shared" si="301"/>
        <v>0</v>
      </c>
      <c r="GT26" s="479">
        <f t="shared" si="301"/>
        <v>0</v>
      </c>
      <c r="GU26" s="479">
        <f t="shared" si="301"/>
        <v>0</v>
      </c>
      <c r="GV26" s="479">
        <f t="shared" si="301"/>
        <v>0</v>
      </c>
      <c r="GW26" s="479">
        <f t="shared" si="301"/>
        <v>0</v>
      </c>
      <c r="GX26" s="479">
        <f t="shared" si="301"/>
        <v>0</v>
      </c>
      <c r="GY26" s="479">
        <f t="shared" si="301"/>
        <v>0</v>
      </c>
      <c r="GZ26" s="479">
        <f t="shared" si="301"/>
        <v>0</v>
      </c>
      <c r="HA26" s="479">
        <f t="shared" si="301"/>
        <v>0</v>
      </c>
      <c r="HB26" s="479">
        <f t="shared" si="301"/>
        <v>0</v>
      </c>
      <c r="HC26" s="479">
        <f t="shared" si="301"/>
        <v>0</v>
      </c>
      <c r="HD26" s="479">
        <f t="shared" si="301"/>
        <v>0</v>
      </c>
      <c r="HE26" s="479">
        <f t="shared" si="301"/>
        <v>0</v>
      </c>
      <c r="HF26" s="479">
        <f t="shared" si="301"/>
        <v>0</v>
      </c>
      <c r="HG26" s="479">
        <f t="shared" si="301"/>
        <v>0</v>
      </c>
      <c r="HH26" s="479">
        <f t="shared" si="301"/>
        <v>0</v>
      </c>
      <c r="HI26" s="479">
        <f t="shared" si="314"/>
        <v>0</v>
      </c>
      <c r="HJ26" s="479">
        <f t="shared" si="314"/>
        <v>0</v>
      </c>
      <c r="HK26" s="479">
        <f t="shared" si="314"/>
        <v>0</v>
      </c>
      <c r="HL26" s="479">
        <f t="shared" si="314"/>
        <v>0</v>
      </c>
      <c r="HM26" s="479">
        <f t="shared" si="314"/>
        <v>0</v>
      </c>
      <c r="HN26" s="479">
        <f t="shared" si="314"/>
        <v>0</v>
      </c>
      <c r="HO26" s="479">
        <f t="shared" si="314"/>
        <v>0</v>
      </c>
      <c r="HP26" s="479">
        <f t="shared" si="314"/>
        <v>0</v>
      </c>
      <c r="HQ26" s="479">
        <f t="shared" si="314"/>
        <v>0</v>
      </c>
      <c r="HR26" s="479">
        <f t="shared" si="314"/>
        <v>0</v>
      </c>
      <c r="HS26" s="479">
        <f t="shared" si="314"/>
        <v>0</v>
      </c>
      <c r="HT26" s="479">
        <f t="shared" si="314"/>
        <v>0</v>
      </c>
      <c r="HU26" s="479">
        <f t="shared" si="314"/>
        <v>0</v>
      </c>
      <c r="HV26" s="479">
        <f t="shared" si="314"/>
        <v>0</v>
      </c>
      <c r="HW26" s="479">
        <f t="shared" si="314"/>
        <v>0</v>
      </c>
      <c r="HX26" s="479">
        <f t="shared" si="314"/>
        <v>0</v>
      </c>
      <c r="HY26" s="479">
        <f t="shared" si="315"/>
        <v>0</v>
      </c>
      <c r="HZ26" s="479">
        <f t="shared" si="315"/>
        <v>0</v>
      </c>
      <c r="IA26" s="479">
        <f t="shared" si="315"/>
        <v>0</v>
      </c>
      <c r="IB26" s="479">
        <f t="shared" si="315"/>
        <v>0</v>
      </c>
      <c r="IC26" s="479">
        <f t="shared" si="315"/>
        <v>0</v>
      </c>
      <c r="ID26" s="479">
        <f t="shared" si="315"/>
        <v>0</v>
      </c>
      <c r="IE26" s="479">
        <f t="shared" si="315"/>
        <v>0</v>
      </c>
      <c r="IF26" s="479">
        <f t="shared" si="315"/>
        <v>0</v>
      </c>
      <c r="IG26" s="479">
        <f t="shared" si="315"/>
        <v>0</v>
      </c>
      <c r="IH26" s="479">
        <f t="shared" si="315"/>
        <v>0</v>
      </c>
      <c r="II26" s="479">
        <f t="shared" si="315"/>
        <v>0</v>
      </c>
      <c r="IJ26" s="479">
        <f t="shared" si="315"/>
        <v>0</v>
      </c>
      <c r="IK26" s="479">
        <f t="shared" si="315"/>
        <v>0</v>
      </c>
      <c r="IL26" s="479">
        <f t="shared" si="315"/>
        <v>0</v>
      </c>
      <c r="IM26" s="479">
        <f t="shared" si="315"/>
        <v>0</v>
      </c>
      <c r="IN26" s="479">
        <f t="shared" si="315"/>
        <v>0</v>
      </c>
      <c r="IO26" s="479">
        <f t="shared" si="316"/>
        <v>0</v>
      </c>
      <c r="IP26" s="479">
        <f t="shared" si="316"/>
        <v>0</v>
      </c>
      <c r="IQ26" s="479">
        <f t="shared" si="316"/>
        <v>0</v>
      </c>
      <c r="IR26" s="479">
        <f t="shared" si="316"/>
        <v>0</v>
      </c>
      <c r="IS26" s="479">
        <f t="shared" si="316"/>
        <v>0</v>
      </c>
      <c r="IT26" s="479">
        <f t="shared" si="316"/>
        <v>0</v>
      </c>
      <c r="IU26" s="479">
        <f t="shared" si="316"/>
        <v>0</v>
      </c>
      <c r="IV26" s="479">
        <f t="shared" si="316"/>
        <v>0</v>
      </c>
      <c r="IW26" s="479">
        <f t="shared" si="316"/>
        <v>0</v>
      </c>
      <c r="IX26" s="479">
        <f t="shared" si="316"/>
        <v>0</v>
      </c>
      <c r="IY26" s="479">
        <f t="shared" si="316"/>
        <v>0</v>
      </c>
      <c r="IZ26" s="479">
        <f t="shared" si="316"/>
        <v>0</v>
      </c>
      <c r="JA26" s="479">
        <f t="shared" si="316"/>
        <v>0</v>
      </c>
      <c r="JB26" s="479">
        <f t="shared" si="316"/>
        <v>0</v>
      </c>
      <c r="JC26" s="479">
        <f t="shared" si="316"/>
        <v>0</v>
      </c>
      <c r="JD26" s="479">
        <f t="shared" si="316"/>
        <v>0</v>
      </c>
      <c r="JE26" s="479">
        <f t="shared" si="302"/>
        <v>0</v>
      </c>
      <c r="JF26" s="479">
        <f t="shared" si="302"/>
        <v>0</v>
      </c>
      <c r="JG26" s="479">
        <f t="shared" si="302"/>
        <v>0</v>
      </c>
      <c r="JH26" s="479">
        <f t="shared" si="302"/>
        <v>0</v>
      </c>
      <c r="JI26" s="479">
        <f t="shared" si="302"/>
        <v>0</v>
      </c>
      <c r="JJ26" s="479">
        <f t="shared" si="302"/>
        <v>0</v>
      </c>
      <c r="JK26" s="479">
        <f t="shared" si="302"/>
        <v>0</v>
      </c>
      <c r="JL26" s="479">
        <f t="shared" si="302"/>
        <v>0</v>
      </c>
      <c r="JM26" s="479">
        <f t="shared" si="302"/>
        <v>0</v>
      </c>
      <c r="JN26" s="479">
        <f t="shared" si="302"/>
        <v>0</v>
      </c>
      <c r="JO26" s="479">
        <f t="shared" si="302"/>
        <v>0</v>
      </c>
      <c r="JP26" s="479">
        <f t="shared" si="302"/>
        <v>0</v>
      </c>
      <c r="JQ26" s="479">
        <f t="shared" si="302"/>
        <v>0</v>
      </c>
      <c r="JR26" s="479">
        <f t="shared" si="302"/>
        <v>0</v>
      </c>
      <c r="JS26" s="479">
        <f t="shared" si="302"/>
        <v>0</v>
      </c>
      <c r="JT26" s="479">
        <f t="shared" si="302"/>
        <v>0</v>
      </c>
      <c r="JU26" s="479">
        <f t="shared" si="317"/>
        <v>0</v>
      </c>
      <c r="JV26" s="479">
        <f t="shared" si="317"/>
        <v>0</v>
      </c>
      <c r="JW26" s="479">
        <f t="shared" si="317"/>
        <v>0</v>
      </c>
      <c r="JX26" s="479">
        <f t="shared" si="317"/>
        <v>0</v>
      </c>
      <c r="JY26" s="479">
        <f t="shared" si="317"/>
        <v>0</v>
      </c>
      <c r="JZ26" s="479">
        <f t="shared" si="317"/>
        <v>0</v>
      </c>
      <c r="KA26" s="479">
        <f t="shared" si="317"/>
        <v>0</v>
      </c>
      <c r="KB26" s="479">
        <f t="shared" si="317"/>
        <v>0</v>
      </c>
      <c r="KC26" s="479">
        <f t="shared" si="317"/>
        <v>0</v>
      </c>
      <c r="KD26" s="479">
        <f t="shared" si="317"/>
        <v>0</v>
      </c>
      <c r="KE26" s="479">
        <f t="shared" si="317"/>
        <v>0</v>
      </c>
      <c r="KF26" s="479">
        <f t="shared" si="317"/>
        <v>0</v>
      </c>
      <c r="KG26" s="479">
        <f t="shared" si="317"/>
        <v>0</v>
      </c>
      <c r="KH26" s="479">
        <f t="shared" si="317"/>
        <v>0</v>
      </c>
      <c r="KI26" s="479">
        <f t="shared" si="317"/>
        <v>0</v>
      </c>
      <c r="KJ26" s="479">
        <f t="shared" si="317"/>
        <v>0</v>
      </c>
      <c r="KK26" s="479">
        <f t="shared" si="318"/>
        <v>0</v>
      </c>
      <c r="KL26" s="479">
        <f t="shared" si="318"/>
        <v>0</v>
      </c>
      <c r="KM26" s="479">
        <f t="shared" si="318"/>
        <v>0</v>
      </c>
      <c r="KN26" s="479">
        <f t="shared" si="318"/>
        <v>0</v>
      </c>
      <c r="KO26" s="479">
        <f t="shared" si="318"/>
        <v>0</v>
      </c>
      <c r="KP26" s="479">
        <f t="shared" si="318"/>
        <v>0</v>
      </c>
      <c r="KQ26" s="479">
        <f t="shared" si="318"/>
        <v>0</v>
      </c>
      <c r="KR26" s="479">
        <f t="shared" si="318"/>
        <v>0</v>
      </c>
      <c r="KS26" s="479">
        <f t="shared" si="318"/>
        <v>0</v>
      </c>
      <c r="KT26" s="479">
        <f t="shared" si="318"/>
        <v>0</v>
      </c>
      <c r="KU26" s="479">
        <f t="shared" si="318"/>
        <v>0</v>
      </c>
      <c r="KV26" s="479">
        <f t="shared" si="318"/>
        <v>0</v>
      </c>
      <c r="KW26" s="479">
        <f t="shared" si="318"/>
        <v>0</v>
      </c>
      <c r="KX26" s="479">
        <f t="shared" si="318"/>
        <v>0</v>
      </c>
      <c r="KY26" s="479">
        <f t="shared" si="318"/>
        <v>0</v>
      </c>
      <c r="KZ26" s="479">
        <f t="shared" si="318"/>
        <v>0</v>
      </c>
      <c r="LA26" s="479">
        <f t="shared" si="319"/>
        <v>0</v>
      </c>
      <c r="LB26" s="479">
        <f t="shared" si="319"/>
        <v>0</v>
      </c>
      <c r="LC26" s="479">
        <f t="shared" si="319"/>
        <v>0</v>
      </c>
      <c r="LD26" s="479">
        <f t="shared" si="319"/>
        <v>0</v>
      </c>
      <c r="LE26" s="479">
        <f t="shared" si="319"/>
        <v>0</v>
      </c>
      <c r="LF26" s="479">
        <f t="shared" si="319"/>
        <v>0</v>
      </c>
      <c r="LG26" s="479">
        <f t="shared" si="319"/>
        <v>0</v>
      </c>
      <c r="LH26" s="479">
        <f t="shared" si="319"/>
        <v>0</v>
      </c>
      <c r="LI26" s="479">
        <f t="shared" si="319"/>
        <v>0</v>
      </c>
      <c r="LJ26" s="479">
        <f t="shared" si="319"/>
        <v>0</v>
      </c>
      <c r="LK26" s="479">
        <f t="shared" si="319"/>
        <v>0</v>
      </c>
      <c r="LL26" s="479">
        <f t="shared" si="319"/>
        <v>0</v>
      </c>
      <c r="LM26" s="479">
        <f t="shared" si="319"/>
        <v>0</v>
      </c>
      <c r="LN26" s="479">
        <f t="shared" si="319"/>
        <v>0</v>
      </c>
      <c r="LO26" s="479">
        <f t="shared" si="319"/>
        <v>0</v>
      </c>
      <c r="LP26" s="479">
        <f t="shared" si="319"/>
        <v>0</v>
      </c>
      <c r="LQ26" s="479">
        <f t="shared" si="303"/>
        <v>0</v>
      </c>
      <c r="LR26" s="479">
        <f t="shared" si="303"/>
        <v>0</v>
      </c>
      <c r="LS26" s="479">
        <f t="shared" si="303"/>
        <v>0</v>
      </c>
      <c r="LT26" s="479">
        <f t="shared" si="303"/>
        <v>0</v>
      </c>
      <c r="LU26" s="479">
        <f t="shared" si="303"/>
        <v>0</v>
      </c>
      <c r="LV26" s="479">
        <f t="shared" si="303"/>
        <v>0</v>
      </c>
      <c r="LW26" s="479">
        <f t="shared" si="303"/>
        <v>0</v>
      </c>
      <c r="LX26" s="479">
        <f t="shared" si="303"/>
        <v>0</v>
      </c>
      <c r="LY26" s="479">
        <f t="shared" si="303"/>
        <v>0</v>
      </c>
      <c r="LZ26" s="479">
        <f t="shared" si="303"/>
        <v>0</v>
      </c>
      <c r="MA26" s="479">
        <f t="shared" si="303"/>
        <v>0</v>
      </c>
      <c r="MB26" s="479">
        <f t="shared" si="303"/>
        <v>0</v>
      </c>
      <c r="MC26" s="479">
        <f t="shared" si="303"/>
        <v>0</v>
      </c>
      <c r="MD26" s="479">
        <f t="shared" si="303"/>
        <v>0</v>
      </c>
      <c r="ME26" s="479">
        <f t="shared" si="303"/>
        <v>0</v>
      </c>
      <c r="MF26" s="479">
        <f t="shared" si="303"/>
        <v>0</v>
      </c>
      <c r="MG26" s="479">
        <f t="shared" si="320"/>
        <v>0</v>
      </c>
      <c r="MH26" s="479">
        <f t="shared" si="320"/>
        <v>0</v>
      </c>
      <c r="MI26" s="479">
        <f t="shared" si="320"/>
        <v>0</v>
      </c>
      <c r="MJ26" s="479">
        <f t="shared" si="320"/>
        <v>0</v>
      </c>
      <c r="MK26" s="479">
        <f t="shared" si="320"/>
        <v>0</v>
      </c>
      <c r="ML26" s="479">
        <f t="shared" si="320"/>
        <v>0</v>
      </c>
      <c r="MM26" s="479">
        <f t="shared" si="320"/>
        <v>0</v>
      </c>
      <c r="MN26" s="479">
        <f t="shared" si="320"/>
        <v>0</v>
      </c>
      <c r="MO26" s="479">
        <f t="shared" si="320"/>
        <v>0</v>
      </c>
      <c r="MP26" s="479">
        <f t="shared" si="320"/>
        <v>0</v>
      </c>
      <c r="MQ26" s="479">
        <f t="shared" si="320"/>
        <v>0</v>
      </c>
      <c r="MR26" s="479">
        <f t="shared" si="320"/>
        <v>0</v>
      </c>
      <c r="MS26" s="479">
        <f t="shared" si="320"/>
        <v>0</v>
      </c>
      <c r="MT26" s="479">
        <f t="shared" si="320"/>
        <v>0</v>
      </c>
      <c r="MU26" s="479">
        <f t="shared" si="320"/>
        <v>0</v>
      </c>
      <c r="MV26" s="479">
        <f t="shared" si="320"/>
        <v>0</v>
      </c>
      <c r="MW26" s="479">
        <f t="shared" si="321"/>
        <v>0</v>
      </c>
      <c r="MX26" s="479">
        <f t="shared" si="321"/>
        <v>0</v>
      </c>
      <c r="MY26" s="479">
        <f t="shared" si="321"/>
        <v>0</v>
      </c>
      <c r="MZ26" s="479">
        <f t="shared" si="321"/>
        <v>0</v>
      </c>
      <c r="NA26" s="479">
        <f t="shared" si="321"/>
        <v>0</v>
      </c>
      <c r="NB26" s="479">
        <f t="shared" si="321"/>
        <v>0</v>
      </c>
      <c r="NC26" s="479">
        <f t="shared" si="321"/>
        <v>0</v>
      </c>
      <c r="ND26" s="479">
        <f t="shared" si="321"/>
        <v>0</v>
      </c>
      <c r="NE26" s="479">
        <f t="shared" si="321"/>
        <v>0</v>
      </c>
      <c r="NF26" s="479">
        <f t="shared" si="321"/>
        <v>0</v>
      </c>
      <c r="NG26" s="479">
        <f t="shared" si="321"/>
        <v>0</v>
      </c>
      <c r="NH26" s="479">
        <f t="shared" si="321"/>
        <v>0</v>
      </c>
      <c r="NI26" s="479">
        <f t="shared" si="321"/>
        <v>0</v>
      </c>
      <c r="NJ26" s="479">
        <f t="shared" si="321"/>
        <v>0</v>
      </c>
      <c r="NK26" s="479">
        <f t="shared" si="321"/>
        <v>0</v>
      </c>
      <c r="NL26" s="479">
        <f t="shared" si="321"/>
        <v>0</v>
      </c>
      <c r="NM26" s="479">
        <f t="shared" si="322"/>
        <v>0</v>
      </c>
      <c r="NN26" s="479">
        <f t="shared" si="322"/>
        <v>0</v>
      </c>
      <c r="NO26" s="479">
        <f t="shared" si="322"/>
        <v>0</v>
      </c>
      <c r="NP26" s="479">
        <f t="shared" si="322"/>
        <v>0</v>
      </c>
      <c r="NQ26" s="479">
        <f t="shared" si="322"/>
        <v>0</v>
      </c>
      <c r="NR26" s="479">
        <f t="shared" si="322"/>
        <v>0</v>
      </c>
      <c r="NS26" s="479">
        <f t="shared" si="322"/>
        <v>0</v>
      </c>
      <c r="NT26" s="479">
        <f t="shared" si="322"/>
        <v>0</v>
      </c>
      <c r="NU26" s="479">
        <f t="shared" si="322"/>
        <v>0</v>
      </c>
      <c r="NV26" s="479">
        <f t="shared" si="322"/>
        <v>0</v>
      </c>
      <c r="NW26" s="479">
        <f t="shared" si="322"/>
        <v>0</v>
      </c>
      <c r="NX26" s="479">
        <f t="shared" si="322"/>
        <v>0</v>
      </c>
      <c r="NY26" s="479">
        <f t="shared" si="322"/>
        <v>0</v>
      </c>
      <c r="NZ26" s="479">
        <f t="shared" si="322"/>
        <v>0</v>
      </c>
      <c r="OA26" s="479">
        <f t="shared" si="322"/>
        <v>0</v>
      </c>
      <c r="OB26" s="479">
        <f t="shared" si="322"/>
        <v>0</v>
      </c>
      <c r="OC26" s="479">
        <f t="shared" si="304"/>
        <v>0</v>
      </c>
      <c r="OD26" s="479">
        <f t="shared" si="304"/>
        <v>0</v>
      </c>
      <c r="OE26" s="479">
        <f t="shared" si="291"/>
        <v>0</v>
      </c>
      <c r="OF26" s="479">
        <f t="shared" si="291"/>
        <v>0</v>
      </c>
      <c r="OG26" s="479">
        <f t="shared" si="291"/>
        <v>0</v>
      </c>
      <c r="OH26" s="479">
        <f t="shared" si="291"/>
        <v>0</v>
      </c>
      <c r="OI26" s="479">
        <f t="shared" si="291"/>
        <v>0</v>
      </c>
      <c r="OJ26" s="479">
        <f t="shared" si="291"/>
        <v>0</v>
      </c>
      <c r="OK26" s="479">
        <f t="shared" si="291"/>
        <v>0</v>
      </c>
      <c r="OL26" s="479">
        <f t="shared" si="291"/>
        <v>0</v>
      </c>
      <c r="OM26" s="479">
        <f t="shared" si="291"/>
        <v>0</v>
      </c>
      <c r="ON26" s="479">
        <f t="shared" si="291"/>
        <v>0</v>
      </c>
      <c r="OO26" s="479">
        <f t="shared" si="291"/>
        <v>0</v>
      </c>
    </row>
    <row r="27" spans="2:405">
      <c r="B27" s="97" t="str">
        <f>Assumptions!B90</f>
        <v>Bond Premium</v>
      </c>
      <c r="C27" s="97"/>
      <c r="D27" s="500">
        <f>Assumptions!C90</f>
        <v>1711620</v>
      </c>
      <c r="E27" s="507">
        <f>Assumptions!$C$10</f>
        <v>46418</v>
      </c>
      <c r="F27" s="507">
        <f>EOMONTH(E27,Assumptions!$C$11-1)</f>
        <v>47118</v>
      </c>
      <c r="G27" s="97">
        <f t="shared" si="284"/>
        <v>24</v>
      </c>
      <c r="H27" s="97"/>
      <c r="I27" s="97"/>
      <c r="J27" s="479">
        <f t="shared" si="292"/>
        <v>0</v>
      </c>
      <c r="K27" s="479">
        <f t="shared" si="292"/>
        <v>0</v>
      </c>
      <c r="L27" s="479">
        <f t="shared" si="292"/>
        <v>0</v>
      </c>
      <c r="M27" s="479">
        <f t="shared" si="292"/>
        <v>0</v>
      </c>
      <c r="N27" s="479">
        <f t="shared" si="292"/>
        <v>0</v>
      </c>
      <c r="O27" s="479">
        <f t="shared" si="292"/>
        <v>0</v>
      </c>
      <c r="P27" s="479">
        <f t="shared" si="292"/>
        <v>-71317.5</v>
      </c>
      <c r="Q27" s="479">
        <f t="shared" si="292"/>
        <v>-71317.5</v>
      </c>
      <c r="R27" s="479">
        <f t="shared" si="292"/>
        <v>-71317.5</v>
      </c>
      <c r="S27" s="479">
        <f t="shared" si="292"/>
        <v>-71317.5</v>
      </c>
      <c r="T27" s="479">
        <f t="shared" si="292"/>
        <v>-71317.5</v>
      </c>
      <c r="U27" s="479">
        <f t="shared" si="292"/>
        <v>-71317.5</v>
      </c>
      <c r="V27" s="479">
        <f t="shared" si="292"/>
        <v>-71317.5</v>
      </c>
      <c r="W27" s="479">
        <f t="shared" si="292"/>
        <v>-71317.5</v>
      </c>
      <c r="X27" s="479">
        <f t="shared" si="292"/>
        <v>-71317.5</v>
      </c>
      <c r="Y27" s="479">
        <f t="shared" si="292"/>
        <v>-71317.5</v>
      </c>
      <c r="Z27" s="479">
        <f t="shared" si="305"/>
        <v>-71317.5</v>
      </c>
      <c r="AA27" s="479">
        <f t="shared" si="305"/>
        <v>-71317.5</v>
      </c>
      <c r="AB27" s="479">
        <f t="shared" si="305"/>
        <v>-71317.5</v>
      </c>
      <c r="AC27" s="479">
        <f t="shared" si="305"/>
        <v>-71317.5</v>
      </c>
      <c r="AD27" s="479">
        <f t="shared" si="305"/>
        <v>-71317.5</v>
      </c>
      <c r="AE27" s="479">
        <f t="shared" si="305"/>
        <v>-71317.5</v>
      </c>
      <c r="AF27" s="479">
        <f t="shared" si="305"/>
        <v>-71317.5</v>
      </c>
      <c r="AG27" s="479">
        <f t="shared" si="305"/>
        <v>-71317.5</v>
      </c>
      <c r="AH27" s="479">
        <f t="shared" si="305"/>
        <v>-71317.5</v>
      </c>
      <c r="AI27" s="479">
        <f t="shared" si="305"/>
        <v>-71317.5</v>
      </c>
      <c r="AJ27" s="479">
        <f t="shared" si="305"/>
        <v>-71317.5</v>
      </c>
      <c r="AK27" s="479">
        <f t="shared" si="305"/>
        <v>-71317.5</v>
      </c>
      <c r="AL27" s="479">
        <f t="shared" si="305"/>
        <v>-71317.5</v>
      </c>
      <c r="AM27" s="479">
        <f t="shared" si="305"/>
        <v>-71317.5</v>
      </c>
      <c r="AN27" s="479">
        <f t="shared" si="305"/>
        <v>0</v>
      </c>
      <c r="AO27" s="479">
        <f t="shared" si="305"/>
        <v>0</v>
      </c>
      <c r="AP27" s="479">
        <f t="shared" si="306"/>
        <v>0</v>
      </c>
      <c r="AQ27" s="479">
        <f t="shared" si="306"/>
        <v>0</v>
      </c>
      <c r="AR27" s="479">
        <f t="shared" si="306"/>
        <v>0</v>
      </c>
      <c r="AS27" s="479">
        <f t="shared" si="306"/>
        <v>0</v>
      </c>
      <c r="AT27" s="479">
        <f t="shared" si="306"/>
        <v>0</v>
      </c>
      <c r="AU27" s="479">
        <f t="shared" si="306"/>
        <v>0</v>
      </c>
      <c r="AV27" s="479">
        <f t="shared" si="306"/>
        <v>0</v>
      </c>
      <c r="AW27" s="479">
        <f t="shared" si="306"/>
        <v>0</v>
      </c>
      <c r="AX27" s="479">
        <f t="shared" si="306"/>
        <v>0</v>
      </c>
      <c r="AY27" s="479">
        <f t="shared" si="306"/>
        <v>0</v>
      </c>
      <c r="AZ27" s="479">
        <f t="shared" si="306"/>
        <v>0</v>
      </c>
      <c r="BA27" s="479">
        <f t="shared" si="306"/>
        <v>0</v>
      </c>
      <c r="BB27" s="479">
        <f t="shared" si="306"/>
        <v>0</v>
      </c>
      <c r="BC27" s="479">
        <f t="shared" si="306"/>
        <v>0</v>
      </c>
      <c r="BD27" s="479">
        <f t="shared" si="306"/>
        <v>0</v>
      </c>
      <c r="BE27" s="479">
        <f t="shared" si="306"/>
        <v>0</v>
      </c>
      <c r="BF27" s="479">
        <f t="shared" si="307"/>
        <v>0</v>
      </c>
      <c r="BG27" s="479">
        <f t="shared" si="307"/>
        <v>0</v>
      </c>
      <c r="BH27" s="479">
        <f t="shared" si="307"/>
        <v>0</v>
      </c>
      <c r="BI27" s="479">
        <f t="shared" si="307"/>
        <v>0</v>
      </c>
      <c r="BJ27" s="479">
        <f t="shared" si="307"/>
        <v>0</v>
      </c>
      <c r="BK27" s="479">
        <f t="shared" si="307"/>
        <v>0</v>
      </c>
      <c r="BL27" s="479">
        <f t="shared" si="307"/>
        <v>0</v>
      </c>
      <c r="BM27" s="479">
        <f t="shared" si="307"/>
        <v>0</v>
      </c>
      <c r="BN27" s="479">
        <f t="shared" si="307"/>
        <v>0</v>
      </c>
      <c r="BO27" s="479">
        <f t="shared" si="307"/>
        <v>0</v>
      </c>
      <c r="BP27" s="479">
        <f t="shared" si="307"/>
        <v>0</v>
      </c>
      <c r="BQ27" s="479">
        <f t="shared" si="307"/>
        <v>0</v>
      </c>
      <c r="BR27" s="479">
        <f t="shared" si="307"/>
        <v>0</v>
      </c>
      <c r="BS27" s="479">
        <f t="shared" si="307"/>
        <v>0</v>
      </c>
      <c r="BT27" s="479">
        <f t="shared" si="307"/>
        <v>0</v>
      </c>
      <c r="BU27" s="479">
        <f t="shared" si="307"/>
        <v>0</v>
      </c>
      <c r="BV27" s="479">
        <f t="shared" si="299"/>
        <v>0</v>
      </c>
      <c r="BW27" s="479">
        <f t="shared" si="299"/>
        <v>0</v>
      </c>
      <c r="BX27" s="479">
        <f t="shared" si="299"/>
        <v>0</v>
      </c>
      <c r="BY27" s="479">
        <f t="shared" si="299"/>
        <v>0</v>
      </c>
      <c r="BZ27" s="479">
        <f t="shared" si="299"/>
        <v>0</v>
      </c>
      <c r="CA27" s="479">
        <f t="shared" si="299"/>
        <v>0</v>
      </c>
      <c r="CB27" s="479">
        <f t="shared" si="299"/>
        <v>0</v>
      </c>
      <c r="CC27" s="479">
        <f t="shared" si="299"/>
        <v>0</v>
      </c>
      <c r="CD27" s="479">
        <f t="shared" si="299"/>
        <v>0</v>
      </c>
      <c r="CE27" s="479">
        <f t="shared" si="299"/>
        <v>0</v>
      </c>
      <c r="CF27" s="479">
        <f t="shared" si="299"/>
        <v>0</v>
      </c>
      <c r="CG27" s="479">
        <f t="shared" si="299"/>
        <v>0</v>
      </c>
      <c r="CH27" s="479">
        <f t="shared" si="299"/>
        <v>0</v>
      </c>
      <c r="CI27" s="479">
        <f t="shared" si="299"/>
        <v>0</v>
      </c>
      <c r="CJ27" s="479">
        <f t="shared" si="299"/>
        <v>0</v>
      </c>
      <c r="CK27" s="479">
        <f t="shared" si="308"/>
        <v>0</v>
      </c>
      <c r="CL27" s="479">
        <f t="shared" si="308"/>
        <v>0</v>
      </c>
      <c r="CM27" s="479">
        <f t="shared" si="308"/>
        <v>0</v>
      </c>
      <c r="CN27" s="479">
        <f t="shared" si="308"/>
        <v>0</v>
      </c>
      <c r="CO27" s="479">
        <f t="shared" si="308"/>
        <v>0</v>
      </c>
      <c r="CP27" s="479">
        <f t="shared" si="308"/>
        <v>0</v>
      </c>
      <c r="CQ27" s="479">
        <f t="shared" si="308"/>
        <v>0</v>
      </c>
      <c r="CR27" s="479">
        <f t="shared" si="308"/>
        <v>0</v>
      </c>
      <c r="CS27" s="479">
        <f t="shared" si="308"/>
        <v>0</v>
      </c>
      <c r="CT27" s="479">
        <f t="shared" si="308"/>
        <v>0</v>
      </c>
      <c r="CU27" s="479">
        <f t="shared" si="308"/>
        <v>0</v>
      </c>
      <c r="CV27" s="479">
        <f t="shared" si="308"/>
        <v>0</v>
      </c>
      <c r="CW27" s="479">
        <f t="shared" si="308"/>
        <v>0</v>
      </c>
      <c r="CX27" s="479">
        <f t="shared" si="308"/>
        <v>0</v>
      </c>
      <c r="CY27" s="479">
        <f t="shared" si="308"/>
        <v>0</v>
      </c>
      <c r="CZ27" s="479">
        <f t="shared" si="308"/>
        <v>0</v>
      </c>
      <c r="DA27" s="479">
        <f t="shared" si="309"/>
        <v>0</v>
      </c>
      <c r="DB27" s="479">
        <f t="shared" si="309"/>
        <v>0</v>
      </c>
      <c r="DC27" s="479">
        <f t="shared" si="309"/>
        <v>0</v>
      </c>
      <c r="DD27" s="479">
        <f t="shared" si="309"/>
        <v>0</v>
      </c>
      <c r="DE27" s="479">
        <f t="shared" si="309"/>
        <v>0</v>
      </c>
      <c r="DF27" s="479">
        <f t="shared" si="309"/>
        <v>0</v>
      </c>
      <c r="DG27" s="479">
        <f t="shared" si="309"/>
        <v>0</v>
      </c>
      <c r="DH27" s="479">
        <f t="shared" si="309"/>
        <v>0</v>
      </c>
      <c r="DI27" s="479">
        <f t="shared" si="309"/>
        <v>0</v>
      </c>
      <c r="DJ27" s="479">
        <f t="shared" si="309"/>
        <v>0</v>
      </c>
      <c r="DK27" s="479">
        <f t="shared" si="309"/>
        <v>0</v>
      </c>
      <c r="DL27" s="479">
        <f t="shared" si="309"/>
        <v>0</v>
      </c>
      <c r="DM27" s="479">
        <f t="shared" si="309"/>
        <v>0</v>
      </c>
      <c r="DN27" s="479">
        <f t="shared" si="309"/>
        <v>0</v>
      </c>
      <c r="DO27" s="479">
        <f t="shared" si="309"/>
        <v>0</v>
      </c>
      <c r="DP27" s="479">
        <f t="shared" si="309"/>
        <v>0</v>
      </c>
      <c r="DQ27" s="479">
        <f t="shared" si="310"/>
        <v>0</v>
      </c>
      <c r="DR27" s="479">
        <f t="shared" si="310"/>
        <v>0</v>
      </c>
      <c r="DS27" s="479">
        <f t="shared" si="310"/>
        <v>0</v>
      </c>
      <c r="DT27" s="479">
        <f t="shared" si="310"/>
        <v>0</v>
      </c>
      <c r="DU27" s="479">
        <f t="shared" si="310"/>
        <v>0</v>
      </c>
      <c r="DV27" s="479">
        <f t="shared" si="310"/>
        <v>0</v>
      </c>
      <c r="DW27" s="479">
        <f t="shared" si="310"/>
        <v>0</v>
      </c>
      <c r="DX27" s="479">
        <f t="shared" si="310"/>
        <v>0</v>
      </c>
      <c r="DY27" s="479">
        <f t="shared" si="310"/>
        <v>0</v>
      </c>
      <c r="DZ27" s="479">
        <f t="shared" si="310"/>
        <v>0</v>
      </c>
      <c r="EA27" s="479">
        <f t="shared" si="310"/>
        <v>0</v>
      </c>
      <c r="EB27" s="479">
        <f t="shared" si="310"/>
        <v>0</v>
      </c>
      <c r="EC27" s="479">
        <f t="shared" si="310"/>
        <v>0</v>
      </c>
      <c r="ED27" s="479">
        <f t="shared" si="310"/>
        <v>0</v>
      </c>
      <c r="EE27" s="479">
        <f t="shared" si="310"/>
        <v>0</v>
      </c>
      <c r="EF27" s="479">
        <f t="shared" si="310"/>
        <v>0</v>
      </c>
      <c r="EG27" s="479">
        <f t="shared" si="300"/>
        <v>0</v>
      </c>
      <c r="EH27" s="479">
        <f t="shared" si="300"/>
        <v>0</v>
      </c>
      <c r="EI27" s="479">
        <f t="shared" si="300"/>
        <v>0</v>
      </c>
      <c r="EJ27" s="479">
        <f t="shared" si="300"/>
        <v>0</v>
      </c>
      <c r="EK27" s="479">
        <f t="shared" si="300"/>
        <v>0</v>
      </c>
      <c r="EL27" s="479">
        <f t="shared" si="300"/>
        <v>0</v>
      </c>
      <c r="EM27" s="479">
        <f t="shared" si="300"/>
        <v>0</v>
      </c>
      <c r="EN27" s="479">
        <f t="shared" si="300"/>
        <v>0</v>
      </c>
      <c r="EO27" s="479">
        <f t="shared" si="300"/>
        <v>0</v>
      </c>
      <c r="EP27" s="479">
        <f t="shared" si="300"/>
        <v>0</v>
      </c>
      <c r="EQ27" s="479">
        <f t="shared" si="300"/>
        <v>0</v>
      </c>
      <c r="ER27" s="479">
        <f t="shared" si="300"/>
        <v>0</v>
      </c>
      <c r="ES27" s="479">
        <f t="shared" si="300"/>
        <v>0</v>
      </c>
      <c r="ET27" s="479">
        <f t="shared" si="300"/>
        <v>0</v>
      </c>
      <c r="EU27" s="479">
        <f t="shared" si="300"/>
        <v>0</v>
      </c>
      <c r="EV27" s="479">
        <f t="shared" si="300"/>
        <v>0</v>
      </c>
      <c r="EW27" s="479">
        <f t="shared" si="311"/>
        <v>0</v>
      </c>
      <c r="EX27" s="479">
        <f t="shared" si="311"/>
        <v>0</v>
      </c>
      <c r="EY27" s="479">
        <f t="shared" si="311"/>
        <v>0</v>
      </c>
      <c r="EZ27" s="479">
        <f t="shared" si="311"/>
        <v>0</v>
      </c>
      <c r="FA27" s="479">
        <f t="shared" si="311"/>
        <v>0</v>
      </c>
      <c r="FB27" s="479">
        <f t="shared" si="311"/>
        <v>0</v>
      </c>
      <c r="FC27" s="479">
        <f t="shared" si="311"/>
        <v>0</v>
      </c>
      <c r="FD27" s="479">
        <f t="shared" si="311"/>
        <v>0</v>
      </c>
      <c r="FE27" s="479">
        <f t="shared" si="311"/>
        <v>0</v>
      </c>
      <c r="FF27" s="479">
        <f t="shared" si="311"/>
        <v>0</v>
      </c>
      <c r="FG27" s="479">
        <f t="shared" si="311"/>
        <v>0</v>
      </c>
      <c r="FH27" s="479">
        <f t="shared" si="311"/>
        <v>0</v>
      </c>
      <c r="FI27" s="479">
        <f t="shared" si="311"/>
        <v>0</v>
      </c>
      <c r="FJ27" s="479">
        <f t="shared" si="311"/>
        <v>0</v>
      </c>
      <c r="FK27" s="479">
        <f t="shared" si="311"/>
        <v>0</v>
      </c>
      <c r="FL27" s="479">
        <f t="shared" si="311"/>
        <v>0</v>
      </c>
      <c r="FM27" s="479">
        <f t="shared" si="312"/>
        <v>0</v>
      </c>
      <c r="FN27" s="479">
        <f t="shared" si="312"/>
        <v>0</v>
      </c>
      <c r="FO27" s="479">
        <f t="shared" si="312"/>
        <v>0</v>
      </c>
      <c r="FP27" s="479">
        <f t="shared" si="312"/>
        <v>0</v>
      </c>
      <c r="FQ27" s="479">
        <f t="shared" si="312"/>
        <v>0</v>
      </c>
      <c r="FR27" s="479">
        <f t="shared" si="312"/>
        <v>0</v>
      </c>
      <c r="FS27" s="479">
        <f t="shared" si="312"/>
        <v>0</v>
      </c>
      <c r="FT27" s="479">
        <f t="shared" si="312"/>
        <v>0</v>
      </c>
      <c r="FU27" s="479">
        <f t="shared" si="312"/>
        <v>0</v>
      </c>
      <c r="FV27" s="479">
        <f t="shared" si="312"/>
        <v>0</v>
      </c>
      <c r="FW27" s="479">
        <f t="shared" si="312"/>
        <v>0</v>
      </c>
      <c r="FX27" s="479">
        <f t="shared" si="312"/>
        <v>0</v>
      </c>
      <c r="FY27" s="479">
        <f t="shared" si="312"/>
        <v>0</v>
      </c>
      <c r="FZ27" s="479">
        <f t="shared" si="312"/>
        <v>0</v>
      </c>
      <c r="GA27" s="479">
        <f t="shared" si="312"/>
        <v>0</v>
      </c>
      <c r="GB27" s="479">
        <f t="shared" si="312"/>
        <v>0</v>
      </c>
      <c r="GC27" s="479">
        <f t="shared" si="313"/>
        <v>0</v>
      </c>
      <c r="GD27" s="479">
        <f t="shared" si="313"/>
        <v>0</v>
      </c>
      <c r="GE27" s="479">
        <f t="shared" si="313"/>
        <v>0</v>
      </c>
      <c r="GF27" s="479">
        <f t="shared" si="313"/>
        <v>0</v>
      </c>
      <c r="GG27" s="479">
        <f t="shared" si="313"/>
        <v>0</v>
      </c>
      <c r="GH27" s="479">
        <f t="shared" si="313"/>
        <v>0</v>
      </c>
      <c r="GI27" s="479">
        <f t="shared" si="313"/>
        <v>0</v>
      </c>
      <c r="GJ27" s="479">
        <f t="shared" si="313"/>
        <v>0</v>
      </c>
      <c r="GK27" s="479">
        <f t="shared" si="313"/>
        <v>0</v>
      </c>
      <c r="GL27" s="479">
        <f t="shared" si="313"/>
        <v>0</v>
      </c>
      <c r="GM27" s="479">
        <f t="shared" si="313"/>
        <v>0</v>
      </c>
      <c r="GN27" s="479">
        <f t="shared" si="313"/>
        <v>0</v>
      </c>
      <c r="GO27" s="479">
        <f t="shared" si="313"/>
        <v>0</v>
      </c>
      <c r="GP27" s="479">
        <f t="shared" si="313"/>
        <v>0</v>
      </c>
      <c r="GQ27" s="479">
        <f t="shared" si="313"/>
        <v>0</v>
      </c>
      <c r="GR27" s="479">
        <f t="shared" si="313"/>
        <v>0</v>
      </c>
      <c r="GS27" s="479">
        <f t="shared" si="301"/>
        <v>0</v>
      </c>
      <c r="GT27" s="479">
        <f t="shared" si="301"/>
        <v>0</v>
      </c>
      <c r="GU27" s="479">
        <f t="shared" si="301"/>
        <v>0</v>
      </c>
      <c r="GV27" s="479">
        <f t="shared" si="301"/>
        <v>0</v>
      </c>
      <c r="GW27" s="479">
        <f t="shared" si="301"/>
        <v>0</v>
      </c>
      <c r="GX27" s="479">
        <f t="shared" si="301"/>
        <v>0</v>
      </c>
      <c r="GY27" s="479">
        <f t="shared" si="301"/>
        <v>0</v>
      </c>
      <c r="GZ27" s="479">
        <f t="shared" si="301"/>
        <v>0</v>
      </c>
      <c r="HA27" s="479">
        <f t="shared" si="301"/>
        <v>0</v>
      </c>
      <c r="HB27" s="479">
        <f t="shared" si="301"/>
        <v>0</v>
      </c>
      <c r="HC27" s="479">
        <f t="shared" si="301"/>
        <v>0</v>
      </c>
      <c r="HD27" s="479">
        <f t="shared" si="301"/>
        <v>0</v>
      </c>
      <c r="HE27" s="479">
        <f t="shared" si="301"/>
        <v>0</v>
      </c>
      <c r="HF27" s="479">
        <f t="shared" si="301"/>
        <v>0</v>
      </c>
      <c r="HG27" s="479">
        <f t="shared" si="301"/>
        <v>0</v>
      </c>
      <c r="HH27" s="479">
        <f t="shared" si="301"/>
        <v>0</v>
      </c>
      <c r="HI27" s="479">
        <f t="shared" si="314"/>
        <v>0</v>
      </c>
      <c r="HJ27" s="479">
        <f t="shared" si="314"/>
        <v>0</v>
      </c>
      <c r="HK27" s="479">
        <f t="shared" si="314"/>
        <v>0</v>
      </c>
      <c r="HL27" s="479">
        <f t="shared" si="314"/>
        <v>0</v>
      </c>
      <c r="HM27" s="479">
        <f t="shared" si="314"/>
        <v>0</v>
      </c>
      <c r="HN27" s="479">
        <f t="shared" si="314"/>
        <v>0</v>
      </c>
      <c r="HO27" s="479">
        <f t="shared" si="314"/>
        <v>0</v>
      </c>
      <c r="HP27" s="479">
        <f t="shared" si="314"/>
        <v>0</v>
      </c>
      <c r="HQ27" s="479">
        <f t="shared" si="314"/>
        <v>0</v>
      </c>
      <c r="HR27" s="479">
        <f t="shared" si="314"/>
        <v>0</v>
      </c>
      <c r="HS27" s="479">
        <f t="shared" si="314"/>
        <v>0</v>
      </c>
      <c r="HT27" s="479">
        <f t="shared" si="314"/>
        <v>0</v>
      </c>
      <c r="HU27" s="479">
        <f t="shared" si="314"/>
        <v>0</v>
      </c>
      <c r="HV27" s="479">
        <f t="shared" si="314"/>
        <v>0</v>
      </c>
      <c r="HW27" s="479">
        <f t="shared" si="314"/>
        <v>0</v>
      </c>
      <c r="HX27" s="479">
        <f t="shared" si="314"/>
        <v>0</v>
      </c>
      <c r="HY27" s="479">
        <f t="shared" si="315"/>
        <v>0</v>
      </c>
      <c r="HZ27" s="479">
        <f t="shared" si="315"/>
        <v>0</v>
      </c>
      <c r="IA27" s="479">
        <f t="shared" si="315"/>
        <v>0</v>
      </c>
      <c r="IB27" s="479">
        <f t="shared" si="315"/>
        <v>0</v>
      </c>
      <c r="IC27" s="479">
        <f t="shared" si="315"/>
        <v>0</v>
      </c>
      <c r="ID27" s="479">
        <f t="shared" si="315"/>
        <v>0</v>
      </c>
      <c r="IE27" s="479">
        <f t="shared" si="315"/>
        <v>0</v>
      </c>
      <c r="IF27" s="479">
        <f t="shared" si="315"/>
        <v>0</v>
      </c>
      <c r="IG27" s="479">
        <f t="shared" si="315"/>
        <v>0</v>
      </c>
      <c r="IH27" s="479">
        <f t="shared" si="315"/>
        <v>0</v>
      </c>
      <c r="II27" s="479">
        <f t="shared" si="315"/>
        <v>0</v>
      </c>
      <c r="IJ27" s="479">
        <f t="shared" si="315"/>
        <v>0</v>
      </c>
      <c r="IK27" s="479">
        <f t="shared" si="315"/>
        <v>0</v>
      </c>
      <c r="IL27" s="479">
        <f t="shared" si="315"/>
        <v>0</v>
      </c>
      <c r="IM27" s="479">
        <f t="shared" si="315"/>
        <v>0</v>
      </c>
      <c r="IN27" s="479">
        <f t="shared" si="315"/>
        <v>0</v>
      </c>
      <c r="IO27" s="479">
        <f t="shared" si="316"/>
        <v>0</v>
      </c>
      <c r="IP27" s="479">
        <f t="shared" si="316"/>
        <v>0</v>
      </c>
      <c r="IQ27" s="479">
        <f t="shared" si="316"/>
        <v>0</v>
      </c>
      <c r="IR27" s="479">
        <f t="shared" si="316"/>
        <v>0</v>
      </c>
      <c r="IS27" s="479">
        <f t="shared" si="316"/>
        <v>0</v>
      </c>
      <c r="IT27" s="479">
        <f t="shared" si="316"/>
        <v>0</v>
      </c>
      <c r="IU27" s="479">
        <f t="shared" si="316"/>
        <v>0</v>
      </c>
      <c r="IV27" s="479">
        <f t="shared" si="316"/>
        <v>0</v>
      </c>
      <c r="IW27" s="479">
        <f t="shared" si="316"/>
        <v>0</v>
      </c>
      <c r="IX27" s="479">
        <f t="shared" si="316"/>
        <v>0</v>
      </c>
      <c r="IY27" s="479">
        <f t="shared" si="316"/>
        <v>0</v>
      </c>
      <c r="IZ27" s="479">
        <f t="shared" si="316"/>
        <v>0</v>
      </c>
      <c r="JA27" s="479">
        <f t="shared" si="316"/>
        <v>0</v>
      </c>
      <c r="JB27" s="479">
        <f t="shared" si="316"/>
        <v>0</v>
      </c>
      <c r="JC27" s="479">
        <f t="shared" si="316"/>
        <v>0</v>
      </c>
      <c r="JD27" s="479">
        <f t="shared" si="316"/>
        <v>0</v>
      </c>
      <c r="JE27" s="479">
        <f t="shared" si="302"/>
        <v>0</v>
      </c>
      <c r="JF27" s="479">
        <f t="shared" si="302"/>
        <v>0</v>
      </c>
      <c r="JG27" s="479">
        <f t="shared" si="302"/>
        <v>0</v>
      </c>
      <c r="JH27" s="479">
        <f t="shared" si="302"/>
        <v>0</v>
      </c>
      <c r="JI27" s="479">
        <f t="shared" si="302"/>
        <v>0</v>
      </c>
      <c r="JJ27" s="479">
        <f t="shared" si="302"/>
        <v>0</v>
      </c>
      <c r="JK27" s="479">
        <f t="shared" si="302"/>
        <v>0</v>
      </c>
      <c r="JL27" s="479">
        <f t="shared" si="302"/>
        <v>0</v>
      </c>
      <c r="JM27" s="479">
        <f t="shared" si="302"/>
        <v>0</v>
      </c>
      <c r="JN27" s="479">
        <f t="shared" si="302"/>
        <v>0</v>
      </c>
      <c r="JO27" s="479">
        <f t="shared" si="302"/>
        <v>0</v>
      </c>
      <c r="JP27" s="479">
        <f t="shared" si="302"/>
        <v>0</v>
      </c>
      <c r="JQ27" s="479">
        <f t="shared" si="302"/>
        <v>0</v>
      </c>
      <c r="JR27" s="479">
        <f t="shared" si="302"/>
        <v>0</v>
      </c>
      <c r="JS27" s="479">
        <f t="shared" si="302"/>
        <v>0</v>
      </c>
      <c r="JT27" s="479">
        <f t="shared" si="302"/>
        <v>0</v>
      </c>
      <c r="JU27" s="479">
        <f t="shared" si="317"/>
        <v>0</v>
      </c>
      <c r="JV27" s="479">
        <f t="shared" si="317"/>
        <v>0</v>
      </c>
      <c r="JW27" s="479">
        <f t="shared" si="317"/>
        <v>0</v>
      </c>
      <c r="JX27" s="479">
        <f t="shared" si="317"/>
        <v>0</v>
      </c>
      <c r="JY27" s="479">
        <f t="shared" si="317"/>
        <v>0</v>
      </c>
      <c r="JZ27" s="479">
        <f t="shared" si="317"/>
        <v>0</v>
      </c>
      <c r="KA27" s="479">
        <f t="shared" si="317"/>
        <v>0</v>
      </c>
      <c r="KB27" s="479">
        <f t="shared" si="317"/>
        <v>0</v>
      </c>
      <c r="KC27" s="479">
        <f t="shared" si="317"/>
        <v>0</v>
      </c>
      <c r="KD27" s="479">
        <f t="shared" si="317"/>
        <v>0</v>
      </c>
      <c r="KE27" s="479">
        <f t="shared" si="317"/>
        <v>0</v>
      </c>
      <c r="KF27" s="479">
        <f t="shared" si="317"/>
        <v>0</v>
      </c>
      <c r="KG27" s="479">
        <f t="shared" si="317"/>
        <v>0</v>
      </c>
      <c r="KH27" s="479">
        <f t="shared" si="317"/>
        <v>0</v>
      </c>
      <c r="KI27" s="479">
        <f t="shared" si="317"/>
        <v>0</v>
      </c>
      <c r="KJ27" s="479">
        <f t="shared" si="317"/>
        <v>0</v>
      </c>
      <c r="KK27" s="479">
        <f t="shared" si="318"/>
        <v>0</v>
      </c>
      <c r="KL27" s="479">
        <f t="shared" si="318"/>
        <v>0</v>
      </c>
      <c r="KM27" s="479">
        <f t="shared" si="318"/>
        <v>0</v>
      </c>
      <c r="KN27" s="479">
        <f t="shared" si="318"/>
        <v>0</v>
      </c>
      <c r="KO27" s="479">
        <f t="shared" si="318"/>
        <v>0</v>
      </c>
      <c r="KP27" s="479">
        <f t="shared" si="318"/>
        <v>0</v>
      </c>
      <c r="KQ27" s="479">
        <f t="shared" si="318"/>
        <v>0</v>
      </c>
      <c r="KR27" s="479">
        <f t="shared" si="318"/>
        <v>0</v>
      </c>
      <c r="KS27" s="479">
        <f t="shared" si="318"/>
        <v>0</v>
      </c>
      <c r="KT27" s="479">
        <f t="shared" si="318"/>
        <v>0</v>
      </c>
      <c r="KU27" s="479">
        <f t="shared" si="318"/>
        <v>0</v>
      </c>
      <c r="KV27" s="479">
        <f t="shared" si="318"/>
        <v>0</v>
      </c>
      <c r="KW27" s="479">
        <f t="shared" si="318"/>
        <v>0</v>
      </c>
      <c r="KX27" s="479">
        <f t="shared" si="318"/>
        <v>0</v>
      </c>
      <c r="KY27" s="479">
        <f t="shared" si="318"/>
        <v>0</v>
      </c>
      <c r="KZ27" s="479">
        <f t="shared" si="318"/>
        <v>0</v>
      </c>
      <c r="LA27" s="479">
        <f t="shared" si="319"/>
        <v>0</v>
      </c>
      <c r="LB27" s="479">
        <f t="shared" si="319"/>
        <v>0</v>
      </c>
      <c r="LC27" s="479">
        <f t="shared" si="319"/>
        <v>0</v>
      </c>
      <c r="LD27" s="479">
        <f t="shared" si="319"/>
        <v>0</v>
      </c>
      <c r="LE27" s="479">
        <f t="shared" si="319"/>
        <v>0</v>
      </c>
      <c r="LF27" s="479">
        <f t="shared" si="319"/>
        <v>0</v>
      </c>
      <c r="LG27" s="479">
        <f t="shared" si="319"/>
        <v>0</v>
      </c>
      <c r="LH27" s="479">
        <f t="shared" si="319"/>
        <v>0</v>
      </c>
      <c r="LI27" s="479">
        <f t="shared" si="319"/>
        <v>0</v>
      </c>
      <c r="LJ27" s="479">
        <f t="shared" si="319"/>
        <v>0</v>
      </c>
      <c r="LK27" s="479">
        <f t="shared" si="319"/>
        <v>0</v>
      </c>
      <c r="LL27" s="479">
        <f t="shared" si="319"/>
        <v>0</v>
      </c>
      <c r="LM27" s="479">
        <f t="shared" si="319"/>
        <v>0</v>
      </c>
      <c r="LN27" s="479">
        <f t="shared" si="319"/>
        <v>0</v>
      </c>
      <c r="LO27" s="479">
        <f t="shared" si="319"/>
        <v>0</v>
      </c>
      <c r="LP27" s="479">
        <f t="shared" si="319"/>
        <v>0</v>
      </c>
      <c r="LQ27" s="479">
        <f t="shared" si="303"/>
        <v>0</v>
      </c>
      <c r="LR27" s="479">
        <f t="shared" si="303"/>
        <v>0</v>
      </c>
      <c r="LS27" s="479">
        <f t="shared" si="303"/>
        <v>0</v>
      </c>
      <c r="LT27" s="479">
        <f t="shared" si="303"/>
        <v>0</v>
      </c>
      <c r="LU27" s="479">
        <f t="shared" si="303"/>
        <v>0</v>
      </c>
      <c r="LV27" s="479">
        <f t="shared" si="303"/>
        <v>0</v>
      </c>
      <c r="LW27" s="479">
        <f t="shared" si="303"/>
        <v>0</v>
      </c>
      <c r="LX27" s="479">
        <f t="shared" si="303"/>
        <v>0</v>
      </c>
      <c r="LY27" s="479">
        <f t="shared" si="303"/>
        <v>0</v>
      </c>
      <c r="LZ27" s="479">
        <f t="shared" si="303"/>
        <v>0</v>
      </c>
      <c r="MA27" s="479">
        <f t="shared" si="303"/>
        <v>0</v>
      </c>
      <c r="MB27" s="479">
        <f t="shared" si="303"/>
        <v>0</v>
      </c>
      <c r="MC27" s="479">
        <f t="shared" si="303"/>
        <v>0</v>
      </c>
      <c r="MD27" s="479">
        <f t="shared" si="303"/>
        <v>0</v>
      </c>
      <c r="ME27" s="479">
        <f t="shared" si="303"/>
        <v>0</v>
      </c>
      <c r="MF27" s="479">
        <f t="shared" si="303"/>
        <v>0</v>
      </c>
      <c r="MG27" s="479">
        <f t="shared" si="320"/>
        <v>0</v>
      </c>
      <c r="MH27" s="479">
        <f t="shared" si="320"/>
        <v>0</v>
      </c>
      <c r="MI27" s="479">
        <f t="shared" si="320"/>
        <v>0</v>
      </c>
      <c r="MJ27" s="479">
        <f t="shared" si="320"/>
        <v>0</v>
      </c>
      <c r="MK27" s="479">
        <f t="shared" si="320"/>
        <v>0</v>
      </c>
      <c r="ML27" s="479">
        <f t="shared" si="320"/>
        <v>0</v>
      </c>
      <c r="MM27" s="479">
        <f t="shared" si="320"/>
        <v>0</v>
      </c>
      <c r="MN27" s="479">
        <f t="shared" si="320"/>
        <v>0</v>
      </c>
      <c r="MO27" s="479">
        <f t="shared" si="320"/>
        <v>0</v>
      </c>
      <c r="MP27" s="479">
        <f t="shared" si="320"/>
        <v>0</v>
      </c>
      <c r="MQ27" s="479">
        <f t="shared" si="320"/>
        <v>0</v>
      </c>
      <c r="MR27" s="479">
        <f t="shared" si="320"/>
        <v>0</v>
      </c>
      <c r="MS27" s="479">
        <f t="shared" si="320"/>
        <v>0</v>
      </c>
      <c r="MT27" s="479">
        <f t="shared" si="320"/>
        <v>0</v>
      </c>
      <c r="MU27" s="479">
        <f t="shared" si="320"/>
        <v>0</v>
      </c>
      <c r="MV27" s="479">
        <f t="shared" si="320"/>
        <v>0</v>
      </c>
      <c r="MW27" s="479">
        <f t="shared" si="321"/>
        <v>0</v>
      </c>
      <c r="MX27" s="479">
        <f t="shared" si="321"/>
        <v>0</v>
      </c>
      <c r="MY27" s="479">
        <f t="shared" si="321"/>
        <v>0</v>
      </c>
      <c r="MZ27" s="479">
        <f t="shared" si="321"/>
        <v>0</v>
      </c>
      <c r="NA27" s="479">
        <f t="shared" si="321"/>
        <v>0</v>
      </c>
      <c r="NB27" s="479">
        <f t="shared" si="321"/>
        <v>0</v>
      </c>
      <c r="NC27" s="479">
        <f t="shared" si="321"/>
        <v>0</v>
      </c>
      <c r="ND27" s="479">
        <f t="shared" si="321"/>
        <v>0</v>
      </c>
      <c r="NE27" s="479">
        <f t="shared" si="321"/>
        <v>0</v>
      </c>
      <c r="NF27" s="479">
        <f t="shared" si="321"/>
        <v>0</v>
      </c>
      <c r="NG27" s="479">
        <f t="shared" si="321"/>
        <v>0</v>
      </c>
      <c r="NH27" s="479">
        <f t="shared" si="321"/>
        <v>0</v>
      </c>
      <c r="NI27" s="479">
        <f t="shared" si="321"/>
        <v>0</v>
      </c>
      <c r="NJ27" s="479">
        <f t="shared" si="321"/>
        <v>0</v>
      </c>
      <c r="NK27" s="479">
        <f t="shared" si="321"/>
        <v>0</v>
      </c>
      <c r="NL27" s="479">
        <f t="shared" si="321"/>
        <v>0</v>
      </c>
      <c r="NM27" s="479">
        <f t="shared" si="322"/>
        <v>0</v>
      </c>
      <c r="NN27" s="479">
        <f t="shared" si="322"/>
        <v>0</v>
      </c>
      <c r="NO27" s="479">
        <f t="shared" si="322"/>
        <v>0</v>
      </c>
      <c r="NP27" s="479">
        <f t="shared" si="322"/>
        <v>0</v>
      </c>
      <c r="NQ27" s="479">
        <f t="shared" si="322"/>
        <v>0</v>
      </c>
      <c r="NR27" s="479">
        <f t="shared" si="322"/>
        <v>0</v>
      </c>
      <c r="NS27" s="479">
        <f t="shared" si="322"/>
        <v>0</v>
      </c>
      <c r="NT27" s="479">
        <f t="shared" si="322"/>
        <v>0</v>
      </c>
      <c r="NU27" s="479">
        <f t="shared" si="322"/>
        <v>0</v>
      </c>
      <c r="NV27" s="479">
        <f t="shared" si="322"/>
        <v>0</v>
      </c>
      <c r="NW27" s="479">
        <f t="shared" si="322"/>
        <v>0</v>
      </c>
      <c r="NX27" s="479">
        <f t="shared" si="322"/>
        <v>0</v>
      </c>
      <c r="NY27" s="479">
        <f t="shared" si="322"/>
        <v>0</v>
      </c>
      <c r="NZ27" s="479">
        <f t="shared" si="322"/>
        <v>0</v>
      </c>
      <c r="OA27" s="479">
        <f t="shared" si="322"/>
        <v>0</v>
      </c>
      <c r="OB27" s="479">
        <f t="shared" si="322"/>
        <v>0</v>
      </c>
      <c r="OC27" s="479">
        <f t="shared" si="304"/>
        <v>0</v>
      </c>
      <c r="OD27" s="479">
        <f t="shared" si="304"/>
        <v>0</v>
      </c>
      <c r="OE27" s="479">
        <f t="shared" si="291"/>
        <v>0</v>
      </c>
      <c r="OF27" s="479">
        <f t="shared" si="291"/>
        <v>0</v>
      </c>
      <c r="OG27" s="479">
        <f t="shared" si="291"/>
        <v>0</v>
      </c>
      <c r="OH27" s="479">
        <f t="shared" si="291"/>
        <v>0</v>
      </c>
      <c r="OI27" s="479">
        <f t="shared" si="291"/>
        <v>0</v>
      </c>
      <c r="OJ27" s="479">
        <f t="shared" si="291"/>
        <v>0</v>
      </c>
      <c r="OK27" s="479">
        <f t="shared" si="291"/>
        <v>0</v>
      </c>
      <c r="OL27" s="479">
        <f t="shared" si="291"/>
        <v>0</v>
      </c>
      <c r="OM27" s="479">
        <f t="shared" si="291"/>
        <v>0</v>
      </c>
      <c r="ON27" s="479">
        <f t="shared" si="291"/>
        <v>0</v>
      </c>
      <c r="OO27" s="479">
        <f t="shared" si="291"/>
        <v>0</v>
      </c>
    </row>
    <row r="28" spans="2:405">
      <c r="B28" s="97" t="str">
        <f>Assumptions!B91</f>
        <v>Contingency</v>
      </c>
      <c r="C28" s="97"/>
      <c r="D28" s="500">
        <f>Assumptions!C91</f>
        <v>8558100</v>
      </c>
      <c r="E28" s="507">
        <f>Assumptions!$C$10</f>
        <v>46418</v>
      </c>
      <c r="F28" s="507">
        <f>EOMONTH(E28,Assumptions!$C$11-1)</f>
        <v>47118</v>
      </c>
      <c r="G28" s="97">
        <f t="shared" si="284"/>
        <v>24</v>
      </c>
      <c r="H28" s="97"/>
      <c r="I28" s="97"/>
      <c r="J28" s="479">
        <f t="shared" si="292"/>
        <v>0</v>
      </c>
      <c r="K28" s="479">
        <f t="shared" si="292"/>
        <v>0</v>
      </c>
      <c r="L28" s="479">
        <f t="shared" si="292"/>
        <v>0</v>
      </c>
      <c r="M28" s="479">
        <f t="shared" si="292"/>
        <v>0</v>
      </c>
      <c r="N28" s="479">
        <f t="shared" si="292"/>
        <v>0</v>
      </c>
      <c r="O28" s="479">
        <f t="shared" si="292"/>
        <v>0</v>
      </c>
      <c r="P28" s="479">
        <f t="shared" si="292"/>
        <v>-356587.5</v>
      </c>
      <c r="Q28" s="479">
        <f t="shared" si="292"/>
        <v>-356587.5</v>
      </c>
      <c r="R28" s="479">
        <f t="shared" si="292"/>
        <v>-356587.5</v>
      </c>
      <c r="S28" s="479">
        <f t="shared" si="292"/>
        <v>-356587.5</v>
      </c>
      <c r="T28" s="479">
        <f t="shared" si="292"/>
        <v>-356587.5</v>
      </c>
      <c r="U28" s="479">
        <f t="shared" si="292"/>
        <v>-356587.5</v>
      </c>
      <c r="V28" s="479">
        <f t="shared" si="292"/>
        <v>-356587.5</v>
      </c>
      <c r="W28" s="479">
        <f t="shared" si="292"/>
        <v>-356587.5</v>
      </c>
      <c r="X28" s="479">
        <f t="shared" si="292"/>
        <v>-356587.5</v>
      </c>
      <c r="Y28" s="479">
        <f t="shared" si="292"/>
        <v>-356587.5</v>
      </c>
      <c r="Z28" s="479">
        <f t="shared" si="305"/>
        <v>-356587.5</v>
      </c>
      <c r="AA28" s="479">
        <f t="shared" si="305"/>
        <v>-356587.5</v>
      </c>
      <c r="AB28" s="479">
        <f t="shared" si="305"/>
        <v>-356587.5</v>
      </c>
      <c r="AC28" s="479">
        <f t="shared" si="305"/>
        <v>-356587.5</v>
      </c>
      <c r="AD28" s="479">
        <f t="shared" si="305"/>
        <v>-356587.5</v>
      </c>
      <c r="AE28" s="479">
        <f t="shared" si="305"/>
        <v>-356587.5</v>
      </c>
      <c r="AF28" s="479">
        <f t="shared" si="305"/>
        <v>-356587.5</v>
      </c>
      <c r="AG28" s="479">
        <f t="shared" si="305"/>
        <v>-356587.5</v>
      </c>
      <c r="AH28" s="479">
        <f t="shared" si="305"/>
        <v>-356587.5</v>
      </c>
      <c r="AI28" s="479">
        <f t="shared" si="305"/>
        <v>-356587.5</v>
      </c>
      <c r="AJ28" s="479">
        <f t="shared" si="305"/>
        <v>-356587.5</v>
      </c>
      <c r="AK28" s="479">
        <f t="shared" si="305"/>
        <v>-356587.5</v>
      </c>
      <c r="AL28" s="479">
        <f t="shared" si="305"/>
        <v>-356587.5</v>
      </c>
      <c r="AM28" s="479">
        <f t="shared" si="305"/>
        <v>-356587.5</v>
      </c>
      <c r="AN28" s="479">
        <f t="shared" si="305"/>
        <v>0</v>
      </c>
      <c r="AO28" s="479">
        <f t="shared" si="305"/>
        <v>0</v>
      </c>
      <c r="AP28" s="479">
        <f t="shared" si="306"/>
        <v>0</v>
      </c>
      <c r="AQ28" s="479">
        <f t="shared" si="306"/>
        <v>0</v>
      </c>
      <c r="AR28" s="479">
        <f t="shared" si="306"/>
        <v>0</v>
      </c>
      <c r="AS28" s="479">
        <f t="shared" si="306"/>
        <v>0</v>
      </c>
      <c r="AT28" s="479">
        <f t="shared" si="306"/>
        <v>0</v>
      </c>
      <c r="AU28" s="479">
        <f t="shared" si="306"/>
        <v>0</v>
      </c>
      <c r="AV28" s="479">
        <f t="shared" si="306"/>
        <v>0</v>
      </c>
      <c r="AW28" s="479">
        <f t="shared" si="306"/>
        <v>0</v>
      </c>
      <c r="AX28" s="479">
        <f t="shared" si="306"/>
        <v>0</v>
      </c>
      <c r="AY28" s="479">
        <f t="shared" si="306"/>
        <v>0</v>
      </c>
      <c r="AZ28" s="479">
        <f t="shared" si="306"/>
        <v>0</v>
      </c>
      <c r="BA28" s="479">
        <f t="shared" si="306"/>
        <v>0</v>
      </c>
      <c r="BB28" s="479">
        <f t="shared" si="306"/>
        <v>0</v>
      </c>
      <c r="BC28" s="479">
        <f t="shared" si="306"/>
        <v>0</v>
      </c>
      <c r="BD28" s="479">
        <f t="shared" si="306"/>
        <v>0</v>
      </c>
      <c r="BE28" s="479">
        <f t="shared" si="306"/>
        <v>0</v>
      </c>
      <c r="BF28" s="479">
        <f t="shared" si="307"/>
        <v>0</v>
      </c>
      <c r="BG28" s="479">
        <f t="shared" si="307"/>
        <v>0</v>
      </c>
      <c r="BH28" s="479">
        <f t="shared" si="307"/>
        <v>0</v>
      </c>
      <c r="BI28" s="479">
        <f t="shared" si="307"/>
        <v>0</v>
      </c>
      <c r="BJ28" s="479">
        <f t="shared" si="307"/>
        <v>0</v>
      </c>
      <c r="BK28" s="479">
        <f t="shared" si="307"/>
        <v>0</v>
      </c>
      <c r="BL28" s="479">
        <f t="shared" si="307"/>
        <v>0</v>
      </c>
      <c r="BM28" s="479">
        <f t="shared" si="307"/>
        <v>0</v>
      </c>
      <c r="BN28" s="479">
        <f t="shared" si="307"/>
        <v>0</v>
      </c>
      <c r="BO28" s="479">
        <f t="shared" si="307"/>
        <v>0</v>
      </c>
      <c r="BP28" s="479">
        <f t="shared" si="307"/>
        <v>0</v>
      </c>
      <c r="BQ28" s="479">
        <f t="shared" si="307"/>
        <v>0</v>
      </c>
      <c r="BR28" s="479">
        <f t="shared" si="307"/>
        <v>0</v>
      </c>
      <c r="BS28" s="479">
        <f t="shared" si="307"/>
        <v>0</v>
      </c>
      <c r="BT28" s="479">
        <f t="shared" si="307"/>
        <v>0</v>
      </c>
      <c r="BU28" s="479">
        <f t="shared" si="307"/>
        <v>0</v>
      </c>
      <c r="BV28" s="479">
        <f t="shared" si="299"/>
        <v>0</v>
      </c>
      <c r="BW28" s="479">
        <f t="shared" si="299"/>
        <v>0</v>
      </c>
      <c r="BX28" s="479">
        <f t="shared" si="299"/>
        <v>0</v>
      </c>
      <c r="BY28" s="479">
        <f t="shared" si="299"/>
        <v>0</v>
      </c>
      <c r="BZ28" s="479">
        <f t="shared" si="299"/>
        <v>0</v>
      </c>
      <c r="CA28" s="479">
        <f t="shared" si="299"/>
        <v>0</v>
      </c>
      <c r="CB28" s="479">
        <f t="shared" si="299"/>
        <v>0</v>
      </c>
      <c r="CC28" s="479">
        <f t="shared" si="299"/>
        <v>0</v>
      </c>
      <c r="CD28" s="479">
        <f t="shared" si="299"/>
        <v>0</v>
      </c>
      <c r="CE28" s="479">
        <f t="shared" si="299"/>
        <v>0</v>
      </c>
      <c r="CF28" s="479">
        <f t="shared" si="299"/>
        <v>0</v>
      </c>
      <c r="CG28" s="479">
        <f t="shared" si="299"/>
        <v>0</v>
      </c>
      <c r="CH28" s="479">
        <f t="shared" si="299"/>
        <v>0</v>
      </c>
      <c r="CI28" s="479">
        <f t="shared" si="299"/>
        <v>0</v>
      </c>
      <c r="CJ28" s="479">
        <f t="shared" si="299"/>
        <v>0</v>
      </c>
      <c r="CK28" s="479">
        <f t="shared" si="308"/>
        <v>0</v>
      </c>
      <c r="CL28" s="479">
        <f t="shared" si="308"/>
        <v>0</v>
      </c>
      <c r="CM28" s="479">
        <f t="shared" si="308"/>
        <v>0</v>
      </c>
      <c r="CN28" s="479">
        <f t="shared" si="308"/>
        <v>0</v>
      </c>
      <c r="CO28" s="479">
        <f t="shared" si="308"/>
        <v>0</v>
      </c>
      <c r="CP28" s="479">
        <f t="shared" si="308"/>
        <v>0</v>
      </c>
      <c r="CQ28" s="479">
        <f t="shared" si="308"/>
        <v>0</v>
      </c>
      <c r="CR28" s="479">
        <f t="shared" si="308"/>
        <v>0</v>
      </c>
      <c r="CS28" s="479">
        <f t="shared" si="308"/>
        <v>0</v>
      </c>
      <c r="CT28" s="479">
        <f t="shared" si="308"/>
        <v>0</v>
      </c>
      <c r="CU28" s="479">
        <f t="shared" si="308"/>
        <v>0</v>
      </c>
      <c r="CV28" s="479">
        <f t="shared" si="308"/>
        <v>0</v>
      </c>
      <c r="CW28" s="479">
        <f t="shared" si="308"/>
        <v>0</v>
      </c>
      <c r="CX28" s="479">
        <f t="shared" si="308"/>
        <v>0</v>
      </c>
      <c r="CY28" s="479">
        <f t="shared" si="308"/>
        <v>0</v>
      </c>
      <c r="CZ28" s="479">
        <f t="shared" si="308"/>
        <v>0</v>
      </c>
      <c r="DA28" s="479">
        <f t="shared" si="309"/>
        <v>0</v>
      </c>
      <c r="DB28" s="479">
        <f t="shared" si="309"/>
        <v>0</v>
      </c>
      <c r="DC28" s="479">
        <f t="shared" si="309"/>
        <v>0</v>
      </c>
      <c r="DD28" s="479">
        <f t="shared" si="309"/>
        <v>0</v>
      </c>
      <c r="DE28" s="479">
        <f t="shared" si="309"/>
        <v>0</v>
      </c>
      <c r="DF28" s="479">
        <f t="shared" si="309"/>
        <v>0</v>
      </c>
      <c r="DG28" s="479">
        <f t="shared" si="309"/>
        <v>0</v>
      </c>
      <c r="DH28" s="479">
        <f t="shared" si="309"/>
        <v>0</v>
      </c>
      <c r="DI28" s="479">
        <f t="shared" si="309"/>
        <v>0</v>
      </c>
      <c r="DJ28" s="479">
        <f t="shared" si="309"/>
        <v>0</v>
      </c>
      <c r="DK28" s="479">
        <f t="shared" si="309"/>
        <v>0</v>
      </c>
      <c r="DL28" s="479">
        <f t="shared" si="309"/>
        <v>0</v>
      </c>
      <c r="DM28" s="479">
        <f t="shared" si="309"/>
        <v>0</v>
      </c>
      <c r="DN28" s="479">
        <f t="shared" si="309"/>
        <v>0</v>
      </c>
      <c r="DO28" s="479">
        <f t="shared" si="309"/>
        <v>0</v>
      </c>
      <c r="DP28" s="479">
        <f t="shared" si="309"/>
        <v>0</v>
      </c>
      <c r="DQ28" s="479">
        <f t="shared" si="310"/>
        <v>0</v>
      </c>
      <c r="DR28" s="479">
        <f t="shared" si="310"/>
        <v>0</v>
      </c>
      <c r="DS28" s="479">
        <f t="shared" si="310"/>
        <v>0</v>
      </c>
      <c r="DT28" s="479">
        <f t="shared" si="310"/>
        <v>0</v>
      </c>
      <c r="DU28" s="479">
        <f t="shared" si="310"/>
        <v>0</v>
      </c>
      <c r="DV28" s="479">
        <f t="shared" si="310"/>
        <v>0</v>
      </c>
      <c r="DW28" s="479">
        <f t="shared" si="310"/>
        <v>0</v>
      </c>
      <c r="DX28" s="479">
        <f t="shared" si="310"/>
        <v>0</v>
      </c>
      <c r="DY28" s="479">
        <f t="shared" si="310"/>
        <v>0</v>
      </c>
      <c r="DZ28" s="479">
        <f t="shared" si="310"/>
        <v>0</v>
      </c>
      <c r="EA28" s="479">
        <f t="shared" si="310"/>
        <v>0</v>
      </c>
      <c r="EB28" s="479">
        <f t="shared" si="310"/>
        <v>0</v>
      </c>
      <c r="EC28" s="479">
        <f t="shared" si="310"/>
        <v>0</v>
      </c>
      <c r="ED28" s="479">
        <f t="shared" si="310"/>
        <v>0</v>
      </c>
      <c r="EE28" s="479">
        <f t="shared" si="310"/>
        <v>0</v>
      </c>
      <c r="EF28" s="479">
        <f t="shared" si="310"/>
        <v>0</v>
      </c>
      <c r="EG28" s="479">
        <f t="shared" si="300"/>
        <v>0</v>
      </c>
      <c r="EH28" s="479">
        <f t="shared" si="300"/>
        <v>0</v>
      </c>
      <c r="EI28" s="479">
        <f t="shared" si="300"/>
        <v>0</v>
      </c>
      <c r="EJ28" s="479">
        <f t="shared" si="300"/>
        <v>0</v>
      </c>
      <c r="EK28" s="479">
        <f t="shared" si="300"/>
        <v>0</v>
      </c>
      <c r="EL28" s="479">
        <f t="shared" si="300"/>
        <v>0</v>
      </c>
      <c r="EM28" s="479">
        <f t="shared" si="300"/>
        <v>0</v>
      </c>
      <c r="EN28" s="479">
        <f t="shared" si="300"/>
        <v>0</v>
      </c>
      <c r="EO28" s="479">
        <f t="shared" si="300"/>
        <v>0</v>
      </c>
      <c r="EP28" s="479">
        <f t="shared" si="300"/>
        <v>0</v>
      </c>
      <c r="EQ28" s="479">
        <f t="shared" si="300"/>
        <v>0</v>
      </c>
      <c r="ER28" s="479">
        <f t="shared" si="300"/>
        <v>0</v>
      </c>
      <c r="ES28" s="479">
        <f t="shared" si="300"/>
        <v>0</v>
      </c>
      <c r="ET28" s="479">
        <f t="shared" si="300"/>
        <v>0</v>
      </c>
      <c r="EU28" s="479">
        <f t="shared" si="300"/>
        <v>0</v>
      </c>
      <c r="EV28" s="479">
        <f t="shared" si="300"/>
        <v>0</v>
      </c>
      <c r="EW28" s="479">
        <f t="shared" si="311"/>
        <v>0</v>
      </c>
      <c r="EX28" s="479">
        <f t="shared" si="311"/>
        <v>0</v>
      </c>
      <c r="EY28" s="479">
        <f t="shared" si="311"/>
        <v>0</v>
      </c>
      <c r="EZ28" s="479">
        <f t="shared" si="311"/>
        <v>0</v>
      </c>
      <c r="FA28" s="479">
        <f t="shared" si="311"/>
        <v>0</v>
      </c>
      <c r="FB28" s="479">
        <f t="shared" si="311"/>
        <v>0</v>
      </c>
      <c r="FC28" s="479">
        <f t="shared" si="311"/>
        <v>0</v>
      </c>
      <c r="FD28" s="479">
        <f t="shared" si="311"/>
        <v>0</v>
      </c>
      <c r="FE28" s="479">
        <f t="shared" si="311"/>
        <v>0</v>
      </c>
      <c r="FF28" s="479">
        <f t="shared" si="311"/>
        <v>0</v>
      </c>
      <c r="FG28" s="479">
        <f t="shared" si="311"/>
        <v>0</v>
      </c>
      <c r="FH28" s="479">
        <f t="shared" si="311"/>
        <v>0</v>
      </c>
      <c r="FI28" s="479">
        <f t="shared" si="311"/>
        <v>0</v>
      </c>
      <c r="FJ28" s="479">
        <f t="shared" si="311"/>
        <v>0</v>
      </c>
      <c r="FK28" s="479">
        <f t="shared" si="311"/>
        <v>0</v>
      </c>
      <c r="FL28" s="479">
        <f t="shared" si="311"/>
        <v>0</v>
      </c>
      <c r="FM28" s="479">
        <f t="shared" si="312"/>
        <v>0</v>
      </c>
      <c r="FN28" s="479">
        <f t="shared" si="312"/>
        <v>0</v>
      </c>
      <c r="FO28" s="479">
        <f t="shared" si="312"/>
        <v>0</v>
      </c>
      <c r="FP28" s="479">
        <f t="shared" si="312"/>
        <v>0</v>
      </c>
      <c r="FQ28" s="479">
        <f t="shared" si="312"/>
        <v>0</v>
      </c>
      <c r="FR28" s="479">
        <f t="shared" si="312"/>
        <v>0</v>
      </c>
      <c r="FS28" s="479">
        <f t="shared" si="312"/>
        <v>0</v>
      </c>
      <c r="FT28" s="479">
        <f t="shared" si="312"/>
        <v>0</v>
      </c>
      <c r="FU28" s="479">
        <f t="shared" si="312"/>
        <v>0</v>
      </c>
      <c r="FV28" s="479">
        <f t="shared" si="312"/>
        <v>0</v>
      </c>
      <c r="FW28" s="479">
        <f t="shared" si="312"/>
        <v>0</v>
      </c>
      <c r="FX28" s="479">
        <f t="shared" si="312"/>
        <v>0</v>
      </c>
      <c r="FY28" s="479">
        <f t="shared" si="312"/>
        <v>0</v>
      </c>
      <c r="FZ28" s="479">
        <f t="shared" si="312"/>
        <v>0</v>
      </c>
      <c r="GA28" s="479">
        <f t="shared" si="312"/>
        <v>0</v>
      </c>
      <c r="GB28" s="479">
        <f t="shared" si="312"/>
        <v>0</v>
      </c>
      <c r="GC28" s="479">
        <f t="shared" si="313"/>
        <v>0</v>
      </c>
      <c r="GD28" s="479">
        <f t="shared" si="313"/>
        <v>0</v>
      </c>
      <c r="GE28" s="479">
        <f t="shared" si="313"/>
        <v>0</v>
      </c>
      <c r="GF28" s="479">
        <f t="shared" si="313"/>
        <v>0</v>
      </c>
      <c r="GG28" s="479">
        <f t="shared" si="313"/>
        <v>0</v>
      </c>
      <c r="GH28" s="479">
        <f t="shared" si="313"/>
        <v>0</v>
      </c>
      <c r="GI28" s="479">
        <f t="shared" si="313"/>
        <v>0</v>
      </c>
      <c r="GJ28" s="479">
        <f t="shared" si="313"/>
        <v>0</v>
      </c>
      <c r="GK28" s="479">
        <f t="shared" si="313"/>
        <v>0</v>
      </c>
      <c r="GL28" s="479">
        <f t="shared" si="313"/>
        <v>0</v>
      </c>
      <c r="GM28" s="479">
        <f t="shared" si="313"/>
        <v>0</v>
      </c>
      <c r="GN28" s="479">
        <f t="shared" si="313"/>
        <v>0</v>
      </c>
      <c r="GO28" s="479">
        <f t="shared" si="313"/>
        <v>0</v>
      </c>
      <c r="GP28" s="479">
        <f t="shared" si="313"/>
        <v>0</v>
      </c>
      <c r="GQ28" s="479">
        <f t="shared" si="313"/>
        <v>0</v>
      </c>
      <c r="GR28" s="479">
        <f t="shared" si="313"/>
        <v>0</v>
      </c>
      <c r="GS28" s="479">
        <f t="shared" si="301"/>
        <v>0</v>
      </c>
      <c r="GT28" s="479">
        <f t="shared" si="301"/>
        <v>0</v>
      </c>
      <c r="GU28" s="479">
        <f t="shared" si="301"/>
        <v>0</v>
      </c>
      <c r="GV28" s="479">
        <f t="shared" si="301"/>
        <v>0</v>
      </c>
      <c r="GW28" s="479">
        <f t="shared" si="301"/>
        <v>0</v>
      </c>
      <c r="GX28" s="479">
        <f t="shared" si="301"/>
        <v>0</v>
      </c>
      <c r="GY28" s="479">
        <f t="shared" si="301"/>
        <v>0</v>
      </c>
      <c r="GZ28" s="479">
        <f t="shared" si="301"/>
        <v>0</v>
      </c>
      <c r="HA28" s="479">
        <f t="shared" si="301"/>
        <v>0</v>
      </c>
      <c r="HB28" s="479">
        <f t="shared" si="301"/>
        <v>0</v>
      </c>
      <c r="HC28" s="479">
        <f t="shared" si="301"/>
        <v>0</v>
      </c>
      <c r="HD28" s="479">
        <f t="shared" si="301"/>
        <v>0</v>
      </c>
      <c r="HE28" s="479">
        <f t="shared" si="301"/>
        <v>0</v>
      </c>
      <c r="HF28" s="479">
        <f t="shared" si="301"/>
        <v>0</v>
      </c>
      <c r="HG28" s="479">
        <f t="shared" si="301"/>
        <v>0</v>
      </c>
      <c r="HH28" s="479">
        <f t="shared" si="301"/>
        <v>0</v>
      </c>
      <c r="HI28" s="479">
        <f t="shared" si="314"/>
        <v>0</v>
      </c>
      <c r="HJ28" s="479">
        <f t="shared" si="314"/>
        <v>0</v>
      </c>
      <c r="HK28" s="479">
        <f t="shared" si="314"/>
        <v>0</v>
      </c>
      <c r="HL28" s="479">
        <f t="shared" si="314"/>
        <v>0</v>
      </c>
      <c r="HM28" s="479">
        <f t="shared" si="314"/>
        <v>0</v>
      </c>
      <c r="HN28" s="479">
        <f t="shared" si="314"/>
        <v>0</v>
      </c>
      <c r="HO28" s="479">
        <f t="shared" si="314"/>
        <v>0</v>
      </c>
      <c r="HP28" s="479">
        <f t="shared" si="314"/>
        <v>0</v>
      </c>
      <c r="HQ28" s="479">
        <f t="shared" si="314"/>
        <v>0</v>
      </c>
      <c r="HR28" s="479">
        <f t="shared" si="314"/>
        <v>0</v>
      </c>
      <c r="HS28" s="479">
        <f t="shared" si="314"/>
        <v>0</v>
      </c>
      <c r="HT28" s="479">
        <f t="shared" si="314"/>
        <v>0</v>
      </c>
      <c r="HU28" s="479">
        <f t="shared" si="314"/>
        <v>0</v>
      </c>
      <c r="HV28" s="479">
        <f t="shared" si="314"/>
        <v>0</v>
      </c>
      <c r="HW28" s="479">
        <f t="shared" si="314"/>
        <v>0</v>
      </c>
      <c r="HX28" s="479">
        <f t="shared" si="314"/>
        <v>0</v>
      </c>
      <c r="HY28" s="479">
        <f t="shared" si="315"/>
        <v>0</v>
      </c>
      <c r="HZ28" s="479">
        <f t="shared" si="315"/>
        <v>0</v>
      </c>
      <c r="IA28" s="479">
        <f t="shared" si="315"/>
        <v>0</v>
      </c>
      <c r="IB28" s="479">
        <f t="shared" si="315"/>
        <v>0</v>
      </c>
      <c r="IC28" s="479">
        <f t="shared" si="315"/>
        <v>0</v>
      </c>
      <c r="ID28" s="479">
        <f t="shared" si="315"/>
        <v>0</v>
      </c>
      <c r="IE28" s="479">
        <f t="shared" si="315"/>
        <v>0</v>
      </c>
      <c r="IF28" s="479">
        <f t="shared" si="315"/>
        <v>0</v>
      </c>
      <c r="IG28" s="479">
        <f t="shared" si="315"/>
        <v>0</v>
      </c>
      <c r="IH28" s="479">
        <f t="shared" si="315"/>
        <v>0</v>
      </c>
      <c r="II28" s="479">
        <f t="shared" si="315"/>
        <v>0</v>
      </c>
      <c r="IJ28" s="479">
        <f t="shared" si="315"/>
        <v>0</v>
      </c>
      <c r="IK28" s="479">
        <f t="shared" si="315"/>
        <v>0</v>
      </c>
      <c r="IL28" s="479">
        <f t="shared" si="315"/>
        <v>0</v>
      </c>
      <c r="IM28" s="479">
        <f t="shared" si="315"/>
        <v>0</v>
      </c>
      <c r="IN28" s="479">
        <f t="shared" si="315"/>
        <v>0</v>
      </c>
      <c r="IO28" s="479">
        <f t="shared" si="316"/>
        <v>0</v>
      </c>
      <c r="IP28" s="479">
        <f t="shared" si="316"/>
        <v>0</v>
      </c>
      <c r="IQ28" s="479">
        <f t="shared" si="316"/>
        <v>0</v>
      </c>
      <c r="IR28" s="479">
        <f t="shared" si="316"/>
        <v>0</v>
      </c>
      <c r="IS28" s="479">
        <f t="shared" si="316"/>
        <v>0</v>
      </c>
      <c r="IT28" s="479">
        <f t="shared" si="316"/>
        <v>0</v>
      </c>
      <c r="IU28" s="479">
        <f t="shared" si="316"/>
        <v>0</v>
      </c>
      <c r="IV28" s="479">
        <f t="shared" si="316"/>
        <v>0</v>
      </c>
      <c r="IW28" s="479">
        <f t="shared" si="316"/>
        <v>0</v>
      </c>
      <c r="IX28" s="479">
        <f t="shared" si="316"/>
        <v>0</v>
      </c>
      <c r="IY28" s="479">
        <f t="shared" si="316"/>
        <v>0</v>
      </c>
      <c r="IZ28" s="479">
        <f t="shared" si="316"/>
        <v>0</v>
      </c>
      <c r="JA28" s="479">
        <f t="shared" si="316"/>
        <v>0</v>
      </c>
      <c r="JB28" s="479">
        <f t="shared" si="316"/>
        <v>0</v>
      </c>
      <c r="JC28" s="479">
        <f t="shared" si="316"/>
        <v>0</v>
      </c>
      <c r="JD28" s="479">
        <f t="shared" si="316"/>
        <v>0</v>
      </c>
      <c r="JE28" s="479">
        <f t="shared" si="302"/>
        <v>0</v>
      </c>
      <c r="JF28" s="479">
        <f t="shared" si="302"/>
        <v>0</v>
      </c>
      <c r="JG28" s="479">
        <f t="shared" si="302"/>
        <v>0</v>
      </c>
      <c r="JH28" s="479">
        <f t="shared" si="302"/>
        <v>0</v>
      </c>
      <c r="JI28" s="479">
        <f t="shared" si="302"/>
        <v>0</v>
      </c>
      <c r="JJ28" s="479">
        <f t="shared" si="302"/>
        <v>0</v>
      </c>
      <c r="JK28" s="479">
        <f t="shared" si="302"/>
        <v>0</v>
      </c>
      <c r="JL28" s="479">
        <f t="shared" si="302"/>
        <v>0</v>
      </c>
      <c r="JM28" s="479">
        <f t="shared" si="302"/>
        <v>0</v>
      </c>
      <c r="JN28" s="479">
        <f t="shared" si="302"/>
        <v>0</v>
      </c>
      <c r="JO28" s="479">
        <f t="shared" si="302"/>
        <v>0</v>
      </c>
      <c r="JP28" s="479">
        <f t="shared" si="302"/>
        <v>0</v>
      </c>
      <c r="JQ28" s="479">
        <f t="shared" si="302"/>
        <v>0</v>
      </c>
      <c r="JR28" s="479">
        <f t="shared" si="302"/>
        <v>0</v>
      </c>
      <c r="JS28" s="479">
        <f t="shared" si="302"/>
        <v>0</v>
      </c>
      <c r="JT28" s="479">
        <f t="shared" si="302"/>
        <v>0</v>
      </c>
      <c r="JU28" s="479">
        <f t="shared" si="317"/>
        <v>0</v>
      </c>
      <c r="JV28" s="479">
        <f t="shared" si="317"/>
        <v>0</v>
      </c>
      <c r="JW28" s="479">
        <f t="shared" si="317"/>
        <v>0</v>
      </c>
      <c r="JX28" s="479">
        <f t="shared" si="317"/>
        <v>0</v>
      </c>
      <c r="JY28" s="479">
        <f t="shared" si="317"/>
        <v>0</v>
      </c>
      <c r="JZ28" s="479">
        <f t="shared" si="317"/>
        <v>0</v>
      </c>
      <c r="KA28" s="479">
        <f t="shared" si="317"/>
        <v>0</v>
      </c>
      <c r="KB28" s="479">
        <f t="shared" si="317"/>
        <v>0</v>
      </c>
      <c r="KC28" s="479">
        <f t="shared" si="317"/>
        <v>0</v>
      </c>
      <c r="KD28" s="479">
        <f t="shared" si="317"/>
        <v>0</v>
      </c>
      <c r="KE28" s="479">
        <f t="shared" si="317"/>
        <v>0</v>
      </c>
      <c r="KF28" s="479">
        <f t="shared" si="317"/>
        <v>0</v>
      </c>
      <c r="KG28" s="479">
        <f t="shared" si="317"/>
        <v>0</v>
      </c>
      <c r="KH28" s="479">
        <f t="shared" si="317"/>
        <v>0</v>
      </c>
      <c r="KI28" s="479">
        <f t="shared" si="317"/>
        <v>0</v>
      </c>
      <c r="KJ28" s="479">
        <f t="shared" si="317"/>
        <v>0</v>
      </c>
      <c r="KK28" s="479">
        <f t="shared" si="318"/>
        <v>0</v>
      </c>
      <c r="KL28" s="479">
        <f t="shared" si="318"/>
        <v>0</v>
      </c>
      <c r="KM28" s="479">
        <f t="shared" si="318"/>
        <v>0</v>
      </c>
      <c r="KN28" s="479">
        <f t="shared" si="318"/>
        <v>0</v>
      </c>
      <c r="KO28" s="479">
        <f t="shared" si="318"/>
        <v>0</v>
      </c>
      <c r="KP28" s="479">
        <f t="shared" si="318"/>
        <v>0</v>
      </c>
      <c r="KQ28" s="479">
        <f t="shared" si="318"/>
        <v>0</v>
      </c>
      <c r="KR28" s="479">
        <f t="shared" si="318"/>
        <v>0</v>
      </c>
      <c r="KS28" s="479">
        <f t="shared" si="318"/>
        <v>0</v>
      </c>
      <c r="KT28" s="479">
        <f t="shared" si="318"/>
        <v>0</v>
      </c>
      <c r="KU28" s="479">
        <f t="shared" si="318"/>
        <v>0</v>
      </c>
      <c r="KV28" s="479">
        <f t="shared" si="318"/>
        <v>0</v>
      </c>
      <c r="KW28" s="479">
        <f t="shared" si="318"/>
        <v>0</v>
      </c>
      <c r="KX28" s="479">
        <f t="shared" si="318"/>
        <v>0</v>
      </c>
      <c r="KY28" s="479">
        <f t="shared" si="318"/>
        <v>0</v>
      </c>
      <c r="KZ28" s="479">
        <f t="shared" si="318"/>
        <v>0</v>
      </c>
      <c r="LA28" s="479">
        <f t="shared" si="319"/>
        <v>0</v>
      </c>
      <c r="LB28" s="479">
        <f t="shared" si="319"/>
        <v>0</v>
      </c>
      <c r="LC28" s="479">
        <f t="shared" si="319"/>
        <v>0</v>
      </c>
      <c r="LD28" s="479">
        <f t="shared" si="319"/>
        <v>0</v>
      </c>
      <c r="LE28" s="479">
        <f t="shared" si="319"/>
        <v>0</v>
      </c>
      <c r="LF28" s="479">
        <f t="shared" si="319"/>
        <v>0</v>
      </c>
      <c r="LG28" s="479">
        <f t="shared" si="319"/>
        <v>0</v>
      </c>
      <c r="LH28" s="479">
        <f t="shared" si="319"/>
        <v>0</v>
      </c>
      <c r="LI28" s="479">
        <f t="shared" si="319"/>
        <v>0</v>
      </c>
      <c r="LJ28" s="479">
        <f t="shared" si="319"/>
        <v>0</v>
      </c>
      <c r="LK28" s="479">
        <f t="shared" si="319"/>
        <v>0</v>
      </c>
      <c r="LL28" s="479">
        <f t="shared" si="319"/>
        <v>0</v>
      </c>
      <c r="LM28" s="479">
        <f t="shared" si="319"/>
        <v>0</v>
      </c>
      <c r="LN28" s="479">
        <f t="shared" si="319"/>
        <v>0</v>
      </c>
      <c r="LO28" s="479">
        <f t="shared" si="319"/>
        <v>0</v>
      </c>
      <c r="LP28" s="479">
        <f t="shared" si="319"/>
        <v>0</v>
      </c>
      <c r="LQ28" s="479">
        <f t="shared" si="303"/>
        <v>0</v>
      </c>
      <c r="LR28" s="479">
        <f t="shared" si="303"/>
        <v>0</v>
      </c>
      <c r="LS28" s="479">
        <f t="shared" si="303"/>
        <v>0</v>
      </c>
      <c r="LT28" s="479">
        <f t="shared" si="303"/>
        <v>0</v>
      </c>
      <c r="LU28" s="479">
        <f t="shared" si="303"/>
        <v>0</v>
      </c>
      <c r="LV28" s="479">
        <f t="shared" si="303"/>
        <v>0</v>
      </c>
      <c r="LW28" s="479">
        <f t="shared" si="303"/>
        <v>0</v>
      </c>
      <c r="LX28" s="479">
        <f t="shared" si="303"/>
        <v>0</v>
      </c>
      <c r="LY28" s="479">
        <f t="shared" si="303"/>
        <v>0</v>
      </c>
      <c r="LZ28" s="479">
        <f t="shared" si="303"/>
        <v>0</v>
      </c>
      <c r="MA28" s="479">
        <f t="shared" si="303"/>
        <v>0</v>
      </c>
      <c r="MB28" s="479">
        <f t="shared" si="303"/>
        <v>0</v>
      </c>
      <c r="MC28" s="479">
        <f t="shared" si="303"/>
        <v>0</v>
      </c>
      <c r="MD28" s="479">
        <f t="shared" si="303"/>
        <v>0</v>
      </c>
      <c r="ME28" s="479">
        <f t="shared" si="303"/>
        <v>0</v>
      </c>
      <c r="MF28" s="479">
        <f t="shared" si="303"/>
        <v>0</v>
      </c>
      <c r="MG28" s="479">
        <f t="shared" si="320"/>
        <v>0</v>
      </c>
      <c r="MH28" s="479">
        <f t="shared" si="320"/>
        <v>0</v>
      </c>
      <c r="MI28" s="479">
        <f t="shared" si="320"/>
        <v>0</v>
      </c>
      <c r="MJ28" s="479">
        <f t="shared" si="320"/>
        <v>0</v>
      </c>
      <c r="MK28" s="479">
        <f t="shared" si="320"/>
        <v>0</v>
      </c>
      <c r="ML28" s="479">
        <f t="shared" si="320"/>
        <v>0</v>
      </c>
      <c r="MM28" s="479">
        <f t="shared" si="320"/>
        <v>0</v>
      </c>
      <c r="MN28" s="479">
        <f t="shared" si="320"/>
        <v>0</v>
      </c>
      <c r="MO28" s="479">
        <f t="shared" si="320"/>
        <v>0</v>
      </c>
      <c r="MP28" s="479">
        <f t="shared" si="320"/>
        <v>0</v>
      </c>
      <c r="MQ28" s="479">
        <f t="shared" si="320"/>
        <v>0</v>
      </c>
      <c r="MR28" s="479">
        <f t="shared" si="320"/>
        <v>0</v>
      </c>
      <c r="MS28" s="479">
        <f t="shared" si="320"/>
        <v>0</v>
      </c>
      <c r="MT28" s="479">
        <f t="shared" si="320"/>
        <v>0</v>
      </c>
      <c r="MU28" s="479">
        <f t="shared" si="320"/>
        <v>0</v>
      </c>
      <c r="MV28" s="479">
        <f t="shared" si="320"/>
        <v>0</v>
      </c>
      <c r="MW28" s="479">
        <f t="shared" si="321"/>
        <v>0</v>
      </c>
      <c r="MX28" s="479">
        <f t="shared" si="321"/>
        <v>0</v>
      </c>
      <c r="MY28" s="479">
        <f t="shared" si="321"/>
        <v>0</v>
      </c>
      <c r="MZ28" s="479">
        <f t="shared" si="321"/>
        <v>0</v>
      </c>
      <c r="NA28" s="479">
        <f t="shared" si="321"/>
        <v>0</v>
      </c>
      <c r="NB28" s="479">
        <f t="shared" si="321"/>
        <v>0</v>
      </c>
      <c r="NC28" s="479">
        <f t="shared" si="321"/>
        <v>0</v>
      </c>
      <c r="ND28" s="479">
        <f t="shared" si="321"/>
        <v>0</v>
      </c>
      <c r="NE28" s="479">
        <f t="shared" si="321"/>
        <v>0</v>
      </c>
      <c r="NF28" s="479">
        <f t="shared" si="321"/>
        <v>0</v>
      </c>
      <c r="NG28" s="479">
        <f t="shared" si="321"/>
        <v>0</v>
      </c>
      <c r="NH28" s="479">
        <f t="shared" si="321"/>
        <v>0</v>
      </c>
      <c r="NI28" s="479">
        <f t="shared" si="321"/>
        <v>0</v>
      </c>
      <c r="NJ28" s="479">
        <f t="shared" si="321"/>
        <v>0</v>
      </c>
      <c r="NK28" s="479">
        <f t="shared" si="321"/>
        <v>0</v>
      </c>
      <c r="NL28" s="479">
        <f t="shared" si="321"/>
        <v>0</v>
      </c>
      <c r="NM28" s="479">
        <f t="shared" si="322"/>
        <v>0</v>
      </c>
      <c r="NN28" s="479">
        <f t="shared" si="322"/>
        <v>0</v>
      </c>
      <c r="NO28" s="479">
        <f t="shared" si="322"/>
        <v>0</v>
      </c>
      <c r="NP28" s="479">
        <f t="shared" si="322"/>
        <v>0</v>
      </c>
      <c r="NQ28" s="479">
        <f t="shared" si="322"/>
        <v>0</v>
      </c>
      <c r="NR28" s="479">
        <f t="shared" si="322"/>
        <v>0</v>
      </c>
      <c r="NS28" s="479">
        <f t="shared" si="322"/>
        <v>0</v>
      </c>
      <c r="NT28" s="479">
        <f t="shared" si="322"/>
        <v>0</v>
      </c>
      <c r="NU28" s="479">
        <f t="shared" si="322"/>
        <v>0</v>
      </c>
      <c r="NV28" s="479">
        <f t="shared" si="322"/>
        <v>0</v>
      </c>
      <c r="NW28" s="479">
        <f t="shared" si="322"/>
        <v>0</v>
      </c>
      <c r="NX28" s="479">
        <f t="shared" si="322"/>
        <v>0</v>
      </c>
      <c r="NY28" s="479">
        <f t="shared" si="322"/>
        <v>0</v>
      </c>
      <c r="NZ28" s="479">
        <f t="shared" si="322"/>
        <v>0</v>
      </c>
      <c r="OA28" s="479">
        <f t="shared" si="322"/>
        <v>0</v>
      </c>
      <c r="OB28" s="479">
        <f t="shared" si="322"/>
        <v>0</v>
      </c>
      <c r="OC28" s="479">
        <f t="shared" si="304"/>
        <v>0</v>
      </c>
      <c r="OD28" s="479">
        <f t="shared" si="304"/>
        <v>0</v>
      </c>
      <c r="OE28" s="479">
        <f t="shared" si="291"/>
        <v>0</v>
      </c>
      <c r="OF28" s="479">
        <f t="shared" si="291"/>
        <v>0</v>
      </c>
      <c r="OG28" s="479">
        <f t="shared" si="291"/>
        <v>0</v>
      </c>
      <c r="OH28" s="479">
        <f t="shared" si="291"/>
        <v>0</v>
      </c>
      <c r="OI28" s="479">
        <f t="shared" si="291"/>
        <v>0</v>
      </c>
      <c r="OJ28" s="479">
        <f t="shared" si="291"/>
        <v>0</v>
      </c>
      <c r="OK28" s="479">
        <f t="shared" si="291"/>
        <v>0</v>
      </c>
      <c r="OL28" s="479">
        <f t="shared" si="291"/>
        <v>0</v>
      </c>
      <c r="OM28" s="479">
        <f t="shared" si="291"/>
        <v>0</v>
      </c>
      <c r="ON28" s="479">
        <f t="shared" si="291"/>
        <v>0</v>
      </c>
      <c r="OO28" s="479">
        <f t="shared" si="291"/>
        <v>0</v>
      </c>
    </row>
    <row r="29" spans="2:405"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479"/>
      <c r="M29" s="479"/>
      <c r="N29" s="479"/>
      <c r="O29" s="479"/>
      <c r="P29" s="479"/>
      <c r="Q29" s="479"/>
      <c r="R29" s="479"/>
      <c r="S29" s="479"/>
      <c r="T29" s="479"/>
      <c r="U29" s="479"/>
      <c r="V29" s="479"/>
      <c r="W29" s="479"/>
      <c r="X29" s="479"/>
      <c r="Y29" s="479"/>
      <c r="Z29" s="479"/>
      <c r="AA29" s="479"/>
      <c r="AB29" s="479"/>
      <c r="AC29" s="479"/>
      <c r="AD29" s="479"/>
      <c r="AE29" s="479"/>
      <c r="AF29" s="479"/>
      <c r="AG29" s="479"/>
      <c r="AH29" s="479"/>
      <c r="AI29" s="479"/>
      <c r="AJ29" s="479"/>
      <c r="AK29" s="479"/>
      <c r="AL29" s="479"/>
      <c r="AM29" s="479"/>
      <c r="AN29" s="479"/>
      <c r="AO29" s="479"/>
      <c r="AP29" s="97"/>
      <c r="AQ29" s="97"/>
    </row>
    <row r="30" spans="2:405">
      <c r="B30" s="97" t="str">
        <f>Assumptions!B95</f>
        <v>Accounting &amp; Cost Certification</v>
      </c>
      <c r="C30" s="97"/>
      <c r="D30" s="500">
        <f>Assumptions!C95</f>
        <v>30000</v>
      </c>
      <c r="E30" s="507">
        <f>Assumptions!$C$8</f>
        <v>46204</v>
      </c>
      <c r="F30" s="507">
        <f>EOMONTH(E30,Assumptions!$C$9-1)</f>
        <v>46387</v>
      </c>
      <c r="G30" s="97">
        <f t="shared" ref="G30:G44" si="323">((YEAR(F30)-YEAR(E30))*12+MONTH(F30)-MONTH(E30)+1)</f>
        <v>6</v>
      </c>
      <c r="H30" s="97"/>
      <c r="I30" s="97"/>
      <c r="J30" s="479">
        <f>-IF(J$7&gt;=$E30,IF(J$7&lt;=$F30,$D30/$G30,0),0)</f>
        <v>-5000</v>
      </c>
      <c r="K30" s="479">
        <f t="shared" ref="K30:BV33" si="324">-IF(K$7&gt;=$E30,IF(K$7&lt;=$F30,$D30/$G30,0),0)</f>
        <v>-5000</v>
      </c>
      <c r="L30" s="479">
        <f t="shared" si="324"/>
        <v>-5000</v>
      </c>
      <c r="M30" s="479">
        <f t="shared" si="324"/>
        <v>-5000</v>
      </c>
      <c r="N30" s="479">
        <f t="shared" si="324"/>
        <v>-5000</v>
      </c>
      <c r="O30" s="479">
        <f t="shared" si="324"/>
        <v>-5000</v>
      </c>
      <c r="P30" s="479">
        <f t="shared" si="324"/>
        <v>0</v>
      </c>
      <c r="Q30" s="479">
        <f t="shared" si="324"/>
        <v>0</v>
      </c>
      <c r="R30" s="479">
        <f t="shared" si="324"/>
        <v>0</v>
      </c>
      <c r="S30" s="479">
        <f t="shared" si="324"/>
        <v>0</v>
      </c>
      <c r="T30" s="479">
        <f t="shared" si="324"/>
        <v>0</v>
      </c>
      <c r="U30" s="479">
        <f t="shared" si="324"/>
        <v>0</v>
      </c>
      <c r="V30" s="479">
        <f t="shared" si="324"/>
        <v>0</v>
      </c>
      <c r="W30" s="479">
        <f t="shared" si="324"/>
        <v>0</v>
      </c>
      <c r="X30" s="479">
        <f t="shared" si="324"/>
        <v>0</v>
      </c>
      <c r="Y30" s="479">
        <f t="shared" si="324"/>
        <v>0</v>
      </c>
      <c r="Z30" s="479">
        <f t="shared" si="324"/>
        <v>0</v>
      </c>
      <c r="AA30" s="479">
        <f t="shared" si="324"/>
        <v>0</v>
      </c>
      <c r="AB30" s="479">
        <f t="shared" si="324"/>
        <v>0</v>
      </c>
      <c r="AC30" s="479">
        <f t="shared" si="324"/>
        <v>0</v>
      </c>
      <c r="AD30" s="479">
        <f t="shared" si="324"/>
        <v>0</v>
      </c>
      <c r="AE30" s="479">
        <f t="shared" si="324"/>
        <v>0</v>
      </c>
      <c r="AF30" s="479">
        <f t="shared" si="324"/>
        <v>0</v>
      </c>
      <c r="AG30" s="479">
        <f t="shared" si="324"/>
        <v>0</v>
      </c>
      <c r="AH30" s="479">
        <f t="shared" si="324"/>
        <v>0</v>
      </c>
      <c r="AI30" s="479">
        <f t="shared" si="324"/>
        <v>0</v>
      </c>
      <c r="AJ30" s="479">
        <f t="shared" si="324"/>
        <v>0</v>
      </c>
      <c r="AK30" s="479">
        <f t="shared" si="324"/>
        <v>0</v>
      </c>
      <c r="AL30" s="479">
        <f t="shared" si="324"/>
        <v>0</v>
      </c>
      <c r="AM30" s="479">
        <f t="shared" si="324"/>
        <v>0</v>
      </c>
      <c r="AN30" s="479">
        <f t="shared" si="324"/>
        <v>0</v>
      </c>
      <c r="AO30" s="479">
        <f t="shared" si="324"/>
        <v>0</v>
      </c>
      <c r="AP30" s="479">
        <f t="shared" si="324"/>
        <v>0</v>
      </c>
      <c r="AQ30" s="479">
        <f t="shared" si="324"/>
        <v>0</v>
      </c>
      <c r="AR30" s="479">
        <f t="shared" si="324"/>
        <v>0</v>
      </c>
      <c r="AS30" s="479">
        <f t="shared" si="324"/>
        <v>0</v>
      </c>
      <c r="AT30" s="479">
        <f t="shared" si="324"/>
        <v>0</v>
      </c>
      <c r="AU30" s="479">
        <f t="shared" si="324"/>
        <v>0</v>
      </c>
      <c r="AV30" s="479">
        <f t="shared" si="324"/>
        <v>0</v>
      </c>
      <c r="AW30" s="479">
        <f t="shared" si="324"/>
        <v>0</v>
      </c>
      <c r="AX30" s="479">
        <f t="shared" si="324"/>
        <v>0</v>
      </c>
      <c r="AY30" s="479">
        <f t="shared" si="324"/>
        <v>0</v>
      </c>
      <c r="AZ30" s="479">
        <f t="shared" si="324"/>
        <v>0</v>
      </c>
      <c r="BA30" s="479">
        <f t="shared" si="324"/>
        <v>0</v>
      </c>
      <c r="BB30" s="479">
        <f t="shared" si="324"/>
        <v>0</v>
      </c>
      <c r="BC30" s="479">
        <f t="shared" si="324"/>
        <v>0</v>
      </c>
      <c r="BD30" s="479">
        <f t="shared" si="324"/>
        <v>0</v>
      </c>
      <c r="BE30" s="479">
        <f t="shared" si="324"/>
        <v>0</v>
      </c>
      <c r="BF30" s="479">
        <f t="shared" si="324"/>
        <v>0</v>
      </c>
      <c r="BG30" s="479">
        <f t="shared" si="324"/>
        <v>0</v>
      </c>
      <c r="BH30" s="479">
        <f t="shared" si="324"/>
        <v>0</v>
      </c>
      <c r="BI30" s="479">
        <f t="shared" si="324"/>
        <v>0</v>
      </c>
      <c r="BJ30" s="479">
        <f t="shared" si="324"/>
        <v>0</v>
      </c>
      <c r="BK30" s="479">
        <f t="shared" si="324"/>
        <v>0</v>
      </c>
      <c r="BL30" s="479">
        <f t="shared" si="324"/>
        <v>0</v>
      </c>
      <c r="BM30" s="479">
        <f t="shared" si="324"/>
        <v>0</v>
      </c>
      <c r="BN30" s="479">
        <f t="shared" si="324"/>
        <v>0</v>
      </c>
      <c r="BO30" s="479">
        <f t="shared" si="324"/>
        <v>0</v>
      </c>
      <c r="BP30" s="479">
        <f t="shared" si="324"/>
        <v>0</v>
      </c>
      <c r="BQ30" s="479">
        <f t="shared" si="324"/>
        <v>0</v>
      </c>
      <c r="BR30" s="479">
        <f t="shared" si="324"/>
        <v>0</v>
      </c>
      <c r="BS30" s="479">
        <f t="shared" si="324"/>
        <v>0</v>
      </c>
      <c r="BT30" s="479">
        <f t="shared" si="324"/>
        <v>0</v>
      </c>
      <c r="BU30" s="479">
        <f t="shared" si="324"/>
        <v>0</v>
      </c>
      <c r="BV30" s="479">
        <f t="shared" si="324"/>
        <v>0</v>
      </c>
      <c r="BW30" s="479">
        <f t="shared" ref="BW30:EH33" si="325">-IF(BW$7&gt;=$E30,IF(BW$7&lt;=$F30,$D30/$G30,0),0)</f>
        <v>0</v>
      </c>
      <c r="BX30" s="479">
        <f t="shared" si="325"/>
        <v>0</v>
      </c>
      <c r="BY30" s="479">
        <f t="shared" si="325"/>
        <v>0</v>
      </c>
      <c r="BZ30" s="479">
        <f t="shared" si="325"/>
        <v>0</v>
      </c>
      <c r="CA30" s="479">
        <f t="shared" si="325"/>
        <v>0</v>
      </c>
      <c r="CB30" s="479">
        <f t="shared" si="325"/>
        <v>0</v>
      </c>
      <c r="CC30" s="479">
        <f t="shared" si="325"/>
        <v>0</v>
      </c>
      <c r="CD30" s="479">
        <f t="shared" si="325"/>
        <v>0</v>
      </c>
      <c r="CE30" s="479">
        <f t="shared" si="325"/>
        <v>0</v>
      </c>
      <c r="CF30" s="479">
        <f t="shared" si="325"/>
        <v>0</v>
      </c>
      <c r="CG30" s="479">
        <f t="shared" si="325"/>
        <v>0</v>
      </c>
      <c r="CH30" s="479">
        <f t="shared" si="325"/>
        <v>0</v>
      </c>
      <c r="CI30" s="479">
        <f t="shared" si="325"/>
        <v>0</v>
      </c>
      <c r="CJ30" s="479">
        <f t="shared" si="325"/>
        <v>0</v>
      </c>
      <c r="CK30" s="479">
        <f t="shared" si="325"/>
        <v>0</v>
      </c>
      <c r="CL30" s="479">
        <f t="shared" si="325"/>
        <v>0</v>
      </c>
      <c r="CM30" s="479">
        <f t="shared" si="325"/>
        <v>0</v>
      </c>
      <c r="CN30" s="479">
        <f t="shared" si="325"/>
        <v>0</v>
      </c>
      <c r="CO30" s="479">
        <f t="shared" si="325"/>
        <v>0</v>
      </c>
      <c r="CP30" s="479">
        <f t="shared" si="325"/>
        <v>0</v>
      </c>
      <c r="CQ30" s="479">
        <f t="shared" si="325"/>
        <v>0</v>
      </c>
      <c r="CR30" s="479">
        <f t="shared" si="325"/>
        <v>0</v>
      </c>
      <c r="CS30" s="479">
        <f t="shared" si="325"/>
        <v>0</v>
      </c>
      <c r="CT30" s="479">
        <f t="shared" si="325"/>
        <v>0</v>
      </c>
      <c r="CU30" s="479">
        <f t="shared" si="325"/>
        <v>0</v>
      </c>
      <c r="CV30" s="479">
        <f t="shared" si="325"/>
        <v>0</v>
      </c>
      <c r="CW30" s="479">
        <f t="shared" si="325"/>
        <v>0</v>
      </c>
      <c r="CX30" s="479">
        <f t="shared" si="325"/>
        <v>0</v>
      </c>
      <c r="CY30" s="479">
        <f t="shared" si="325"/>
        <v>0</v>
      </c>
      <c r="CZ30" s="479">
        <f t="shared" si="325"/>
        <v>0</v>
      </c>
      <c r="DA30" s="479">
        <f t="shared" si="325"/>
        <v>0</v>
      </c>
      <c r="DB30" s="479">
        <f t="shared" si="325"/>
        <v>0</v>
      </c>
      <c r="DC30" s="479">
        <f t="shared" si="325"/>
        <v>0</v>
      </c>
      <c r="DD30" s="479">
        <f t="shared" si="325"/>
        <v>0</v>
      </c>
      <c r="DE30" s="479">
        <f t="shared" si="325"/>
        <v>0</v>
      </c>
      <c r="DF30" s="479">
        <f t="shared" si="325"/>
        <v>0</v>
      </c>
      <c r="DG30" s="479">
        <f t="shared" si="325"/>
        <v>0</v>
      </c>
      <c r="DH30" s="479">
        <f t="shared" si="325"/>
        <v>0</v>
      </c>
      <c r="DI30" s="479">
        <f t="shared" si="325"/>
        <v>0</v>
      </c>
      <c r="DJ30" s="479">
        <f t="shared" si="325"/>
        <v>0</v>
      </c>
      <c r="DK30" s="479">
        <f t="shared" si="325"/>
        <v>0</v>
      </c>
      <c r="DL30" s="479">
        <f t="shared" si="325"/>
        <v>0</v>
      </c>
      <c r="DM30" s="479">
        <f t="shared" si="325"/>
        <v>0</v>
      </c>
      <c r="DN30" s="479">
        <f t="shared" si="325"/>
        <v>0</v>
      </c>
      <c r="DO30" s="479">
        <f t="shared" si="325"/>
        <v>0</v>
      </c>
      <c r="DP30" s="479">
        <f t="shared" si="325"/>
        <v>0</v>
      </c>
      <c r="DQ30" s="479">
        <f t="shared" si="325"/>
        <v>0</v>
      </c>
      <c r="DR30" s="479">
        <f t="shared" si="325"/>
        <v>0</v>
      </c>
      <c r="DS30" s="479">
        <f t="shared" si="325"/>
        <v>0</v>
      </c>
      <c r="DT30" s="479">
        <f t="shared" si="325"/>
        <v>0</v>
      </c>
      <c r="DU30" s="479">
        <f t="shared" si="325"/>
        <v>0</v>
      </c>
      <c r="DV30" s="479">
        <f t="shared" si="325"/>
        <v>0</v>
      </c>
      <c r="DW30" s="479">
        <f t="shared" si="325"/>
        <v>0</v>
      </c>
      <c r="DX30" s="479">
        <f t="shared" si="325"/>
        <v>0</v>
      </c>
      <c r="DY30" s="479">
        <f t="shared" si="325"/>
        <v>0</v>
      </c>
      <c r="DZ30" s="479">
        <f t="shared" si="325"/>
        <v>0</v>
      </c>
      <c r="EA30" s="479">
        <f t="shared" si="325"/>
        <v>0</v>
      </c>
      <c r="EB30" s="479">
        <f t="shared" si="325"/>
        <v>0</v>
      </c>
      <c r="EC30" s="479">
        <f t="shared" si="325"/>
        <v>0</v>
      </c>
      <c r="ED30" s="479">
        <f t="shared" si="325"/>
        <v>0</v>
      </c>
      <c r="EE30" s="479">
        <f t="shared" si="325"/>
        <v>0</v>
      </c>
      <c r="EF30" s="479">
        <f t="shared" si="325"/>
        <v>0</v>
      </c>
      <c r="EG30" s="479">
        <f t="shared" si="325"/>
        <v>0</v>
      </c>
      <c r="EH30" s="479">
        <f t="shared" si="325"/>
        <v>0</v>
      </c>
      <c r="EI30" s="479">
        <f t="shared" ref="EI30:GT33" si="326">-IF(EI$7&gt;=$E30,IF(EI$7&lt;=$F30,$D30/$G30,0),0)</f>
        <v>0</v>
      </c>
      <c r="EJ30" s="479">
        <f t="shared" si="326"/>
        <v>0</v>
      </c>
      <c r="EK30" s="479">
        <f t="shared" si="326"/>
        <v>0</v>
      </c>
      <c r="EL30" s="479">
        <f t="shared" si="326"/>
        <v>0</v>
      </c>
      <c r="EM30" s="479">
        <f t="shared" si="326"/>
        <v>0</v>
      </c>
      <c r="EN30" s="479">
        <f t="shared" si="326"/>
        <v>0</v>
      </c>
      <c r="EO30" s="479">
        <f t="shared" si="326"/>
        <v>0</v>
      </c>
      <c r="EP30" s="479">
        <f t="shared" si="326"/>
        <v>0</v>
      </c>
      <c r="EQ30" s="479">
        <f t="shared" si="326"/>
        <v>0</v>
      </c>
      <c r="ER30" s="479">
        <f t="shared" si="326"/>
        <v>0</v>
      </c>
      <c r="ES30" s="479">
        <f t="shared" si="326"/>
        <v>0</v>
      </c>
      <c r="ET30" s="479">
        <f t="shared" si="326"/>
        <v>0</v>
      </c>
      <c r="EU30" s="479">
        <f t="shared" si="326"/>
        <v>0</v>
      </c>
      <c r="EV30" s="479">
        <f t="shared" si="326"/>
        <v>0</v>
      </c>
      <c r="EW30" s="479">
        <f t="shared" si="326"/>
        <v>0</v>
      </c>
      <c r="EX30" s="479">
        <f t="shared" si="326"/>
        <v>0</v>
      </c>
      <c r="EY30" s="479">
        <f t="shared" si="326"/>
        <v>0</v>
      </c>
      <c r="EZ30" s="479">
        <f t="shared" si="326"/>
        <v>0</v>
      </c>
      <c r="FA30" s="479">
        <f t="shared" si="326"/>
        <v>0</v>
      </c>
      <c r="FB30" s="479">
        <f t="shared" si="326"/>
        <v>0</v>
      </c>
      <c r="FC30" s="479">
        <f t="shared" si="326"/>
        <v>0</v>
      </c>
      <c r="FD30" s="479">
        <f t="shared" si="326"/>
        <v>0</v>
      </c>
      <c r="FE30" s="479">
        <f t="shared" si="326"/>
        <v>0</v>
      </c>
      <c r="FF30" s="479">
        <f t="shared" si="326"/>
        <v>0</v>
      </c>
      <c r="FG30" s="479">
        <f t="shared" si="326"/>
        <v>0</v>
      </c>
      <c r="FH30" s="479">
        <f t="shared" si="326"/>
        <v>0</v>
      </c>
      <c r="FI30" s="479">
        <f t="shared" si="326"/>
        <v>0</v>
      </c>
      <c r="FJ30" s="479">
        <f t="shared" si="326"/>
        <v>0</v>
      </c>
      <c r="FK30" s="479">
        <f t="shared" si="326"/>
        <v>0</v>
      </c>
      <c r="FL30" s="479">
        <f t="shared" si="326"/>
        <v>0</v>
      </c>
      <c r="FM30" s="479">
        <f t="shared" si="326"/>
        <v>0</v>
      </c>
      <c r="FN30" s="479">
        <f t="shared" si="326"/>
        <v>0</v>
      </c>
      <c r="FO30" s="479">
        <f t="shared" si="326"/>
        <v>0</v>
      </c>
      <c r="FP30" s="479">
        <f t="shared" si="326"/>
        <v>0</v>
      </c>
      <c r="FQ30" s="479">
        <f t="shared" si="326"/>
        <v>0</v>
      </c>
      <c r="FR30" s="479">
        <f t="shared" si="326"/>
        <v>0</v>
      </c>
      <c r="FS30" s="479">
        <f t="shared" si="326"/>
        <v>0</v>
      </c>
      <c r="FT30" s="479">
        <f t="shared" si="326"/>
        <v>0</v>
      </c>
      <c r="FU30" s="479">
        <f t="shared" si="326"/>
        <v>0</v>
      </c>
      <c r="FV30" s="479">
        <f t="shared" si="326"/>
        <v>0</v>
      </c>
      <c r="FW30" s="479">
        <f t="shared" si="326"/>
        <v>0</v>
      </c>
      <c r="FX30" s="479">
        <f t="shared" si="326"/>
        <v>0</v>
      </c>
      <c r="FY30" s="479">
        <f t="shared" si="326"/>
        <v>0</v>
      </c>
      <c r="FZ30" s="479">
        <f t="shared" si="326"/>
        <v>0</v>
      </c>
      <c r="GA30" s="479">
        <f t="shared" si="326"/>
        <v>0</v>
      </c>
      <c r="GB30" s="479">
        <f t="shared" si="326"/>
        <v>0</v>
      </c>
      <c r="GC30" s="479">
        <f t="shared" si="326"/>
        <v>0</v>
      </c>
      <c r="GD30" s="479">
        <f t="shared" si="326"/>
        <v>0</v>
      </c>
      <c r="GE30" s="479">
        <f t="shared" si="326"/>
        <v>0</v>
      </c>
      <c r="GF30" s="479">
        <f t="shared" si="326"/>
        <v>0</v>
      </c>
      <c r="GG30" s="479">
        <f t="shared" si="326"/>
        <v>0</v>
      </c>
      <c r="GH30" s="479">
        <f t="shared" si="326"/>
        <v>0</v>
      </c>
      <c r="GI30" s="479">
        <f t="shared" si="326"/>
        <v>0</v>
      </c>
      <c r="GJ30" s="479">
        <f t="shared" si="326"/>
        <v>0</v>
      </c>
      <c r="GK30" s="479">
        <f t="shared" si="326"/>
        <v>0</v>
      </c>
      <c r="GL30" s="479">
        <f t="shared" si="326"/>
        <v>0</v>
      </c>
      <c r="GM30" s="479">
        <f t="shared" si="326"/>
        <v>0</v>
      </c>
      <c r="GN30" s="479">
        <f t="shared" si="326"/>
        <v>0</v>
      </c>
      <c r="GO30" s="479">
        <f t="shared" si="326"/>
        <v>0</v>
      </c>
      <c r="GP30" s="479">
        <f t="shared" si="326"/>
        <v>0</v>
      </c>
      <c r="GQ30" s="479">
        <f t="shared" si="326"/>
        <v>0</v>
      </c>
      <c r="GR30" s="479">
        <f t="shared" si="326"/>
        <v>0</v>
      </c>
      <c r="GS30" s="479">
        <f t="shared" si="326"/>
        <v>0</v>
      </c>
      <c r="GT30" s="479">
        <f t="shared" si="326"/>
        <v>0</v>
      </c>
      <c r="GU30" s="479">
        <f t="shared" ref="GU30:JF33" si="327">-IF(GU$7&gt;=$E30,IF(GU$7&lt;=$F30,$D30/$G30,0),0)</f>
        <v>0</v>
      </c>
      <c r="GV30" s="479">
        <f t="shared" si="327"/>
        <v>0</v>
      </c>
      <c r="GW30" s="479">
        <f t="shared" si="327"/>
        <v>0</v>
      </c>
      <c r="GX30" s="479">
        <f t="shared" si="327"/>
        <v>0</v>
      </c>
      <c r="GY30" s="479">
        <f t="shared" si="327"/>
        <v>0</v>
      </c>
      <c r="GZ30" s="479">
        <f t="shared" si="327"/>
        <v>0</v>
      </c>
      <c r="HA30" s="479">
        <f t="shared" si="327"/>
        <v>0</v>
      </c>
      <c r="HB30" s="479">
        <f t="shared" si="327"/>
        <v>0</v>
      </c>
      <c r="HC30" s="479">
        <f t="shared" si="327"/>
        <v>0</v>
      </c>
      <c r="HD30" s="479">
        <f t="shared" si="327"/>
        <v>0</v>
      </c>
      <c r="HE30" s="479">
        <f t="shared" si="327"/>
        <v>0</v>
      </c>
      <c r="HF30" s="479">
        <f t="shared" si="327"/>
        <v>0</v>
      </c>
      <c r="HG30" s="479">
        <f t="shared" si="327"/>
        <v>0</v>
      </c>
      <c r="HH30" s="479">
        <f t="shared" si="327"/>
        <v>0</v>
      </c>
      <c r="HI30" s="479">
        <f t="shared" si="327"/>
        <v>0</v>
      </c>
      <c r="HJ30" s="479">
        <f t="shared" si="327"/>
        <v>0</v>
      </c>
      <c r="HK30" s="479">
        <f t="shared" si="327"/>
        <v>0</v>
      </c>
      <c r="HL30" s="479">
        <f t="shared" si="327"/>
        <v>0</v>
      </c>
      <c r="HM30" s="479">
        <f t="shared" si="327"/>
        <v>0</v>
      </c>
      <c r="HN30" s="479">
        <f t="shared" si="327"/>
        <v>0</v>
      </c>
      <c r="HO30" s="479">
        <f t="shared" si="327"/>
        <v>0</v>
      </c>
      <c r="HP30" s="479">
        <f t="shared" si="327"/>
        <v>0</v>
      </c>
      <c r="HQ30" s="479">
        <f t="shared" si="327"/>
        <v>0</v>
      </c>
      <c r="HR30" s="479">
        <f t="shared" si="327"/>
        <v>0</v>
      </c>
      <c r="HS30" s="479">
        <f t="shared" si="327"/>
        <v>0</v>
      </c>
      <c r="HT30" s="479">
        <f t="shared" si="327"/>
        <v>0</v>
      </c>
      <c r="HU30" s="479">
        <f t="shared" si="327"/>
        <v>0</v>
      </c>
      <c r="HV30" s="479">
        <f t="shared" si="327"/>
        <v>0</v>
      </c>
      <c r="HW30" s="479">
        <f t="shared" si="327"/>
        <v>0</v>
      </c>
      <c r="HX30" s="479">
        <f t="shared" si="327"/>
        <v>0</v>
      </c>
      <c r="HY30" s="479">
        <f t="shared" si="327"/>
        <v>0</v>
      </c>
      <c r="HZ30" s="479">
        <f t="shared" si="327"/>
        <v>0</v>
      </c>
      <c r="IA30" s="479">
        <f t="shared" si="327"/>
        <v>0</v>
      </c>
      <c r="IB30" s="479">
        <f t="shared" si="327"/>
        <v>0</v>
      </c>
      <c r="IC30" s="479">
        <f t="shared" si="327"/>
        <v>0</v>
      </c>
      <c r="ID30" s="479">
        <f t="shared" si="327"/>
        <v>0</v>
      </c>
      <c r="IE30" s="479">
        <f t="shared" si="327"/>
        <v>0</v>
      </c>
      <c r="IF30" s="479">
        <f t="shared" si="327"/>
        <v>0</v>
      </c>
      <c r="IG30" s="479">
        <f t="shared" si="327"/>
        <v>0</v>
      </c>
      <c r="IH30" s="479">
        <f t="shared" si="327"/>
        <v>0</v>
      </c>
      <c r="II30" s="479">
        <f t="shared" si="327"/>
        <v>0</v>
      </c>
      <c r="IJ30" s="479">
        <f t="shared" si="327"/>
        <v>0</v>
      </c>
      <c r="IK30" s="479">
        <f t="shared" si="327"/>
        <v>0</v>
      </c>
      <c r="IL30" s="479">
        <f t="shared" si="327"/>
        <v>0</v>
      </c>
      <c r="IM30" s="479">
        <f t="shared" si="327"/>
        <v>0</v>
      </c>
      <c r="IN30" s="479">
        <f t="shared" si="327"/>
        <v>0</v>
      </c>
      <c r="IO30" s="479">
        <f t="shared" si="327"/>
        <v>0</v>
      </c>
      <c r="IP30" s="479">
        <f t="shared" si="327"/>
        <v>0</v>
      </c>
      <c r="IQ30" s="479">
        <f t="shared" si="327"/>
        <v>0</v>
      </c>
      <c r="IR30" s="479">
        <f t="shared" si="327"/>
        <v>0</v>
      </c>
      <c r="IS30" s="479">
        <f t="shared" si="327"/>
        <v>0</v>
      </c>
      <c r="IT30" s="479">
        <f t="shared" si="327"/>
        <v>0</v>
      </c>
      <c r="IU30" s="479">
        <f t="shared" si="327"/>
        <v>0</v>
      </c>
      <c r="IV30" s="479">
        <f t="shared" si="327"/>
        <v>0</v>
      </c>
      <c r="IW30" s="479">
        <f t="shared" si="327"/>
        <v>0</v>
      </c>
      <c r="IX30" s="479">
        <f t="shared" si="327"/>
        <v>0</v>
      </c>
      <c r="IY30" s="479">
        <f t="shared" si="327"/>
        <v>0</v>
      </c>
      <c r="IZ30" s="479">
        <f t="shared" si="327"/>
        <v>0</v>
      </c>
      <c r="JA30" s="479">
        <f t="shared" si="327"/>
        <v>0</v>
      </c>
      <c r="JB30" s="479">
        <f t="shared" si="327"/>
        <v>0</v>
      </c>
      <c r="JC30" s="479">
        <f t="shared" si="327"/>
        <v>0</v>
      </c>
      <c r="JD30" s="479">
        <f t="shared" si="327"/>
        <v>0</v>
      </c>
      <c r="JE30" s="479">
        <f t="shared" si="327"/>
        <v>0</v>
      </c>
      <c r="JF30" s="479">
        <f t="shared" si="327"/>
        <v>0</v>
      </c>
      <c r="JG30" s="479">
        <f t="shared" ref="JG30:LR33" si="328">-IF(JG$7&gt;=$E30,IF(JG$7&lt;=$F30,$D30/$G30,0),0)</f>
        <v>0</v>
      </c>
      <c r="JH30" s="479">
        <f t="shared" si="328"/>
        <v>0</v>
      </c>
      <c r="JI30" s="479">
        <f t="shared" si="328"/>
        <v>0</v>
      </c>
      <c r="JJ30" s="479">
        <f t="shared" si="328"/>
        <v>0</v>
      </c>
      <c r="JK30" s="479">
        <f t="shared" si="328"/>
        <v>0</v>
      </c>
      <c r="JL30" s="479">
        <f t="shared" si="328"/>
        <v>0</v>
      </c>
      <c r="JM30" s="479">
        <f t="shared" si="328"/>
        <v>0</v>
      </c>
      <c r="JN30" s="479">
        <f t="shared" si="328"/>
        <v>0</v>
      </c>
      <c r="JO30" s="479">
        <f t="shared" si="328"/>
        <v>0</v>
      </c>
      <c r="JP30" s="479">
        <f t="shared" si="328"/>
        <v>0</v>
      </c>
      <c r="JQ30" s="479">
        <f t="shared" si="328"/>
        <v>0</v>
      </c>
      <c r="JR30" s="479">
        <f t="shared" si="328"/>
        <v>0</v>
      </c>
      <c r="JS30" s="479">
        <f t="shared" si="328"/>
        <v>0</v>
      </c>
      <c r="JT30" s="479">
        <f t="shared" si="328"/>
        <v>0</v>
      </c>
      <c r="JU30" s="479">
        <f t="shared" si="328"/>
        <v>0</v>
      </c>
      <c r="JV30" s="479">
        <f t="shared" si="328"/>
        <v>0</v>
      </c>
      <c r="JW30" s="479">
        <f t="shared" si="328"/>
        <v>0</v>
      </c>
      <c r="JX30" s="479">
        <f t="shared" si="328"/>
        <v>0</v>
      </c>
      <c r="JY30" s="479">
        <f t="shared" si="328"/>
        <v>0</v>
      </c>
      <c r="JZ30" s="479">
        <f t="shared" si="328"/>
        <v>0</v>
      </c>
      <c r="KA30" s="479">
        <f t="shared" si="328"/>
        <v>0</v>
      </c>
      <c r="KB30" s="479">
        <f t="shared" si="328"/>
        <v>0</v>
      </c>
      <c r="KC30" s="479">
        <f t="shared" si="328"/>
        <v>0</v>
      </c>
      <c r="KD30" s="479">
        <f t="shared" si="328"/>
        <v>0</v>
      </c>
      <c r="KE30" s="479">
        <f t="shared" si="328"/>
        <v>0</v>
      </c>
      <c r="KF30" s="479">
        <f t="shared" si="328"/>
        <v>0</v>
      </c>
      <c r="KG30" s="479">
        <f t="shared" si="328"/>
        <v>0</v>
      </c>
      <c r="KH30" s="479">
        <f t="shared" si="328"/>
        <v>0</v>
      </c>
      <c r="KI30" s="479">
        <f t="shared" si="328"/>
        <v>0</v>
      </c>
      <c r="KJ30" s="479">
        <f t="shared" si="328"/>
        <v>0</v>
      </c>
      <c r="KK30" s="479">
        <f t="shared" si="328"/>
        <v>0</v>
      </c>
      <c r="KL30" s="479">
        <f t="shared" si="328"/>
        <v>0</v>
      </c>
      <c r="KM30" s="479">
        <f t="shared" si="328"/>
        <v>0</v>
      </c>
      <c r="KN30" s="479">
        <f t="shared" si="328"/>
        <v>0</v>
      </c>
      <c r="KO30" s="479">
        <f t="shared" si="328"/>
        <v>0</v>
      </c>
      <c r="KP30" s="479">
        <f t="shared" si="328"/>
        <v>0</v>
      </c>
      <c r="KQ30" s="479">
        <f t="shared" si="328"/>
        <v>0</v>
      </c>
      <c r="KR30" s="479">
        <f t="shared" si="328"/>
        <v>0</v>
      </c>
      <c r="KS30" s="479">
        <f t="shared" si="328"/>
        <v>0</v>
      </c>
      <c r="KT30" s="479">
        <f t="shared" si="328"/>
        <v>0</v>
      </c>
      <c r="KU30" s="479">
        <f t="shared" si="328"/>
        <v>0</v>
      </c>
      <c r="KV30" s="479">
        <f t="shared" si="328"/>
        <v>0</v>
      </c>
      <c r="KW30" s="479">
        <f t="shared" si="328"/>
        <v>0</v>
      </c>
      <c r="KX30" s="479">
        <f t="shared" si="328"/>
        <v>0</v>
      </c>
      <c r="KY30" s="479">
        <f t="shared" si="328"/>
        <v>0</v>
      </c>
      <c r="KZ30" s="479">
        <f t="shared" si="328"/>
        <v>0</v>
      </c>
      <c r="LA30" s="479">
        <f t="shared" si="328"/>
        <v>0</v>
      </c>
      <c r="LB30" s="479">
        <f t="shared" si="328"/>
        <v>0</v>
      </c>
      <c r="LC30" s="479">
        <f t="shared" si="328"/>
        <v>0</v>
      </c>
      <c r="LD30" s="479">
        <f t="shared" si="328"/>
        <v>0</v>
      </c>
      <c r="LE30" s="479">
        <f t="shared" si="328"/>
        <v>0</v>
      </c>
      <c r="LF30" s="479">
        <f t="shared" si="328"/>
        <v>0</v>
      </c>
      <c r="LG30" s="479">
        <f t="shared" si="328"/>
        <v>0</v>
      </c>
      <c r="LH30" s="479">
        <f t="shared" si="328"/>
        <v>0</v>
      </c>
      <c r="LI30" s="479">
        <f t="shared" si="328"/>
        <v>0</v>
      </c>
      <c r="LJ30" s="479">
        <f t="shared" si="328"/>
        <v>0</v>
      </c>
      <c r="LK30" s="479">
        <f t="shared" si="328"/>
        <v>0</v>
      </c>
      <c r="LL30" s="479">
        <f t="shared" si="328"/>
        <v>0</v>
      </c>
      <c r="LM30" s="479">
        <f t="shared" si="328"/>
        <v>0</v>
      </c>
      <c r="LN30" s="479">
        <f t="shared" si="328"/>
        <v>0</v>
      </c>
      <c r="LO30" s="479">
        <f t="shared" si="328"/>
        <v>0</v>
      </c>
      <c r="LP30" s="479">
        <f t="shared" si="328"/>
        <v>0</v>
      </c>
      <c r="LQ30" s="479">
        <f t="shared" si="328"/>
        <v>0</v>
      </c>
      <c r="LR30" s="479">
        <f t="shared" si="328"/>
        <v>0</v>
      </c>
      <c r="LS30" s="479">
        <f t="shared" ref="LS30:OD33" si="329">-IF(LS$7&gt;=$E30,IF(LS$7&lt;=$F30,$D30/$G30,0),0)</f>
        <v>0</v>
      </c>
      <c r="LT30" s="479">
        <f t="shared" si="329"/>
        <v>0</v>
      </c>
      <c r="LU30" s="479">
        <f t="shared" si="329"/>
        <v>0</v>
      </c>
      <c r="LV30" s="479">
        <f t="shared" si="329"/>
        <v>0</v>
      </c>
      <c r="LW30" s="479">
        <f t="shared" si="329"/>
        <v>0</v>
      </c>
      <c r="LX30" s="479">
        <f t="shared" si="329"/>
        <v>0</v>
      </c>
      <c r="LY30" s="479">
        <f t="shared" si="329"/>
        <v>0</v>
      </c>
      <c r="LZ30" s="479">
        <f t="shared" si="329"/>
        <v>0</v>
      </c>
      <c r="MA30" s="479">
        <f t="shared" si="329"/>
        <v>0</v>
      </c>
      <c r="MB30" s="479">
        <f t="shared" si="329"/>
        <v>0</v>
      </c>
      <c r="MC30" s="479">
        <f t="shared" si="329"/>
        <v>0</v>
      </c>
      <c r="MD30" s="479">
        <f t="shared" si="329"/>
        <v>0</v>
      </c>
      <c r="ME30" s="479">
        <f t="shared" si="329"/>
        <v>0</v>
      </c>
      <c r="MF30" s="479">
        <f t="shared" si="329"/>
        <v>0</v>
      </c>
      <c r="MG30" s="479">
        <f t="shared" si="329"/>
        <v>0</v>
      </c>
      <c r="MH30" s="479">
        <f t="shared" si="329"/>
        <v>0</v>
      </c>
      <c r="MI30" s="479">
        <f t="shared" si="329"/>
        <v>0</v>
      </c>
      <c r="MJ30" s="479">
        <f t="shared" si="329"/>
        <v>0</v>
      </c>
      <c r="MK30" s="479">
        <f t="shared" si="329"/>
        <v>0</v>
      </c>
      <c r="ML30" s="479">
        <f t="shared" si="329"/>
        <v>0</v>
      </c>
      <c r="MM30" s="479">
        <f t="shared" si="329"/>
        <v>0</v>
      </c>
      <c r="MN30" s="479">
        <f t="shared" si="329"/>
        <v>0</v>
      </c>
      <c r="MO30" s="479">
        <f t="shared" si="329"/>
        <v>0</v>
      </c>
      <c r="MP30" s="479">
        <f t="shared" si="329"/>
        <v>0</v>
      </c>
      <c r="MQ30" s="479">
        <f t="shared" si="329"/>
        <v>0</v>
      </c>
      <c r="MR30" s="479">
        <f t="shared" si="329"/>
        <v>0</v>
      </c>
      <c r="MS30" s="479">
        <f t="shared" si="329"/>
        <v>0</v>
      </c>
      <c r="MT30" s="479">
        <f t="shared" si="329"/>
        <v>0</v>
      </c>
      <c r="MU30" s="479">
        <f t="shared" si="329"/>
        <v>0</v>
      </c>
      <c r="MV30" s="479">
        <f t="shared" si="329"/>
        <v>0</v>
      </c>
      <c r="MW30" s="479">
        <f t="shared" si="329"/>
        <v>0</v>
      </c>
      <c r="MX30" s="479">
        <f t="shared" si="329"/>
        <v>0</v>
      </c>
      <c r="MY30" s="479">
        <f t="shared" si="329"/>
        <v>0</v>
      </c>
      <c r="MZ30" s="479">
        <f t="shared" si="329"/>
        <v>0</v>
      </c>
      <c r="NA30" s="479">
        <f t="shared" si="329"/>
        <v>0</v>
      </c>
      <c r="NB30" s="479">
        <f t="shared" si="329"/>
        <v>0</v>
      </c>
      <c r="NC30" s="479">
        <f t="shared" si="329"/>
        <v>0</v>
      </c>
      <c r="ND30" s="479">
        <f t="shared" si="329"/>
        <v>0</v>
      </c>
      <c r="NE30" s="479">
        <f t="shared" si="329"/>
        <v>0</v>
      </c>
      <c r="NF30" s="479">
        <f t="shared" si="329"/>
        <v>0</v>
      </c>
      <c r="NG30" s="479">
        <f t="shared" si="329"/>
        <v>0</v>
      </c>
      <c r="NH30" s="479">
        <f t="shared" si="329"/>
        <v>0</v>
      </c>
      <c r="NI30" s="479">
        <f t="shared" si="329"/>
        <v>0</v>
      </c>
      <c r="NJ30" s="479">
        <f t="shared" si="329"/>
        <v>0</v>
      </c>
      <c r="NK30" s="479">
        <f t="shared" si="329"/>
        <v>0</v>
      </c>
      <c r="NL30" s="479">
        <f t="shared" si="329"/>
        <v>0</v>
      </c>
      <c r="NM30" s="479">
        <f t="shared" si="329"/>
        <v>0</v>
      </c>
      <c r="NN30" s="479">
        <f t="shared" si="329"/>
        <v>0</v>
      </c>
      <c r="NO30" s="479">
        <f t="shared" si="329"/>
        <v>0</v>
      </c>
      <c r="NP30" s="479">
        <f t="shared" si="329"/>
        <v>0</v>
      </c>
      <c r="NQ30" s="479">
        <f t="shared" si="329"/>
        <v>0</v>
      </c>
      <c r="NR30" s="479">
        <f t="shared" si="329"/>
        <v>0</v>
      </c>
      <c r="NS30" s="479">
        <f t="shared" si="329"/>
        <v>0</v>
      </c>
      <c r="NT30" s="479">
        <f t="shared" si="329"/>
        <v>0</v>
      </c>
      <c r="NU30" s="479">
        <f t="shared" si="329"/>
        <v>0</v>
      </c>
      <c r="NV30" s="479">
        <f t="shared" si="329"/>
        <v>0</v>
      </c>
      <c r="NW30" s="479">
        <f t="shared" si="329"/>
        <v>0</v>
      </c>
      <c r="NX30" s="479">
        <f t="shared" si="329"/>
        <v>0</v>
      </c>
      <c r="NY30" s="479">
        <f t="shared" si="329"/>
        <v>0</v>
      </c>
      <c r="NZ30" s="479">
        <f t="shared" si="329"/>
        <v>0</v>
      </c>
      <c r="OA30" s="479">
        <f t="shared" si="329"/>
        <v>0</v>
      </c>
      <c r="OB30" s="479">
        <f t="shared" si="329"/>
        <v>0</v>
      </c>
      <c r="OC30" s="479">
        <f t="shared" si="329"/>
        <v>0</v>
      </c>
      <c r="OD30" s="479">
        <f t="shared" si="329"/>
        <v>0</v>
      </c>
      <c r="OE30" s="479">
        <f t="shared" ref="OE30:OO44" si="330">-IF(OE$7&gt;=$E30,IF(OE$7&lt;=$F30,$D30/$G30,0),0)</f>
        <v>0</v>
      </c>
      <c r="OF30" s="479">
        <f t="shared" si="330"/>
        <v>0</v>
      </c>
      <c r="OG30" s="479">
        <f t="shared" si="330"/>
        <v>0</v>
      </c>
      <c r="OH30" s="479">
        <f t="shared" si="330"/>
        <v>0</v>
      </c>
      <c r="OI30" s="479">
        <f t="shared" si="330"/>
        <v>0</v>
      </c>
      <c r="OJ30" s="479">
        <f t="shared" si="330"/>
        <v>0</v>
      </c>
      <c r="OK30" s="479">
        <f t="shared" si="330"/>
        <v>0</v>
      </c>
      <c r="OL30" s="479">
        <f t="shared" si="330"/>
        <v>0</v>
      </c>
      <c r="OM30" s="479">
        <f t="shared" si="330"/>
        <v>0</v>
      </c>
      <c r="ON30" s="479">
        <f t="shared" si="330"/>
        <v>0</v>
      </c>
      <c r="OO30" s="479">
        <f t="shared" si="330"/>
        <v>0</v>
      </c>
    </row>
    <row r="31" spans="2:405">
      <c r="B31" s="97" t="str">
        <f>Assumptions!B96</f>
        <v>Appraisal</v>
      </c>
      <c r="C31" s="97"/>
      <c r="D31" s="500">
        <f>Assumptions!C96</f>
        <v>10000</v>
      </c>
      <c r="E31" s="507">
        <f>Assumptions!$C$8</f>
        <v>46204</v>
      </c>
      <c r="F31" s="507">
        <f>EOMONTH(E31,Assumptions!$C$9-1)</f>
        <v>46387</v>
      </c>
      <c r="G31" s="97">
        <f t="shared" si="323"/>
        <v>6</v>
      </c>
      <c r="H31" s="97"/>
      <c r="I31" s="97"/>
      <c r="J31" s="479">
        <f t="shared" ref="J31:Y44" si="331">-IF(J$7&gt;=$E31,IF(J$7&lt;=$F31,$D31/$G31,0),0)</f>
        <v>-1666.6666666666667</v>
      </c>
      <c r="K31" s="479">
        <f t="shared" si="324"/>
        <v>-1666.6666666666667</v>
      </c>
      <c r="L31" s="479">
        <f t="shared" si="324"/>
        <v>-1666.6666666666667</v>
      </c>
      <c r="M31" s="479">
        <f t="shared" si="324"/>
        <v>-1666.6666666666667</v>
      </c>
      <c r="N31" s="479">
        <f t="shared" si="324"/>
        <v>-1666.6666666666667</v>
      </c>
      <c r="O31" s="479">
        <f t="shared" si="324"/>
        <v>-1666.6666666666667</v>
      </c>
      <c r="P31" s="479">
        <f t="shared" si="324"/>
        <v>0</v>
      </c>
      <c r="Q31" s="479">
        <f t="shared" si="324"/>
        <v>0</v>
      </c>
      <c r="R31" s="479">
        <f t="shared" si="324"/>
        <v>0</v>
      </c>
      <c r="S31" s="479">
        <f t="shared" si="324"/>
        <v>0</v>
      </c>
      <c r="T31" s="479">
        <f t="shared" si="324"/>
        <v>0</v>
      </c>
      <c r="U31" s="479">
        <f t="shared" si="324"/>
        <v>0</v>
      </c>
      <c r="V31" s="479">
        <f t="shared" si="324"/>
        <v>0</v>
      </c>
      <c r="W31" s="479">
        <f t="shared" si="324"/>
        <v>0</v>
      </c>
      <c r="X31" s="479">
        <f t="shared" si="324"/>
        <v>0</v>
      </c>
      <c r="Y31" s="479">
        <f t="shared" si="324"/>
        <v>0</v>
      </c>
      <c r="Z31" s="479">
        <f t="shared" si="324"/>
        <v>0</v>
      </c>
      <c r="AA31" s="479">
        <f t="shared" si="324"/>
        <v>0</v>
      </c>
      <c r="AB31" s="479">
        <f t="shared" si="324"/>
        <v>0</v>
      </c>
      <c r="AC31" s="479">
        <f t="shared" si="324"/>
        <v>0</v>
      </c>
      <c r="AD31" s="479">
        <f t="shared" si="324"/>
        <v>0</v>
      </c>
      <c r="AE31" s="479">
        <f t="shared" si="324"/>
        <v>0</v>
      </c>
      <c r="AF31" s="479">
        <f t="shared" si="324"/>
        <v>0</v>
      </c>
      <c r="AG31" s="479">
        <f t="shared" si="324"/>
        <v>0</v>
      </c>
      <c r="AH31" s="479">
        <f t="shared" si="324"/>
        <v>0</v>
      </c>
      <c r="AI31" s="479">
        <f t="shared" si="324"/>
        <v>0</v>
      </c>
      <c r="AJ31" s="479">
        <f t="shared" si="324"/>
        <v>0</v>
      </c>
      <c r="AK31" s="479">
        <f t="shared" si="324"/>
        <v>0</v>
      </c>
      <c r="AL31" s="479">
        <f t="shared" si="324"/>
        <v>0</v>
      </c>
      <c r="AM31" s="479">
        <f t="shared" si="324"/>
        <v>0</v>
      </c>
      <c r="AN31" s="479">
        <f t="shared" si="324"/>
        <v>0</v>
      </c>
      <c r="AO31" s="479">
        <f t="shared" si="324"/>
        <v>0</v>
      </c>
      <c r="AP31" s="479">
        <f t="shared" si="324"/>
        <v>0</v>
      </c>
      <c r="AQ31" s="479">
        <f t="shared" si="324"/>
        <v>0</v>
      </c>
      <c r="AR31" s="479">
        <f t="shared" si="324"/>
        <v>0</v>
      </c>
      <c r="AS31" s="479">
        <f t="shared" si="324"/>
        <v>0</v>
      </c>
      <c r="AT31" s="479">
        <f t="shared" si="324"/>
        <v>0</v>
      </c>
      <c r="AU31" s="479">
        <f t="shared" si="324"/>
        <v>0</v>
      </c>
      <c r="AV31" s="479">
        <f t="shared" si="324"/>
        <v>0</v>
      </c>
      <c r="AW31" s="479">
        <f t="shared" si="324"/>
        <v>0</v>
      </c>
      <c r="AX31" s="479">
        <f t="shared" si="324"/>
        <v>0</v>
      </c>
      <c r="AY31" s="479">
        <f t="shared" si="324"/>
        <v>0</v>
      </c>
      <c r="AZ31" s="479">
        <f t="shared" si="324"/>
        <v>0</v>
      </c>
      <c r="BA31" s="479">
        <f t="shared" si="324"/>
        <v>0</v>
      </c>
      <c r="BB31" s="479">
        <f t="shared" si="324"/>
        <v>0</v>
      </c>
      <c r="BC31" s="479">
        <f t="shared" si="324"/>
        <v>0</v>
      </c>
      <c r="BD31" s="479">
        <f t="shared" si="324"/>
        <v>0</v>
      </c>
      <c r="BE31" s="479">
        <f t="shared" si="324"/>
        <v>0</v>
      </c>
      <c r="BF31" s="479">
        <f t="shared" si="324"/>
        <v>0</v>
      </c>
      <c r="BG31" s="479">
        <f t="shared" si="324"/>
        <v>0</v>
      </c>
      <c r="BH31" s="479">
        <f t="shared" si="324"/>
        <v>0</v>
      </c>
      <c r="BI31" s="479">
        <f t="shared" si="324"/>
        <v>0</v>
      </c>
      <c r="BJ31" s="479">
        <f t="shared" si="324"/>
        <v>0</v>
      </c>
      <c r="BK31" s="479">
        <f t="shared" si="324"/>
        <v>0</v>
      </c>
      <c r="BL31" s="479">
        <f t="shared" si="324"/>
        <v>0</v>
      </c>
      <c r="BM31" s="479">
        <f t="shared" si="324"/>
        <v>0</v>
      </c>
      <c r="BN31" s="479">
        <f t="shared" si="324"/>
        <v>0</v>
      </c>
      <c r="BO31" s="479">
        <f t="shared" si="324"/>
        <v>0</v>
      </c>
      <c r="BP31" s="479">
        <f t="shared" si="324"/>
        <v>0</v>
      </c>
      <c r="BQ31" s="479">
        <f t="shared" si="324"/>
        <v>0</v>
      </c>
      <c r="BR31" s="479">
        <f t="shared" si="324"/>
        <v>0</v>
      </c>
      <c r="BS31" s="479">
        <f t="shared" si="324"/>
        <v>0</v>
      </c>
      <c r="BT31" s="479">
        <f t="shared" si="324"/>
        <v>0</v>
      </c>
      <c r="BU31" s="479">
        <f t="shared" si="324"/>
        <v>0</v>
      </c>
      <c r="BV31" s="479">
        <f t="shared" si="324"/>
        <v>0</v>
      </c>
      <c r="BW31" s="479">
        <f t="shared" si="325"/>
        <v>0</v>
      </c>
      <c r="BX31" s="479">
        <f t="shared" si="325"/>
        <v>0</v>
      </c>
      <c r="BY31" s="479">
        <f t="shared" si="325"/>
        <v>0</v>
      </c>
      <c r="BZ31" s="479">
        <f t="shared" si="325"/>
        <v>0</v>
      </c>
      <c r="CA31" s="479">
        <f t="shared" si="325"/>
        <v>0</v>
      </c>
      <c r="CB31" s="479">
        <f t="shared" si="325"/>
        <v>0</v>
      </c>
      <c r="CC31" s="479">
        <f t="shared" si="325"/>
        <v>0</v>
      </c>
      <c r="CD31" s="479">
        <f t="shared" si="325"/>
        <v>0</v>
      </c>
      <c r="CE31" s="479">
        <f t="shared" si="325"/>
        <v>0</v>
      </c>
      <c r="CF31" s="479">
        <f t="shared" si="325"/>
        <v>0</v>
      </c>
      <c r="CG31" s="479">
        <f t="shared" si="325"/>
        <v>0</v>
      </c>
      <c r="CH31" s="479">
        <f t="shared" si="325"/>
        <v>0</v>
      </c>
      <c r="CI31" s="479">
        <f t="shared" si="325"/>
        <v>0</v>
      </c>
      <c r="CJ31" s="479">
        <f t="shared" si="325"/>
        <v>0</v>
      </c>
      <c r="CK31" s="479">
        <f t="shared" si="325"/>
        <v>0</v>
      </c>
      <c r="CL31" s="479">
        <f t="shared" si="325"/>
        <v>0</v>
      </c>
      <c r="CM31" s="479">
        <f t="shared" si="325"/>
        <v>0</v>
      </c>
      <c r="CN31" s="479">
        <f t="shared" si="325"/>
        <v>0</v>
      </c>
      <c r="CO31" s="479">
        <f t="shared" si="325"/>
        <v>0</v>
      </c>
      <c r="CP31" s="479">
        <f t="shared" si="325"/>
        <v>0</v>
      </c>
      <c r="CQ31" s="479">
        <f t="shared" si="325"/>
        <v>0</v>
      </c>
      <c r="CR31" s="479">
        <f t="shared" si="325"/>
        <v>0</v>
      </c>
      <c r="CS31" s="479">
        <f t="shared" si="325"/>
        <v>0</v>
      </c>
      <c r="CT31" s="479">
        <f t="shared" si="325"/>
        <v>0</v>
      </c>
      <c r="CU31" s="479">
        <f t="shared" si="325"/>
        <v>0</v>
      </c>
      <c r="CV31" s="479">
        <f t="shared" si="325"/>
        <v>0</v>
      </c>
      <c r="CW31" s="479">
        <f t="shared" si="325"/>
        <v>0</v>
      </c>
      <c r="CX31" s="479">
        <f t="shared" si="325"/>
        <v>0</v>
      </c>
      <c r="CY31" s="479">
        <f t="shared" si="325"/>
        <v>0</v>
      </c>
      <c r="CZ31" s="479">
        <f t="shared" si="325"/>
        <v>0</v>
      </c>
      <c r="DA31" s="479">
        <f t="shared" si="325"/>
        <v>0</v>
      </c>
      <c r="DB31" s="479">
        <f t="shared" si="325"/>
        <v>0</v>
      </c>
      <c r="DC31" s="479">
        <f t="shared" si="325"/>
        <v>0</v>
      </c>
      <c r="DD31" s="479">
        <f t="shared" si="325"/>
        <v>0</v>
      </c>
      <c r="DE31" s="479">
        <f t="shared" si="325"/>
        <v>0</v>
      </c>
      <c r="DF31" s="479">
        <f t="shared" si="325"/>
        <v>0</v>
      </c>
      <c r="DG31" s="479">
        <f t="shared" si="325"/>
        <v>0</v>
      </c>
      <c r="DH31" s="479">
        <f t="shared" si="325"/>
        <v>0</v>
      </c>
      <c r="DI31" s="479">
        <f t="shared" si="325"/>
        <v>0</v>
      </c>
      <c r="DJ31" s="479">
        <f t="shared" si="325"/>
        <v>0</v>
      </c>
      <c r="DK31" s="479">
        <f t="shared" si="325"/>
        <v>0</v>
      </c>
      <c r="DL31" s="479">
        <f t="shared" si="325"/>
        <v>0</v>
      </c>
      <c r="DM31" s="479">
        <f t="shared" si="325"/>
        <v>0</v>
      </c>
      <c r="DN31" s="479">
        <f t="shared" si="325"/>
        <v>0</v>
      </c>
      <c r="DO31" s="479">
        <f t="shared" si="325"/>
        <v>0</v>
      </c>
      <c r="DP31" s="479">
        <f t="shared" si="325"/>
        <v>0</v>
      </c>
      <c r="DQ31" s="479">
        <f t="shared" si="325"/>
        <v>0</v>
      </c>
      <c r="DR31" s="479">
        <f t="shared" si="325"/>
        <v>0</v>
      </c>
      <c r="DS31" s="479">
        <f t="shared" si="325"/>
        <v>0</v>
      </c>
      <c r="DT31" s="479">
        <f t="shared" si="325"/>
        <v>0</v>
      </c>
      <c r="DU31" s="479">
        <f t="shared" si="325"/>
        <v>0</v>
      </c>
      <c r="DV31" s="479">
        <f t="shared" si="325"/>
        <v>0</v>
      </c>
      <c r="DW31" s="479">
        <f t="shared" si="325"/>
        <v>0</v>
      </c>
      <c r="DX31" s="479">
        <f t="shared" si="325"/>
        <v>0</v>
      </c>
      <c r="DY31" s="479">
        <f t="shared" si="325"/>
        <v>0</v>
      </c>
      <c r="DZ31" s="479">
        <f t="shared" si="325"/>
        <v>0</v>
      </c>
      <c r="EA31" s="479">
        <f t="shared" si="325"/>
        <v>0</v>
      </c>
      <c r="EB31" s="479">
        <f t="shared" si="325"/>
        <v>0</v>
      </c>
      <c r="EC31" s="479">
        <f t="shared" si="325"/>
        <v>0</v>
      </c>
      <c r="ED31" s="479">
        <f t="shared" si="325"/>
        <v>0</v>
      </c>
      <c r="EE31" s="479">
        <f t="shared" si="325"/>
        <v>0</v>
      </c>
      <c r="EF31" s="479">
        <f t="shared" si="325"/>
        <v>0</v>
      </c>
      <c r="EG31" s="479">
        <f t="shared" si="325"/>
        <v>0</v>
      </c>
      <c r="EH31" s="479">
        <f t="shared" si="325"/>
        <v>0</v>
      </c>
      <c r="EI31" s="479">
        <f t="shared" si="326"/>
        <v>0</v>
      </c>
      <c r="EJ31" s="479">
        <f t="shared" si="326"/>
        <v>0</v>
      </c>
      <c r="EK31" s="479">
        <f t="shared" si="326"/>
        <v>0</v>
      </c>
      <c r="EL31" s="479">
        <f t="shared" si="326"/>
        <v>0</v>
      </c>
      <c r="EM31" s="479">
        <f t="shared" si="326"/>
        <v>0</v>
      </c>
      <c r="EN31" s="479">
        <f t="shared" si="326"/>
        <v>0</v>
      </c>
      <c r="EO31" s="479">
        <f t="shared" si="326"/>
        <v>0</v>
      </c>
      <c r="EP31" s="479">
        <f t="shared" si="326"/>
        <v>0</v>
      </c>
      <c r="EQ31" s="479">
        <f t="shared" si="326"/>
        <v>0</v>
      </c>
      <c r="ER31" s="479">
        <f t="shared" si="326"/>
        <v>0</v>
      </c>
      <c r="ES31" s="479">
        <f t="shared" si="326"/>
        <v>0</v>
      </c>
      <c r="ET31" s="479">
        <f t="shared" si="326"/>
        <v>0</v>
      </c>
      <c r="EU31" s="479">
        <f t="shared" si="326"/>
        <v>0</v>
      </c>
      <c r="EV31" s="479">
        <f t="shared" si="326"/>
        <v>0</v>
      </c>
      <c r="EW31" s="479">
        <f t="shared" si="326"/>
        <v>0</v>
      </c>
      <c r="EX31" s="479">
        <f t="shared" si="326"/>
        <v>0</v>
      </c>
      <c r="EY31" s="479">
        <f t="shared" si="326"/>
        <v>0</v>
      </c>
      <c r="EZ31" s="479">
        <f t="shared" si="326"/>
        <v>0</v>
      </c>
      <c r="FA31" s="479">
        <f t="shared" si="326"/>
        <v>0</v>
      </c>
      <c r="FB31" s="479">
        <f t="shared" si="326"/>
        <v>0</v>
      </c>
      <c r="FC31" s="479">
        <f t="shared" si="326"/>
        <v>0</v>
      </c>
      <c r="FD31" s="479">
        <f t="shared" si="326"/>
        <v>0</v>
      </c>
      <c r="FE31" s="479">
        <f t="shared" si="326"/>
        <v>0</v>
      </c>
      <c r="FF31" s="479">
        <f t="shared" si="326"/>
        <v>0</v>
      </c>
      <c r="FG31" s="479">
        <f t="shared" si="326"/>
        <v>0</v>
      </c>
      <c r="FH31" s="479">
        <f t="shared" si="326"/>
        <v>0</v>
      </c>
      <c r="FI31" s="479">
        <f t="shared" si="326"/>
        <v>0</v>
      </c>
      <c r="FJ31" s="479">
        <f t="shared" si="326"/>
        <v>0</v>
      </c>
      <c r="FK31" s="479">
        <f t="shared" si="326"/>
        <v>0</v>
      </c>
      <c r="FL31" s="479">
        <f t="shared" si="326"/>
        <v>0</v>
      </c>
      <c r="FM31" s="479">
        <f t="shared" si="326"/>
        <v>0</v>
      </c>
      <c r="FN31" s="479">
        <f t="shared" si="326"/>
        <v>0</v>
      </c>
      <c r="FO31" s="479">
        <f t="shared" si="326"/>
        <v>0</v>
      </c>
      <c r="FP31" s="479">
        <f t="shared" si="326"/>
        <v>0</v>
      </c>
      <c r="FQ31" s="479">
        <f t="shared" si="326"/>
        <v>0</v>
      </c>
      <c r="FR31" s="479">
        <f t="shared" si="326"/>
        <v>0</v>
      </c>
      <c r="FS31" s="479">
        <f t="shared" si="326"/>
        <v>0</v>
      </c>
      <c r="FT31" s="479">
        <f t="shared" si="326"/>
        <v>0</v>
      </c>
      <c r="FU31" s="479">
        <f t="shared" si="326"/>
        <v>0</v>
      </c>
      <c r="FV31" s="479">
        <f t="shared" si="326"/>
        <v>0</v>
      </c>
      <c r="FW31" s="479">
        <f t="shared" si="326"/>
        <v>0</v>
      </c>
      <c r="FX31" s="479">
        <f t="shared" si="326"/>
        <v>0</v>
      </c>
      <c r="FY31" s="479">
        <f t="shared" si="326"/>
        <v>0</v>
      </c>
      <c r="FZ31" s="479">
        <f t="shared" si="326"/>
        <v>0</v>
      </c>
      <c r="GA31" s="479">
        <f t="shared" si="326"/>
        <v>0</v>
      </c>
      <c r="GB31" s="479">
        <f t="shared" si="326"/>
        <v>0</v>
      </c>
      <c r="GC31" s="479">
        <f t="shared" si="326"/>
        <v>0</v>
      </c>
      <c r="GD31" s="479">
        <f t="shared" si="326"/>
        <v>0</v>
      </c>
      <c r="GE31" s="479">
        <f t="shared" si="326"/>
        <v>0</v>
      </c>
      <c r="GF31" s="479">
        <f t="shared" si="326"/>
        <v>0</v>
      </c>
      <c r="GG31" s="479">
        <f t="shared" si="326"/>
        <v>0</v>
      </c>
      <c r="GH31" s="479">
        <f t="shared" si="326"/>
        <v>0</v>
      </c>
      <c r="GI31" s="479">
        <f t="shared" si="326"/>
        <v>0</v>
      </c>
      <c r="GJ31" s="479">
        <f t="shared" si="326"/>
        <v>0</v>
      </c>
      <c r="GK31" s="479">
        <f t="shared" si="326"/>
        <v>0</v>
      </c>
      <c r="GL31" s="479">
        <f t="shared" si="326"/>
        <v>0</v>
      </c>
      <c r="GM31" s="479">
        <f t="shared" si="326"/>
        <v>0</v>
      </c>
      <c r="GN31" s="479">
        <f t="shared" si="326"/>
        <v>0</v>
      </c>
      <c r="GO31" s="479">
        <f t="shared" si="326"/>
        <v>0</v>
      </c>
      <c r="GP31" s="479">
        <f t="shared" si="326"/>
        <v>0</v>
      </c>
      <c r="GQ31" s="479">
        <f t="shared" si="326"/>
        <v>0</v>
      </c>
      <c r="GR31" s="479">
        <f t="shared" si="326"/>
        <v>0</v>
      </c>
      <c r="GS31" s="479">
        <f t="shared" si="326"/>
        <v>0</v>
      </c>
      <c r="GT31" s="479">
        <f t="shared" si="326"/>
        <v>0</v>
      </c>
      <c r="GU31" s="479">
        <f t="shared" si="327"/>
        <v>0</v>
      </c>
      <c r="GV31" s="479">
        <f t="shared" si="327"/>
        <v>0</v>
      </c>
      <c r="GW31" s="479">
        <f t="shared" si="327"/>
        <v>0</v>
      </c>
      <c r="GX31" s="479">
        <f t="shared" si="327"/>
        <v>0</v>
      </c>
      <c r="GY31" s="479">
        <f t="shared" si="327"/>
        <v>0</v>
      </c>
      <c r="GZ31" s="479">
        <f t="shared" si="327"/>
        <v>0</v>
      </c>
      <c r="HA31" s="479">
        <f t="shared" si="327"/>
        <v>0</v>
      </c>
      <c r="HB31" s="479">
        <f t="shared" si="327"/>
        <v>0</v>
      </c>
      <c r="HC31" s="479">
        <f t="shared" si="327"/>
        <v>0</v>
      </c>
      <c r="HD31" s="479">
        <f t="shared" si="327"/>
        <v>0</v>
      </c>
      <c r="HE31" s="479">
        <f t="shared" si="327"/>
        <v>0</v>
      </c>
      <c r="HF31" s="479">
        <f t="shared" si="327"/>
        <v>0</v>
      </c>
      <c r="HG31" s="479">
        <f t="shared" si="327"/>
        <v>0</v>
      </c>
      <c r="HH31" s="479">
        <f t="shared" si="327"/>
        <v>0</v>
      </c>
      <c r="HI31" s="479">
        <f t="shared" si="327"/>
        <v>0</v>
      </c>
      <c r="HJ31" s="479">
        <f t="shared" si="327"/>
        <v>0</v>
      </c>
      <c r="HK31" s="479">
        <f t="shared" si="327"/>
        <v>0</v>
      </c>
      <c r="HL31" s="479">
        <f t="shared" si="327"/>
        <v>0</v>
      </c>
      <c r="HM31" s="479">
        <f t="shared" si="327"/>
        <v>0</v>
      </c>
      <c r="HN31" s="479">
        <f t="shared" si="327"/>
        <v>0</v>
      </c>
      <c r="HO31" s="479">
        <f t="shared" si="327"/>
        <v>0</v>
      </c>
      <c r="HP31" s="479">
        <f t="shared" si="327"/>
        <v>0</v>
      </c>
      <c r="HQ31" s="479">
        <f t="shared" si="327"/>
        <v>0</v>
      </c>
      <c r="HR31" s="479">
        <f t="shared" si="327"/>
        <v>0</v>
      </c>
      <c r="HS31" s="479">
        <f t="shared" si="327"/>
        <v>0</v>
      </c>
      <c r="HT31" s="479">
        <f t="shared" si="327"/>
        <v>0</v>
      </c>
      <c r="HU31" s="479">
        <f t="shared" si="327"/>
        <v>0</v>
      </c>
      <c r="HV31" s="479">
        <f t="shared" si="327"/>
        <v>0</v>
      </c>
      <c r="HW31" s="479">
        <f t="shared" si="327"/>
        <v>0</v>
      </c>
      <c r="HX31" s="479">
        <f t="shared" si="327"/>
        <v>0</v>
      </c>
      <c r="HY31" s="479">
        <f t="shared" si="327"/>
        <v>0</v>
      </c>
      <c r="HZ31" s="479">
        <f t="shared" si="327"/>
        <v>0</v>
      </c>
      <c r="IA31" s="479">
        <f t="shared" si="327"/>
        <v>0</v>
      </c>
      <c r="IB31" s="479">
        <f t="shared" si="327"/>
        <v>0</v>
      </c>
      <c r="IC31" s="479">
        <f t="shared" si="327"/>
        <v>0</v>
      </c>
      <c r="ID31" s="479">
        <f t="shared" si="327"/>
        <v>0</v>
      </c>
      <c r="IE31" s="479">
        <f t="shared" si="327"/>
        <v>0</v>
      </c>
      <c r="IF31" s="479">
        <f t="shared" si="327"/>
        <v>0</v>
      </c>
      <c r="IG31" s="479">
        <f t="shared" si="327"/>
        <v>0</v>
      </c>
      <c r="IH31" s="479">
        <f t="shared" si="327"/>
        <v>0</v>
      </c>
      <c r="II31" s="479">
        <f t="shared" si="327"/>
        <v>0</v>
      </c>
      <c r="IJ31" s="479">
        <f t="shared" si="327"/>
        <v>0</v>
      </c>
      <c r="IK31" s="479">
        <f t="shared" si="327"/>
        <v>0</v>
      </c>
      <c r="IL31" s="479">
        <f t="shared" si="327"/>
        <v>0</v>
      </c>
      <c r="IM31" s="479">
        <f t="shared" si="327"/>
        <v>0</v>
      </c>
      <c r="IN31" s="479">
        <f t="shared" si="327"/>
        <v>0</v>
      </c>
      <c r="IO31" s="479">
        <f t="shared" si="327"/>
        <v>0</v>
      </c>
      <c r="IP31" s="479">
        <f t="shared" si="327"/>
        <v>0</v>
      </c>
      <c r="IQ31" s="479">
        <f t="shared" si="327"/>
        <v>0</v>
      </c>
      <c r="IR31" s="479">
        <f t="shared" si="327"/>
        <v>0</v>
      </c>
      <c r="IS31" s="479">
        <f t="shared" si="327"/>
        <v>0</v>
      </c>
      <c r="IT31" s="479">
        <f t="shared" si="327"/>
        <v>0</v>
      </c>
      <c r="IU31" s="479">
        <f t="shared" si="327"/>
        <v>0</v>
      </c>
      <c r="IV31" s="479">
        <f t="shared" si="327"/>
        <v>0</v>
      </c>
      <c r="IW31" s="479">
        <f t="shared" si="327"/>
        <v>0</v>
      </c>
      <c r="IX31" s="479">
        <f t="shared" si="327"/>
        <v>0</v>
      </c>
      <c r="IY31" s="479">
        <f t="shared" si="327"/>
        <v>0</v>
      </c>
      <c r="IZ31" s="479">
        <f t="shared" si="327"/>
        <v>0</v>
      </c>
      <c r="JA31" s="479">
        <f t="shared" si="327"/>
        <v>0</v>
      </c>
      <c r="JB31" s="479">
        <f t="shared" si="327"/>
        <v>0</v>
      </c>
      <c r="JC31" s="479">
        <f t="shared" si="327"/>
        <v>0</v>
      </c>
      <c r="JD31" s="479">
        <f t="shared" si="327"/>
        <v>0</v>
      </c>
      <c r="JE31" s="479">
        <f t="shared" si="327"/>
        <v>0</v>
      </c>
      <c r="JF31" s="479">
        <f t="shared" si="327"/>
        <v>0</v>
      </c>
      <c r="JG31" s="479">
        <f t="shared" si="328"/>
        <v>0</v>
      </c>
      <c r="JH31" s="479">
        <f t="shared" si="328"/>
        <v>0</v>
      </c>
      <c r="JI31" s="479">
        <f t="shared" si="328"/>
        <v>0</v>
      </c>
      <c r="JJ31" s="479">
        <f t="shared" si="328"/>
        <v>0</v>
      </c>
      <c r="JK31" s="479">
        <f t="shared" si="328"/>
        <v>0</v>
      </c>
      <c r="JL31" s="479">
        <f t="shared" si="328"/>
        <v>0</v>
      </c>
      <c r="JM31" s="479">
        <f t="shared" si="328"/>
        <v>0</v>
      </c>
      <c r="JN31" s="479">
        <f t="shared" si="328"/>
        <v>0</v>
      </c>
      <c r="JO31" s="479">
        <f t="shared" si="328"/>
        <v>0</v>
      </c>
      <c r="JP31" s="479">
        <f t="shared" si="328"/>
        <v>0</v>
      </c>
      <c r="JQ31" s="479">
        <f t="shared" si="328"/>
        <v>0</v>
      </c>
      <c r="JR31" s="479">
        <f t="shared" si="328"/>
        <v>0</v>
      </c>
      <c r="JS31" s="479">
        <f t="shared" si="328"/>
        <v>0</v>
      </c>
      <c r="JT31" s="479">
        <f t="shared" si="328"/>
        <v>0</v>
      </c>
      <c r="JU31" s="479">
        <f t="shared" si="328"/>
        <v>0</v>
      </c>
      <c r="JV31" s="479">
        <f t="shared" si="328"/>
        <v>0</v>
      </c>
      <c r="JW31" s="479">
        <f t="shared" si="328"/>
        <v>0</v>
      </c>
      <c r="JX31" s="479">
        <f t="shared" si="328"/>
        <v>0</v>
      </c>
      <c r="JY31" s="479">
        <f t="shared" si="328"/>
        <v>0</v>
      </c>
      <c r="JZ31" s="479">
        <f t="shared" si="328"/>
        <v>0</v>
      </c>
      <c r="KA31" s="479">
        <f t="shared" si="328"/>
        <v>0</v>
      </c>
      <c r="KB31" s="479">
        <f t="shared" si="328"/>
        <v>0</v>
      </c>
      <c r="KC31" s="479">
        <f t="shared" si="328"/>
        <v>0</v>
      </c>
      <c r="KD31" s="479">
        <f t="shared" si="328"/>
        <v>0</v>
      </c>
      <c r="KE31" s="479">
        <f t="shared" si="328"/>
        <v>0</v>
      </c>
      <c r="KF31" s="479">
        <f t="shared" si="328"/>
        <v>0</v>
      </c>
      <c r="KG31" s="479">
        <f t="shared" si="328"/>
        <v>0</v>
      </c>
      <c r="KH31" s="479">
        <f t="shared" si="328"/>
        <v>0</v>
      </c>
      <c r="KI31" s="479">
        <f t="shared" si="328"/>
        <v>0</v>
      </c>
      <c r="KJ31" s="479">
        <f t="shared" si="328"/>
        <v>0</v>
      </c>
      <c r="KK31" s="479">
        <f t="shared" si="328"/>
        <v>0</v>
      </c>
      <c r="KL31" s="479">
        <f t="shared" si="328"/>
        <v>0</v>
      </c>
      <c r="KM31" s="479">
        <f t="shared" si="328"/>
        <v>0</v>
      </c>
      <c r="KN31" s="479">
        <f t="shared" si="328"/>
        <v>0</v>
      </c>
      <c r="KO31" s="479">
        <f t="shared" si="328"/>
        <v>0</v>
      </c>
      <c r="KP31" s="479">
        <f t="shared" si="328"/>
        <v>0</v>
      </c>
      <c r="KQ31" s="479">
        <f t="shared" si="328"/>
        <v>0</v>
      </c>
      <c r="KR31" s="479">
        <f t="shared" si="328"/>
        <v>0</v>
      </c>
      <c r="KS31" s="479">
        <f t="shared" si="328"/>
        <v>0</v>
      </c>
      <c r="KT31" s="479">
        <f t="shared" si="328"/>
        <v>0</v>
      </c>
      <c r="KU31" s="479">
        <f t="shared" si="328"/>
        <v>0</v>
      </c>
      <c r="KV31" s="479">
        <f t="shared" si="328"/>
        <v>0</v>
      </c>
      <c r="KW31" s="479">
        <f t="shared" si="328"/>
        <v>0</v>
      </c>
      <c r="KX31" s="479">
        <f t="shared" si="328"/>
        <v>0</v>
      </c>
      <c r="KY31" s="479">
        <f t="shared" si="328"/>
        <v>0</v>
      </c>
      <c r="KZ31" s="479">
        <f t="shared" si="328"/>
        <v>0</v>
      </c>
      <c r="LA31" s="479">
        <f t="shared" si="328"/>
        <v>0</v>
      </c>
      <c r="LB31" s="479">
        <f t="shared" si="328"/>
        <v>0</v>
      </c>
      <c r="LC31" s="479">
        <f t="shared" si="328"/>
        <v>0</v>
      </c>
      <c r="LD31" s="479">
        <f t="shared" si="328"/>
        <v>0</v>
      </c>
      <c r="LE31" s="479">
        <f t="shared" si="328"/>
        <v>0</v>
      </c>
      <c r="LF31" s="479">
        <f t="shared" si="328"/>
        <v>0</v>
      </c>
      <c r="LG31" s="479">
        <f t="shared" si="328"/>
        <v>0</v>
      </c>
      <c r="LH31" s="479">
        <f t="shared" si="328"/>
        <v>0</v>
      </c>
      <c r="LI31" s="479">
        <f t="shared" si="328"/>
        <v>0</v>
      </c>
      <c r="LJ31" s="479">
        <f t="shared" si="328"/>
        <v>0</v>
      </c>
      <c r="LK31" s="479">
        <f t="shared" si="328"/>
        <v>0</v>
      </c>
      <c r="LL31" s="479">
        <f t="shared" si="328"/>
        <v>0</v>
      </c>
      <c r="LM31" s="479">
        <f t="shared" si="328"/>
        <v>0</v>
      </c>
      <c r="LN31" s="479">
        <f t="shared" si="328"/>
        <v>0</v>
      </c>
      <c r="LO31" s="479">
        <f t="shared" si="328"/>
        <v>0</v>
      </c>
      <c r="LP31" s="479">
        <f t="shared" si="328"/>
        <v>0</v>
      </c>
      <c r="LQ31" s="479">
        <f t="shared" si="328"/>
        <v>0</v>
      </c>
      <c r="LR31" s="479">
        <f t="shared" si="328"/>
        <v>0</v>
      </c>
      <c r="LS31" s="479">
        <f t="shared" si="329"/>
        <v>0</v>
      </c>
      <c r="LT31" s="479">
        <f t="shared" si="329"/>
        <v>0</v>
      </c>
      <c r="LU31" s="479">
        <f t="shared" si="329"/>
        <v>0</v>
      </c>
      <c r="LV31" s="479">
        <f t="shared" si="329"/>
        <v>0</v>
      </c>
      <c r="LW31" s="479">
        <f t="shared" si="329"/>
        <v>0</v>
      </c>
      <c r="LX31" s="479">
        <f t="shared" si="329"/>
        <v>0</v>
      </c>
      <c r="LY31" s="479">
        <f t="shared" si="329"/>
        <v>0</v>
      </c>
      <c r="LZ31" s="479">
        <f t="shared" si="329"/>
        <v>0</v>
      </c>
      <c r="MA31" s="479">
        <f t="shared" si="329"/>
        <v>0</v>
      </c>
      <c r="MB31" s="479">
        <f t="shared" si="329"/>
        <v>0</v>
      </c>
      <c r="MC31" s="479">
        <f t="shared" si="329"/>
        <v>0</v>
      </c>
      <c r="MD31" s="479">
        <f t="shared" si="329"/>
        <v>0</v>
      </c>
      <c r="ME31" s="479">
        <f t="shared" si="329"/>
        <v>0</v>
      </c>
      <c r="MF31" s="479">
        <f t="shared" si="329"/>
        <v>0</v>
      </c>
      <c r="MG31" s="479">
        <f t="shared" si="329"/>
        <v>0</v>
      </c>
      <c r="MH31" s="479">
        <f t="shared" si="329"/>
        <v>0</v>
      </c>
      <c r="MI31" s="479">
        <f t="shared" si="329"/>
        <v>0</v>
      </c>
      <c r="MJ31" s="479">
        <f t="shared" si="329"/>
        <v>0</v>
      </c>
      <c r="MK31" s="479">
        <f t="shared" si="329"/>
        <v>0</v>
      </c>
      <c r="ML31" s="479">
        <f t="shared" si="329"/>
        <v>0</v>
      </c>
      <c r="MM31" s="479">
        <f t="shared" si="329"/>
        <v>0</v>
      </c>
      <c r="MN31" s="479">
        <f t="shared" si="329"/>
        <v>0</v>
      </c>
      <c r="MO31" s="479">
        <f t="shared" si="329"/>
        <v>0</v>
      </c>
      <c r="MP31" s="479">
        <f t="shared" si="329"/>
        <v>0</v>
      </c>
      <c r="MQ31" s="479">
        <f t="shared" si="329"/>
        <v>0</v>
      </c>
      <c r="MR31" s="479">
        <f t="shared" si="329"/>
        <v>0</v>
      </c>
      <c r="MS31" s="479">
        <f t="shared" si="329"/>
        <v>0</v>
      </c>
      <c r="MT31" s="479">
        <f t="shared" si="329"/>
        <v>0</v>
      </c>
      <c r="MU31" s="479">
        <f t="shared" si="329"/>
        <v>0</v>
      </c>
      <c r="MV31" s="479">
        <f t="shared" si="329"/>
        <v>0</v>
      </c>
      <c r="MW31" s="479">
        <f t="shared" si="329"/>
        <v>0</v>
      </c>
      <c r="MX31" s="479">
        <f t="shared" si="329"/>
        <v>0</v>
      </c>
      <c r="MY31" s="479">
        <f t="shared" si="329"/>
        <v>0</v>
      </c>
      <c r="MZ31" s="479">
        <f t="shared" si="329"/>
        <v>0</v>
      </c>
      <c r="NA31" s="479">
        <f t="shared" si="329"/>
        <v>0</v>
      </c>
      <c r="NB31" s="479">
        <f t="shared" si="329"/>
        <v>0</v>
      </c>
      <c r="NC31" s="479">
        <f t="shared" si="329"/>
        <v>0</v>
      </c>
      <c r="ND31" s="479">
        <f t="shared" si="329"/>
        <v>0</v>
      </c>
      <c r="NE31" s="479">
        <f t="shared" si="329"/>
        <v>0</v>
      </c>
      <c r="NF31" s="479">
        <f t="shared" si="329"/>
        <v>0</v>
      </c>
      <c r="NG31" s="479">
        <f t="shared" si="329"/>
        <v>0</v>
      </c>
      <c r="NH31" s="479">
        <f t="shared" si="329"/>
        <v>0</v>
      </c>
      <c r="NI31" s="479">
        <f t="shared" si="329"/>
        <v>0</v>
      </c>
      <c r="NJ31" s="479">
        <f t="shared" si="329"/>
        <v>0</v>
      </c>
      <c r="NK31" s="479">
        <f t="shared" si="329"/>
        <v>0</v>
      </c>
      <c r="NL31" s="479">
        <f t="shared" si="329"/>
        <v>0</v>
      </c>
      <c r="NM31" s="479">
        <f t="shared" si="329"/>
        <v>0</v>
      </c>
      <c r="NN31" s="479">
        <f t="shared" si="329"/>
        <v>0</v>
      </c>
      <c r="NO31" s="479">
        <f t="shared" si="329"/>
        <v>0</v>
      </c>
      <c r="NP31" s="479">
        <f t="shared" si="329"/>
        <v>0</v>
      </c>
      <c r="NQ31" s="479">
        <f t="shared" si="329"/>
        <v>0</v>
      </c>
      <c r="NR31" s="479">
        <f t="shared" si="329"/>
        <v>0</v>
      </c>
      <c r="NS31" s="479">
        <f t="shared" si="329"/>
        <v>0</v>
      </c>
      <c r="NT31" s="479">
        <f t="shared" si="329"/>
        <v>0</v>
      </c>
      <c r="NU31" s="479">
        <f t="shared" si="329"/>
        <v>0</v>
      </c>
      <c r="NV31" s="479">
        <f t="shared" si="329"/>
        <v>0</v>
      </c>
      <c r="NW31" s="479">
        <f t="shared" si="329"/>
        <v>0</v>
      </c>
      <c r="NX31" s="479">
        <f t="shared" si="329"/>
        <v>0</v>
      </c>
      <c r="NY31" s="479">
        <f t="shared" si="329"/>
        <v>0</v>
      </c>
      <c r="NZ31" s="479">
        <f t="shared" si="329"/>
        <v>0</v>
      </c>
      <c r="OA31" s="479">
        <f t="shared" si="329"/>
        <v>0</v>
      </c>
      <c r="OB31" s="479">
        <f t="shared" si="329"/>
        <v>0</v>
      </c>
      <c r="OC31" s="479">
        <f t="shared" si="329"/>
        <v>0</v>
      </c>
      <c r="OD31" s="479">
        <f t="shared" si="329"/>
        <v>0</v>
      </c>
      <c r="OE31" s="479">
        <f t="shared" si="330"/>
        <v>0</v>
      </c>
      <c r="OF31" s="479">
        <f t="shared" si="330"/>
        <v>0</v>
      </c>
      <c r="OG31" s="479">
        <f t="shared" si="330"/>
        <v>0</v>
      </c>
      <c r="OH31" s="479">
        <f t="shared" si="330"/>
        <v>0</v>
      </c>
      <c r="OI31" s="479">
        <f t="shared" si="330"/>
        <v>0</v>
      </c>
      <c r="OJ31" s="479">
        <f t="shared" si="330"/>
        <v>0</v>
      </c>
      <c r="OK31" s="479">
        <f t="shared" si="330"/>
        <v>0</v>
      </c>
      <c r="OL31" s="479">
        <f t="shared" si="330"/>
        <v>0</v>
      </c>
      <c r="OM31" s="479">
        <f t="shared" si="330"/>
        <v>0</v>
      </c>
      <c r="ON31" s="479">
        <f t="shared" si="330"/>
        <v>0</v>
      </c>
      <c r="OO31" s="479">
        <f t="shared" si="330"/>
        <v>0</v>
      </c>
    </row>
    <row r="32" spans="2:405">
      <c r="B32" s="97" t="str">
        <f>Assumptions!B97</f>
        <v>Architect / Engineer</v>
      </c>
      <c r="C32" s="97"/>
      <c r="D32" s="500">
        <f>Assumptions!C97</f>
        <v>2400000</v>
      </c>
      <c r="E32" s="507">
        <f>Assumptions!$C$8</f>
        <v>46204</v>
      </c>
      <c r="F32" s="507">
        <f>EOMONTH(E32,Assumptions!$C$9-1)</f>
        <v>46387</v>
      </c>
      <c r="G32" s="97">
        <f t="shared" si="323"/>
        <v>6</v>
      </c>
      <c r="H32" s="97"/>
      <c r="I32" s="97"/>
      <c r="J32" s="479">
        <f t="shared" si="331"/>
        <v>-400000</v>
      </c>
      <c r="K32" s="479">
        <f t="shared" si="324"/>
        <v>-400000</v>
      </c>
      <c r="L32" s="479">
        <f t="shared" si="324"/>
        <v>-400000</v>
      </c>
      <c r="M32" s="479">
        <f t="shared" si="324"/>
        <v>-400000</v>
      </c>
      <c r="N32" s="479">
        <f t="shared" si="324"/>
        <v>-400000</v>
      </c>
      <c r="O32" s="479">
        <f t="shared" si="324"/>
        <v>-400000</v>
      </c>
      <c r="P32" s="479">
        <f t="shared" si="324"/>
        <v>0</v>
      </c>
      <c r="Q32" s="479">
        <f t="shared" si="324"/>
        <v>0</v>
      </c>
      <c r="R32" s="479">
        <f t="shared" si="324"/>
        <v>0</v>
      </c>
      <c r="S32" s="479">
        <f t="shared" si="324"/>
        <v>0</v>
      </c>
      <c r="T32" s="479">
        <f t="shared" si="324"/>
        <v>0</v>
      </c>
      <c r="U32" s="479">
        <f t="shared" si="324"/>
        <v>0</v>
      </c>
      <c r="V32" s="479">
        <f t="shared" si="324"/>
        <v>0</v>
      </c>
      <c r="W32" s="479">
        <f t="shared" si="324"/>
        <v>0</v>
      </c>
      <c r="X32" s="479">
        <f t="shared" si="324"/>
        <v>0</v>
      </c>
      <c r="Y32" s="479">
        <f t="shared" si="324"/>
        <v>0</v>
      </c>
      <c r="Z32" s="479">
        <f t="shared" si="324"/>
        <v>0</v>
      </c>
      <c r="AA32" s="479">
        <f t="shared" si="324"/>
        <v>0</v>
      </c>
      <c r="AB32" s="479">
        <f t="shared" si="324"/>
        <v>0</v>
      </c>
      <c r="AC32" s="479">
        <f t="shared" si="324"/>
        <v>0</v>
      </c>
      <c r="AD32" s="479">
        <f t="shared" si="324"/>
        <v>0</v>
      </c>
      <c r="AE32" s="479">
        <f t="shared" si="324"/>
        <v>0</v>
      </c>
      <c r="AF32" s="479">
        <f t="shared" si="324"/>
        <v>0</v>
      </c>
      <c r="AG32" s="479">
        <f t="shared" si="324"/>
        <v>0</v>
      </c>
      <c r="AH32" s="479">
        <f t="shared" si="324"/>
        <v>0</v>
      </c>
      <c r="AI32" s="479">
        <f t="shared" si="324"/>
        <v>0</v>
      </c>
      <c r="AJ32" s="479">
        <f t="shared" si="324"/>
        <v>0</v>
      </c>
      <c r="AK32" s="479">
        <f t="shared" si="324"/>
        <v>0</v>
      </c>
      <c r="AL32" s="479">
        <f t="shared" si="324"/>
        <v>0</v>
      </c>
      <c r="AM32" s="479">
        <f t="shared" si="324"/>
        <v>0</v>
      </c>
      <c r="AN32" s="479">
        <f t="shared" si="324"/>
        <v>0</v>
      </c>
      <c r="AO32" s="479">
        <f t="shared" si="324"/>
        <v>0</v>
      </c>
      <c r="AP32" s="479">
        <f t="shared" si="324"/>
        <v>0</v>
      </c>
      <c r="AQ32" s="479">
        <f t="shared" si="324"/>
        <v>0</v>
      </c>
      <c r="AR32" s="479">
        <f t="shared" si="324"/>
        <v>0</v>
      </c>
      <c r="AS32" s="479">
        <f t="shared" si="324"/>
        <v>0</v>
      </c>
      <c r="AT32" s="479">
        <f t="shared" si="324"/>
        <v>0</v>
      </c>
      <c r="AU32" s="479">
        <f t="shared" si="324"/>
        <v>0</v>
      </c>
      <c r="AV32" s="479">
        <f t="shared" si="324"/>
        <v>0</v>
      </c>
      <c r="AW32" s="479">
        <f t="shared" si="324"/>
        <v>0</v>
      </c>
      <c r="AX32" s="479">
        <f t="shared" si="324"/>
        <v>0</v>
      </c>
      <c r="AY32" s="479">
        <f t="shared" si="324"/>
        <v>0</v>
      </c>
      <c r="AZ32" s="479">
        <f t="shared" si="324"/>
        <v>0</v>
      </c>
      <c r="BA32" s="479">
        <f t="shared" si="324"/>
        <v>0</v>
      </c>
      <c r="BB32" s="479">
        <f t="shared" si="324"/>
        <v>0</v>
      </c>
      <c r="BC32" s="479">
        <f t="shared" si="324"/>
        <v>0</v>
      </c>
      <c r="BD32" s="479">
        <f t="shared" si="324"/>
        <v>0</v>
      </c>
      <c r="BE32" s="479">
        <f t="shared" si="324"/>
        <v>0</v>
      </c>
      <c r="BF32" s="479">
        <f t="shared" si="324"/>
        <v>0</v>
      </c>
      <c r="BG32" s="479">
        <f t="shared" si="324"/>
        <v>0</v>
      </c>
      <c r="BH32" s="479">
        <f t="shared" si="324"/>
        <v>0</v>
      </c>
      <c r="BI32" s="479">
        <f t="shared" si="324"/>
        <v>0</v>
      </c>
      <c r="BJ32" s="479">
        <f t="shared" si="324"/>
        <v>0</v>
      </c>
      <c r="BK32" s="479">
        <f t="shared" si="324"/>
        <v>0</v>
      </c>
      <c r="BL32" s="479">
        <f t="shared" si="324"/>
        <v>0</v>
      </c>
      <c r="BM32" s="479">
        <f t="shared" si="324"/>
        <v>0</v>
      </c>
      <c r="BN32" s="479">
        <f t="shared" si="324"/>
        <v>0</v>
      </c>
      <c r="BO32" s="479">
        <f t="shared" si="324"/>
        <v>0</v>
      </c>
      <c r="BP32" s="479">
        <f t="shared" si="324"/>
        <v>0</v>
      </c>
      <c r="BQ32" s="479">
        <f t="shared" si="324"/>
        <v>0</v>
      </c>
      <c r="BR32" s="479">
        <f t="shared" si="324"/>
        <v>0</v>
      </c>
      <c r="BS32" s="479">
        <f t="shared" si="324"/>
        <v>0</v>
      </c>
      <c r="BT32" s="479">
        <f t="shared" si="324"/>
        <v>0</v>
      </c>
      <c r="BU32" s="479">
        <f t="shared" si="324"/>
        <v>0</v>
      </c>
      <c r="BV32" s="479">
        <f t="shared" si="324"/>
        <v>0</v>
      </c>
      <c r="BW32" s="479">
        <f t="shared" si="325"/>
        <v>0</v>
      </c>
      <c r="BX32" s="479">
        <f t="shared" si="325"/>
        <v>0</v>
      </c>
      <c r="BY32" s="479">
        <f t="shared" si="325"/>
        <v>0</v>
      </c>
      <c r="BZ32" s="479">
        <f t="shared" si="325"/>
        <v>0</v>
      </c>
      <c r="CA32" s="479">
        <f t="shared" si="325"/>
        <v>0</v>
      </c>
      <c r="CB32" s="479">
        <f t="shared" si="325"/>
        <v>0</v>
      </c>
      <c r="CC32" s="479">
        <f t="shared" si="325"/>
        <v>0</v>
      </c>
      <c r="CD32" s="479">
        <f t="shared" si="325"/>
        <v>0</v>
      </c>
      <c r="CE32" s="479">
        <f t="shared" si="325"/>
        <v>0</v>
      </c>
      <c r="CF32" s="479">
        <f t="shared" si="325"/>
        <v>0</v>
      </c>
      <c r="CG32" s="479">
        <f t="shared" si="325"/>
        <v>0</v>
      </c>
      <c r="CH32" s="479">
        <f t="shared" si="325"/>
        <v>0</v>
      </c>
      <c r="CI32" s="479">
        <f t="shared" si="325"/>
        <v>0</v>
      </c>
      <c r="CJ32" s="479">
        <f t="shared" si="325"/>
        <v>0</v>
      </c>
      <c r="CK32" s="479">
        <f t="shared" si="325"/>
        <v>0</v>
      </c>
      <c r="CL32" s="479">
        <f t="shared" si="325"/>
        <v>0</v>
      </c>
      <c r="CM32" s="479">
        <f t="shared" si="325"/>
        <v>0</v>
      </c>
      <c r="CN32" s="479">
        <f t="shared" si="325"/>
        <v>0</v>
      </c>
      <c r="CO32" s="479">
        <f t="shared" si="325"/>
        <v>0</v>
      </c>
      <c r="CP32" s="479">
        <f t="shared" si="325"/>
        <v>0</v>
      </c>
      <c r="CQ32" s="479">
        <f t="shared" si="325"/>
        <v>0</v>
      </c>
      <c r="CR32" s="479">
        <f t="shared" si="325"/>
        <v>0</v>
      </c>
      <c r="CS32" s="479">
        <f t="shared" si="325"/>
        <v>0</v>
      </c>
      <c r="CT32" s="479">
        <f t="shared" si="325"/>
        <v>0</v>
      </c>
      <c r="CU32" s="479">
        <f t="shared" si="325"/>
        <v>0</v>
      </c>
      <c r="CV32" s="479">
        <f t="shared" si="325"/>
        <v>0</v>
      </c>
      <c r="CW32" s="479">
        <f t="shared" si="325"/>
        <v>0</v>
      </c>
      <c r="CX32" s="479">
        <f t="shared" si="325"/>
        <v>0</v>
      </c>
      <c r="CY32" s="479">
        <f t="shared" si="325"/>
        <v>0</v>
      </c>
      <c r="CZ32" s="479">
        <f t="shared" si="325"/>
        <v>0</v>
      </c>
      <c r="DA32" s="479">
        <f t="shared" si="325"/>
        <v>0</v>
      </c>
      <c r="DB32" s="479">
        <f t="shared" si="325"/>
        <v>0</v>
      </c>
      <c r="DC32" s="479">
        <f t="shared" si="325"/>
        <v>0</v>
      </c>
      <c r="DD32" s="479">
        <f t="shared" si="325"/>
        <v>0</v>
      </c>
      <c r="DE32" s="479">
        <f t="shared" si="325"/>
        <v>0</v>
      </c>
      <c r="DF32" s="479">
        <f t="shared" si="325"/>
        <v>0</v>
      </c>
      <c r="DG32" s="479">
        <f t="shared" si="325"/>
        <v>0</v>
      </c>
      <c r="DH32" s="479">
        <f t="shared" si="325"/>
        <v>0</v>
      </c>
      <c r="DI32" s="479">
        <f t="shared" si="325"/>
        <v>0</v>
      </c>
      <c r="DJ32" s="479">
        <f t="shared" si="325"/>
        <v>0</v>
      </c>
      <c r="DK32" s="479">
        <f t="shared" si="325"/>
        <v>0</v>
      </c>
      <c r="DL32" s="479">
        <f t="shared" si="325"/>
        <v>0</v>
      </c>
      <c r="DM32" s="479">
        <f t="shared" si="325"/>
        <v>0</v>
      </c>
      <c r="DN32" s="479">
        <f t="shared" si="325"/>
        <v>0</v>
      </c>
      <c r="DO32" s="479">
        <f t="shared" si="325"/>
        <v>0</v>
      </c>
      <c r="DP32" s="479">
        <f t="shared" si="325"/>
        <v>0</v>
      </c>
      <c r="DQ32" s="479">
        <f t="shared" si="325"/>
        <v>0</v>
      </c>
      <c r="DR32" s="479">
        <f t="shared" si="325"/>
        <v>0</v>
      </c>
      <c r="DS32" s="479">
        <f t="shared" si="325"/>
        <v>0</v>
      </c>
      <c r="DT32" s="479">
        <f t="shared" si="325"/>
        <v>0</v>
      </c>
      <c r="DU32" s="479">
        <f t="shared" si="325"/>
        <v>0</v>
      </c>
      <c r="DV32" s="479">
        <f t="shared" si="325"/>
        <v>0</v>
      </c>
      <c r="DW32" s="479">
        <f t="shared" si="325"/>
        <v>0</v>
      </c>
      <c r="DX32" s="479">
        <f t="shared" si="325"/>
        <v>0</v>
      </c>
      <c r="DY32" s="479">
        <f t="shared" si="325"/>
        <v>0</v>
      </c>
      <c r="DZ32" s="479">
        <f t="shared" si="325"/>
        <v>0</v>
      </c>
      <c r="EA32" s="479">
        <f t="shared" si="325"/>
        <v>0</v>
      </c>
      <c r="EB32" s="479">
        <f t="shared" si="325"/>
        <v>0</v>
      </c>
      <c r="EC32" s="479">
        <f t="shared" si="325"/>
        <v>0</v>
      </c>
      <c r="ED32" s="479">
        <f t="shared" si="325"/>
        <v>0</v>
      </c>
      <c r="EE32" s="479">
        <f t="shared" si="325"/>
        <v>0</v>
      </c>
      <c r="EF32" s="479">
        <f t="shared" si="325"/>
        <v>0</v>
      </c>
      <c r="EG32" s="479">
        <f t="shared" si="325"/>
        <v>0</v>
      </c>
      <c r="EH32" s="479">
        <f t="shared" si="325"/>
        <v>0</v>
      </c>
      <c r="EI32" s="479">
        <f t="shared" si="326"/>
        <v>0</v>
      </c>
      <c r="EJ32" s="479">
        <f t="shared" si="326"/>
        <v>0</v>
      </c>
      <c r="EK32" s="479">
        <f t="shared" si="326"/>
        <v>0</v>
      </c>
      <c r="EL32" s="479">
        <f t="shared" si="326"/>
        <v>0</v>
      </c>
      <c r="EM32" s="479">
        <f t="shared" si="326"/>
        <v>0</v>
      </c>
      <c r="EN32" s="479">
        <f t="shared" si="326"/>
        <v>0</v>
      </c>
      <c r="EO32" s="479">
        <f t="shared" si="326"/>
        <v>0</v>
      </c>
      <c r="EP32" s="479">
        <f t="shared" si="326"/>
        <v>0</v>
      </c>
      <c r="EQ32" s="479">
        <f t="shared" si="326"/>
        <v>0</v>
      </c>
      <c r="ER32" s="479">
        <f t="shared" si="326"/>
        <v>0</v>
      </c>
      <c r="ES32" s="479">
        <f t="shared" si="326"/>
        <v>0</v>
      </c>
      <c r="ET32" s="479">
        <f t="shared" si="326"/>
        <v>0</v>
      </c>
      <c r="EU32" s="479">
        <f t="shared" si="326"/>
        <v>0</v>
      </c>
      <c r="EV32" s="479">
        <f t="shared" si="326"/>
        <v>0</v>
      </c>
      <c r="EW32" s="479">
        <f t="shared" si="326"/>
        <v>0</v>
      </c>
      <c r="EX32" s="479">
        <f t="shared" si="326"/>
        <v>0</v>
      </c>
      <c r="EY32" s="479">
        <f t="shared" si="326"/>
        <v>0</v>
      </c>
      <c r="EZ32" s="479">
        <f t="shared" si="326"/>
        <v>0</v>
      </c>
      <c r="FA32" s="479">
        <f t="shared" si="326"/>
        <v>0</v>
      </c>
      <c r="FB32" s="479">
        <f t="shared" si="326"/>
        <v>0</v>
      </c>
      <c r="FC32" s="479">
        <f t="shared" si="326"/>
        <v>0</v>
      </c>
      <c r="FD32" s="479">
        <f t="shared" si="326"/>
        <v>0</v>
      </c>
      <c r="FE32" s="479">
        <f t="shared" si="326"/>
        <v>0</v>
      </c>
      <c r="FF32" s="479">
        <f t="shared" si="326"/>
        <v>0</v>
      </c>
      <c r="FG32" s="479">
        <f t="shared" si="326"/>
        <v>0</v>
      </c>
      <c r="FH32" s="479">
        <f t="shared" si="326"/>
        <v>0</v>
      </c>
      <c r="FI32" s="479">
        <f t="shared" si="326"/>
        <v>0</v>
      </c>
      <c r="FJ32" s="479">
        <f t="shared" si="326"/>
        <v>0</v>
      </c>
      <c r="FK32" s="479">
        <f t="shared" si="326"/>
        <v>0</v>
      </c>
      <c r="FL32" s="479">
        <f t="shared" si="326"/>
        <v>0</v>
      </c>
      <c r="FM32" s="479">
        <f t="shared" si="326"/>
        <v>0</v>
      </c>
      <c r="FN32" s="479">
        <f t="shared" si="326"/>
        <v>0</v>
      </c>
      <c r="FO32" s="479">
        <f t="shared" si="326"/>
        <v>0</v>
      </c>
      <c r="FP32" s="479">
        <f t="shared" si="326"/>
        <v>0</v>
      </c>
      <c r="FQ32" s="479">
        <f t="shared" si="326"/>
        <v>0</v>
      </c>
      <c r="FR32" s="479">
        <f t="shared" si="326"/>
        <v>0</v>
      </c>
      <c r="FS32" s="479">
        <f t="shared" si="326"/>
        <v>0</v>
      </c>
      <c r="FT32" s="479">
        <f t="shared" si="326"/>
        <v>0</v>
      </c>
      <c r="FU32" s="479">
        <f t="shared" si="326"/>
        <v>0</v>
      </c>
      <c r="FV32" s="479">
        <f t="shared" si="326"/>
        <v>0</v>
      </c>
      <c r="FW32" s="479">
        <f t="shared" si="326"/>
        <v>0</v>
      </c>
      <c r="FX32" s="479">
        <f t="shared" si="326"/>
        <v>0</v>
      </c>
      <c r="FY32" s="479">
        <f t="shared" si="326"/>
        <v>0</v>
      </c>
      <c r="FZ32" s="479">
        <f t="shared" si="326"/>
        <v>0</v>
      </c>
      <c r="GA32" s="479">
        <f t="shared" si="326"/>
        <v>0</v>
      </c>
      <c r="GB32" s="479">
        <f t="shared" si="326"/>
        <v>0</v>
      </c>
      <c r="GC32" s="479">
        <f t="shared" si="326"/>
        <v>0</v>
      </c>
      <c r="GD32" s="479">
        <f t="shared" si="326"/>
        <v>0</v>
      </c>
      <c r="GE32" s="479">
        <f t="shared" si="326"/>
        <v>0</v>
      </c>
      <c r="GF32" s="479">
        <f t="shared" si="326"/>
        <v>0</v>
      </c>
      <c r="GG32" s="479">
        <f t="shared" si="326"/>
        <v>0</v>
      </c>
      <c r="GH32" s="479">
        <f t="shared" si="326"/>
        <v>0</v>
      </c>
      <c r="GI32" s="479">
        <f t="shared" si="326"/>
        <v>0</v>
      </c>
      <c r="GJ32" s="479">
        <f t="shared" si="326"/>
        <v>0</v>
      </c>
      <c r="GK32" s="479">
        <f t="shared" si="326"/>
        <v>0</v>
      </c>
      <c r="GL32" s="479">
        <f t="shared" si="326"/>
        <v>0</v>
      </c>
      <c r="GM32" s="479">
        <f t="shared" si="326"/>
        <v>0</v>
      </c>
      <c r="GN32" s="479">
        <f t="shared" si="326"/>
        <v>0</v>
      </c>
      <c r="GO32" s="479">
        <f t="shared" si="326"/>
        <v>0</v>
      </c>
      <c r="GP32" s="479">
        <f t="shared" si="326"/>
        <v>0</v>
      </c>
      <c r="GQ32" s="479">
        <f t="shared" si="326"/>
        <v>0</v>
      </c>
      <c r="GR32" s="479">
        <f t="shared" si="326"/>
        <v>0</v>
      </c>
      <c r="GS32" s="479">
        <f t="shared" si="326"/>
        <v>0</v>
      </c>
      <c r="GT32" s="479">
        <f t="shared" si="326"/>
        <v>0</v>
      </c>
      <c r="GU32" s="479">
        <f t="shared" si="327"/>
        <v>0</v>
      </c>
      <c r="GV32" s="479">
        <f t="shared" si="327"/>
        <v>0</v>
      </c>
      <c r="GW32" s="479">
        <f t="shared" si="327"/>
        <v>0</v>
      </c>
      <c r="GX32" s="479">
        <f t="shared" si="327"/>
        <v>0</v>
      </c>
      <c r="GY32" s="479">
        <f t="shared" si="327"/>
        <v>0</v>
      </c>
      <c r="GZ32" s="479">
        <f t="shared" si="327"/>
        <v>0</v>
      </c>
      <c r="HA32" s="479">
        <f t="shared" si="327"/>
        <v>0</v>
      </c>
      <c r="HB32" s="479">
        <f t="shared" si="327"/>
        <v>0</v>
      </c>
      <c r="HC32" s="479">
        <f t="shared" si="327"/>
        <v>0</v>
      </c>
      <c r="HD32" s="479">
        <f t="shared" si="327"/>
        <v>0</v>
      </c>
      <c r="HE32" s="479">
        <f t="shared" si="327"/>
        <v>0</v>
      </c>
      <c r="HF32" s="479">
        <f t="shared" si="327"/>
        <v>0</v>
      </c>
      <c r="HG32" s="479">
        <f t="shared" si="327"/>
        <v>0</v>
      </c>
      <c r="HH32" s="479">
        <f t="shared" si="327"/>
        <v>0</v>
      </c>
      <c r="HI32" s="479">
        <f t="shared" si="327"/>
        <v>0</v>
      </c>
      <c r="HJ32" s="479">
        <f t="shared" si="327"/>
        <v>0</v>
      </c>
      <c r="HK32" s="479">
        <f t="shared" si="327"/>
        <v>0</v>
      </c>
      <c r="HL32" s="479">
        <f t="shared" si="327"/>
        <v>0</v>
      </c>
      <c r="HM32" s="479">
        <f t="shared" si="327"/>
        <v>0</v>
      </c>
      <c r="HN32" s="479">
        <f t="shared" si="327"/>
        <v>0</v>
      </c>
      <c r="HO32" s="479">
        <f t="shared" si="327"/>
        <v>0</v>
      </c>
      <c r="HP32" s="479">
        <f t="shared" si="327"/>
        <v>0</v>
      </c>
      <c r="HQ32" s="479">
        <f t="shared" si="327"/>
        <v>0</v>
      </c>
      <c r="HR32" s="479">
        <f t="shared" si="327"/>
        <v>0</v>
      </c>
      <c r="HS32" s="479">
        <f t="shared" si="327"/>
        <v>0</v>
      </c>
      <c r="HT32" s="479">
        <f t="shared" si="327"/>
        <v>0</v>
      </c>
      <c r="HU32" s="479">
        <f t="shared" si="327"/>
        <v>0</v>
      </c>
      <c r="HV32" s="479">
        <f t="shared" si="327"/>
        <v>0</v>
      </c>
      <c r="HW32" s="479">
        <f t="shared" si="327"/>
        <v>0</v>
      </c>
      <c r="HX32" s="479">
        <f t="shared" si="327"/>
        <v>0</v>
      </c>
      <c r="HY32" s="479">
        <f t="shared" si="327"/>
        <v>0</v>
      </c>
      <c r="HZ32" s="479">
        <f t="shared" si="327"/>
        <v>0</v>
      </c>
      <c r="IA32" s="479">
        <f t="shared" si="327"/>
        <v>0</v>
      </c>
      <c r="IB32" s="479">
        <f t="shared" si="327"/>
        <v>0</v>
      </c>
      <c r="IC32" s="479">
        <f t="shared" si="327"/>
        <v>0</v>
      </c>
      <c r="ID32" s="479">
        <f t="shared" si="327"/>
        <v>0</v>
      </c>
      <c r="IE32" s="479">
        <f t="shared" si="327"/>
        <v>0</v>
      </c>
      <c r="IF32" s="479">
        <f t="shared" si="327"/>
        <v>0</v>
      </c>
      <c r="IG32" s="479">
        <f t="shared" si="327"/>
        <v>0</v>
      </c>
      <c r="IH32" s="479">
        <f t="shared" si="327"/>
        <v>0</v>
      </c>
      <c r="II32" s="479">
        <f t="shared" si="327"/>
        <v>0</v>
      </c>
      <c r="IJ32" s="479">
        <f t="shared" si="327"/>
        <v>0</v>
      </c>
      <c r="IK32" s="479">
        <f t="shared" si="327"/>
        <v>0</v>
      </c>
      <c r="IL32" s="479">
        <f t="shared" si="327"/>
        <v>0</v>
      </c>
      <c r="IM32" s="479">
        <f t="shared" si="327"/>
        <v>0</v>
      </c>
      <c r="IN32" s="479">
        <f t="shared" si="327"/>
        <v>0</v>
      </c>
      <c r="IO32" s="479">
        <f t="shared" si="327"/>
        <v>0</v>
      </c>
      <c r="IP32" s="479">
        <f t="shared" si="327"/>
        <v>0</v>
      </c>
      <c r="IQ32" s="479">
        <f t="shared" si="327"/>
        <v>0</v>
      </c>
      <c r="IR32" s="479">
        <f t="shared" si="327"/>
        <v>0</v>
      </c>
      <c r="IS32" s="479">
        <f t="shared" si="327"/>
        <v>0</v>
      </c>
      <c r="IT32" s="479">
        <f t="shared" si="327"/>
        <v>0</v>
      </c>
      <c r="IU32" s="479">
        <f t="shared" si="327"/>
        <v>0</v>
      </c>
      <c r="IV32" s="479">
        <f t="shared" si="327"/>
        <v>0</v>
      </c>
      <c r="IW32" s="479">
        <f t="shared" si="327"/>
        <v>0</v>
      </c>
      <c r="IX32" s="479">
        <f t="shared" si="327"/>
        <v>0</v>
      </c>
      <c r="IY32" s="479">
        <f t="shared" si="327"/>
        <v>0</v>
      </c>
      <c r="IZ32" s="479">
        <f t="shared" si="327"/>
        <v>0</v>
      </c>
      <c r="JA32" s="479">
        <f t="shared" si="327"/>
        <v>0</v>
      </c>
      <c r="JB32" s="479">
        <f t="shared" si="327"/>
        <v>0</v>
      </c>
      <c r="JC32" s="479">
        <f t="shared" si="327"/>
        <v>0</v>
      </c>
      <c r="JD32" s="479">
        <f t="shared" si="327"/>
        <v>0</v>
      </c>
      <c r="JE32" s="479">
        <f t="shared" si="327"/>
        <v>0</v>
      </c>
      <c r="JF32" s="479">
        <f t="shared" si="327"/>
        <v>0</v>
      </c>
      <c r="JG32" s="479">
        <f t="shared" si="328"/>
        <v>0</v>
      </c>
      <c r="JH32" s="479">
        <f t="shared" si="328"/>
        <v>0</v>
      </c>
      <c r="JI32" s="479">
        <f t="shared" si="328"/>
        <v>0</v>
      </c>
      <c r="JJ32" s="479">
        <f t="shared" si="328"/>
        <v>0</v>
      </c>
      <c r="JK32" s="479">
        <f t="shared" si="328"/>
        <v>0</v>
      </c>
      <c r="JL32" s="479">
        <f t="shared" si="328"/>
        <v>0</v>
      </c>
      <c r="JM32" s="479">
        <f t="shared" si="328"/>
        <v>0</v>
      </c>
      <c r="JN32" s="479">
        <f t="shared" si="328"/>
        <v>0</v>
      </c>
      <c r="JO32" s="479">
        <f t="shared" si="328"/>
        <v>0</v>
      </c>
      <c r="JP32" s="479">
        <f t="shared" si="328"/>
        <v>0</v>
      </c>
      <c r="JQ32" s="479">
        <f t="shared" si="328"/>
        <v>0</v>
      </c>
      <c r="JR32" s="479">
        <f t="shared" si="328"/>
        <v>0</v>
      </c>
      <c r="JS32" s="479">
        <f t="shared" si="328"/>
        <v>0</v>
      </c>
      <c r="JT32" s="479">
        <f t="shared" si="328"/>
        <v>0</v>
      </c>
      <c r="JU32" s="479">
        <f t="shared" si="328"/>
        <v>0</v>
      </c>
      <c r="JV32" s="479">
        <f t="shared" si="328"/>
        <v>0</v>
      </c>
      <c r="JW32" s="479">
        <f t="shared" si="328"/>
        <v>0</v>
      </c>
      <c r="JX32" s="479">
        <f t="shared" si="328"/>
        <v>0</v>
      </c>
      <c r="JY32" s="479">
        <f t="shared" si="328"/>
        <v>0</v>
      </c>
      <c r="JZ32" s="479">
        <f t="shared" si="328"/>
        <v>0</v>
      </c>
      <c r="KA32" s="479">
        <f t="shared" si="328"/>
        <v>0</v>
      </c>
      <c r="KB32" s="479">
        <f t="shared" si="328"/>
        <v>0</v>
      </c>
      <c r="KC32" s="479">
        <f t="shared" si="328"/>
        <v>0</v>
      </c>
      <c r="KD32" s="479">
        <f t="shared" si="328"/>
        <v>0</v>
      </c>
      <c r="KE32" s="479">
        <f t="shared" si="328"/>
        <v>0</v>
      </c>
      <c r="KF32" s="479">
        <f t="shared" si="328"/>
        <v>0</v>
      </c>
      <c r="KG32" s="479">
        <f t="shared" si="328"/>
        <v>0</v>
      </c>
      <c r="KH32" s="479">
        <f t="shared" si="328"/>
        <v>0</v>
      </c>
      <c r="KI32" s="479">
        <f t="shared" si="328"/>
        <v>0</v>
      </c>
      <c r="KJ32" s="479">
        <f t="shared" si="328"/>
        <v>0</v>
      </c>
      <c r="KK32" s="479">
        <f t="shared" si="328"/>
        <v>0</v>
      </c>
      <c r="KL32" s="479">
        <f t="shared" si="328"/>
        <v>0</v>
      </c>
      <c r="KM32" s="479">
        <f t="shared" si="328"/>
        <v>0</v>
      </c>
      <c r="KN32" s="479">
        <f t="shared" si="328"/>
        <v>0</v>
      </c>
      <c r="KO32" s="479">
        <f t="shared" si="328"/>
        <v>0</v>
      </c>
      <c r="KP32" s="479">
        <f t="shared" si="328"/>
        <v>0</v>
      </c>
      <c r="KQ32" s="479">
        <f t="shared" si="328"/>
        <v>0</v>
      </c>
      <c r="KR32" s="479">
        <f t="shared" si="328"/>
        <v>0</v>
      </c>
      <c r="KS32" s="479">
        <f t="shared" si="328"/>
        <v>0</v>
      </c>
      <c r="KT32" s="479">
        <f t="shared" si="328"/>
        <v>0</v>
      </c>
      <c r="KU32" s="479">
        <f t="shared" si="328"/>
        <v>0</v>
      </c>
      <c r="KV32" s="479">
        <f t="shared" si="328"/>
        <v>0</v>
      </c>
      <c r="KW32" s="479">
        <f t="shared" si="328"/>
        <v>0</v>
      </c>
      <c r="KX32" s="479">
        <f t="shared" si="328"/>
        <v>0</v>
      </c>
      <c r="KY32" s="479">
        <f t="shared" si="328"/>
        <v>0</v>
      </c>
      <c r="KZ32" s="479">
        <f t="shared" si="328"/>
        <v>0</v>
      </c>
      <c r="LA32" s="479">
        <f t="shared" si="328"/>
        <v>0</v>
      </c>
      <c r="LB32" s="479">
        <f t="shared" si="328"/>
        <v>0</v>
      </c>
      <c r="LC32" s="479">
        <f t="shared" si="328"/>
        <v>0</v>
      </c>
      <c r="LD32" s="479">
        <f t="shared" si="328"/>
        <v>0</v>
      </c>
      <c r="LE32" s="479">
        <f t="shared" si="328"/>
        <v>0</v>
      </c>
      <c r="LF32" s="479">
        <f t="shared" si="328"/>
        <v>0</v>
      </c>
      <c r="LG32" s="479">
        <f t="shared" si="328"/>
        <v>0</v>
      </c>
      <c r="LH32" s="479">
        <f t="shared" si="328"/>
        <v>0</v>
      </c>
      <c r="LI32" s="479">
        <f t="shared" si="328"/>
        <v>0</v>
      </c>
      <c r="LJ32" s="479">
        <f t="shared" si="328"/>
        <v>0</v>
      </c>
      <c r="LK32" s="479">
        <f t="shared" si="328"/>
        <v>0</v>
      </c>
      <c r="LL32" s="479">
        <f t="shared" si="328"/>
        <v>0</v>
      </c>
      <c r="LM32" s="479">
        <f t="shared" si="328"/>
        <v>0</v>
      </c>
      <c r="LN32" s="479">
        <f t="shared" si="328"/>
        <v>0</v>
      </c>
      <c r="LO32" s="479">
        <f t="shared" si="328"/>
        <v>0</v>
      </c>
      <c r="LP32" s="479">
        <f t="shared" si="328"/>
        <v>0</v>
      </c>
      <c r="LQ32" s="479">
        <f t="shared" si="328"/>
        <v>0</v>
      </c>
      <c r="LR32" s="479">
        <f t="shared" si="328"/>
        <v>0</v>
      </c>
      <c r="LS32" s="479">
        <f t="shared" si="329"/>
        <v>0</v>
      </c>
      <c r="LT32" s="479">
        <f t="shared" si="329"/>
        <v>0</v>
      </c>
      <c r="LU32" s="479">
        <f t="shared" si="329"/>
        <v>0</v>
      </c>
      <c r="LV32" s="479">
        <f t="shared" si="329"/>
        <v>0</v>
      </c>
      <c r="LW32" s="479">
        <f t="shared" si="329"/>
        <v>0</v>
      </c>
      <c r="LX32" s="479">
        <f t="shared" si="329"/>
        <v>0</v>
      </c>
      <c r="LY32" s="479">
        <f t="shared" si="329"/>
        <v>0</v>
      </c>
      <c r="LZ32" s="479">
        <f t="shared" si="329"/>
        <v>0</v>
      </c>
      <c r="MA32" s="479">
        <f t="shared" si="329"/>
        <v>0</v>
      </c>
      <c r="MB32" s="479">
        <f t="shared" si="329"/>
        <v>0</v>
      </c>
      <c r="MC32" s="479">
        <f t="shared" si="329"/>
        <v>0</v>
      </c>
      <c r="MD32" s="479">
        <f t="shared" si="329"/>
        <v>0</v>
      </c>
      <c r="ME32" s="479">
        <f t="shared" si="329"/>
        <v>0</v>
      </c>
      <c r="MF32" s="479">
        <f t="shared" si="329"/>
        <v>0</v>
      </c>
      <c r="MG32" s="479">
        <f t="shared" si="329"/>
        <v>0</v>
      </c>
      <c r="MH32" s="479">
        <f t="shared" si="329"/>
        <v>0</v>
      </c>
      <c r="MI32" s="479">
        <f t="shared" si="329"/>
        <v>0</v>
      </c>
      <c r="MJ32" s="479">
        <f t="shared" si="329"/>
        <v>0</v>
      </c>
      <c r="MK32" s="479">
        <f t="shared" si="329"/>
        <v>0</v>
      </c>
      <c r="ML32" s="479">
        <f t="shared" si="329"/>
        <v>0</v>
      </c>
      <c r="MM32" s="479">
        <f t="shared" si="329"/>
        <v>0</v>
      </c>
      <c r="MN32" s="479">
        <f t="shared" si="329"/>
        <v>0</v>
      </c>
      <c r="MO32" s="479">
        <f t="shared" si="329"/>
        <v>0</v>
      </c>
      <c r="MP32" s="479">
        <f t="shared" si="329"/>
        <v>0</v>
      </c>
      <c r="MQ32" s="479">
        <f t="shared" si="329"/>
        <v>0</v>
      </c>
      <c r="MR32" s="479">
        <f t="shared" si="329"/>
        <v>0</v>
      </c>
      <c r="MS32" s="479">
        <f t="shared" si="329"/>
        <v>0</v>
      </c>
      <c r="MT32" s="479">
        <f t="shared" si="329"/>
        <v>0</v>
      </c>
      <c r="MU32" s="479">
        <f t="shared" si="329"/>
        <v>0</v>
      </c>
      <c r="MV32" s="479">
        <f t="shared" si="329"/>
        <v>0</v>
      </c>
      <c r="MW32" s="479">
        <f t="shared" si="329"/>
        <v>0</v>
      </c>
      <c r="MX32" s="479">
        <f t="shared" si="329"/>
        <v>0</v>
      </c>
      <c r="MY32" s="479">
        <f t="shared" si="329"/>
        <v>0</v>
      </c>
      <c r="MZ32" s="479">
        <f t="shared" si="329"/>
        <v>0</v>
      </c>
      <c r="NA32" s="479">
        <f t="shared" si="329"/>
        <v>0</v>
      </c>
      <c r="NB32" s="479">
        <f t="shared" si="329"/>
        <v>0</v>
      </c>
      <c r="NC32" s="479">
        <f t="shared" si="329"/>
        <v>0</v>
      </c>
      <c r="ND32" s="479">
        <f t="shared" si="329"/>
        <v>0</v>
      </c>
      <c r="NE32" s="479">
        <f t="shared" si="329"/>
        <v>0</v>
      </c>
      <c r="NF32" s="479">
        <f t="shared" si="329"/>
        <v>0</v>
      </c>
      <c r="NG32" s="479">
        <f t="shared" si="329"/>
        <v>0</v>
      </c>
      <c r="NH32" s="479">
        <f t="shared" si="329"/>
        <v>0</v>
      </c>
      <c r="NI32" s="479">
        <f t="shared" si="329"/>
        <v>0</v>
      </c>
      <c r="NJ32" s="479">
        <f t="shared" si="329"/>
        <v>0</v>
      </c>
      <c r="NK32" s="479">
        <f t="shared" si="329"/>
        <v>0</v>
      </c>
      <c r="NL32" s="479">
        <f t="shared" si="329"/>
        <v>0</v>
      </c>
      <c r="NM32" s="479">
        <f t="shared" si="329"/>
        <v>0</v>
      </c>
      <c r="NN32" s="479">
        <f t="shared" si="329"/>
        <v>0</v>
      </c>
      <c r="NO32" s="479">
        <f t="shared" si="329"/>
        <v>0</v>
      </c>
      <c r="NP32" s="479">
        <f t="shared" si="329"/>
        <v>0</v>
      </c>
      <c r="NQ32" s="479">
        <f t="shared" si="329"/>
        <v>0</v>
      </c>
      <c r="NR32" s="479">
        <f t="shared" si="329"/>
        <v>0</v>
      </c>
      <c r="NS32" s="479">
        <f t="shared" si="329"/>
        <v>0</v>
      </c>
      <c r="NT32" s="479">
        <f t="shared" si="329"/>
        <v>0</v>
      </c>
      <c r="NU32" s="479">
        <f t="shared" si="329"/>
        <v>0</v>
      </c>
      <c r="NV32" s="479">
        <f t="shared" si="329"/>
        <v>0</v>
      </c>
      <c r="NW32" s="479">
        <f t="shared" si="329"/>
        <v>0</v>
      </c>
      <c r="NX32" s="479">
        <f t="shared" si="329"/>
        <v>0</v>
      </c>
      <c r="NY32" s="479">
        <f t="shared" si="329"/>
        <v>0</v>
      </c>
      <c r="NZ32" s="479">
        <f t="shared" si="329"/>
        <v>0</v>
      </c>
      <c r="OA32" s="479">
        <f t="shared" si="329"/>
        <v>0</v>
      </c>
      <c r="OB32" s="479">
        <f t="shared" si="329"/>
        <v>0</v>
      </c>
      <c r="OC32" s="479">
        <f t="shared" si="329"/>
        <v>0</v>
      </c>
      <c r="OD32" s="479">
        <f t="shared" si="329"/>
        <v>0</v>
      </c>
      <c r="OE32" s="479">
        <f t="shared" si="330"/>
        <v>0</v>
      </c>
      <c r="OF32" s="479">
        <f t="shared" si="330"/>
        <v>0</v>
      </c>
      <c r="OG32" s="479">
        <f t="shared" si="330"/>
        <v>0</v>
      </c>
      <c r="OH32" s="479">
        <f t="shared" si="330"/>
        <v>0</v>
      </c>
      <c r="OI32" s="479">
        <f t="shared" si="330"/>
        <v>0</v>
      </c>
      <c r="OJ32" s="479">
        <f t="shared" si="330"/>
        <v>0</v>
      </c>
      <c r="OK32" s="479">
        <f t="shared" si="330"/>
        <v>0</v>
      </c>
      <c r="OL32" s="479">
        <f t="shared" si="330"/>
        <v>0</v>
      </c>
      <c r="OM32" s="479">
        <f t="shared" si="330"/>
        <v>0</v>
      </c>
      <c r="ON32" s="479">
        <f t="shared" si="330"/>
        <v>0</v>
      </c>
      <c r="OO32" s="479">
        <f t="shared" si="330"/>
        <v>0</v>
      </c>
    </row>
    <row r="33" spans="2:405">
      <c r="B33" s="97" t="str">
        <f>Assumptions!B98</f>
        <v>Permits and Expediting</v>
      </c>
      <c r="C33" s="97"/>
      <c r="D33" s="500">
        <f>Assumptions!C98</f>
        <v>95000</v>
      </c>
      <c r="E33" s="507">
        <f>Assumptions!$C$8</f>
        <v>46204</v>
      </c>
      <c r="F33" s="507">
        <f>EOMONTH(E33,Assumptions!$C$9-1)</f>
        <v>46387</v>
      </c>
      <c r="G33" s="97">
        <f t="shared" si="323"/>
        <v>6</v>
      </c>
      <c r="H33" s="97"/>
      <c r="I33" s="97"/>
      <c r="J33" s="479">
        <f t="shared" si="331"/>
        <v>-15833.333333333334</v>
      </c>
      <c r="K33" s="479">
        <f t="shared" si="324"/>
        <v>-15833.333333333334</v>
      </c>
      <c r="L33" s="479">
        <f t="shared" si="324"/>
        <v>-15833.333333333334</v>
      </c>
      <c r="M33" s="479">
        <f t="shared" si="324"/>
        <v>-15833.333333333334</v>
      </c>
      <c r="N33" s="479">
        <f t="shared" si="324"/>
        <v>-15833.333333333334</v>
      </c>
      <c r="O33" s="479">
        <f t="shared" si="324"/>
        <v>-15833.333333333334</v>
      </c>
      <c r="P33" s="479">
        <f t="shared" si="324"/>
        <v>0</v>
      </c>
      <c r="Q33" s="479">
        <f t="shared" si="324"/>
        <v>0</v>
      </c>
      <c r="R33" s="479">
        <f t="shared" si="324"/>
        <v>0</v>
      </c>
      <c r="S33" s="479">
        <f t="shared" si="324"/>
        <v>0</v>
      </c>
      <c r="T33" s="479">
        <f t="shared" si="324"/>
        <v>0</v>
      </c>
      <c r="U33" s="479">
        <f t="shared" si="324"/>
        <v>0</v>
      </c>
      <c r="V33" s="479">
        <f t="shared" si="324"/>
        <v>0</v>
      </c>
      <c r="W33" s="479">
        <f t="shared" si="324"/>
        <v>0</v>
      </c>
      <c r="X33" s="479">
        <f t="shared" si="324"/>
        <v>0</v>
      </c>
      <c r="Y33" s="479">
        <f t="shared" si="324"/>
        <v>0</v>
      </c>
      <c r="Z33" s="479">
        <f t="shared" si="324"/>
        <v>0</v>
      </c>
      <c r="AA33" s="479">
        <f t="shared" si="324"/>
        <v>0</v>
      </c>
      <c r="AB33" s="479">
        <f t="shared" si="324"/>
        <v>0</v>
      </c>
      <c r="AC33" s="479">
        <f t="shared" si="324"/>
        <v>0</v>
      </c>
      <c r="AD33" s="479">
        <f t="shared" si="324"/>
        <v>0</v>
      </c>
      <c r="AE33" s="479">
        <f t="shared" si="324"/>
        <v>0</v>
      </c>
      <c r="AF33" s="479">
        <f t="shared" si="324"/>
        <v>0</v>
      </c>
      <c r="AG33" s="479">
        <f t="shared" si="324"/>
        <v>0</v>
      </c>
      <c r="AH33" s="479">
        <f t="shared" si="324"/>
        <v>0</v>
      </c>
      <c r="AI33" s="479">
        <f t="shared" si="324"/>
        <v>0</v>
      </c>
      <c r="AJ33" s="479">
        <f t="shared" si="324"/>
        <v>0</v>
      </c>
      <c r="AK33" s="479">
        <f t="shared" si="324"/>
        <v>0</v>
      </c>
      <c r="AL33" s="479">
        <f t="shared" si="324"/>
        <v>0</v>
      </c>
      <c r="AM33" s="479">
        <f t="shared" si="324"/>
        <v>0</v>
      </c>
      <c r="AN33" s="479">
        <f t="shared" si="324"/>
        <v>0</v>
      </c>
      <c r="AO33" s="479">
        <f t="shared" si="324"/>
        <v>0</v>
      </c>
      <c r="AP33" s="479">
        <f t="shared" si="324"/>
        <v>0</v>
      </c>
      <c r="AQ33" s="479">
        <f t="shared" si="324"/>
        <v>0</v>
      </c>
      <c r="AR33" s="479">
        <f t="shared" si="324"/>
        <v>0</v>
      </c>
      <c r="AS33" s="479">
        <f t="shared" si="324"/>
        <v>0</v>
      </c>
      <c r="AT33" s="479">
        <f t="shared" si="324"/>
        <v>0</v>
      </c>
      <c r="AU33" s="479">
        <f t="shared" si="324"/>
        <v>0</v>
      </c>
      <c r="AV33" s="479">
        <f t="shared" si="324"/>
        <v>0</v>
      </c>
      <c r="AW33" s="479">
        <f t="shared" si="324"/>
        <v>0</v>
      </c>
      <c r="AX33" s="479">
        <f t="shared" si="324"/>
        <v>0</v>
      </c>
      <c r="AY33" s="479">
        <f t="shared" si="324"/>
        <v>0</v>
      </c>
      <c r="AZ33" s="479">
        <f t="shared" si="324"/>
        <v>0</v>
      </c>
      <c r="BA33" s="479">
        <f t="shared" si="324"/>
        <v>0</v>
      </c>
      <c r="BB33" s="479">
        <f t="shared" si="324"/>
        <v>0</v>
      </c>
      <c r="BC33" s="479">
        <f t="shared" si="324"/>
        <v>0</v>
      </c>
      <c r="BD33" s="479">
        <f t="shared" si="324"/>
        <v>0</v>
      </c>
      <c r="BE33" s="479">
        <f t="shared" si="324"/>
        <v>0</v>
      </c>
      <c r="BF33" s="479">
        <f t="shared" si="324"/>
        <v>0</v>
      </c>
      <c r="BG33" s="479">
        <f t="shared" si="324"/>
        <v>0</v>
      </c>
      <c r="BH33" s="479">
        <f t="shared" si="324"/>
        <v>0</v>
      </c>
      <c r="BI33" s="479">
        <f t="shared" si="324"/>
        <v>0</v>
      </c>
      <c r="BJ33" s="479">
        <f t="shared" si="324"/>
        <v>0</v>
      </c>
      <c r="BK33" s="479">
        <f t="shared" si="324"/>
        <v>0</v>
      </c>
      <c r="BL33" s="479">
        <f t="shared" si="324"/>
        <v>0</v>
      </c>
      <c r="BM33" s="479">
        <f t="shared" si="324"/>
        <v>0</v>
      </c>
      <c r="BN33" s="479">
        <f t="shared" si="324"/>
        <v>0</v>
      </c>
      <c r="BO33" s="479">
        <f t="shared" si="324"/>
        <v>0</v>
      </c>
      <c r="BP33" s="479">
        <f t="shared" si="324"/>
        <v>0</v>
      </c>
      <c r="BQ33" s="479">
        <f t="shared" si="324"/>
        <v>0</v>
      </c>
      <c r="BR33" s="479">
        <f t="shared" si="324"/>
        <v>0</v>
      </c>
      <c r="BS33" s="479">
        <f t="shared" si="324"/>
        <v>0</v>
      </c>
      <c r="BT33" s="479">
        <f t="shared" si="324"/>
        <v>0</v>
      </c>
      <c r="BU33" s="479">
        <f t="shared" si="324"/>
        <v>0</v>
      </c>
      <c r="BV33" s="479">
        <f t="shared" ref="K33:BV37" si="332">-IF(BV$7&gt;=$E33,IF(BV$7&lt;=$F33,$D33/$G33,0),0)</f>
        <v>0</v>
      </c>
      <c r="BW33" s="479">
        <f t="shared" si="325"/>
        <v>0</v>
      </c>
      <c r="BX33" s="479">
        <f t="shared" si="325"/>
        <v>0</v>
      </c>
      <c r="BY33" s="479">
        <f t="shared" si="325"/>
        <v>0</v>
      </c>
      <c r="BZ33" s="479">
        <f t="shared" si="325"/>
        <v>0</v>
      </c>
      <c r="CA33" s="479">
        <f t="shared" si="325"/>
        <v>0</v>
      </c>
      <c r="CB33" s="479">
        <f t="shared" si="325"/>
        <v>0</v>
      </c>
      <c r="CC33" s="479">
        <f t="shared" si="325"/>
        <v>0</v>
      </c>
      <c r="CD33" s="479">
        <f t="shared" si="325"/>
        <v>0</v>
      </c>
      <c r="CE33" s="479">
        <f t="shared" si="325"/>
        <v>0</v>
      </c>
      <c r="CF33" s="479">
        <f t="shared" si="325"/>
        <v>0</v>
      </c>
      <c r="CG33" s="479">
        <f t="shared" si="325"/>
        <v>0</v>
      </c>
      <c r="CH33" s="479">
        <f t="shared" si="325"/>
        <v>0</v>
      </c>
      <c r="CI33" s="479">
        <f t="shared" si="325"/>
        <v>0</v>
      </c>
      <c r="CJ33" s="479">
        <f t="shared" si="325"/>
        <v>0</v>
      </c>
      <c r="CK33" s="479">
        <f t="shared" si="325"/>
        <v>0</v>
      </c>
      <c r="CL33" s="479">
        <f t="shared" si="325"/>
        <v>0</v>
      </c>
      <c r="CM33" s="479">
        <f t="shared" si="325"/>
        <v>0</v>
      </c>
      <c r="CN33" s="479">
        <f t="shared" si="325"/>
        <v>0</v>
      </c>
      <c r="CO33" s="479">
        <f t="shared" si="325"/>
        <v>0</v>
      </c>
      <c r="CP33" s="479">
        <f t="shared" si="325"/>
        <v>0</v>
      </c>
      <c r="CQ33" s="479">
        <f t="shared" si="325"/>
        <v>0</v>
      </c>
      <c r="CR33" s="479">
        <f t="shared" si="325"/>
        <v>0</v>
      </c>
      <c r="CS33" s="479">
        <f t="shared" si="325"/>
        <v>0</v>
      </c>
      <c r="CT33" s="479">
        <f t="shared" si="325"/>
        <v>0</v>
      </c>
      <c r="CU33" s="479">
        <f t="shared" si="325"/>
        <v>0</v>
      </c>
      <c r="CV33" s="479">
        <f t="shared" si="325"/>
        <v>0</v>
      </c>
      <c r="CW33" s="479">
        <f t="shared" si="325"/>
        <v>0</v>
      </c>
      <c r="CX33" s="479">
        <f t="shared" si="325"/>
        <v>0</v>
      </c>
      <c r="CY33" s="479">
        <f t="shared" si="325"/>
        <v>0</v>
      </c>
      <c r="CZ33" s="479">
        <f t="shared" si="325"/>
        <v>0</v>
      </c>
      <c r="DA33" s="479">
        <f t="shared" si="325"/>
        <v>0</v>
      </c>
      <c r="DB33" s="479">
        <f t="shared" si="325"/>
        <v>0</v>
      </c>
      <c r="DC33" s="479">
        <f t="shared" si="325"/>
        <v>0</v>
      </c>
      <c r="DD33" s="479">
        <f t="shared" si="325"/>
        <v>0</v>
      </c>
      <c r="DE33" s="479">
        <f t="shared" si="325"/>
        <v>0</v>
      </c>
      <c r="DF33" s="479">
        <f t="shared" si="325"/>
        <v>0</v>
      </c>
      <c r="DG33" s="479">
        <f t="shared" si="325"/>
        <v>0</v>
      </c>
      <c r="DH33" s="479">
        <f t="shared" si="325"/>
        <v>0</v>
      </c>
      <c r="DI33" s="479">
        <f t="shared" si="325"/>
        <v>0</v>
      </c>
      <c r="DJ33" s="479">
        <f t="shared" si="325"/>
        <v>0</v>
      </c>
      <c r="DK33" s="479">
        <f t="shared" si="325"/>
        <v>0</v>
      </c>
      <c r="DL33" s="479">
        <f t="shared" si="325"/>
        <v>0</v>
      </c>
      <c r="DM33" s="479">
        <f t="shared" si="325"/>
        <v>0</v>
      </c>
      <c r="DN33" s="479">
        <f t="shared" si="325"/>
        <v>0</v>
      </c>
      <c r="DO33" s="479">
        <f t="shared" si="325"/>
        <v>0</v>
      </c>
      <c r="DP33" s="479">
        <f t="shared" si="325"/>
        <v>0</v>
      </c>
      <c r="DQ33" s="479">
        <f t="shared" si="325"/>
        <v>0</v>
      </c>
      <c r="DR33" s="479">
        <f t="shared" si="325"/>
        <v>0</v>
      </c>
      <c r="DS33" s="479">
        <f t="shared" si="325"/>
        <v>0</v>
      </c>
      <c r="DT33" s="479">
        <f t="shared" si="325"/>
        <v>0</v>
      </c>
      <c r="DU33" s="479">
        <f t="shared" si="325"/>
        <v>0</v>
      </c>
      <c r="DV33" s="479">
        <f t="shared" si="325"/>
        <v>0</v>
      </c>
      <c r="DW33" s="479">
        <f t="shared" si="325"/>
        <v>0</v>
      </c>
      <c r="DX33" s="479">
        <f t="shared" si="325"/>
        <v>0</v>
      </c>
      <c r="DY33" s="479">
        <f t="shared" si="325"/>
        <v>0</v>
      </c>
      <c r="DZ33" s="479">
        <f t="shared" si="325"/>
        <v>0</v>
      </c>
      <c r="EA33" s="479">
        <f t="shared" si="325"/>
        <v>0</v>
      </c>
      <c r="EB33" s="479">
        <f t="shared" si="325"/>
        <v>0</v>
      </c>
      <c r="EC33" s="479">
        <f t="shared" si="325"/>
        <v>0</v>
      </c>
      <c r="ED33" s="479">
        <f t="shared" si="325"/>
        <v>0</v>
      </c>
      <c r="EE33" s="479">
        <f t="shared" si="325"/>
        <v>0</v>
      </c>
      <c r="EF33" s="479">
        <f t="shared" si="325"/>
        <v>0</v>
      </c>
      <c r="EG33" s="479">
        <f t="shared" si="325"/>
        <v>0</v>
      </c>
      <c r="EH33" s="479">
        <f t="shared" ref="BW33:EH37" si="333">-IF(EH$7&gt;=$E33,IF(EH$7&lt;=$F33,$D33/$G33,0),0)</f>
        <v>0</v>
      </c>
      <c r="EI33" s="479">
        <f t="shared" si="326"/>
        <v>0</v>
      </c>
      <c r="EJ33" s="479">
        <f t="shared" si="326"/>
        <v>0</v>
      </c>
      <c r="EK33" s="479">
        <f t="shared" si="326"/>
        <v>0</v>
      </c>
      <c r="EL33" s="479">
        <f t="shared" si="326"/>
        <v>0</v>
      </c>
      <c r="EM33" s="479">
        <f t="shared" si="326"/>
        <v>0</v>
      </c>
      <c r="EN33" s="479">
        <f t="shared" si="326"/>
        <v>0</v>
      </c>
      <c r="EO33" s="479">
        <f t="shared" si="326"/>
        <v>0</v>
      </c>
      <c r="EP33" s="479">
        <f t="shared" si="326"/>
        <v>0</v>
      </c>
      <c r="EQ33" s="479">
        <f t="shared" si="326"/>
        <v>0</v>
      </c>
      <c r="ER33" s="479">
        <f t="shared" si="326"/>
        <v>0</v>
      </c>
      <c r="ES33" s="479">
        <f t="shared" si="326"/>
        <v>0</v>
      </c>
      <c r="ET33" s="479">
        <f t="shared" si="326"/>
        <v>0</v>
      </c>
      <c r="EU33" s="479">
        <f t="shared" si="326"/>
        <v>0</v>
      </c>
      <c r="EV33" s="479">
        <f t="shared" si="326"/>
        <v>0</v>
      </c>
      <c r="EW33" s="479">
        <f t="shared" si="326"/>
        <v>0</v>
      </c>
      <c r="EX33" s="479">
        <f t="shared" si="326"/>
        <v>0</v>
      </c>
      <c r="EY33" s="479">
        <f t="shared" si="326"/>
        <v>0</v>
      </c>
      <c r="EZ33" s="479">
        <f t="shared" si="326"/>
        <v>0</v>
      </c>
      <c r="FA33" s="479">
        <f t="shared" si="326"/>
        <v>0</v>
      </c>
      <c r="FB33" s="479">
        <f t="shared" si="326"/>
        <v>0</v>
      </c>
      <c r="FC33" s="479">
        <f t="shared" si="326"/>
        <v>0</v>
      </c>
      <c r="FD33" s="479">
        <f t="shared" si="326"/>
        <v>0</v>
      </c>
      <c r="FE33" s="479">
        <f t="shared" si="326"/>
        <v>0</v>
      </c>
      <c r="FF33" s="479">
        <f t="shared" si="326"/>
        <v>0</v>
      </c>
      <c r="FG33" s="479">
        <f t="shared" si="326"/>
        <v>0</v>
      </c>
      <c r="FH33" s="479">
        <f t="shared" si="326"/>
        <v>0</v>
      </c>
      <c r="FI33" s="479">
        <f t="shared" si="326"/>
        <v>0</v>
      </c>
      <c r="FJ33" s="479">
        <f t="shared" si="326"/>
        <v>0</v>
      </c>
      <c r="FK33" s="479">
        <f t="shared" si="326"/>
        <v>0</v>
      </c>
      <c r="FL33" s="479">
        <f t="shared" si="326"/>
        <v>0</v>
      </c>
      <c r="FM33" s="479">
        <f t="shared" si="326"/>
        <v>0</v>
      </c>
      <c r="FN33" s="479">
        <f t="shared" si="326"/>
        <v>0</v>
      </c>
      <c r="FO33" s="479">
        <f t="shared" si="326"/>
        <v>0</v>
      </c>
      <c r="FP33" s="479">
        <f t="shared" si="326"/>
        <v>0</v>
      </c>
      <c r="FQ33" s="479">
        <f t="shared" si="326"/>
        <v>0</v>
      </c>
      <c r="FR33" s="479">
        <f t="shared" si="326"/>
        <v>0</v>
      </c>
      <c r="FS33" s="479">
        <f t="shared" si="326"/>
        <v>0</v>
      </c>
      <c r="FT33" s="479">
        <f t="shared" si="326"/>
        <v>0</v>
      </c>
      <c r="FU33" s="479">
        <f t="shared" si="326"/>
        <v>0</v>
      </c>
      <c r="FV33" s="479">
        <f t="shared" si="326"/>
        <v>0</v>
      </c>
      <c r="FW33" s="479">
        <f t="shared" si="326"/>
        <v>0</v>
      </c>
      <c r="FX33" s="479">
        <f t="shared" si="326"/>
        <v>0</v>
      </c>
      <c r="FY33" s="479">
        <f t="shared" si="326"/>
        <v>0</v>
      </c>
      <c r="FZ33" s="479">
        <f t="shared" si="326"/>
        <v>0</v>
      </c>
      <c r="GA33" s="479">
        <f t="shared" si="326"/>
        <v>0</v>
      </c>
      <c r="GB33" s="479">
        <f t="shared" si="326"/>
        <v>0</v>
      </c>
      <c r="GC33" s="479">
        <f t="shared" si="326"/>
        <v>0</v>
      </c>
      <c r="GD33" s="479">
        <f t="shared" si="326"/>
        <v>0</v>
      </c>
      <c r="GE33" s="479">
        <f t="shared" si="326"/>
        <v>0</v>
      </c>
      <c r="GF33" s="479">
        <f t="shared" si="326"/>
        <v>0</v>
      </c>
      <c r="GG33" s="479">
        <f t="shared" si="326"/>
        <v>0</v>
      </c>
      <c r="GH33" s="479">
        <f t="shared" si="326"/>
        <v>0</v>
      </c>
      <c r="GI33" s="479">
        <f t="shared" si="326"/>
        <v>0</v>
      </c>
      <c r="GJ33" s="479">
        <f t="shared" si="326"/>
        <v>0</v>
      </c>
      <c r="GK33" s="479">
        <f t="shared" si="326"/>
        <v>0</v>
      </c>
      <c r="GL33" s="479">
        <f t="shared" si="326"/>
        <v>0</v>
      </c>
      <c r="GM33" s="479">
        <f t="shared" si="326"/>
        <v>0</v>
      </c>
      <c r="GN33" s="479">
        <f t="shared" si="326"/>
        <v>0</v>
      </c>
      <c r="GO33" s="479">
        <f t="shared" si="326"/>
        <v>0</v>
      </c>
      <c r="GP33" s="479">
        <f t="shared" si="326"/>
        <v>0</v>
      </c>
      <c r="GQ33" s="479">
        <f t="shared" si="326"/>
        <v>0</v>
      </c>
      <c r="GR33" s="479">
        <f t="shared" si="326"/>
        <v>0</v>
      </c>
      <c r="GS33" s="479">
        <f t="shared" si="326"/>
        <v>0</v>
      </c>
      <c r="GT33" s="479">
        <f t="shared" ref="EI33:GT37" si="334">-IF(GT$7&gt;=$E33,IF(GT$7&lt;=$F33,$D33/$G33,0),0)</f>
        <v>0</v>
      </c>
      <c r="GU33" s="479">
        <f t="shared" si="327"/>
        <v>0</v>
      </c>
      <c r="GV33" s="479">
        <f t="shared" si="327"/>
        <v>0</v>
      </c>
      <c r="GW33" s="479">
        <f t="shared" si="327"/>
        <v>0</v>
      </c>
      <c r="GX33" s="479">
        <f t="shared" si="327"/>
        <v>0</v>
      </c>
      <c r="GY33" s="479">
        <f t="shared" si="327"/>
        <v>0</v>
      </c>
      <c r="GZ33" s="479">
        <f t="shared" si="327"/>
        <v>0</v>
      </c>
      <c r="HA33" s="479">
        <f t="shared" si="327"/>
        <v>0</v>
      </c>
      <c r="HB33" s="479">
        <f t="shared" si="327"/>
        <v>0</v>
      </c>
      <c r="HC33" s="479">
        <f t="shared" si="327"/>
        <v>0</v>
      </c>
      <c r="HD33" s="479">
        <f t="shared" si="327"/>
        <v>0</v>
      </c>
      <c r="HE33" s="479">
        <f t="shared" si="327"/>
        <v>0</v>
      </c>
      <c r="HF33" s="479">
        <f t="shared" si="327"/>
        <v>0</v>
      </c>
      <c r="HG33" s="479">
        <f t="shared" si="327"/>
        <v>0</v>
      </c>
      <c r="HH33" s="479">
        <f t="shared" si="327"/>
        <v>0</v>
      </c>
      <c r="HI33" s="479">
        <f t="shared" si="327"/>
        <v>0</v>
      </c>
      <c r="HJ33" s="479">
        <f t="shared" si="327"/>
        <v>0</v>
      </c>
      <c r="HK33" s="479">
        <f t="shared" si="327"/>
        <v>0</v>
      </c>
      <c r="HL33" s="479">
        <f t="shared" si="327"/>
        <v>0</v>
      </c>
      <c r="HM33" s="479">
        <f t="shared" si="327"/>
        <v>0</v>
      </c>
      <c r="HN33" s="479">
        <f t="shared" si="327"/>
        <v>0</v>
      </c>
      <c r="HO33" s="479">
        <f t="shared" si="327"/>
        <v>0</v>
      </c>
      <c r="HP33" s="479">
        <f t="shared" si="327"/>
        <v>0</v>
      </c>
      <c r="HQ33" s="479">
        <f t="shared" si="327"/>
        <v>0</v>
      </c>
      <c r="HR33" s="479">
        <f t="shared" si="327"/>
        <v>0</v>
      </c>
      <c r="HS33" s="479">
        <f t="shared" si="327"/>
        <v>0</v>
      </c>
      <c r="HT33" s="479">
        <f t="shared" si="327"/>
        <v>0</v>
      </c>
      <c r="HU33" s="479">
        <f t="shared" si="327"/>
        <v>0</v>
      </c>
      <c r="HV33" s="479">
        <f t="shared" si="327"/>
        <v>0</v>
      </c>
      <c r="HW33" s="479">
        <f t="shared" si="327"/>
        <v>0</v>
      </c>
      <c r="HX33" s="479">
        <f t="shared" si="327"/>
        <v>0</v>
      </c>
      <c r="HY33" s="479">
        <f t="shared" si="327"/>
        <v>0</v>
      </c>
      <c r="HZ33" s="479">
        <f t="shared" si="327"/>
        <v>0</v>
      </c>
      <c r="IA33" s="479">
        <f t="shared" si="327"/>
        <v>0</v>
      </c>
      <c r="IB33" s="479">
        <f t="shared" si="327"/>
        <v>0</v>
      </c>
      <c r="IC33" s="479">
        <f t="shared" si="327"/>
        <v>0</v>
      </c>
      <c r="ID33" s="479">
        <f t="shared" si="327"/>
        <v>0</v>
      </c>
      <c r="IE33" s="479">
        <f t="shared" si="327"/>
        <v>0</v>
      </c>
      <c r="IF33" s="479">
        <f t="shared" si="327"/>
        <v>0</v>
      </c>
      <c r="IG33" s="479">
        <f t="shared" si="327"/>
        <v>0</v>
      </c>
      <c r="IH33" s="479">
        <f t="shared" si="327"/>
        <v>0</v>
      </c>
      <c r="II33" s="479">
        <f t="shared" si="327"/>
        <v>0</v>
      </c>
      <c r="IJ33" s="479">
        <f t="shared" si="327"/>
        <v>0</v>
      </c>
      <c r="IK33" s="479">
        <f t="shared" si="327"/>
        <v>0</v>
      </c>
      <c r="IL33" s="479">
        <f t="shared" si="327"/>
        <v>0</v>
      </c>
      <c r="IM33" s="479">
        <f t="shared" si="327"/>
        <v>0</v>
      </c>
      <c r="IN33" s="479">
        <f t="shared" si="327"/>
        <v>0</v>
      </c>
      <c r="IO33" s="479">
        <f t="shared" si="327"/>
        <v>0</v>
      </c>
      <c r="IP33" s="479">
        <f t="shared" si="327"/>
        <v>0</v>
      </c>
      <c r="IQ33" s="479">
        <f t="shared" si="327"/>
        <v>0</v>
      </c>
      <c r="IR33" s="479">
        <f t="shared" si="327"/>
        <v>0</v>
      </c>
      <c r="IS33" s="479">
        <f t="shared" si="327"/>
        <v>0</v>
      </c>
      <c r="IT33" s="479">
        <f t="shared" si="327"/>
        <v>0</v>
      </c>
      <c r="IU33" s="479">
        <f t="shared" si="327"/>
        <v>0</v>
      </c>
      <c r="IV33" s="479">
        <f t="shared" si="327"/>
        <v>0</v>
      </c>
      <c r="IW33" s="479">
        <f t="shared" si="327"/>
        <v>0</v>
      </c>
      <c r="IX33" s="479">
        <f t="shared" si="327"/>
        <v>0</v>
      </c>
      <c r="IY33" s="479">
        <f t="shared" si="327"/>
        <v>0</v>
      </c>
      <c r="IZ33" s="479">
        <f t="shared" si="327"/>
        <v>0</v>
      </c>
      <c r="JA33" s="479">
        <f t="shared" si="327"/>
        <v>0</v>
      </c>
      <c r="JB33" s="479">
        <f t="shared" si="327"/>
        <v>0</v>
      </c>
      <c r="JC33" s="479">
        <f t="shared" si="327"/>
        <v>0</v>
      </c>
      <c r="JD33" s="479">
        <f t="shared" si="327"/>
        <v>0</v>
      </c>
      <c r="JE33" s="479">
        <f t="shared" si="327"/>
        <v>0</v>
      </c>
      <c r="JF33" s="479">
        <f t="shared" ref="GU33:JF37" si="335">-IF(JF$7&gt;=$E33,IF(JF$7&lt;=$F33,$D33/$G33,0),0)</f>
        <v>0</v>
      </c>
      <c r="JG33" s="479">
        <f t="shared" si="328"/>
        <v>0</v>
      </c>
      <c r="JH33" s="479">
        <f t="shared" si="328"/>
        <v>0</v>
      </c>
      <c r="JI33" s="479">
        <f t="shared" si="328"/>
        <v>0</v>
      </c>
      <c r="JJ33" s="479">
        <f t="shared" si="328"/>
        <v>0</v>
      </c>
      <c r="JK33" s="479">
        <f t="shared" si="328"/>
        <v>0</v>
      </c>
      <c r="JL33" s="479">
        <f t="shared" si="328"/>
        <v>0</v>
      </c>
      <c r="JM33" s="479">
        <f t="shared" si="328"/>
        <v>0</v>
      </c>
      <c r="JN33" s="479">
        <f t="shared" si="328"/>
        <v>0</v>
      </c>
      <c r="JO33" s="479">
        <f t="shared" si="328"/>
        <v>0</v>
      </c>
      <c r="JP33" s="479">
        <f t="shared" si="328"/>
        <v>0</v>
      </c>
      <c r="JQ33" s="479">
        <f t="shared" si="328"/>
        <v>0</v>
      </c>
      <c r="JR33" s="479">
        <f t="shared" si="328"/>
        <v>0</v>
      </c>
      <c r="JS33" s="479">
        <f t="shared" si="328"/>
        <v>0</v>
      </c>
      <c r="JT33" s="479">
        <f t="shared" si="328"/>
        <v>0</v>
      </c>
      <c r="JU33" s="479">
        <f t="shared" si="328"/>
        <v>0</v>
      </c>
      <c r="JV33" s="479">
        <f t="shared" si="328"/>
        <v>0</v>
      </c>
      <c r="JW33" s="479">
        <f t="shared" si="328"/>
        <v>0</v>
      </c>
      <c r="JX33" s="479">
        <f t="shared" si="328"/>
        <v>0</v>
      </c>
      <c r="JY33" s="479">
        <f t="shared" si="328"/>
        <v>0</v>
      </c>
      <c r="JZ33" s="479">
        <f t="shared" si="328"/>
        <v>0</v>
      </c>
      <c r="KA33" s="479">
        <f t="shared" si="328"/>
        <v>0</v>
      </c>
      <c r="KB33" s="479">
        <f t="shared" si="328"/>
        <v>0</v>
      </c>
      <c r="KC33" s="479">
        <f t="shared" si="328"/>
        <v>0</v>
      </c>
      <c r="KD33" s="479">
        <f t="shared" si="328"/>
        <v>0</v>
      </c>
      <c r="KE33" s="479">
        <f t="shared" si="328"/>
        <v>0</v>
      </c>
      <c r="KF33" s="479">
        <f t="shared" si="328"/>
        <v>0</v>
      </c>
      <c r="KG33" s="479">
        <f t="shared" si="328"/>
        <v>0</v>
      </c>
      <c r="KH33" s="479">
        <f t="shared" si="328"/>
        <v>0</v>
      </c>
      <c r="KI33" s="479">
        <f t="shared" si="328"/>
        <v>0</v>
      </c>
      <c r="KJ33" s="479">
        <f t="shared" si="328"/>
        <v>0</v>
      </c>
      <c r="KK33" s="479">
        <f t="shared" si="328"/>
        <v>0</v>
      </c>
      <c r="KL33" s="479">
        <f t="shared" si="328"/>
        <v>0</v>
      </c>
      <c r="KM33" s="479">
        <f t="shared" si="328"/>
        <v>0</v>
      </c>
      <c r="KN33" s="479">
        <f t="shared" si="328"/>
        <v>0</v>
      </c>
      <c r="KO33" s="479">
        <f t="shared" si="328"/>
        <v>0</v>
      </c>
      <c r="KP33" s="479">
        <f t="shared" si="328"/>
        <v>0</v>
      </c>
      <c r="KQ33" s="479">
        <f t="shared" si="328"/>
        <v>0</v>
      </c>
      <c r="KR33" s="479">
        <f t="shared" si="328"/>
        <v>0</v>
      </c>
      <c r="KS33" s="479">
        <f t="shared" si="328"/>
        <v>0</v>
      </c>
      <c r="KT33" s="479">
        <f t="shared" si="328"/>
        <v>0</v>
      </c>
      <c r="KU33" s="479">
        <f t="shared" si="328"/>
        <v>0</v>
      </c>
      <c r="KV33" s="479">
        <f t="shared" si="328"/>
        <v>0</v>
      </c>
      <c r="KW33" s="479">
        <f t="shared" si="328"/>
        <v>0</v>
      </c>
      <c r="KX33" s="479">
        <f t="shared" si="328"/>
        <v>0</v>
      </c>
      <c r="KY33" s="479">
        <f t="shared" si="328"/>
        <v>0</v>
      </c>
      <c r="KZ33" s="479">
        <f t="shared" si="328"/>
        <v>0</v>
      </c>
      <c r="LA33" s="479">
        <f t="shared" si="328"/>
        <v>0</v>
      </c>
      <c r="LB33" s="479">
        <f t="shared" si="328"/>
        <v>0</v>
      </c>
      <c r="LC33" s="479">
        <f t="shared" si="328"/>
        <v>0</v>
      </c>
      <c r="LD33" s="479">
        <f t="shared" si="328"/>
        <v>0</v>
      </c>
      <c r="LE33" s="479">
        <f t="shared" si="328"/>
        <v>0</v>
      </c>
      <c r="LF33" s="479">
        <f t="shared" si="328"/>
        <v>0</v>
      </c>
      <c r="LG33" s="479">
        <f t="shared" si="328"/>
        <v>0</v>
      </c>
      <c r="LH33" s="479">
        <f t="shared" si="328"/>
        <v>0</v>
      </c>
      <c r="LI33" s="479">
        <f t="shared" si="328"/>
        <v>0</v>
      </c>
      <c r="LJ33" s="479">
        <f t="shared" si="328"/>
        <v>0</v>
      </c>
      <c r="LK33" s="479">
        <f t="shared" si="328"/>
        <v>0</v>
      </c>
      <c r="LL33" s="479">
        <f t="shared" si="328"/>
        <v>0</v>
      </c>
      <c r="LM33" s="479">
        <f t="shared" si="328"/>
        <v>0</v>
      </c>
      <c r="LN33" s="479">
        <f t="shared" si="328"/>
        <v>0</v>
      </c>
      <c r="LO33" s="479">
        <f t="shared" si="328"/>
        <v>0</v>
      </c>
      <c r="LP33" s="479">
        <f t="shared" si="328"/>
        <v>0</v>
      </c>
      <c r="LQ33" s="479">
        <f t="shared" si="328"/>
        <v>0</v>
      </c>
      <c r="LR33" s="479">
        <f t="shared" ref="JG33:LR37" si="336">-IF(LR$7&gt;=$E33,IF(LR$7&lt;=$F33,$D33/$G33,0),0)</f>
        <v>0</v>
      </c>
      <c r="LS33" s="479">
        <f t="shared" si="329"/>
        <v>0</v>
      </c>
      <c r="LT33" s="479">
        <f t="shared" si="329"/>
        <v>0</v>
      </c>
      <c r="LU33" s="479">
        <f t="shared" si="329"/>
        <v>0</v>
      </c>
      <c r="LV33" s="479">
        <f t="shared" si="329"/>
        <v>0</v>
      </c>
      <c r="LW33" s="479">
        <f t="shared" si="329"/>
        <v>0</v>
      </c>
      <c r="LX33" s="479">
        <f t="shared" si="329"/>
        <v>0</v>
      </c>
      <c r="LY33" s="479">
        <f t="shared" si="329"/>
        <v>0</v>
      </c>
      <c r="LZ33" s="479">
        <f t="shared" si="329"/>
        <v>0</v>
      </c>
      <c r="MA33" s="479">
        <f t="shared" si="329"/>
        <v>0</v>
      </c>
      <c r="MB33" s="479">
        <f t="shared" si="329"/>
        <v>0</v>
      </c>
      <c r="MC33" s="479">
        <f t="shared" si="329"/>
        <v>0</v>
      </c>
      <c r="MD33" s="479">
        <f t="shared" si="329"/>
        <v>0</v>
      </c>
      <c r="ME33" s="479">
        <f t="shared" si="329"/>
        <v>0</v>
      </c>
      <c r="MF33" s="479">
        <f t="shared" si="329"/>
        <v>0</v>
      </c>
      <c r="MG33" s="479">
        <f t="shared" si="329"/>
        <v>0</v>
      </c>
      <c r="MH33" s="479">
        <f t="shared" si="329"/>
        <v>0</v>
      </c>
      <c r="MI33" s="479">
        <f t="shared" si="329"/>
        <v>0</v>
      </c>
      <c r="MJ33" s="479">
        <f t="shared" si="329"/>
        <v>0</v>
      </c>
      <c r="MK33" s="479">
        <f t="shared" si="329"/>
        <v>0</v>
      </c>
      <c r="ML33" s="479">
        <f t="shared" si="329"/>
        <v>0</v>
      </c>
      <c r="MM33" s="479">
        <f t="shared" si="329"/>
        <v>0</v>
      </c>
      <c r="MN33" s="479">
        <f t="shared" si="329"/>
        <v>0</v>
      </c>
      <c r="MO33" s="479">
        <f t="shared" si="329"/>
        <v>0</v>
      </c>
      <c r="MP33" s="479">
        <f t="shared" si="329"/>
        <v>0</v>
      </c>
      <c r="MQ33" s="479">
        <f t="shared" si="329"/>
        <v>0</v>
      </c>
      <c r="MR33" s="479">
        <f t="shared" si="329"/>
        <v>0</v>
      </c>
      <c r="MS33" s="479">
        <f t="shared" si="329"/>
        <v>0</v>
      </c>
      <c r="MT33" s="479">
        <f t="shared" si="329"/>
        <v>0</v>
      </c>
      <c r="MU33" s="479">
        <f t="shared" si="329"/>
        <v>0</v>
      </c>
      <c r="MV33" s="479">
        <f t="shared" si="329"/>
        <v>0</v>
      </c>
      <c r="MW33" s="479">
        <f t="shared" si="329"/>
        <v>0</v>
      </c>
      <c r="MX33" s="479">
        <f t="shared" si="329"/>
        <v>0</v>
      </c>
      <c r="MY33" s="479">
        <f t="shared" si="329"/>
        <v>0</v>
      </c>
      <c r="MZ33" s="479">
        <f t="shared" si="329"/>
        <v>0</v>
      </c>
      <c r="NA33" s="479">
        <f t="shared" si="329"/>
        <v>0</v>
      </c>
      <c r="NB33" s="479">
        <f t="shared" si="329"/>
        <v>0</v>
      </c>
      <c r="NC33" s="479">
        <f t="shared" si="329"/>
        <v>0</v>
      </c>
      <c r="ND33" s="479">
        <f t="shared" si="329"/>
        <v>0</v>
      </c>
      <c r="NE33" s="479">
        <f t="shared" si="329"/>
        <v>0</v>
      </c>
      <c r="NF33" s="479">
        <f t="shared" si="329"/>
        <v>0</v>
      </c>
      <c r="NG33" s="479">
        <f t="shared" si="329"/>
        <v>0</v>
      </c>
      <c r="NH33" s="479">
        <f t="shared" si="329"/>
        <v>0</v>
      </c>
      <c r="NI33" s="479">
        <f t="shared" si="329"/>
        <v>0</v>
      </c>
      <c r="NJ33" s="479">
        <f t="shared" si="329"/>
        <v>0</v>
      </c>
      <c r="NK33" s="479">
        <f t="shared" si="329"/>
        <v>0</v>
      </c>
      <c r="NL33" s="479">
        <f t="shared" si="329"/>
        <v>0</v>
      </c>
      <c r="NM33" s="479">
        <f t="shared" si="329"/>
        <v>0</v>
      </c>
      <c r="NN33" s="479">
        <f t="shared" si="329"/>
        <v>0</v>
      </c>
      <c r="NO33" s="479">
        <f t="shared" si="329"/>
        <v>0</v>
      </c>
      <c r="NP33" s="479">
        <f t="shared" si="329"/>
        <v>0</v>
      </c>
      <c r="NQ33" s="479">
        <f t="shared" si="329"/>
        <v>0</v>
      </c>
      <c r="NR33" s="479">
        <f t="shared" si="329"/>
        <v>0</v>
      </c>
      <c r="NS33" s="479">
        <f t="shared" si="329"/>
        <v>0</v>
      </c>
      <c r="NT33" s="479">
        <f t="shared" si="329"/>
        <v>0</v>
      </c>
      <c r="NU33" s="479">
        <f t="shared" si="329"/>
        <v>0</v>
      </c>
      <c r="NV33" s="479">
        <f t="shared" si="329"/>
        <v>0</v>
      </c>
      <c r="NW33" s="479">
        <f t="shared" si="329"/>
        <v>0</v>
      </c>
      <c r="NX33" s="479">
        <f t="shared" si="329"/>
        <v>0</v>
      </c>
      <c r="NY33" s="479">
        <f t="shared" si="329"/>
        <v>0</v>
      </c>
      <c r="NZ33" s="479">
        <f t="shared" si="329"/>
        <v>0</v>
      </c>
      <c r="OA33" s="479">
        <f t="shared" si="329"/>
        <v>0</v>
      </c>
      <c r="OB33" s="479">
        <f t="shared" si="329"/>
        <v>0</v>
      </c>
      <c r="OC33" s="479">
        <f t="shared" si="329"/>
        <v>0</v>
      </c>
      <c r="OD33" s="479">
        <f t="shared" ref="LS33:OD37" si="337">-IF(OD$7&gt;=$E33,IF(OD$7&lt;=$F33,$D33/$G33,0),0)</f>
        <v>0</v>
      </c>
      <c r="OE33" s="479">
        <f t="shared" si="330"/>
        <v>0</v>
      </c>
      <c r="OF33" s="479">
        <f t="shared" si="330"/>
        <v>0</v>
      </c>
      <c r="OG33" s="479">
        <f t="shared" si="330"/>
        <v>0</v>
      </c>
      <c r="OH33" s="479">
        <f t="shared" si="330"/>
        <v>0</v>
      </c>
      <c r="OI33" s="479">
        <f t="shared" si="330"/>
        <v>0</v>
      </c>
      <c r="OJ33" s="479">
        <f t="shared" si="330"/>
        <v>0</v>
      </c>
      <c r="OK33" s="479">
        <f t="shared" si="330"/>
        <v>0</v>
      </c>
      <c r="OL33" s="479">
        <f t="shared" si="330"/>
        <v>0</v>
      </c>
      <c r="OM33" s="479">
        <f t="shared" si="330"/>
        <v>0</v>
      </c>
      <c r="ON33" s="479">
        <f t="shared" si="330"/>
        <v>0</v>
      </c>
      <c r="OO33" s="479">
        <f t="shared" si="330"/>
        <v>0</v>
      </c>
    </row>
    <row r="34" spans="2:405">
      <c r="B34" s="97" t="str">
        <f>Assumptions!B99</f>
        <v>Environmental Phase I &amp; II</v>
      </c>
      <c r="C34" s="97"/>
      <c r="D34" s="500">
        <f>Assumptions!C99</f>
        <v>35000</v>
      </c>
      <c r="E34" s="507">
        <f>Assumptions!$C$8</f>
        <v>46204</v>
      </c>
      <c r="F34" s="507">
        <f>EOMONTH(E34,Assumptions!$C$9-1)</f>
        <v>46387</v>
      </c>
      <c r="G34" s="97">
        <f t="shared" si="323"/>
        <v>6</v>
      </c>
      <c r="H34" s="97"/>
      <c r="I34" s="97"/>
      <c r="J34" s="479">
        <f t="shared" si="331"/>
        <v>-5833.333333333333</v>
      </c>
      <c r="K34" s="479">
        <f t="shared" si="332"/>
        <v>-5833.333333333333</v>
      </c>
      <c r="L34" s="479">
        <f t="shared" si="332"/>
        <v>-5833.333333333333</v>
      </c>
      <c r="M34" s="479">
        <f t="shared" si="332"/>
        <v>-5833.333333333333</v>
      </c>
      <c r="N34" s="479">
        <f t="shared" si="332"/>
        <v>-5833.333333333333</v>
      </c>
      <c r="O34" s="479">
        <f t="shared" si="332"/>
        <v>-5833.333333333333</v>
      </c>
      <c r="P34" s="479">
        <f t="shared" si="332"/>
        <v>0</v>
      </c>
      <c r="Q34" s="479">
        <f t="shared" si="332"/>
        <v>0</v>
      </c>
      <c r="R34" s="479">
        <f t="shared" si="332"/>
        <v>0</v>
      </c>
      <c r="S34" s="479">
        <f t="shared" si="332"/>
        <v>0</v>
      </c>
      <c r="T34" s="479">
        <f t="shared" si="332"/>
        <v>0</v>
      </c>
      <c r="U34" s="479">
        <f t="shared" si="332"/>
        <v>0</v>
      </c>
      <c r="V34" s="479">
        <f t="shared" si="332"/>
        <v>0</v>
      </c>
      <c r="W34" s="479">
        <f t="shared" si="332"/>
        <v>0</v>
      </c>
      <c r="X34" s="479">
        <f t="shared" si="332"/>
        <v>0</v>
      </c>
      <c r="Y34" s="479">
        <f t="shared" si="332"/>
        <v>0</v>
      </c>
      <c r="Z34" s="479">
        <f t="shared" si="332"/>
        <v>0</v>
      </c>
      <c r="AA34" s="479">
        <f t="shared" si="332"/>
        <v>0</v>
      </c>
      <c r="AB34" s="479">
        <f t="shared" si="332"/>
        <v>0</v>
      </c>
      <c r="AC34" s="479">
        <f t="shared" si="332"/>
        <v>0</v>
      </c>
      <c r="AD34" s="479">
        <f t="shared" si="332"/>
        <v>0</v>
      </c>
      <c r="AE34" s="479">
        <f t="shared" si="332"/>
        <v>0</v>
      </c>
      <c r="AF34" s="479">
        <f t="shared" si="332"/>
        <v>0</v>
      </c>
      <c r="AG34" s="479">
        <f t="shared" si="332"/>
        <v>0</v>
      </c>
      <c r="AH34" s="479">
        <f t="shared" si="332"/>
        <v>0</v>
      </c>
      <c r="AI34" s="479">
        <f t="shared" si="332"/>
        <v>0</v>
      </c>
      <c r="AJ34" s="479">
        <f t="shared" si="332"/>
        <v>0</v>
      </c>
      <c r="AK34" s="479">
        <f t="shared" si="332"/>
        <v>0</v>
      </c>
      <c r="AL34" s="479">
        <f t="shared" si="332"/>
        <v>0</v>
      </c>
      <c r="AM34" s="479">
        <f t="shared" si="332"/>
        <v>0</v>
      </c>
      <c r="AN34" s="479">
        <f t="shared" si="332"/>
        <v>0</v>
      </c>
      <c r="AO34" s="479">
        <f t="shared" si="332"/>
        <v>0</v>
      </c>
      <c r="AP34" s="479">
        <f t="shared" si="332"/>
        <v>0</v>
      </c>
      <c r="AQ34" s="479">
        <f t="shared" si="332"/>
        <v>0</v>
      </c>
      <c r="AR34" s="479">
        <f t="shared" si="332"/>
        <v>0</v>
      </c>
      <c r="AS34" s="479">
        <f t="shared" si="332"/>
        <v>0</v>
      </c>
      <c r="AT34" s="479">
        <f t="shared" si="332"/>
        <v>0</v>
      </c>
      <c r="AU34" s="479">
        <f t="shared" si="332"/>
        <v>0</v>
      </c>
      <c r="AV34" s="479">
        <f t="shared" si="332"/>
        <v>0</v>
      </c>
      <c r="AW34" s="479">
        <f t="shared" si="332"/>
        <v>0</v>
      </c>
      <c r="AX34" s="479">
        <f t="shared" si="332"/>
        <v>0</v>
      </c>
      <c r="AY34" s="479">
        <f t="shared" si="332"/>
        <v>0</v>
      </c>
      <c r="AZ34" s="479">
        <f t="shared" si="332"/>
        <v>0</v>
      </c>
      <c r="BA34" s="479">
        <f t="shared" si="332"/>
        <v>0</v>
      </c>
      <c r="BB34" s="479">
        <f t="shared" si="332"/>
        <v>0</v>
      </c>
      <c r="BC34" s="479">
        <f t="shared" si="332"/>
        <v>0</v>
      </c>
      <c r="BD34" s="479">
        <f t="shared" si="332"/>
        <v>0</v>
      </c>
      <c r="BE34" s="479">
        <f t="shared" si="332"/>
        <v>0</v>
      </c>
      <c r="BF34" s="479">
        <f t="shared" si="332"/>
        <v>0</v>
      </c>
      <c r="BG34" s="479">
        <f t="shared" si="332"/>
        <v>0</v>
      </c>
      <c r="BH34" s="479">
        <f t="shared" si="332"/>
        <v>0</v>
      </c>
      <c r="BI34" s="479">
        <f t="shared" si="332"/>
        <v>0</v>
      </c>
      <c r="BJ34" s="479">
        <f t="shared" si="332"/>
        <v>0</v>
      </c>
      <c r="BK34" s="479">
        <f t="shared" si="332"/>
        <v>0</v>
      </c>
      <c r="BL34" s="479">
        <f t="shared" si="332"/>
        <v>0</v>
      </c>
      <c r="BM34" s="479">
        <f t="shared" si="332"/>
        <v>0</v>
      </c>
      <c r="BN34" s="479">
        <f t="shared" si="332"/>
        <v>0</v>
      </c>
      <c r="BO34" s="479">
        <f t="shared" si="332"/>
        <v>0</v>
      </c>
      <c r="BP34" s="479">
        <f t="shared" si="332"/>
        <v>0</v>
      </c>
      <c r="BQ34" s="479">
        <f t="shared" si="332"/>
        <v>0</v>
      </c>
      <c r="BR34" s="479">
        <f t="shared" si="332"/>
        <v>0</v>
      </c>
      <c r="BS34" s="479">
        <f t="shared" si="332"/>
        <v>0</v>
      </c>
      <c r="BT34" s="479">
        <f t="shared" si="332"/>
        <v>0</v>
      </c>
      <c r="BU34" s="479">
        <f t="shared" si="332"/>
        <v>0</v>
      </c>
      <c r="BV34" s="479">
        <f t="shared" si="332"/>
        <v>0</v>
      </c>
      <c r="BW34" s="479">
        <f t="shared" si="333"/>
        <v>0</v>
      </c>
      <c r="BX34" s="479">
        <f t="shared" si="333"/>
        <v>0</v>
      </c>
      <c r="BY34" s="479">
        <f t="shared" si="333"/>
        <v>0</v>
      </c>
      <c r="BZ34" s="479">
        <f t="shared" si="333"/>
        <v>0</v>
      </c>
      <c r="CA34" s="479">
        <f t="shared" si="333"/>
        <v>0</v>
      </c>
      <c r="CB34" s="479">
        <f t="shared" si="333"/>
        <v>0</v>
      </c>
      <c r="CC34" s="479">
        <f t="shared" si="333"/>
        <v>0</v>
      </c>
      <c r="CD34" s="479">
        <f t="shared" si="333"/>
        <v>0</v>
      </c>
      <c r="CE34" s="479">
        <f t="shared" si="333"/>
        <v>0</v>
      </c>
      <c r="CF34" s="479">
        <f t="shared" si="333"/>
        <v>0</v>
      </c>
      <c r="CG34" s="479">
        <f t="shared" si="333"/>
        <v>0</v>
      </c>
      <c r="CH34" s="479">
        <f t="shared" si="333"/>
        <v>0</v>
      </c>
      <c r="CI34" s="479">
        <f t="shared" si="333"/>
        <v>0</v>
      </c>
      <c r="CJ34" s="479">
        <f t="shared" si="333"/>
        <v>0</v>
      </c>
      <c r="CK34" s="479">
        <f t="shared" si="333"/>
        <v>0</v>
      </c>
      <c r="CL34" s="479">
        <f t="shared" si="333"/>
        <v>0</v>
      </c>
      <c r="CM34" s="479">
        <f t="shared" si="333"/>
        <v>0</v>
      </c>
      <c r="CN34" s="479">
        <f t="shared" si="333"/>
        <v>0</v>
      </c>
      <c r="CO34" s="479">
        <f t="shared" si="333"/>
        <v>0</v>
      </c>
      <c r="CP34" s="479">
        <f t="shared" si="333"/>
        <v>0</v>
      </c>
      <c r="CQ34" s="479">
        <f t="shared" si="333"/>
        <v>0</v>
      </c>
      <c r="CR34" s="479">
        <f t="shared" si="333"/>
        <v>0</v>
      </c>
      <c r="CS34" s="479">
        <f t="shared" si="333"/>
        <v>0</v>
      </c>
      <c r="CT34" s="479">
        <f t="shared" si="333"/>
        <v>0</v>
      </c>
      <c r="CU34" s="479">
        <f t="shared" si="333"/>
        <v>0</v>
      </c>
      <c r="CV34" s="479">
        <f t="shared" si="333"/>
        <v>0</v>
      </c>
      <c r="CW34" s="479">
        <f t="shared" si="333"/>
        <v>0</v>
      </c>
      <c r="CX34" s="479">
        <f t="shared" si="333"/>
        <v>0</v>
      </c>
      <c r="CY34" s="479">
        <f t="shared" si="333"/>
        <v>0</v>
      </c>
      <c r="CZ34" s="479">
        <f t="shared" si="333"/>
        <v>0</v>
      </c>
      <c r="DA34" s="479">
        <f t="shared" si="333"/>
        <v>0</v>
      </c>
      <c r="DB34" s="479">
        <f t="shared" si="333"/>
        <v>0</v>
      </c>
      <c r="DC34" s="479">
        <f t="shared" si="333"/>
        <v>0</v>
      </c>
      <c r="DD34" s="479">
        <f t="shared" si="333"/>
        <v>0</v>
      </c>
      <c r="DE34" s="479">
        <f t="shared" si="333"/>
        <v>0</v>
      </c>
      <c r="DF34" s="479">
        <f t="shared" si="333"/>
        <v>0</v>
      </c>
      <c r="DG34" s="479">
        <f t="shared" si="333"/>
        <v>0</v>
      </c>
      <c r="DH34" s="479">
        <f t="shared" si="333"/>
        <v>0</v>
      </c>
      <c r="DI34" s="479">
        <f t="shared" si="333"/>
        <v>0</v>
      </c>
      <c r="DJ34" s="479">
        <f t="shared" si="333"/>
        <v>0</v>
      </c>
      <c r="DK34" s="479">
        <f t="shared" si="333"/>
        <v>0</v>
      </c>
      <c r="DL34" s="479">
        <f t="shared" si="333"/>
        <v>0</v>
      </c>
      <c r="DM34" s="479">
        <f t="shared" si="333"/>
        <v>0</v>
      </c>
      <c r="DN34" s="479">
        <f t="shared" si="333"/>
        <v>0</v>
      </c>
      <c r="DO34" s="479">
        <f t="shared" si="333"/>
        <v>0</v>
      </c>
      <c r="DP34" s="479">
        <f t="shared" si="333"/>
        <v>0</v>
      </c>
      <c r="DQ34" s="479">
        <f t="shared" si="333"/>
        <v>0</v>
      </c>
      <c r="DR34" s="479">
        <f t="shared" si="333"/>
        <v>0</v>
      </c>
      <c r="DS34" s="479">
        <f t="shared" si="333"/>
        <v>0</v>
      </c>
      <c r="DT34" s="479">
        <f t="shared" si="333"/>
        <v>0</v>
      </c>
      <c r="DU34" s="479">
        <f t="shared" si="333"/>
        <v>0</v>
      </c>
      <c r="DV34" s="479">
        <f t="shared" si="333"/>
        <v>0</v>
      </c>
      <c r="DW34" s="479">
        <f t="shared" si="333"/>
        <v>0</v>
      </c>
      <c r="DX34" s="479">
        <f t="shared" si="333"/>
        <v>0</v>
      </c>
      <c r="DY34" s="479">
        <f t="shared" si="333"/>
        <v>0</v>
      </c>
      <c r="DZ34" s="479">
        <f t="shared" si="333"/>
        <v>0</v>
      </c>
      <c r="EA34" s="479">
        <f t="shared" si="333"/>
        <v>0</v>
      </c>
      <c r="EB34" s="479">
        <f t="shared" si="333"/>
        <v>0</v>
      </c>
      <c r="EC34" s="479">
        <f t="shared" si="333"/>
        <v>0</v>
      </c>
      <c r="ED34" s="479">
        <f t="shared" si="333"/>
        <v>0</v>
      </c>
      <c r="EE34" s="479">
        <f t="shared" si="333"/>
        <v>0</v>
      </c>
      <c r="EF34" s="479">
        <f t="shared" si="333"/>
        <v>0</v>
      </c>
      <c r="EG34" s="479">
        <f t="shared" si="333"/>
        <v>0</v>
      </c>
      <c r="EH34" s="479">
        <f t="shared" si="333"/>
        <v>0</v>
      </c>
      <c r="EI34" s="479">
        <f t="shared" si="334"/>
        <v>0</v>
      </c>
      <c r="EJ34" s="479">
        <f t="shared" si="334"/>
        <v>0</v>
      </c>
      <c r="EK34" s="479">
        <f t="shared" si="334"/>
        <v>0</v>
      </c>
      <c r="EL34" s="479">
        <f t="shared" si="334"/>
        <v>0</v>
      </c>
      <c r="EM34" s="479">
        <f t="shared" si="334"/>
        <v>0</v>
      </c>
      <c r="EN34" s="479">
        <f t="shared" si="334"/>
        <v>0</v>
      </c>
      <c r="EO34" s="479">
        <f t="shared" si="334"/>
        <v>0</v>
      </c>
      <c r="EP34" s="479">
        <f t="shared" si="334"/>
        <v>0</v>
      </c>
      <c r="EQ34" s="479">
        <f t="shared" si="334"/>
        <v>0</v>
      </c>
      <c r="ER34" s="479">
        <f t="shared" si="334"/>
        <v>0</v>
      </c>
      <c r="ES34" s="479">
        <f t="shared" si="334"/>
        <v>0</v>
      </c>
      <c r="ET34" s="479">
        <f t="shared" si="334"/>
        <v>0</v>
      </c>
      <c r="EU34" s="479">
        <f t="shared" si="334"/>
        <v>0</v>
      </c>
      <c r="EV34" s="479">
        <f t="shared" si="334"/>
        <v>0</v>
      </c>
      <c r="EW34" s="479">
        <f t="shared" si="334"/>
        <v>0</v>
      </c>
      <c r="EX34" s="479">
        <f t="shared" si="334"/>
        <v>0</v>
      </c>
      <c r="EY34" s="479">
        <f t="shared" si="334"/>
        <v>0</v>
      </c>
      <c r="EZ34" s="479">
        <f t="shared" si="334"/>
        <v>0</v>
      </c>
      <c r="FA34" s="479">
        <f t="shared" si="334"/>
        <v>0</v>
      </c>
      <c r="FB34" s="479">
        <f t="shared" si="334"/>
        <v>0</v>
      </c>
      <c r="FC34" s="479">
        <f t="shared" si="334"/>
        <v>0</v>
      </c>
      <c r="FD34" s="479">
        <f t="shared" si="334"/>
        <v>0</v>
      </c>
      <c r="FE34" s="479">
        <f t="shared" si="334"/>
        <v>0</v>
      </c>
      <c r="FF34" s="479">
        <f t="shared" si="334"/>
        <v>0</v>
      </c>
      <c r="FG34" s="479">
        <f t="shared" si="334"/>
        <v>0</v>
      </c>
      <c r="FH34" s="479">
        <f t="shared" si="334"/>
        <v>0</v>
      </c>
      <c r="FI34" s="479">
        <f t="shared" si="334"/>
        <v>0</v>
      </c>
      <c r="FJ34" s="479">
        <f t="shared" si="334"/>
        <v>0</v>
      </c>
      <c r="FK34" s="479">
        <f t="shared" si="334"/>
        <v>0</v>
      </c>
      <c r="FL34" s="479">
        <f t="shared" si="334"/>
        <v>0</v>
      </c>
      <c r="FM34" s="479">
        <f t="shared" si="334"/>
        <v>0</v>
      </c>
      <c r="FN34" s="479">
        <f t="shared" si="334"/>
        <v>0</v>
      </c>
      <c r="FO34" s="479">
        <f t="shared" si="334"/>
        <v>0</v>
      </c>
      <c r="FP34" s="479">
        <f t="shared" si="334"/>
        <v>0</v>
      </c>
      <c r="FQ34" s="479">
        <f t="shared" si="334"/>
        <v>0</v>
      </c>
      <c r="FR34" s="479">
        <f t="shared" si="334"/>
        <v>0</v>
      </c>
      <c r="FS34" s="479">
        <f t="shared" si="334"/>
        <v>0</v>
      </c>
      <c r="FT34" s="479">
        <f t="shared" si="334"/>
        <v>0</v>
      </c>
      <c r="FU34" s="479">
        <f t="shared" si="334"/>
        <v>0</v>
      </c>
      <c r="FV34" s="479">
        <f t="shared" si="334"/>
        <v>0</v>
      </c>
      <c r="FW34" s="479">
        <f t="shared" si="334"/>
        <v>0</v>
      </c>
      <c r="FX34" s="479">
        <f t="shared" si="334"/>
        <v>0</v>
      </c>
      <c r="FY34" s="479">
        <f t="shared" si="334"/>
        <v>0</v>
      </c>
      <c r="FZ34" s="479">
        <f t="shared" si="334"/>
        <v>0</v>
      </c>
      <c r="GA34" s="479">
        <f t="shared" si="334"/>
        <v>0</v>
      </c>
      <c r="GB34" s="479">
        <f t="shared" si="334"/>
        <v>0</v>
      </c>
      <c r="GC34" s="479">
        <f t="shared" si="334"/>
        <v>0</v>
      </c>
      <c r="GD34" s="479">
        <f t="shared" si="334"/>
        <v>0</v>
      </c>
      <c r="GE34" s="479">
        <f t="shared" si="334"/>
        <v>0</v>
      </c>
      <c r="GF34" s="479">
        <f t="shared" si="334"/>
        <v>0</v>
      </c>
      <c r="GG34" s="479">
        <f t="shared" si="334"/>
        <v>0</v>
      </c>
      <c r="GH34" s="479">
        <f t="shared" si="334"/>
        <v>0</v>
      </c>
      <c r="GI34" s="479">
        <f t="shared" si="334"/>
        <v>0</v>
      </c>
      <c r="GJ34" s="479">
        <f t="shared" si="334"/>
        <v>0</v>
      </c>
      <c r="GK34" s="479">
        <f t="shared" si="334"/>
        <v>0</v>
      </c>
      <c r="GL34" s="479">
        <f t="shared" si="334"/>
        <v>0</v>
      </c>
      <c r="GM34" s="479">
        <f t="shared" si="334"/>
        <v>0</v>
      </c>
      <c r="GN34" s="479">
        <f t="shared" si="334"/>
        <v>0</v>
      </c>
      <c r="GO34" s="479">
        <f t="shared" si="334"/>
        <v>0</v>
      </c>
      <c r="GP34" s="479">
        <f t="shared" si="334"/>
        <v>0</v>
      </c>
      <c r="GQ34" s="479">
        <f t="shared" si="334"/>
        <v>0</v>
      </c>
      <c r="GR34" s="479">
        <f t="shared" si="334"/>
        <v>0</v>
      </c>
      <c r="GS34" s="479">
        <f t="shared" si="334"/>
        <v>0</v>
      </c>
      <c r="GT34" s="479">
        <f t="shared" si="334"/>
        <v>0</v>
      </c>
      <c r="GU34" s="479">
        <f t="shared" si="335"/>
        <v>0</v>
      </c>
      <c r="GV34" s="479">
        <f t="shared" si="335"/>
        <v>0</v>
      </c>
      <c r="GW34" s="479">
        <f t="shared" si="335"/>
        <v>0</v>
      </c>
      <c r="GX34" s="479">
        <f t="shared" si="335"/>
        <v>0</v>
      </c>
      <c r="GY34" s="479">
        <f t="shared" si="335"/>
        <v>0</v>
      </c>
      <c r="GZ34" s="479">
        <f t="shared" si="335"/>
        <v>0</v>
      </c>
      <c r="HA34" s="479">
        <f t="shared" si="335"/>
        <v>0</v>
      </c>
      <c r="HB34" s="479">
        <f t="shared" si="335"/>
        <v>0</v>
      </c>
      <c r="HC34" s="479">
        <f t="shared" si="335"/>
        <v>0</v>
      </c>
      <c r="HD34" s="479">
        <f t="shared" si="335"/>
        <v>0</v>
      </c>
      <c r="HE34" s="479">
        <f t="shared" si="335"/>
        <v>0</v>
      </c>
      <c r="HF34" s="479">
        <f t="shared" si="335"/>
        <v>0</v>
      </c>
      <c r="HG34" s="479">
        <f t="shared" si="335"/>
        <v>0</v>
      </c>
      <c r="HH34" s="479">
        <f t="shared" si="335"/>
        <v>0</v>
      </c>
      <c r="HI34" s="479">
        <f t="shared" si="335"/>
        <v>0</v>
      </c>
      <c r="HJ34" s="479">
        <f t="shared" si="335"/>
        <v>0</v>
      </c>
      <c r="HK34" s="479">
        <f t="shared" si="335"/>
        <v>0</v>
      </c>
      <c r="HL34" s="479">
        <f t="shared" si="335"/>
        <v>0</v>
      </c>
      <c r="HM34" s="479">
        <f t="shared" si="335"/>
        <v>0</v>
      </c>
      <c r="HN34" s="479">
        <f t="shared" si="335"/>
        <v>0</v>
      </c>
      <c r="HO34" s="479">
        <f t="shared" si="335"/>
        <v>0</v>
      </c>
      <c r="HP34" s="479">
        <f t="shared" si="335"/>
        <v>0</v>
      </c>
      <c r="HQ34" s="479">
        <f t="shared" si="335"/>
        <v>0</v>
      </c>
      <c r="HR34" s="479">
        <f t="shared" si="335"/>
        <v>0</v>
      </c>
      <c r="HS34" s="479">
        <f t="shared" si="335"/>
        <v>0</v>
      </c>
      <c r="HT34" s="479">
        <f t="shared" si="335"/>
        <v>0</v>
      </c>
      <c r="HU34" s="479">
        <f t="shared" si="335"/>
        <v>0</v>
      </c>
      <c r="HV34" s="479">
        <f t="shared" si="335"/>
        <v>0</v>
      </c>
      <c r="HW34" s="479">
        <f t="shared" si="335"/>
        <v>0</v>
      </c>
      <c r="HX34" s="479">
        <f t="shared" si="335"/>
        <v>0</v>
      </c>
      <c r="HY34" s="479">
        <f t="shared" si="335"/>
        <v>0</v>
      </c>
      <c r="HZ34" s="479">
        <f t="shared" si="335"/>
        <v>0</v>
      </c>
      <c r="IA34" s="479">
        <f t="shared" si="335"/>
        <v>0</v>
      </c>
      <c r="IB34" s="479">
        <f t="shared" si="335"/>
        <v>0</v>
      </c>
      <c r="IC34" s="479">
        <f t="shared" si="335"/>
        <v>0</v>
      </c>
      <c r="ID34" s="479">
        <f t="shared" si="335"/>
        <v>0</v>
      </c>
      <c r="IE34" s="479">
        <f t="shared" si="335"/>
        <v>0</v>
      </c>
      <c r="IF34" s="479">
        <f t="shared" si="335"/>
        <v>0</v>
      </c>
      <c r="IG34" s="479">
        <f t="shared" si="335"/>
        <v>0</v>
      </c>
      <c r="IH34" s="479">
        <f t="shared" si="335"/>
        <v>0</v>
      </c>
      <c r="II34" s="479">
        <f t="shared" si="335"/>
        <v>0</v>
      </c>
      <c r="IJ34" s="479">
        <f t="shared" si="335"/>
        <v>0</v>
      </c>
      <c r="IK34" s="479">
        <f t="shared" si="335"/>
        <v>0</v>
      </c>
      <c r="IL34" s="479">
        <f t="shared" si="335"/>
        <v>0</v>
      </c>
      <c r="IM34" s="479">
        <f t="shared" si="335"/>
        <v>0</v>
      </c>
      <c r="IN34" s="479">
        <f t="shared" si="335"/>
        <v>0</v>
      </c>
      <c r="IO34" s="479">
        <f t="shared" si="335"/>
        <v>0</v>
      </c>
      <c r="IP34" s="479">
        <f t="shared" si="335"/>
        <v>0</v>
      </c>
      <c r="IQ34" s="479">
        <f t="shared" si="335"/>
        <v>0</v>
      </c>
      <c r="IR34" s="479">
        <f t="shared" si="335"/>
        <v>0</v>
      </c>
      <c r="IS34" s="479">
        <f t="shared" si="335"/>
        <v>0</v>
      </c>
      <c r="IT34" s="479">
        <f t="shared" si="335"/>
        <v>0</v>
      </c>
      <c r="IU34" s="479">
        <f t="shared" si="335"/>
        <v>0</v>
      </c>
      <c r="IV34" s="479">
        <f t="shared" si="335"/>
        <v>0</v>
      </c>
      <c r="IW34" s="479">
        <f t="shared" si="335"/>
        <v>0</v>
      </c>
      <c r="IX34" s="479">
        <f t="shared" si="335"/>
        <v>0</v>
      </c>
      <c r="IY34" s="479">
        <f t="shared" si="335"/>
        <v>0</v>
      </c>
      <c r="IZ34" s="479">
        <f t="shared" si="335"/>
        <v>0</v>
      </c>
      <c r="JA34" s="479">
        <f t="shared" si="335"/>
        <v>0</v>
      </c>
      <c r="JB34" s="479">
        <f t="shared" si="335"/>
        <v>0</v>
      </c>
      <c r="JC34" s="479">
        <f t="shared" si="335"/>
        <v>0</v>
      </c>
      <c r="JD34" s="479">
        <f t="shared" si="335"/>
        <v>0</v>
      </c>
      <c r="JE34" s="479">
        <f t="shared" si="335"/>
        <v>0</v>
      </c>
      <c r="JF34" s="479">
        <f t="shared" si="335"/>
        <v>0</v>
      </c>
      <c r="JG34" s="479">
        <f t="shared" si="336"/>
        <v>0</v>
      </c>
      <c r="JH34" s="479">
        <f t="shared" si="336"/>
        <v>0</v>
      </c>
      <c r="JI34" s="479">
        <f t="shared" si="336"/>
        <v>0</v>
      </c>
      <c r="JJ34" s="479">
        <f t="shared" si="336"/>
        <v>0</v>
      </c>
      <c r="JK34" s="479">
        <f t="shared" si="336"/>
        <v>0</v>
      </c>
      <c r="JL34" s="479">
        <f t="shared" si="336"/>
        <v>0</v>
      </c>
      <c r="JM34" s="479">
        <f t="shared" si="336"/>
        <v>0</v>
      </c>
      <c r="JN34" s="479">
        <f t="shared" si="336"/>
        <v>0</v>
      </c>
      <c r="JO34" s="479">
        <f t="shared" si="336"/>
        <v>0</v>
      </c>
      <c r="JP34" s="479">
        <f t="shared" si="336"/>
        <v>0</v>
      </c>
      <c r="JQ34" s="479">
        <f t="shared" si="336"/>
        <v>0</v>
      </c>
      <c r="JR34" s="479">
        <f t="shared" si="336"/>
        <v>0</v>
      </c>
      <c r="JS34" s="479">
        <f t="shared" si="336"/>
        <v>0</v>
      </c>
      <c r="JT34" s="479">
        <f t="shared" si="336"/>
        <v>0</v>
      </c>
      <c r="JU34" s="479">
        <f t="shared" si="336"/>
        <v>0</v>
      </c>
      <c r="JV34" s="479">
        <f t="shared" si="336"/>
        <v>0</v>
      </c>
      <c r="JW34" s="479">
        <f t="shared" si="336"/>
        <v>0</v>
      </c>
      <c r="JX34" s="479">
        <f t="shared" si="336"/>
        <v>0</v>
      </c>
      <c r="JY34" s="479">
        <f t="shared" si="336"/>
        <v>0</v>
      </c>
      <c r="JZ34" s="479">
        <f t="shared" si="336"/>
        <v>0</v>
      </c>
      <c r="KA34" s="479">
        <f t="shared" si="336"/>
        <v>0</v>
      </c>
      <c r="KB34" s="479">
        <f t="shared" si="336"/>
        <v>0</v>
      </c>
      <c r="KC34" s="479">
        <f t="shared" si="336"/>
        <v>0</v>
      </c>
      <c r="KD34" s="479">
        <f t="shared" si="336"/>
        <v>0</v>
      </c>
      <c r="KE34" s="479">
        <f t="shared" si="336"/>
        <v>0</v>
      </c>
      <c r="KF34" s="479">
        <f t="shared" si="336"/>
        <v>0</v>
      </c>
      <c r="KG34" s="479">
        <f t="shared" si="336"/>
        <v>0</v>
      </c>
      <c r="KH34" s="479">
        <f t="shared" si="336"/>
        <v>0</v>
      </c>
      <c r="KI34" s="479">
        <f t="shared" si="336"/>
        <v>0</v>
      </c>
      <c r="KJ34" s="479">
        <f t="shared" si="336"/>
        <v>0</v>
      </c>
      <c r="KK34" s="479">
        <f t="shared" si="336"/>
        <v>0</v>
      </c>
      <c r="KL34" s="479">
        <f t="shared" si="336"/>
        <v>0</v>
      </c>
      <c r="KM34" s="479">
        <f t="shared" si="336"/>
        <v>0</v>
      </c>
      <c r="KN34" s="479">
        <f t="shared" si="336"/>
        <v>0</v>
      </c>
      <c r="KO34" s="479">
        <f t="shared" si="336"/>
        <v>0</v>
      </c>
      <c r="KP34" s="479">
        <f t="shared" si="336"/>
        <v>0</v>
      </c>
      <c r="KQ34" s="479">
        <f t="shared" si="336"/>
        <v>0</v>
      </c>
      <c r="KR34" s="479">
        <f t="shared" si="336"/>
        <v>0</v>
      </c>
      <c r="KS34" s="479">
        <f t="shared" si="336"/>
        <v>0</v>
      </c>
      <c r="KT34" s="479">
        <f t="shared" si="336"/>
        <v>0</v>
      </c>
      <c r="KU34" s="479">
        <f t="shared" si="336"/>
        <v>0</v>
      </c>
      <c r="KV34" s="479">
        <f t="shared" si="336"/>
        <v>0</v>
      </c>
      <c r="KW34" s="479">
        <f t="shared" si="336"/>
        <v>0</v>
      </c>
      <c r="KX34" s="479">
        <f t="shared" si="336"/>
        <v>0</v>
      </c>
      <c r="KY34" s="479">
        <f t="shared" si="336"/>
        <v>0</v>
      </c>
      <c r="KZ34" s="479">
        <f t="shared" si="336"/>
        <v>0</v>
      </c>
      <c r="LA34" s="479">
        <f t="shared" si="336"/>
        <v>0</v>
      </c>
      <c r="LB34" s="479">
        <f t="shared" si="336"/>
        <v>0</v>
      </c>
      <c r="LC34" s="479">
        <f t="shared" si="336"/>
        <v>0</v>
      </c>
      <c r="LD34" s="479">
        <f t="shared" si="336"/>
        <v>0</v>
      </c>
      <c r="LE34" s="479">
        <f t="shared" si="336"/>
        <v>0</v>
      </c>
      <c r="LF34" s="479">
        <f t="shared" si="336"/>
        <v>0</v>
      </c>
      <c r="LG34" s="479">
        <f t="shared" si="336"/>
        <v>0</v>
      </c>
      <c r="LH34" s="479">
        <f t="shared" si="336"/>
        <v>0</v>
      </c>
      <c r="LI34" s="479">
        <f t="shared" si="336"/>
        <v>0</v>
      </c>
      <c r="LJ34" s="479">
        <f t="shared" si="336"/>
        <v>0</v>
      </c>
      <c r="LK34" s="479">
        <f t="shared" si="336"/>
        <v>0</v>
      </c>
      <c r="LL34" s="479">
        <f t="shared" si="336"/>
        <v>0</v>
      </c>
      <c r="LM34" s="479">
        <f t="shared" si="336"/>
        <v>0</v>
      </c>
      <c r="LN34" s="479">
        <f t="shared" si="336"/>
        <v>0</v>
      </c>
      <c r="LO34" s="479">
        <f t="shared" si="336"/>
        <v>0</v>
      </c>
      <c r="LP34" s="479">
        <f t="shared" si="336"/>
        <v>0</v>
      </c>
      <c r="LQ34" s="479">
        <f t="shared" si="336"/>
        <v>0</v>
      </c>
      <c r="LR34" s="479">
        <f t="shared" si="336"/>
        <v>0</v>
      </c>
      <c r="LS34" s="479">
        <f t="shared" si="337"/>
        <v>0</v>
      </c>
      <c r="LT34" s="479">
        <f t="shared" si="337"/>
        <v>0</v>
      </c>
      <c r="LU34" s="479">
        <f t="shared" si="337"/>
        <v>0</v>
      </c>
      <c r="LV34" s="479">
        <f t="shared" si="337"/>
        <v>0</v>
      </c>
      <c r="LW34" s="479">
        <f t="shared" si="337"/>
        <v>0</v>
      </c>
      <c r="LX34" s="479">
        <f t="shared" si="337"/>
        <v>0</v>
      </c>
      <c r="LY34" s="479">
        <f t="shared" si="337"/>
        <v>0</v>
      </c>
      <c r="LZ34" s="479">
        <f t="shared" si="337"/>
        <v>0</v>
      </c>
      <c r="MA34" s="479">
        <f t="shared" si="337"/>
        <v>0</v>
      </c>
      <c r="MB34" s="479">
        <f t="shared" si="337"/>
        <v>0</v>
      </c>
      <c r="MC34" s="479">
        <f t="shared" si="337"/>
        <v>0</v>
      </c>
      <c r="MD34" s="479">
        <f t="shared" si="337"/>
        <v>0</v>
      </c>
      <c r="ME34" s="479">
        <f t="shared" si="337"/>
        <v>0</v>
      </c>
      <c r="MF34" s="479">
        <f t="shared" si="337"/>
        <v>0</v>
      </c>
      <c r="MG34" s="479">
        <f t="shared" si="337"/>
        <v>0</v>
      </c>
      <c r="MH34" s="479">
        <f t="shared" si="337"/>
        <v>0</v>
      </c>
      <c r="MI34" s="479">
        <f t="shared" si="337"/>
        <v>0</v>
      </c>
      <c r="MJ34" s="479">
        <f t="shared" si="337"/>
        <v>0</v>
      </c>
      <c r="MK34" s="479">
        <f t="shared" si="337"/>
        <v>0</v>
      </c>
      <c r="ML34" s="479">
        <f t="shared" si="337"/>
        <v>0</v>
      </c>
      <c r="MM34" s="479">
        <f t="shared" si="337"/>
        <v>0</v>
      </c>
      <c r="MN34" s="479">
        <f t="shared" si="337"/>
        <v>0</v>
      </c>
      <c r="MO34" s="479">
        <f t="shared" si="337"/>
        <v>0</v>
      </c>
      <c r="MP34" s="479">
        <f t="shared" si="337"/>
        <v>0</v>
      </c>
      <c r="MQ34" s="479">
        <f t="shared" si="337"/>
        <v>0</v>
      </c>
      <c r="MR34" s="479">
        <f t="shared" si="337"/>
        <v>0</v>
      </c>
      <c r="MS34" s="479">
        <f t="shared" si="337"/>
        <v>0</v>
      </c>
      <c r="MT34" s="479">
        <f t="shared" si="337"/>
        <v>0</v>
      </c>
      <c r="MU34" s="479">
        <f t="shared" si="337"/>
        <v>0</v>
      </c>
      <c r="MV34" s="479">
        <f t="shared" si="337"/>
        <v>0</v>
      </c>
      <c r="MW34" s="479">
        <f t="shared" si="337"/>
        <v>0</v>
      </c>
      <c r="MX34" s="479">
        <f t="shared" si="337"/>
        <v>0</v>
      </c>
      <c r="MY34" s="479">
        <f t="shared" si="337"/>
        <v>0</v>
      </c>
      <c r="MZ34" s="479">
        <f t="shared" si="337"/>
        <v>0</v>
      </c>
      <c r="NA34" s="479">
        <f t="shared" si="337"/>
        <v>0</v>
      </c>
      <c r="NB34" s="479">
        <f t="shared" si="337"/>
        <v>0</v>
      </c>
      <c r="NC34" s="479">
        <f t="shared" si="337"/>
        <v>0</v>
      </c>
      <c r="ND34" s="479">
        <f t="shared" si="337"/>
        <v>0</v>
      </c>
      <c r="NE34" s="479">
        <f t="shared" si="337"/>
        <v>0</v>
      </c>
      <c r="NF34" s="479">
        <f t="shared" si="337"/>
        <v>0</v>
      </c>
      <c r="NG34" s="479">
        <f t="shared" si="337"/>
        <v>0</v>
      </c>
      <c r="NH34" s="479">
        <f t="shared" si="337"/>
        <v>0</v>
      </c>
      <c r="NI34" s="479">
        <f t="shared" si="337"/>
        <v>0</v>
      </c>
      <c r="NJ34" s="479">
        <f t="shared" si="337"/>
        <v>0</v>
      </c>
      <c r="NK34" s="479">
        <f t="shared" si="337"/>
        <v>0</v>
      </c>
      <c r="NL34" s="479">
        <f t="shared" si="337"/>
        <v>0</v>
      </c>
      <c r="NM34" s="479">
        <f t="shared" si="337"/>
        <v>0</v>
      </c>
      <c r="NN34" s="479">
        <f t="shared" si="337"/>
        <v>0</v>
      </c>
      <c r="NO34" s="479">
        <f t="shared" si="337"/>
        <v>0</v>
      </c>
      <c r="NP34" s="479">
        <f t="shared" si="337"/>
        <v>0</v>
      </c>
      <c r="NQ34" s="479">
        <f t="shared" si="337"/>
        <v>0</v>
      </c>
      <c r="NR34" s="479">
        <f t="shared" si="337"/>
        <v>0</v>
      </c>
      <c r="NS34" s="479">
        <f t="shared" si="337"/>
        <v>0</v>
      </c>
      <c r="NT34" s="479">
        <f t="shared" si="337"/>
        <v>0</v>
      </c>
      <c r="NU34" s="479">
        <f t="shared" si="337"/>
        <v>0</v>
      </c>
      <c r="NV34" s="479">
        <f t="shared" si="337"/>
        <v>0</v>
      </c>
      <c r="NW34" s="479">
        <f t="shared" si="337"/>
        <v>0</v>
      </c>
      <c r="NX34" s="479">
        <f t="shared" si="337"/>
        <v>0</v>
      </c>
      <c r="NY34" s="479">
        <f t="shared" si="337"/>
        <v>0</v>
      </c>
      <c r="NZ34" s="479">
        <f t="shared" si="337"/>
        <v>0</v>
      </c>
      <c r="OA34" s="479">
        <f t="shared" si="337"/>
        <v>0</v>
      </c>
      <c r="OB34" s="479">
        <f t="shared" si="337"/>
        <v>0</v>
      </c>
      <c r="OC34" s="479">
        <f t="shared" si="337"/>
        <v>0</v>
      </c>
      <c r="OD34" s="479">
        <f t="shared" si="337"/>
        <v>0</v>
      </c>
      <c r="OE34" s="479">
        <f t="shared" si="330"/>
        <v>0</v>
      </c>
      <c r="OF34" s="479">
        <f t="shared" si="330"/>
        <v>0</v>
      </c>
      <c r="OG34" s="479">
        <f t="shared" si="330"/>
        <v>0</v>
      </c>
      <c r="OH34" s="479">
        <f t="shared" si="330"/>
        <v>0</v>
      </c>
      <c r="OI34" s="479">
        <f t="shared" si="330"/>
        <v>0</v>
      </c>
      <c r="OJ34" s="479">
        <f t="shared" si="330"/>
        <v>0</v>
      </c>
      <c r="OK34" s="479">
        <f t="shared" si="330"/>
        <v>0</v>
      </c>
      <c r="OL34" s="479">
        <f t="shared" si="330"/>
        <v>0</v>
      </c>
      <c r="OM34" s="479">
        <f t="shared" si="330"/>
        <v>0</v>
      </c>
      <c r="ON34" s="479">
        <f t="shared" si="330"/>
        <v>0</v>
      </c>
      <c r="OO34" s="479">
        <f t="shared" si="330"/>
        <v>0</v>
      </c>
    </row>
    <row r="35" spans="2:405">
      <c r="B35" s="97" t="str">
        <f>Assumptions!B100</f>
        <v>Geotechnical</v>
      </c>
      <c r="C35" s="97"/>
      <c r="D35" s="500">
        <f>Assumptions!C100</f>
        <v>0</v>
      </c>
      <c r="E35" s="507">
        <f>Assumptions!$C$8</f>
        <v>46204</v>
      </c>
      <c r="F35" s="507">
        <f>EOMONTH(E35,Assumptions!$C$9-1)</f>
        <v>46387</v>
      </c>
      <c r="G35" s="97">
        <f t="shared" si="323"/>
        <v>6</v>
      </c>
      <c r="H35" s="97"/>
      <c r="I35" s="97"/>
      <c r="J35" s="479">
        <f t="shared" si="331"/>
        <v>0</v>
      </c>
      <c r="K35" s="479">
        <f t="shared" si="332"/>
        <v>0</v>
      </c>
      <c r="L35" s="479">
        <f t="shared" si="332"/>
        <v>0</v>
      </c>
      <c r="M35" s="479">
        <f t="shared" si="332"/>
        <v>0</v>
      </c>
      <c r="N35" s="479">
        <f t="shared" si="332"/>
        <v>0</v>
      </c>
      <c r="O35" s="479">
        <f t="shared" si="332"/>
        <v>0</v>
      </c>
      <c r="P35" s="479">
        <f t="shared" si="332"/>
        <v>0</v>
      </c>
      <c r="Q35" s="479">
        <f t="shared" si="332"/>
        <v>0</v>
      </c>
      <c r="R35" s="479">
        <f t="shared" si="332"/>
        <v>0</v>
      </c>
      <c r="S35" s="479">
        <f t="shared" si="332"/>
        <v>0</v>
      </c>
      <c r="T35" s="479">
        <f t="shared" si="332"/>
        <v>0</v>
      </c>
      <c r="U35" s="479">
        <f t="shared" si="332"/>
        <v>0</v>
      </c>
      <c r="V35" s="479">
        <f t="shared" si="332"/>
        <v>0</v>
      </c>
      <c r="W35" s="479">
        <f t="shared" si="332"/>
        <v>0</v>
      </c>
      <c r="X35" s="479">
        <f t="shared" si="332"/>
        <v>0</v>
      </c>
      <c r="Y35" s="479">
        <f t="shared" si="332"/>
        <v>0</v>
      </c>
      <c r="Z35" s="479">
        <f t="shared" si="332"/>
        <v>0</v>
      </c>
      <c r="AA35" s="479">
        <f t="shared" si="332"/>
        <v>0</v>
      </c>
      <c r="AB35" s="479">
        <f t="shared" si="332"/>
        <v>0</v>
      </c>
      <c r="AC35" s="479">
        <f t="shared" si="332"/>
        <v>0</v>
      </c>
      <c r="AD35" s="479">
        <f t="shared" si="332"/>
        <v>0</v>
      </c>
      <c r="AE35" s="479">
        <f t="shared" si="332"/>
        <v>0</v>
      </c>
      <c r="AF35" s="479">
        <f t="shared" si="332"/>
        <v>0</v>
      </c>
      <c r="AG35" s="479">
        <f t="shared" si="332"/>
        <v>0</v>
      </c>
      <c r="AH35" s="479">
        <f t="shared" si="332"/>
        <v>0</v>
      </c>
      <c r="AI35" s="479">
        <f t="shared" si="332"/>
        <v>0</v>
      </c>
      <c r="AJ35" s="479">
        <f t="shared" si="332"/>
        <v>0</v>
      </c>
      <c r="AK35" s="479">
        <f t="shared" si="332"/>
        <v>0</v>
      </c>
      <c r="AL35" s="479">
        <f t="shared" si="332"/>
        <v>0</v>
      </c>
      <c r="AM35" s="479">
        <f t="shared" si="332"/>
        <v>0</v>
      </c>
      <c r="AN35" s="479">
        <f t="shared" si="332"/>
        <v>0</v>
      </c>
      <c r="AO35" s="479">
        <f t="shared" si="332"/>
        <v>0</v>
      </c>
      <c r="AP35" s="479">
        <f t="shared" si="332"/>
        <v>0</v>
      </c>
      <c r="AQ35" s="479">
        <f t="shared" si="332"/>
        <v>0</v>
      </c>
      <c r="AR35" s="479">
        <f t="shared" si="332"/>
        <v>0</v>
      </c>
      <c r="AS35" s="479">
        <f t="shared" si="332"/>
        <v>0</v>
      </c>
      <c r="AT35" s="479">
        <f t="shared" si="332"/>
        <v>0</v>
      </c>
      <c r="AU35" s="479">
        <f t="shared" si="332"/>
        <v>0</v>
      </c>
      <c r="AV35" s="479">
        <f t="shared" si="332"/>
        <v>0</v>
      </c>
      <c r="AW35" s="479">
        <f t="shared" si="332"/>
        <v>0</v>
      </c>
      <c r="AX35" s="479">
        <f t="shared" si="332"/>
        <v>0</v>
      </c>
      <c r="AY35" s="479">
        <f t="shared" si="332"/>
        <v>0</v>
      </c>
      <c r="AZ35" s="479">
        <f t="shared" si="332"/>
        <v>0</v>
      </c>
      <c r="BA35" s="479">
        <f t="shared" si="332"/>
        <v>0</v>
      </c>
      <c r="BB35" s="479">
        <f t="shared" si="332"/>
        <v>0</v>
      </c>
      <c r="BC35" s="479">
        <f t="shared" si="332"/>
        <v>0</v>
      </c>
      <c r="BD35" s="479">
        <f t="shared" si="332"/>
        <v>0</v>
      </c>
      <c r="BE35" s="479">
        <f t="shared" si="332"/>
        <v>0</v>
      </c>
      <c r="BF35" s="479">
        <f t="shared" si="332"/>
        <v>0</v>
      </c>
      <c r="BG35" s="479">
        <f t="shared" si="332"/>
        <v>0</v>
      </c>
      <c r="BH35" s="479">
        <f t="shared" si="332"/>
        <v>0</v>
      </c>
      <c r="BI35" s="479">
        <f t="shared" si="332"/>
        <v>0</v>
      </c>
      <c r="BJ35" s="479">
        <f t="shared" si="332"/>
        <v>0</v>
      </c>
      <c r="BK35" s="479">
        <f t="shared" si="332"/>
        <v>0</v>
      </c>
      <c r="BL35" s="479">
        <f t="shared" si="332"/>
        <v>0</v>
      </c>
      <c r="BM35" s="479">
        <f t="shared" si="332"/>
        <v>0</v>
      </c>
      <c r="BN35" s="479">
        <f t="shared" si="332"/>
        <v>0</v>
      </c>
      <c r="BO35" s="479">
        <f t="shared" si="332"/>
        <v>0</v>
      </c>
      <c r="BP35" s="479">
        <f t="shared" si="332"/>
        <v>0</v>
      </c>
      <c r="BQ35" s="479">
        <f t="shared" si="332"/>
        <v>0</v>
      </c>
      <c r="BR35" s="479">
        <f t="shared" si="332"/>
        <v>0</v>
      </c>
      <c r="BS35" s="479">
        <f t="shared" si="332"/>
        <v>0</v>
      </c>
      <c r="BT35" s="479">
        <f t="shared" si="332"/>
        <v>0</v>
      </c>
      <c r="BU35" s="479">
        <f t="shared" si="332"/>
        <v>0</v>
      </c>
      <c r="BV35" s="479">
        <f t="shared" si="332"/>
        <v>0</v>
      </c>
      <c r="BW35" s="479">
        <f t="shared" si="333"/>
        <v>0</v>
      </c>
      <c r="BX35" s="479">
        <f t="shared" si="333"/>
        <v>0</v>
      </c>
      <c r="BY35" s="479">
        <f t="shared" si="333"/>
        <v>0</v>
      </c>
      <c r="BZ35" s="479">
        <f t="shared" si="333"/>
        <v>0</v>
      </c>
      <c r="CA35" s="479">
        <f t="shared" si="333"/>
        <v>0</v>
      </c>
      <c r="CB35" s="479">
        <f t="shared" si="333"/>
        <v>0</v>
      </c>
      <c r="CC35" s="479">
        <f t="shared" si="333"/>
        <v>0</v>
      </c>
      <c r="CD35" s="479">
        <f t="shared" si="333"/>
        <v>0</v>
      </c>
      <c r="CE35" s="479">
        <f t="shared" si="333"/>
        <v>0</v>
      </c>
      <c r="CF35" s="479">
        <f t="shared" si="333"/>
        <v>0</v>
      </c>
      <c r="CG35" s="479">
        <f t="shared" si="333"/>
        <v>0</v>
      </c>
      <c r="CH35" s="479">
        <f t="shared" si="333"/>
        <v>0</v>
      </c>
      <c r="CI35" s="479">
        <f t="shared" si="333"/>
        <v>0</v>
      </c>
      <c r="CJ35" s="479">
        <f t="shared" si="333"/>
        <v>0</v>
      </c>
      <c r="CK35" s="479">
        <f t="shared" si="333"/>
        <v>0</v>
      </c>
      <c r="CL35" s="479">
        <f t="shared" si="333"/>
        <v>0</v>
      </c>
      <c r="CM35" s="479">
        <f t="shared" si="333"/>
        <v>0</v>
      </c>
      <c r="CN35" s="479">
        <f t="shared" si="333"/>
        <v>0</v>
      </c>
      <c r="CO35" s="479">
        <f t="shared" si="333"/>
        <v>0</v>
      </c>
      <c r="CP35" s="479">
        <f t="shared" si="333"/>
        <v>0</v>
      </c>
      <c r="CQ35" s="479">
        <f t="shared" si="333"/>
        <v>0</v>
      </c>
      <c r="CR35" s="479">
        <f t="shared" si="333"/>
        <v>0</v>
      </c>
      <c r="CS35" s="479">
        <f t="shared" si="333"/>
        <v>0</v>
      </c>
      <c r="CT35" s="479">
        <f t="shared" si="333"/>
        <v>0</v>
      </c>
      <c r="CU35" s="479">
        <f t="shared" si="333"/>
        <v>0</v>
      </c>
      <c r="CV35" s="479">
        <f t="shared" si="333"/>
        <v>0</v>
      </c>
      <c r="CW35" s="479">
        <f t="shared" si="333"/>
        <v>0</v>
      </c>
      <c r="CX35" s="479">
        <f t="shared" si="333"/>
        <v>0</v>
      </c>
      <c r="CY35" s="479">
        <f t="shared" si="333"/>
        <v>0</v>
      </c>
      <c r="CZ35" s="479">
        <f t="shared" si="333"/>
        <v>0</v>
      </c>
      <c r="DA35" s="479">
        <f t="shared" si="333"/>
        <v>0</v>
      </c>
      <c r="DB35" s="479">
        <f t="shared" si="333"/>
        <v>0</v>
      </c>
      <c r="DC35" s="479">
        <f t="shared" si="333"/>
        <v>0</v>
      </c>
      <c r="DD35" s="479">
        <f t="shared" si="333"/>
        <v>0</v>
      </c>
      <c r="DE35" s="479">
        <f t="shared" si="333"/>
        <v>0</v>
      </c>
      <c r="DF35" s="479">
        <f t="shared" si="333"/>
        <v>0</v>
      </c>
      <c r="DG35" s="479">
        <f t="shared" si="333"/>
        <v>0</v>
      </c>
      <c r="DH35" s="479">
        <f t="shared" si="333"/>
        <v>0</v>
      </c>
      <c r="DI35" s="479">
        <f t="shared" si="333"/>
        <v>0</v>
      </c>
      <c r="DJ35" s="479">
        <f t="shared" si="333"/>
        <v>0</v>
      </c>
      <c r="DK35" s="479">
        <f t="shared" si="333"/>
        <v>0</v>
      </c>
      <c r="DL35" s="479">
        <f t="shared" si="333"/>
        <v>0</v>
      </c>
      <c r="DM35" s="479">
        <f t="shared" si="333"/>
        <v>0</v>
      </c>
      <c r="DN35" s="479">
        <f t="shared" si="333"/>
        <v>0</v>
      </c>
      <c r="DO35" s="479">
        <f t="shared" si="333"/>
        <v>0</v>
      </c>
      <c r="DP35" s="479">
        <f t="shared" si="333"/>
        <v>0</v>
      </c>
      <c r="DQ35" s="479">
        <f t="shared" si="333"/>
        <v>0</v>
      </c>
      <c r="DR35" s="479">
        <f t="shared" si="333"/>
        <v>0</v>
      </c>
      <c r="DS35" s="479">
        <f t="shared" si="333"/>
        <v>0</v>
      </c>
      <c r="DT35" s="479">
        <f t="shared" si="333"/>
        <v>0</v>
      </c>
      <c r="DU35" s="479">
        <f t="shared" si="333"/>
        <v>0</v>
      </c>
      <c r="DV35" s="479">
        <f t="shared" si="333"/>
        <v>0</v>
      </c>
      <c r="DW35" s="479">
        <f t="shared" si="333"/>
        <v>0</v>
      </c>
      <c r="DX35" s="479">
        <f t="shared" si="333"/>
        <v>0</v>
      </c>
      <c r="DY35" s="479">
        <f t="shared" si="333"/>
        <v>0</v>
      </c>
      <c r="DZ35" s="479">
        <f t="shared" si="333"/>
        <v>0</v>
      </c>
      <c r="EA35" s="479">
        <f t="shared" si="333"/>
        <v>0</v>
      </c>
      <c r="EB35" s="479">
        <f t="shared" si="333"/>
        <v>0</v>
      </c>
      <c r="EC35" s="479">
        <f t="shared" si="333"/>
        <v>0</v>
      </c>
      <c r="ED35" s="479">
        <f t="shared" si="333"/>
        <v>0</v>
      </c>
      <c r="EE35" s="479">
        <f t="shared" si="333"/>
        <v>0</v>
      </c>
      <c r="EF35" s="479">
        <f t="shared" si="333"/>
        <v>0</v>
      </c>
      <c r="EG35" s="479">
        <f t="shared" si="333"/>
        <v>0</v>
      </c>
      <c r="EH35" s="479">
        <f t="shared" si="333"/>
        <v>0</v>
      </c>
      <c r="EI35" s="479">
        <f t="shared" si="334"/>
        <v>0</v>
      </c>
      <c r="EJ35" s="479">
        <f t="shared" si="334"/>
        <v>0</v>
      </c>
      <c r="EK35" s="479">
        <f t="shared" si="334"/>
        <v>0</v>
      </c>
      <c r="EL35" s="479">
        <f t="shared" si="334"/>
        <v>0</v>
      </c>
      <c r="EM35" s="479">
        <f t="shared" si="334"/>
        <v>0</v>
      </c>
      <c r="EN35" s="479">
        <f t="shared" si="334"/>
        <v>0</v>
      </c>
      <c r="EO35" s="479">
        <f t="shared" si="334"/>
        <v>0</v>
      </c>
      <c r="EP35" s="479">
        <f t="shared" si="334"/>
        <v>0</v>
      </c>
      <c r="EQ35" s="479">
        <f t="shared" si="334"/>
        <v>0</v>
      </c>
      <c r="ER35" s="479">
        <f t="shared" si="334"/>
        <v>0</v>
      </c>
      <c r="ES35" s="479">
        <f t="shared" si="334"/>
        <v>0</v>
      </c>
      <c r="ET35" s="479">
        <f t="shared" si="334"/>
        <v>0</v>
      </c>
      <c r="EU35" s="479">
        <f t="shared" si="334"/>
        <v>0</v>
      </c>
      <c r="EV35" s="479">
        <f t="shared" si="334"/>
        <v>0</v>
      </c>
      <c r="EW35" s="479">
        <f t="shared" si="334"/>
        <v>0</v>
      </c>
      <c r="EX35" s="479">
        <f t="shared" si="334"/>
        <v>0</v>
      </c>
      <c r="EY35" s="479">
        <f t="shared" si="334"/>
        <v>0</v>
      </c>
      <c r="EZ35" s="479">
        <f t="shared" si="334"/>
        <v>0</v>
      </c>
      <c r="FA35" s="479">
        <f t="shared" si="334"/>
        <v>0</v>
      </c>
      <c r="FB35" s="479">
        <f t="shared" si="334"/>
        <v>0</v>
      </c>
      <c r="FC35" s="479">
        <f t="shared" si="334"/>
        <v>0</v>
      </c>
      <c r="FD35" s="479">
        <f t="shared" si="334"/>
        <v>0</v>
      </c>
      <c r="FE35" s="479">
        <f t="shared" si="334"/>
        <v>0</v>
      </c>
      <c r="FF35" s="479">
        <f t="shared" si="334"/>
        <v>0</v>
      </c>
      <c r="FG35" s="479">
        <f t="shared" si="334"/>
        <v>0</v>
      </c>
      <c r="FH35" s="479">
        <f t="shared" si="334"/>
        <v>0</v>
      </c>
      <c r="FI35" s="479">
        <f t="shared" si="334"/>
        <v>0</v>
      </c>
      <c r="FJ35" s="479">
        <f t="shared" si="334"/>
        <v>0</v>
      </c>
      <c r="FK35" s="479">
        <f t="shared" si="334"/>
        <v>0</v>
      </c>
      <c r="FL35" s="479">
        <f t="shared" si="334"/>
        <v>0</v>
      </c>
      <c r="FM35" s="479">
        <f t="shared" si="334"/>
        <v>0</v>
      </c>
      <c r="FN35" s="479">
        <f t="shared" si="334"/>
        <v>0</v>
      </c>
      <c r="FO35" s="479">
        <f t="shared" si="334"/>
        <v>0</v>
      </c>
      <c r="FP35" s="479">
        <f t="shared" si="334"/>
        <v>0</v>
      </c>
      <c r="FQ35" s="479">
        <f t="shared" si="334"/>
        <v>0</v>
      </c>
      <c r="FR35" s="479">
        <f t="shared" si="334"/>
        <v>0</v>
      </c>
      <c r="FS35" s="479">
        <f t="shared" si="334"/>
        <v>0</v>
      </c>
      <c r="FT35" s="479">
        <f t="shared" si="334"/>
        <v>0</v>
      </c>
      <c r="FU35" s="479">
        <f t="shared" si="334"/>
        <v>0</v>
      </c>
      <c r="FV35" s="479">
        <f t="shared" si="334"/>
        <v>0</v>
      </c>
      <c r="FW35" s="479">
        <f t="shared" si="334"/>
        <v>0</v>
      </c>
      <c r="FX35" s="479">
        <f t="shared" si="334"/>
        <v>0</v>
      </c>
      <c r="FY35" s="479">
        <f t="shared" si="334"/>
        <v>0</v>
      </c>
      <c r="FZ35" s="479">
        <f t="shared" si="334"/>
        <v>0</v>
      </c>
      <c r="GA35" s="479">
        <f t="shared" si="334"/>
        <v>0</v>
      </c>
      <c r="GB35" s="479">
        <f t="shared" si="334"/>
        <v>0</v>
      </c>
      <c r="GC35" s="479">
        <f t="shared" si="334"/>
        <v>0</v>
      </c>
      <c r="GD35" s="479">
        <f t="shared" si="334"/>
        <v>0</v>
      </c>
      <c r="GE35" s="479">
        <f t="shared" si="334"/>
        <v>0</v>
      </c>
      <c r="GF35" s="479">
        <f t="shared" si="334"/>
        <v>0</v>
      </c>
      <c r="GG35" s="479">
        <f t="shared" si="334"/>
        <v>0</v>
      </c>
      <c r="GH35" s="479">
        <f t="shared" si="334"/>
        <v>0</v>
      </c>
      <c r="GI35" s="479">
        <f t="shared" si="334"/>
        <v>0</v>
      </c>
      <c r="GJ35" s="479">
        <f t="shared" si="334"/>
        <v>0</v>
      </c>
      <c r="GK35" s="479">
        <f t="shared" si="334"/>
        <v>0</v>
      </c>
      <c r="GL35" s="479">
        <f t="shared" si="334"/>
        <v>0</v>
      </c>
      <c r="GM35" s="479">
        <f t="shared" si="334"/>
        <v>0</v>
      </c>
      <c r="GN35" s="479">
        <f t="shared" si="334"/>
        <v>0</v>
      </c>
      <c r="GO35" s="479">
        <f t="shared" si="334"/>
        <v>0</v>
      </c>
      <c r="GP35" s="479">
        <f t="shared" si="334"/>
        <v>0</v>
      </c>
      <c r="GQ35" s="479">
        <f t="shared" si="334"/>
        <v>0</v>
      </c>
      <c r="GR35" s="479">
        <f t="shared" si="334"/>
        <v>0</v>
      </c>
      <c r="GS35" s="479">
        <f t="shared" si="334"/>
        <v>0</v>
      </c>
      <c r="GT35" s="479">
        <f t="shared" si="334"/>
        <v>0</v>
      </c>
      <c r="GU35" s="479">
        <f t="shared" si="335"/>
        <v>0</v>
      </c>
      <c r="GV35" s="479">
        <f t="shared" si="335"/>
        <v>0</v>
      </c>
      <c r="GW35" s="479">
        <f t="shared" si="335"/>
        <v>0</v>
      </c>
      <c r="GX35" s="479">
        <f t="shared" si="335"/>
        <v>0</v>
      </c>
      <c r="GY35" s="479">
        <f t="shared" si="335"/>
        <v>0</v>
      </c>
      <c r="GZ35" s="479">
        <f t="shared" si="335"/>
        <v>0</v>
      </c>
      <c r="HA35" s="479">
        <f t="shared" si="335"/>
        <v>0</v>
      </c>
      <c r="HB35" s="479">
        <f t="shared" si="335"/>
        <v>0</v>
      </c>
      <c r="HC35" s="479">
        <f t="shared" si="335"/>
        <v>0</v>
      </c>
      <c r="HD35" s="479">
        <f t="shared" si="335"/>
        <v>0</v>
      </c>
      <c r="HE35" s="479">
        <f t="shared" si="335"/>
        <v>0</v>
      </c>
      <c r="HF35" s="479">
        <f t="shared" si="335"/>
        <v>0</v>
      </c>
      <c r="HG35" s="479">
        <f t="shared" si="335"/>
        <v>0</v>
      </c>
      <c r="HH35" s="479">
        <f t="shared" si="335"/>
        <v>0</v>
      </c>
      <c r="HI35" s="479">
        <f t="shared" si="335"/>
        <v>0</v>
      </c>
      <c r="HJ35" s="479">
        <f t="shared" si="335"/>
        <v>0</v>
      </c>
      <c r="HK35" s="479">
        <f t="shared" si="335"/>
        <v>0</v>
      </c>
      <c r="HL35" s="479">
        <f t="shared" si="335"/>
        <v>0</v>
      </c>
      <c r="HM35" s="479">
        <f t="shared" si="335"/>
        <v>0</v>
      </c>
      <c r="HN35" s="479">
        <f t="shared" si="335"/>
        <v>0</v>
      </c>
      <c r="HO35" s="479">
        <f t="shared" si="335"/>
        <v>0</v>
      </c>
      <c r="HP35" s="479">
        <f t="shared" si="335"/>
        <v>0</v>
      </c>
      <c r="HQ35" s="479">
        <f t="shared" si="335"/>
        <v>0</v>
      </c>
      <c r="HR35" s="479">
        <f t="shared" si="335"/>
        <v>0</v>
      </c>
      <c r="HS35" s="479">
        <f t="shared" si="335"/>
        <v>0</v>
      </c>
      <c r="HT35" s="479">
        <f t="shared" si="335"/>
        <v>0</v>
      </c>
      <c r="HU35" s="479">
        <f t="shared" si="335"/>
        <v>0</v>
      </c>
      <c r="HV35" s="479">
        <f t="shared" si="335"/>
        <v>0</v>
      </c>
      <c r="HW35" s="479">
        <f t="shared" si="335"/>
        <v>0</v>
      </c>
      <c r="HX35" s="479">
        <f t="shared" si="335"/>
        <v>0</v>
      </c>
      <c r="HY35" s="479">
        <f t="shared" si="335"/>
        <v>0</v>
      </c>
      <c r="HZ35" s="479">
        <f t="shared" si="335"/>
        <v>0</v>
      </c>
      <c r="IA35" s="479">
        <f t="shared" si="335"/>
        <v>0</v>
      </c>
      <c r="IB35" s="479">
        <f t="shared" si="335"/>
        <v>0</v>
      </c>
      <c r="IC35" s="479">
        <f t="shared" si="335"/>
        <v>0</v>
      </c>
      <c r="ID35" s="479">
        <f t="shared" si="335"/>
        <v>0</v>
      </c>
      <c r="IE35" s="479">
        <f t="shared" si="335"/>
        <v>0</v>
      </c>
      <c r="IF35" s="479">
        <f t="shared" si="335"/>
        <v>0</v>
      </c>
      <c r="IG35" s="479">
        <f t="shared" si="335"/>
        <v>0</v>
      </c>
      <c r="IH35" s="479">
        <f t="shared" si="335"/>
        <v>0</v>
      </c>
      <c r="II35" s="479">
        <f t="shared" si="335"/>
        <v>0</v>
      </c>
      <c r="IJ35" s="479">
        <f t="shared" si="335"/>
        <v>0</v>
      </c>
      <c r="IK35" s="479">
        <f t="shared" si="335"/>
        <v>0</v>
      </c>
      <c r="IL35" s="479">
        <f t="shared" si="335"/>
        <v>0</v>
      </c>
      <c r="IM35" s="479">
        <f t="shared" si="335"/>
        <v>0</v>
      </c>
      <c r="IN35" s="479">
        <f t="shared" si="335"/>
        <v>0</v>
      </c>
      <c r="IO35" s="479">
        <f t="shared" si="335"/>
        <v>0</v>
      </c>
      <c r="IP35" s="479">
        <f t="shared" si="335"/>
        <v>0</v>
      </c>
      <c r="IQ35" s="479">
        <f t="shared" si="335"/>
        <v>0</v>
      </c>
      <c r="IR35" s="479">
        <f t="shared" si="335"/>
        <v>0</v>
      </c>
      <c r="IS35" s="479">
        <f t="shared" si="335"/>
        <v>0</v>
      </c>
      <c r="IT35" s="479">
        <f t="shared" si="335"/>
        <v>0</v>
      </c>
      <c r="IU35" s="479">
        <f t="shared" si="335"/>
        <v>0</v>
      </c>
      <c r="IV35" s="479">
        <f t="shared" si="335"/>
        <v>0</v>
      </c>
      <c r="IW35" s="479">
        <f t="shared" si="335"/>
        <v>0</v>
      </c>
      <c r="IX35" s="479">
        <f t="shared" si="335"/>
        <v>0</v>
      </c>
      <c r="IY35" s="479">
        <f t="shared" si="335"/>
        <v>0</v>
      </c>
      <c r="IZ35" s="479">
        <f t="shared" si="335"/>
        <v>0</v>
      </c>
      <c r="JA35" s="479">
        <f t="shared" si="335"/>
        <v>0</v>
      </c>
      <c r="JB35" s="479">
        <f t="shared" si="335"/>
        <v>0</v>
      </c>
      <c r="JC35" s="479">
        <f t="shared" si="335"/>
        <v>0</v>
      </c>
      <c r="JD35" s="479">
        <f t="shared" si="335"/>
        <v>0</v>
      </c>
      <c r="JE35" s="479">
        <f t="shared" si="335"/>
        <v>0</v>
      </c>
      <c r="JF35" s="479">
        <f t="shared" si="335"/>
        <v>0</v>
      </c>
      <c r="JG35" s="479">
        <f t="shared" si="336"/>
        <v>0</v>
      </c>
      <c r="JH35" s="479">
        <f t="shared" si="336"/>
        <v>0</v>
      </c>
      <c r="JI35" s="479">
        <f t="shared" si="336"/>
        <v>0</v>
      </c>
      <c r="JJ35" s="479">
        <f t="shared" si="336"/>
        <v>0</v>
      </c>
      <c r="JK35" s="479">
        <f t="shared" si="336"/>
        <v>0</v>
      </c>
      <c r="JL35" s="479">
        <f t="shared" si="336"/>
        <v>0</v>
      </c>
      <c r="JM35" s="479">
        <f t="shared" si="336"/>
        <v>0</v>
      </c>
      <c r="JN35" s="479">
        <f t="shared" si="336"/>
        <v>0</v>
      </c>
      <c r="JO35" s="479">
        <f t="shared" si="336"/>
        <v>0</v>
      </c>
      <c r="JP35" s="479">
        <f t="shared" si="336"/>
        <v>0</v>
      </c>
      <c r="JQ35" s="479">
        <f t="shared" si="336"/>
        <v>0</v>
      </c>
      <c r="JR35" s="479">
        <f t="shared" si="336"/>
        <v>0</v>
      </c>
      <c r="JS35" s="479">
        <f t="shared" si="336"/>
        <v>0</v>
      </c>
      <c r="JT35" s="479">
        <f t="shared" si="336"/>
        <v>0</v>
      </c>
      <c r="JU35" s="479">
        <f t="shared" si="336"/>
        <v>0</v>
      </c>
      <c r="JV35" s="479">
        <f t="shared" si="336"/>
        <v>0</v>
      </c>
      <c r="JW35" s="479">
        <f t="shared" si="336"/>
        <v>0</v>
      </c>
      <c r="JX35" s="479">
        <f t="shared" si="336"/>
        <v>0</v>
      </c>
      <c r="JY35" s="479">
        <f t="shared" si="336"/>
        <v>0</v>
      </c>
      <c r="JZ35" s="479">
        <f t="shared" si="336"/>
        <v>0</v>
      </c>
      <c r="KA35" s="479">
        <f t="shared" si="336"/>
        <v>0</v>
      </c>
      <c r="KB35" s="479">
        <f t="shared" si="336"/>
        <v>0</v>
      </c>
      <c r="KC35" s="479">
        <f t="shared" si="336"/>
        <v>0</v>
      </c>
      <c r="KD35" s="479">
        <f t="shared" si="336"/>
        <v>0</v>
      </c>
      <c r="KE35" s="479">
        <f t="shared" si="336"/>
        <v>0</v>
      </c>
      <c r="KF35" s="479">
        <f t="shared" si="336"/>
        <v>0</v>
      </c>
      <c r="KG35" s="479">
        <f t="shared" si="336"/>
        <v>0</v>
      </c>
      <c r="KH35" s="479">
        <f t="shared" si="336"/>
        <v>0</v>
      </c>
      <c r="KI35" s="479">
        <f t="shared" si="336"/>
        <v>0</v>
      </c>
      <c r="KJ35" s="479">
        <f t="shared" si="336"/>
        <v>0</v>
      </c>
      <c r="KK35" s="479">
        <f t="shared" si="336"/>
        <v>0</v>
      </c>
      <c r="KL35" s="479">
        <f t="shared" si="336"/>
        <v>0</v>
      </c>
      <c r="KM35" s="479">
        <f t="shared" si="336"/>
        <v>0</v>
      </c>
      <c r="KN35" s="479">
        <f t="shared" si="336"/>
        <v>0</v>
      </c>
      <c r="KO35" s="479">
        <f t="shared" si="336"/>
        <v>0</v>
      </c>
      <c r="KP35" s="479">
        <f t="shared" si="336"/>
        <v>0</v>
      </c>
      <c r="KQ35" s="479">
        <f t="shared" si="336"/>
        <v>0</v>
      </c>
      <c r="KR35" s="479">
        <f t="shared" si="336"/>
        <v>0</v>
      </c>
      <c r="KS35" s="479">
        <f t="shared" si="336"/>
        <v>0</v>
      </c>
      <c r="KT35" s="479">
        <f t="shared" si="336"/>
        <v>0</v>
      </c>
      <c r="KU35" s="479">
        <f t="shared" si="336"/>
        <v>0</v>
      </c>
      <c r="KV35" s="479">
        <f t="shared" si="336"/>
        <v>0</v>
      </c>
      <c r="KW35" s="479">
        <f t="shared" si="336"/>
        <v>0</v>
      </c>
      <c r="KX35" s="479">
        <f t="shared" si="336"/>
        <v>0</v>
      </c>
      <c r="KY35" s="479">
        <f t="shared" si="336"/>
        <v>0</v>
      </c>
      <c r="KZ35" s="479">
        <f t="shared" si="336"/>
        <v>0</v>
      </c>
      <c r="LA35" s="479">
        <f t="shared" si="336"/>
        <v>0</v>
      </c>
      <c r="LB35" s="479">
        <f t="shared" si="336"/>
        <v>0</v>
      </c>
      <c r="LC35" s="479">
        <f t="shared" si="336"/>
        <v>0</v>
      </c>
      <c r="LD35" s="479">
        <f t="shared" si="336"/>
        <v>0</v>
      </c>
      <c r="LE35" s="479">
        <f t="shared" si="336"/>
        <v>0</v>
      </c>
      <c r="LF35" s="479">
        <f t="shared" si="336"/>
        <v>0</v>
      </c>
      <c r="LG35" s="479">
        <f t="shared" si="336"/>
        <v>0</v>
      </c>
      <c r="LH35" s="479">
        <f t="shared" si="336"/>
        <v>0</v>
      </c>
      <c r="LI35" s="479">
        <f t="shared" si="336"/>
        <v>0</v>
      </c>
      <c r="LJ35" s="479">
        <f t="shared" si="336"/>
        <v>0</v>
      </c>
      <c r="LK35" s="479">
        <f t="shared" si="336"/>
        <v>0</v>
      </c>
      <c r="LL35" s="479">
        <f t="shared" si="336"/>
        <v>0</v>
      </c>
      <c r="LM35" s="479">
        <f t="shared" si="336"/>
        <v>0</v>
      </c>
      <c r="LN35" s="479">
        <f t="shared" si="336"/>
        <v>0</v>
      </c>
      <c r="LO35" s="479">
        <f t="shared" si="336"/>
        <v>0</v>
      </c>
      <c r="LP35" s="479">
        <f t="shared" si="336"/>
        <v>0</v>
      </c>
      <c r="LQ35" s="479">
        <f t="shared" si="336"/>
        <v>0</v>
      </c>
      <c r="LR35" s="479">
        <f t="shared" si="336"/>
        <v>0</v>
      </c>
      <c r="LS35" s="479">
        <f t="shared" si="337"/>
        <v>0</v>
      </c>
      <c r="LT35" s="479">
        <f t="shared" si="337"/>
        <v>0</v>
      </c>
      <c r="LU35" s="479">
        <f t="shared" si="337"/>
        <v>0</v>
      </c>
      <c r="LV35" s="479">
        <f t="shared" si="337"/>
        <v>0</v>
      </c>
      <c r="LW35" s="479">
        <f t="shared" si="337"/>
        <v>0</v>
      </c>
      <c r="LX35" s="479">
        <f t="shared" si="337"/>
        <v>0</v>
      </c>
      <c r="LY35" s="479">
        <f t="shared" si="337"/>
        <v>0</v>
      </c>
      <c r="LZ35" s="479">
        <f t="shared" si="337"/>
        <v>0</v>
      </c>
      <c r="MA35" s="479">
        <f t="shared" si="337"/>
        <v>0</v>
      </c>
      <c r="MB35" s="479">
        <f t="shared" si="337"/>
        <v>0</v>
      </c>
      <c r="MC35" s="479">
        <f t="shared" si="337"/>
        <v>0</v>
      </c>
      <c r="MD35" s="479">
        <f t="shared" si="337"/>
        <v>0</v>
      </c>
      <c r="ME35" s="479">
        <f t="shared" si="337"/>
        <v>0</v>
      </c>
      <c r="MF35" s="479">
        <f t="shared" si="337"/>
        <v>0</v>
      </c>
      <c r="MG35" s="479">
        <f t="shared" si="337"/>
        <v>0</v>
      </c>
      <c r="MH35" s="479">
        <f t="shared" si="337"/>
        <v>0</v>
      </c>
      <c r="MI35" s="479">
        <f t="shared" si="337"/>
        <v>0</v>
      </c>
      <c r="MJ35" s="479">
        <f t="shared" si="337"/>
        <v>0</v>
      </c>
      <c r="MK35" s="479">
        <f t="shared" si="337"/>
        <v>0</v>
      </c>
      <c r="ML35" s="479">
        <f t="shared" si="337"/>
        <v>0</v>
      </c>
      <c r="MM35" s="479">
        <f t="shared" si="337"/>
        <v>0</v>
      </c>
      <c r="MN35" s="479">
        <f t="shared" si="337"/>
        <v>0</v>
      </c>
      <c r="MO35" s="479">
        <f t="shared" si="337"/>
        <v>0</v>
      </c>
      <c r="MP35" s="479">
        <f t="shared" si="337"/>
        <v>0</v>
      </c>
      <c r="MQ35" s="479">
        <f t="shared" si="337"/>
        <v>0</v>
      </c>
      <c r="MR35" s="479">
        <f t="shared" si="337"/>
        <v>0</v>
      </c>
      <c r="MS35" s="479">
        <f t="shared" si="337"/>
        <v>0</v>
      </c>
      <c r="MT35" s="479">
        <f t="shared" si="337"/>
        <v>0</v>
      </c>
      <c r="MU35" s="479">
        <f t="shared" si="337"/>
        <v>0</v>
      </c>
      <c r="MV35" s="479">
        <f t="shared" si="337"/>
        <v>0</v>
      </c>
      <c r="MW35" s="479">
        <f t="shared" si="337"/>
        <v>0</v>
      </c>
      <c r="MX35" s="479">
        <f t="shared" si="337"/>
        <v>0</v>
      </c>
      <c r="MY35" s="479">
        <f t="shared" si="337"/>
        <v>0</v>
      </c>
      <c r="MZ35" s="479">
        <f t="shared" si="337"/>
        <v>0</v>
      </c>
      <c r="NA35" s="479">
        <f t="shared" si="337"/>
        <v>0</v>
      </c>
      <c r="NB35" s="479">
        <f t="shared" si="337"/>
        <v>0</v>
      </c>
      <c r="NC35" s="479">
        <f t="shared" si="337"/>
        <v>0</v>
      </c>
      <c r="ND35" s="479">
        <f t="shared" si="337"/>
        <v>0</v>
      </c>
      <c r="NE35" s="479">
        <f t="shared" si="337"/>
        <v>0</v>
      </c>
      <c r="NF35" s="479">
        <f t="shared" si="337"/>
        <v>0</v>
      </c>
      <c r="NG35" s="479">
        <f t="shared" si="337"/>
        <v>0</v>
      </c>
      <c r="NH35" s="479">
        <f t="shared" si="337"/>
        <v>0</v>
      </c>
      <c r="NI35" s="479">
        <f t="shared" si="337"/>
        <v>0</v>
      </c>
      <c r="NJ35" s="479">
        <f t="shared" si="337"/>
        <v>0</v>
      </c>
      <c r="NK35" s="479">
        <f t="shared" si="337"/>
        <v>0</v>
      </c>
      <c r="NL35" s="479">
        <f t="shared" si="337"/>
        <v>0</v>
      </c>
      <c r="NM35" s="479">
        <f t="shared" si="337"/>
        <v>0</v>
      </c>
      <c r="NN35" s="479">
        <f t="shared" si="337"/>
        <v>0</v>
      </c>
      <c r="NO35" s="479">
        <f t="shared" si="337"/>
        <v>0</v>
      </c>
      <c r="NP35" s="479">
        <f t="shared" si="337"/>
        <v>0</v>
      </c>
      <c r="NQ35" s="479">
        <f t="shared" si="337"/>
        <v>0</v>
      </c>
      <c r="NR35" s="479">
        <f t="shared" si="337"/>
        <v>0</v>
      </c>
      <c r="NS35" s="479">
        <f t="shared" si="337"/>
        <v>0</v>
      </c>
      <c r="NT35" s="479">
        <f t="shared" si="337"/>
        <v>0</v>
      </c>
      <c r="NU35" s="479">
        <f t="shared" si="337"/>
        <v>0</v>
      </c>
      <c r="NV35" s="479">
        <f t="shared" si="337"/>
        <v>0</v>
      </c>
      <c r="NW35" s="479">
        <f t="shared" si="337"/>
        <v>0</v>
      </c>
      <c r="NX35" s="479">
        <f t="shared" si="337"/>
        <v>0</v>
      </c>
      <c r="NY35" s="479">
        <f t="shared" si="337"/>
        <v>0</v>
      </c>
      <c r="NZ35" s="479">
        <f t="shared" si="337"/>
        <v>0</v>
      </c>
      <c r="OA35" s="479">
        <f t="shared" si="337"/>
        <v>0</v>
      </c>
      <c r="OB35" s="479">
        <f t="shared" si="337"/>
        <v>0</v>
      </c>
      <c r="OC35" s="479">
        <f t="shared" si="337"/>
        <v>0</v>
      </c>
      <c r="OD35" s="479">
        <f t="shared" si="337"/>
        <v>0</v>
      </c>
      <c r="OE35" s="479">
        <f t="shared" si="330"/>
        <v>0</v>
      </c>
      <c r="OF35" s="479">
        <f t="shared" si="330"/>
        <v>0</v>
      </c>
      <c r="OG35" s="479">
        <f t="shared" si="330"/>
        <v>0</v>
      </c>
      <c r="OH35" s="479">
        <f t="shared" si="330"/>
        <v>0</v>
      </c>
      <c r="OI35" s="479">
        <f t="shared" si="330"/>
        <v>0</v>
      </c>
      <c r="OJ35" s="479">
        <f t="shared" si="330"/>
        <v>0</v>
      </c>
      <c r="OK35" s="479">
        <f t="shared" si="330"/>
        <v>0</v>
      </c>
      <c r="OL35" s="479">
        <f t="shared" si="330"/>
        <v>0</v>
      </c>
      <c r="OM35" s="479">
        <f t="shared" si="330"/>
        <v>0</v>
      </c>
      <c r="ON35" s="479">
        <f t="shared" si="330"/>
        <v>0</v>
      </c>
      <c r="OO35" s="479">
        <f t="shared" si="330"/>
        <v>0</v>
      </c>
    </row>
    <row r="36" spans="2:405">
      <c r="B36" s="97" t="str">
        <f>Assumptions!B101</f>
        <v>Insurance</v>
      </c>
      <c r="C36" s="97"/>
      <c r="D36" s="500">
        <f>Assumptions!C101</f>
        <v>1000000</v>
      </c>
      <c r="E36" s="507">
        <f>Assumptions!$C$8</f>
        <v>46204</v>
      </c>
      <c r="F36" s="507">
        <f>EOMONTH(E36,Assumptions!$C$9-1)</f>
        <v>46387</v>
      </c>
      <c r="G36" s="97">
        <f t="shared" si="323"/>
        <v>6</v>
      </c>
      <c r="H36" s="97"/>
      <c r="I36" s="97"/>
      <c r="J36" s="479">
        <f t="shared" si="331"/>
        <v>-166666.66666666666</v>
      </c>
      <c r="K36" s="479">
        <f t="shared" si="332"/>
        <v>-166666.66666666666</v>
      </c>
      <c r="L36" s="479">
        <f t="shared" si="332"/>
        <v>-166666.66666666666</v>
      </c>
      <c r="M36" s="479">
        <f t="shared" si="332"/>
        <v>-166666.66666666666</v>
      </c>
      <c r="N36" s="479">
        <f t="shared" si="332"/>
        <v>-166666.66666666666</v>
      </c>
      <c r="O36" s="479">
        <f t="shared" si="332"/>
        <v>-166666.66666666666</v>
      </c>
      <c r="P36" s="479">
        <f t="shared" si="332"/>
        <v>0</v>
      </c>
      <c r="Q36" s="479">
        <f t="shared" si="332"/>
        <v>0</v>
      </c>
      <c r="R36" s="479">
        <f t="shared" si="332"/>
        <v>0</v>
      </c>
      <c r="S36" s="479">
        <f t="shared" si="332"/>
        <v>0</v>
      </c>
      <c r="T36" s="479">
        <f t="shared" si="332"/>
        <v>0</v>
      </c>
      <c r="U36" s="479">
        <f t="shared" si="332"/>
        <v>0</v>
      </c>
      <c r="V36" s="479">
        <f t="shared" si="332"/>
        <v>0</v>
      </c>
      <c r="W36" s="479">
        <f t="shared" si="332"/>
        <v>0</v>
      </c>
      <c r="X36" s="479">
        <f t="shared" si="332"/>
        <v>0</v>
      </c>
      <c r="Y36" s="479">
        <f t="shared" si="332"/>
        <v>0</v>
      </c>
      <c r="Z36" s="479">
        <f t="shared" si="332"/>
        <v>0</v>
      </c>
      <c r="AA36" s="479">
        <f t="shared" si="332"/>
        <v>0</v>
      </c>
      <c r="AB36" s="479">
        <f t="shared" si="332"/>
        <v>0</v>
      </c>
      <c r="AC36" s="479">
        <f t="shared" si="332"/>
        <v>0</v>
      </c>
      <c r="AD36" s="479">
        <f t="shared" si="332"/>
        <v>0</v>
      </c>
      <c r="AE36" s="479">
        <f t="shared" si="332"/>
        <v>0</v>
      </c>
      <c r="AF36" s="479">
        <f t="shared" si="332"/>
        <v>0</v>
      </c>
      <c r="AG36" s="479">
        <f t="shared" si="332"/>
        <v>0</v>
      </c>
      <c r="AH36" s="479">
        <f t="shared" si="332"/>
        <v>0</v>
      </c>
      <c r="AI36" s="479">
        <f t="shared" si="332"/>
        <v>0</v>
      </c>
      <c r="AJ36" s="479">
        <f t="shared" si="332"/>
        <v>0</v>
      </c>
      <c r="AK36" s="479">
        <f t="shared" si="332"/>
        <v>0</v>
      </c>
      <c r="AL36" s="479">
        <f t="shared" si="332"/>
        <v>0</v>
      </c>
      <c r="AM36" s="479">
        <f t="shared" si="332"/>
        <v>0</v>
      </c>
      <c r="AN36" s="479">
        <f t="shared" si="332"/>
        <v>0</v>
      </c>
      <c r="AO36" s="479">
        <f t="shared" si="332"/>
        <v>0</v>
      </c>
      <c r="AP36" s="479">
        <f t="shared" si="332"/>
        <v>0</v>
      </c>
      <c r="AQ36" s="479">
        <f t="shared" si="332"/>
        <v>0</v>
      </c>
      <c r="AR36" s="479">
        <f t="shared" si="332"/>
        <v>0</v>
      </c>
      <c r="AS36" s="479">
        <f t="shared" si="332"/>
        <v>0</v>
      </c>
      <c r="AT36" s="479">
        <f t="shared" si="332"/>
        <v>0</v>
      </c>
      <c r="AU36" s="479">
        <f t="shared" si="332"/>
        <v>0</v>
      </c>
      <c r="AV36" s="479">
        <f t="shared" si="332"/>
        <v>0</v>
      </c>
      <c r="AW36" s="479">
        <f t="shared" si="332"/>
        <v>0</v>
      </c>
      <c r="AX36" s="479">
        <f t="shared" si="332"/>
        <v>0</v>
      </c>
      <c r="AY36" s="479">
        <f t="shared" si="332"/>
        <v>0</v>
      </c>
      <c r="AZ36" s="479">
        <f t="shared" si="332"/>
        <v>0</v>
      </c>
      <c r="BA36" s="479">
        <f t="shared" si="332"/>
        <v>0</v>
      </c>
      <c r="BB36" s="479">
        <f t="shared" si="332"/>
        <v>0</v>
      </c>
      <c r="BC36" s="479">
        <f t="shared" si="332"/>
        <v>0</v>
      </c>
      <c r="BD36" s="479">
        <f t="shared" si="332"/>
        <v>0</v>
      </c>
      <c r="BE36" s="479">
        <f t="shared" si="332"/>
        <v>0</v>
      </c>
      <c r="BF36" s="479">
        <f t="shared" si="332"/>
        <v>0</v>
      </c>
      <c r="BG36" s="479">
        <f t="shared" si="332"/>
        <v>0</v>
      </c>
      <c r="BH36" s="479">
        <f t="shared" si="332"/>
        <v>0</v>
      </c>
      <c r="BI36" s="479">
        <f t="shared" si="332"/>
        <v>0</v>
      </c>
      <c r="BJ36" s="479">
        <f t="shared" si="332"/>
        <v>0</v>
      </c>
      <c r="BK36" s="479">
        <f t="shared" si="332"/>
        <v>0</v>
      </c>
      <c r="BL36" s="479">
        <f t="shared" si="332"/>
        <v>0</v>
      </c>
      <c r="BM36" s="479">
        <f t="shared" si="332"/>
        <v>0</v>
      </c>
      <c r="BN36" s="479">
        <f t="shared" si="332"/>
        <v>0</v>
      </c>
      <c r="BO36" s="479">
        <f t="shared" si="332"/>
        <v>0</v>
      </c>
      <c r="BP36" s="479">
        <f t="shared" si="332"/>
        <v>0</v>
      </c>
      <c r="BQ36" s="479">
        <f t="shared" si="332"/>
        <v>0</v>
      </c>
      <c r="BR36" s="479">
        <f t="shared" si="332"/>
        <v>0</v>
      </c>
      <c r="BS36" s="479">
        <f t="shared" si="332"/>
        <v>0</v>
      </c>
      <c r="BT36" s="479">
        <f t="shared" si="332"/>
        <v>0</v>
      </c>
      <c r="BU36" s="479">
        <f t="shared" si="332"/>
        <v>0</v>
      </c>
      <c r="BV36" s="479">
        <f t="shared" si="332"/>
        <v>0</v>
      </c>
      <c r="BW36" s="479">
        <f t="shared" si="333"/>
        <v>0</v>
      </c>
      <c r="BX36" s="479">
        <f t="shared" si="333"/>
        <v>0</v>
      </c>
      <c r="BY36" s="479">
        <f t="shared" si="333"/>
        <v>0</v>
      </c>
      <c r="BZ36" s="479">
        <f t="shared" si="333"/>
        <v>0</v>
      </c>
      <c r="CA36" s="479">
        <f t="shared" si="333"/>
        <v>0</v>
      </c>
      <c r="CB36" s="479">
        <f t="shared" si="333"/>
        <v>0</v>
      </c>
      <c r="CC36" s="479">
        <f t="shared" si="333"/>
        <v>0</v>
      </c>
      <c r="CD36" s="479">
        <f t="shared" si="333"/>
        <v>0</v>
      </c>
      <c r="CE36" s="479">
        <f t="shared" si="333"/>
        <v>0</v>
      </c>
      <c r="CF36" s="479">
        <f t="shared" si="333"/>
        <v>0</v>
      </c>
      <c r="CG36" s="479">
        <f t="shared" si="333"/>
        <v>0</v>
      </c>
      <c r="CH36" s="479">
        <f t="shared" si="333"/>
        <v>0</v>
      </c>
      <c r="CI36" s="479">
        <f t="shared" si="333"/>
        <v>0</v>
      </c>
      <c r="CJ36" s="479">
        <f t="shared" si="333"/>
        <v>0</v>
      </c>
      <c r="CK36" s="479">
        <f t="shared" si="333"/>
        <v>0</v>
      </c>
      <c r="CL36" s="479">
        <f t="shared" si="333"/>
        <v>0</v>
      </c>
      <c r="CM36" s="479">
        <f t="shared" si="333"/>
        <v>0</v>
      </c>
      <c r="CN36" s="479">
        <f t="shared" si="333"/>
        <v>0</v>
      </c>
      <c r="CO36" s="479">
        <f t="shared" si="333"/>
        <v>0</v>
      </c>
      <c r="CP36" s="479">
        <f t="shared" si="333"/>
        <v>0</v>
      </c>
      <c r="CQ36" s="479">
        <f t="shared" si="333"/>
        <v>0</v>
      </c>
      <c r="CR36" s="479">
        <f t="shared" si="333"/>
        <v>0</v>
      </c>
      <c r="CS36" s="479">
        <f t="shared" si="333"/>
        <v>0</v>
      </c>
      <c r="CT36" s="479">
        <f t="shared" si="333"/>
        <v>0</v>
      </c>
      <c r="CU36" s="479">
        <f t="shared" si="333"/>
        <v>0</v>
      </c>
      <c r="CV36" s="479">
        <f t="shared" si="333"/>
        <v>0</v>
      </c>
      <c r="CW36" s="479">
        <f t="shared" si="333"/>
        <v>0</v>
      </c>
      <c r="CX36" s="479">
        <f t="shared" si="333"/>
        <v>0</v>
      </c>
      <c r="CY36" s="479">
        <f t="shared" si="333"/>
        <v>0</v>
      </c>
      <c r="CZ36" s="479">
        <f t="shared" si="333"/>
        <v>0</v>
      </c>
      <c r="DA36" s="479">
        <f t="shared" si="333"/>
        <v>0</v>
      </c>
      <c r="DB36" s="479">
        <f t="shared" si="333"/>
        <v>0</v>
      </c>
      <c r="DC36" s="479">
        <f t="shared" si="333"/>
        <v>0</v>
      </c>
      <c r="DD36" s="479">
        <f t="shared" si="333"/>
        <v>0</v>
      </c>
      <c r="DE36" s="479">
        <f t="shared" si="333"/>
        <v>0</v>
      </c>
      <c r="DF36" s="479">
        <f t="shared" si="333"/>
        <v>0</v>
      </c>
      <c r="DG36" s="479">
        <f t="shared" si="333"/>
        <v>0</v>
      </c>
      <c r="DH36" s="479">
        <f t="shared" si="333"/>
        <v>0</v>
      </c>
      <c r="DI36" s="479">
        <f t="shared" si="333"/>
        <v>0</v>
      </c>
      <c r="DJ36" s="479">
        <f t="shared" si="333"/>
        <v>0</v>
      </c>
      <c r="DK36" s="479">
        <f t="shared" si="333"/>
        <v>0</v>
      </c>
      <c r="DL36" s="479">
        <f t="shared" si="333"/>
        <v>0</v>
      </c>
      <c r="DM36" s="479">
        <f t="shared" si="333"/>
        <v>0</v>
      </c>
      <c r="DN36" s="479">
        <f t="shared" si="333"/>
        <v>0</v>
      </c>
      <c r="DO36" s="479">
        <f t="shared" si="333"/>
        <v>0</v>
      </c>
      <c r="DP36" s="479">
        <f t="shared" si="333"/>
        <v>0</v>
      </c>
      <c r="DQ36" s="479">
        <f t="shared" si="333"/>
        <v>0</v>
      </c>
      <c r="DR36" s="479">
        <f t="shared" si="333"/>
        <v>0</v>
      </c>
      <c r="DS36" s="479">
        <f t="shared" si="333"/>
        <v>0</v>
      </c>
      <c r="DT36" s="479">
        <f t="shared" si="333"/>
        <v>0</v>
      </c>
      <c r="DU36" s="479">
        <f t="shared" si="333"/>
        <v>0</v>
      </c>
      <c r="DV36" s="479">
        <f t="shared" si="333"/>
        <v>0</v>
      </c>
      <c r="DW36" s="479">
        <f t="shared" si="333"/>
        <v>0</v>
      </c>
      <c r="DX36" s="479">
        <f t="shared" si="333"/>
        <v>0</v>
      </c>
      <c r="DY36" s="479">
        <f t="shared" si="333"/>
        <v>0</v>
      </c>
      <c r="DZ36" s="479">
        <f t="shared" si="333"/>
        <v>0</v>
      </c>
      <c r="EA36" s="479">
        <f t="shared" si="333"/>
        <v>0</v>
      </c>
      <c r="EB36" s="479">
        <f t="shared" si="333"/>
        <v>0</v>
      </c>
      <c r="EC36" s="479">
        <f t="shared" si="333"/>
        <v>0</v>
      </c>
      <c r="ED36" s="479">
        <f t="shared" si="333"/>
        <v>0</v>
      </c>
      <c r="EE36" s="479">
        <f t="shared" si="333"/>
        <v>0</v>
      </c>
      <c r="EF36" s="479">
        <f t="shared" si="333"/>
        <v>0</v>
      </c>
      <c r="EG36" s="479">
        <f t="shared" si="333"/>
        <v>0</v>
      </c>
      <c r="EH36" s="479">
        <f t="shared" si="333"/>
        <v>0</v>
      </c>
      <c r="EI36" s="479">
        <f t="shared" si="334"/>
        <v>0</v>
      </c>
      <c r="EJ36" s="479">
        <f t="shared" si="334"/>
        <v>0</v>
      </c>
      <c r="EK36" s="479">
        <f t="shared" si="334"/>
        <v>0</v>
      </c>
      <c r="EL36" s="479">
        <f t="shared" si="334"/>
        <v>0</v>
      </c>
      <c r="EM36" s="479">
        <f t="shared" si="334"/>
        <v>0</v>
      </c>
      <c r="EN36" s="479">
        <f t="shared" si="334"/>
        <v>0</v>
      </c>
      <c r="EO36" s="479">
        <f t="shared" si="334"/>
        <v>0</v>
      </c>
      <c r="EP36" s="479">
        <f t="shared" si="334"/>
        <v>0</v>
      </c>
      <c r="EQ36" s="479">
        <f t="shared" si="334"/>
        <v>0</v>
      </c>
      <c r="ER36" s="479">
        <f t="shared" si="334"/>
        <v>0</v>
      </c>
      <c r="ES36" s="479">
        <f t="shared" si="334"/>
        <v>0</v>
      </c>
      <c r="ET36" s="479">
        <f t="shared" si="334"/>
        <v>0</v>
      </c>
      <c r="EU36" s="479">
        <f t="shared" si="334"/>
        <v>0</v>
      </c>
      <c r="EV36" s="479">
        <f t="shared" si="334"/>
        <v>0</v>
      </c>
      <c r="EW36" s="479">
        <f t="shared" si="334"/>
        <v>0</v>
      </c>
      <c r="EX36" s="479">
        <f t="shared" si="334"/>
        <v>0</v>
      </c>
      <c r="EY36" s="479">
        <f t="shared" si="334"/>
        <v>0</v>
      </c>
      <c r="EZ36" s="479">
        <f t="shared" si="334"/>
        <v>0</v>
      </c>
      <c r="FA36" s="479">
        <f t="shared" si="334"/>
        <v>0</v>
      </c>
      <c r="FB36" s="479">
        <f t="shared" si="334"/>
        <v>0</v>
      </c>
      <c r="FC36" s="479">
        <f t="shared" si="334"/>
        <v>0</v>
      </c>
      <c r="FD36" s="479">
        <f t="shared" si="334"/>
        <v>0</v>
      </c>
      <c r="FE36" s="479">
        <f t="shared" si="334"/>
        <v>0</v>
      </c>
      <c r="FF36" s="479">
        <f t="shared" si="334"/>
        <v>0</v>
      </c>
      <c r="FG36" s="479">
        <f t="shared" si="334"/>
        <v>0</v>
      </c>
      <c r="FH36" s="479">
        <f t="shared" si="334"/>
        <v>0</v>
      </c>
      <c r="FI36" s="479">
        <f t="shared" si="334"/>
        <v>0</v>
      </c>
      <c r="FJ36" s="479">
        <f t="shared" si="334"/>
        <v>0</v>
      </c>
      <c r="FK36" s="479">
        <f t="shared" si="334"/>
        <v>0</v>
      </c>
      <c r="FL36" s="479">
        <f t="shared" si="334"/>
        <v>0</v>
      </c>
      <c r="FM36" s="479">
        <f t="shared" si="334"/>
        <v>0</v>
      </c>
      <c r="FN36" s="479">
        <f t="shared" si="334"/>
        <v>0</v>
      </c>
      <c r="FO36" s="479">
        <f t="shared" si="334"/>
        <v>0</v>
      </c>
      <c r="FP36" s="479">
        <f t="shared" si="334"/>
        <v>0</v>
      </c>
      <c r="FQ36" s="479">
        <f t="shared" si="334"/>
        <v>0</v>
      </c>
      <c r="FR36" s="479">
        <f t="shared" si="334"/>
        <v>0</v>
      </c>
      <c r="FS36" s="479">
        <f t="shared" si="334"/>
        <v>0</v>
      </c>
      <c r="FT36" s="479">
        <f t="shared" si="334"/>
        <v>0</v>
      </c>
      <c r="FU36" s="479">
        <f t="shared" si="334"/>
        <v>0</v>
      </c>
      <c r="FV36" s="479">
        <f t="shared" si="334"/>
        <v>0</v>
      </c>
      <c r="FW36" s="479">
        <f t="shared" si="334"/>
        <v>0</v>
      </c>
      <c r="FX36" s="479">
        <f t="shared" si="334"/>
        <v>0</v>
      </c>
      <c r="FY36" s="479">
        <f t="shared" si="334"/>
        <v>0</v>
      </c>
      <c r="FZ36" s="479">
        <f t="shared" si="334"/>
        <v>0</v>
      </c>
      <c r="GA36" s="479">
        <f t="shared" si="334"/>
        <v>0</v>
      </c>
      <c r="GB36" s="479">
        <f t="shared" si="334"/>
        <v>0</v>
      </c>
      <c r="GC36" s="479">
        <f t="shared" si="334"/>
        <v>0</v>
      </c>
      <c r="GD36" s="479">
        <f t="shared" si="334"/>
        <v>0</v>
      </c>
      <c r="GE36" s="479">
        <f t="shared" si="334"/>
        <v>0</v>
      </c>
      <c r="GF36" s="479">
        <f t="shared" si="334"/>
        <v>0</v>
      </c>
      <c r="GG36" s="479">
        <f t="shared" si="334"/>
        <v>0</v>
      </c>
      <c r="GH36" s="479">
        <f t="shared" si="334"/>
        <v>0</v>
      </c>
      <c r="GI36" s="479">
        <f t="shared" si="334"/>
        <v>0</v>
      </c>
      <c r="GJ36" s="479">
        <f t="shared" si="334"/>
        <v>0</v>
      </c>
      <c r="GK36" s="479">
        <f t="shared" si="334"/>
        <v>0</v>
      </c>
      <c r="GL36" s="479">
        <f t="shared" si="334"/>
        <v>0</v>
      </c>
      <c r="GM36" s="479">
        <f t="shared" si="334"/>
        <v>0</v>
      </c>
      <c r="GN36" s="479">
        <f t="shared" si="334"/>
        <v>0</v>
      </c>
      <c r="GO36" s="479">
        <f t="shared" si="334"/>
        <v>0</v>
      </c>
      <c r="GP36" s="479">
        <f t="shared" si="334"/>
        <v>0</v>
      </c>
      <c r="GQ36" s="479">
        <f t="shared" si="334"/>
        <v>0</v>
      </c>
      <c r="GR36" s="479">
        <f t="shared" si="334"/>
        <v>0</v>
      </c>
      <c r="GS36" s="479">
        <f t="shared" si="334"/>
        <v>0</v>
      </c>
      <c r="GT36" s="479">
        <f t="shared" si="334"/>
        <v>0</v>
      </c>
      <c r="GU36" s="479">
        <f t="shared" si="335"/>
        <v>0</v>
      </c>
      <c r="GV36" s="479">
        <f t="shared" si="335"/>
        <v>0</v>
      </c>
      <c r="GW36" s="479">
        <f t="shared" si="335"/>
        <v>0</v>
      </c>
      <c r="GX36" s="479">
        <f t="shared" si="335"/>
        <v>0</v>
      </c>
      <c r="GY36" s="479">
        <f t="shared" si="335"/>
        <v>0</v>
      </c>
      <c r="GZ36" s="479">
        <f t="shared" si="335"/>
        <v>0</v>
      </c>
      <c r="HA36" s="479">
        <f t="shared" si="335"/>
        <v>0</v>
      </c>
      <c r="HB36" s="479">
        <f t="shared" si="335"/>
        <v>0</v>
      </c>
      <c r="HC36" s="479">
        <f t="shared" si="335"/>
        <v>0</v>
      </c>
      <c r="HD36" s="479">
        <f t="shared" si="335"/>
        <v>0</v>
      </c>
      <c r="HE36" s="479">
        <f t="shared" si="335"/>
        <v>0</v>
      </c>
      <c r="HF36" s="479">
        <f t="shared" si="335"/>
        <v>0</v>
      </c>
      <c r="HG36" s="479">
        <f t="shared" si="335"/>
        <v>0</v>
      </c>
      <c r="HH36" s="479">
        <f t="shared" si="335"/>
        <v>0</v>
      </c>
      <c r="HI36" s="479">
        <f t="shared" si="335"/>
        <v>0</v>
      </c>
      <c r="HJ36" s="479">
        <f t="shared" si="335"/>
        <v>0</v>
      </c>
      <c r="HK36" s="479">
        <f t="shared" si="335"/>
        <v>0</v>
      </c>
      <c r="HL36" s="479">
        <f t="shared" si="335"/>
        <v>0</v>
      </c>
      <c r="HM36" s="479">
        <f t="shared" si="335"/>
        <v>0</v>
      </c>
      <c r="HN36" s="479">
        <f t="shared" si="335"/>
        <v>0</v>
      </c>
      <c r="HO36" s="479">
        <f t="shared" si="335"/>
        <v>0</v>
      </c>
      <c r="HP36" s="479">
        <f t="shared" si="335"/>
        <v>0</v>
      </c>
      <c r="HQ36" s="479">
        <f t="shared" si="335"/>
        <v>0</v>
      </c>
      <c r="HR36" s="479">
        <f t="shared" si="335"/>
        <v>0</v>
      </c>
      <c r="HS36" s="479">
        <f t="shared" si="335"/>
        <v>0</v>
      </c>
      <c r="HT36" s="479">
        <f t="shared" si="335"/>
        <v>0</v>
      </c>
      <c r="HU36" s="479">
        <f t="shared" si="335"/>
        <v>0</v>
      </c>
      <c r="HV36" s="479">
        <f t="shared" si="335"/>
        <v>0</v>
      </c>
      <c r="HW36" s="479">
        <f t="shared" si="335"/>
        <v>0</v>
      </c>
      <c r="HX36" s="479">
        <f t="shared" si="335"/>
        <v>0</v>
      </c>
      <c r="HY36" s="479">
        <f t="shared" si="335"/>
        <v>0</v>
      </c>
      <c r="HZ36" s="479">
        <f t="shared" si="335"/>
        <v>0</v>
      </c>
      <c r="IA36" s="479">
        <f t="shared" si="335"/>
        <v>0</v>
      </c>
      <c r="IB36" s="479">
        <f t="shared" si="335"/>
        <v>0</v>
      </c>
      <c r="IC36" s="479">
        <f t="shared" si="335"/>
        <v>0</v>
      </c>
      <c r="ID36" s="479">
        <f t="shared" si="335"/>
        <v>0</v>
      </c>
      <c r="IE36" s="479">
        <f t="shared" si="335"/>
        <v>0</v>
      </c>
      <c r="IF36" s="479">
        <f t="shared" si="335"/>
        <v>0</v>
      </c>
      <c r="IG36" s="479">
        <f t="shared" si="335"/>
        <v>0</v>
      </c>
      <c r="IH36" s="479">
        <f t="shared" si="335"/>
        <v>0</v>
      </c>
      <c r="II36" s="479">
        <f t="shared" si="335"/>
        <v>0</v>
      </c>
      <c r="IJ36" s="479">
        <f t="shared" si="335"/>
        <v>0</v>
      </c>
      <c r="IK36" s="479">
        <f t="shared" si="335"/>
        <v>0</v>
      </c>
      <c r="IL36" s="479">
        <f t="shared" si="335"/>
        <v>0</v>
      </c>
      <c r="IM36" s="479">
        <f t="shared" si="335"/>
        <v>0</v>
      </c>
      <c r="IN36" s="479">
        <f t="shared" si="335"/>
        <v>0</v>
      </c>
      <c r="IO36" s="479">
        <f t="shared" si="335"/>
        <v>0</v>
      </c>
      <c r="IP36" s="479">
        <f t="shared" si="335"/>
        <v>0</v>
      </c>
      <c r="IQ36" s="479">
        <f t="shared" si="335"/>
        <v>0</v>
      </c>
      <c r="IR36" s="479">
        <f t="shared" si="335"/>
        <v>0</v>
      </c>
      <c r="IS36" s="479">
        <f t="shared" si="335"/>
        <v>0</v>
      </c>
      <c r="IT36" s="479">
        <f t="shared" si="335"/>
        <v>0</v>
      </c>
      <c r="IU36" s="479">
        <f t="shared" si="335"/>
        <v>0</v>
      </c>
      <c r="IV36" s="479">
        <f t="shared" si="335"/>
        <v>0</v>
      </c>
      <c r="IW36" s="479">
        <f t="shared" si="335"/>
        <v>0</v>
      </c>
      <c r="IX36" s="479">
        <f t="shared" si="335"/>
        <v>0</v>
      </c>
      <c r="IY36" s="479">
        <f t="shared" si="335"/>
        <v>0</v>
      </c>
      <c r="IZ36" s="479">
        <f t="shared" si="335"/>
        <v>0</v>
      </c>
      <c r="JA36" s="479">
        <f t="shared" si="335"/>
        <v>0</v>
      </c>
      <c r="JB36" s="479">
        <f t="shared" si="335"/>
        <v>0</v>
      </c>
      <c r="JC36" s="479">
        <f t="shared" si="335"/>
        <v>0</v>
      </c>
      <c r="JD36" s="479">
        <f t="shared" si="335"/>
        <v>0</v>
      </c>
      <c r="JE36" s="479">
        <f t="shared" si="335"/>
        <v>0</v>
      </c>
      <c r="JF36" s="479">
        <f t="shared" si="335"/>
        <v>0</v>
      </c>
      <c r="JG36" s="479">
        <f t="shared" si="336"/>
        <v>0</v>
      </c>
      <c r="JH36" s="479">
        <f t="shared" si="336"/>
        <v>0</v>
      </c>
      <c r="JI36" s="479">
        <f t="shared" si="336"/>
        <v>0</v>
      </c>
      <c r="JJ36" s="479">
        <f t="shared" si="336"/>
        <v>0</v>
      </c>
      <c r="JK36" s="479">
        <f t="shared" si="336"/>
        <v>0</v>
      </c>
      <c r="JL36" s="479">
        <f t="shared" si="336"/>
        <v>0</v>
      </c>
      <c r="JM36" s="479">
        <f t="shared" si="336"/>
        <v>0</v>
      </c>
      <c r="JN36" s="479">
        <f t="shared" si="336"/>
        <v>0</v>
      </c>
      <c r="JO36" s="479">
        <f t="shared" si="336"/>
        <v>0</v>
      </c>
      <c r="JP36" s="479">
        <f t="shared" si="336"/>
        <v>0</v>
      </c>
      <c r="JQ36" s="479">
        <f t="shared" si="336"/>
        <v>0</v>
      </c>
      <c r="JR36" s="479">
        <f t="shared" si="336"/>
        <v>0</v>
      </c>
      <c r="JS36" s="479">
        <f t="shared" si="336"/>
        <v>0</v>
      </c>
      <c r="JT36" s="479">
        <f t="shared" si="336"/>
        <v>0</v>
      </c>
      <c r="JU36" s="479">
        <f t="shared" si="336"/>
        <v>0</v>
      </c>
      <c r="JV36" s="479">
        <f t="shared" si="336"/>
        <v>0</v>
      </c>
      <c r="JW36" s="479">
        <f t="shared" si="336"/>
        <v>0</v>
      </c>
      <c r="JX36" s="479">
        <f t="shared" si="336"/>
        <v>0</v>
      </c>
      <c r="JY36" s="479">
        <f t="shared" si="336"/>
        <v>0</v>
      </c>
      <c r="JZ36" s="479">
        <f t="shared" si="336"/>
        <v>0</v>
      </c>
      <c r="KA36" s="479">
        <f t="shared" si="336"/>
        <v>0</v>
      </c>
      <c r="KB36" s="479">
        <f t="shared" si="336"/>
        <v>0</v>
      </c>
      <c r="KC36" s="479">
        <f t="shared" si="336"/>
        <v>0</v>
      </c>
      <c r="KD36" s="479">
        <f t="shared" si="336"/>
        <v>0</v>
      </c>
      <c r="KE36" s="479">
        <f t="shared" si="336"/>
        <v>0</v>
      </c>
      <c r="KF36" s="479">
        <f t="shared" si="336"/>
        <v>0</v>
      </c>
      <c r="KG36" s="479">
        <f t="shared" si="336"/>
        <v>0</v>
      </c>
      <c r="KH36" s="479">
        <f t="shared" si="336"/>
        <v>0</v>
      </c>
      <c r="KI36" s="479">
        <f t="shared" si="336"/>
        <v>0</v>
      </c>
      <c r="KJ36" s="479">
        <f t="shared" si="336"/>
        <v>0</v>
      </c>
      <c r="KK36" s="479">
        <f t="shared" si="336"/>
        <v>0</v>
      </c>
      <c r="KL36" s="479">
        <f t="shared" si="336"/>
        <v>0</v>
      </c>
      <c r="KM36" s="479">
        <f t="shared" si="336"/>
        <v>0</v>
      </c>
      <c r="KN36" s="479">
        <f t="shared" si="336"/>
        <v>0</v>
      </c>
      <c r="KO36" s="479">
        <f t="shared" si="336"/>
        <v>0</v>
      </c>
      <c r="KP36" s="479">
        <f t="shared" si="336"/>
        <v>0</v>
      </c>
      <c r="KQ36" s="479">
        <f t="shared" si="336"/>
        <v>0</v>
      </c>
      <c r="KR36" s="479">
        <f t="shared" si="336"/>
        <v>0</v>
      </c>
      <c r="KS36" s="479">
        <f t="shared" si="336"/>
        <v>0</v>
      </c>
      <c r="KT36" s="479">
        <f t="shared" si="336"/>
        <v>0</v>
      </c>
      <c r="KU36" s="479">
        <f t="shared" si="336"/>
        <v>0</v>
      </c>
      <c r="KV36" s="479">
        <f t="shared" si="336"/>
        <v>0</v>
      </c>
      <c r="KW36" s="479">
        <f t="shared" si="336"/>
        <v>0</v>
      </c>
      <c r="KX36" s="479">
        <f t="shared" si="336"/>
        <v>0</v>
      </c>
      <c r="KY36" s="479">
        <f t="shared" si="336"/>
        <v>0</v>
      </c>
      <c r="KZ36" s="479">
        <f t="shared" si="336"/>
        <v>0</v>
      </c>
      <c r="LA36" s="479">
        <f t="shared" si="336"/>
        <v>0</v>
      </c>
      <c r="LB36" s="479">
        <f t="shared" si="336"/>
        <v>0</v>
      </c>
      <c r="LC36" s="479">
        <f t="shared" si="336"/>
        <v>0</v>
      </c>
      <c r="LD36" s="479">
        <f t="shared" si="336"/>
        <v>0</v>
      </c>
      <c r="LE36" s="479">
        <f t="shared" si="336"/>
        <v>0</v>
      </c>
      <c r="LF36" s="479">
        <f t="shared" si="336"/>
        <v>0</v>
      </c>
      <c r="LG36" s="479">
        <f t="shared" si="336"/>
        <v>0</v>
      </c>
      <c r="LH36" s="479">
        <f t="shared" si="336"/>
        <v>0</v>
      </c>
      <c r="LI36" s="479">
        <f t="shared" si="336"/>
        <v>0</v>
      </c>
      <c r="LJ36" s="479">
        <f t="shared" si="336"/>
        <v>0</v>
      </c>
      <c r="LK36" s="479">
        <f t="shared" si="336"/>
        <v>0</v>
      </c>
      <c r="LL36" s="479">
        <f t="shared" si="336"/>
        <v>0</v>
      </c>
      <c r="LM36" s="479">
        <f t="shared" si="336"/>
        <v>0</v>
      </c>
      <c r="LN36" s="479">
        <f t="shared" si="336"/>
        <v>0</v>
      </c>
      <c r="LO36" s="479">
        <f t="shared" si="336"/>
        <v>0</v>
      </c>
      <c r="LP36" s="479">
        <f t="shared" si="336"/>
        <v>0</v>
      </c>
      <c r="LQ36" s="479">
        <f t="shared" si="336"/>
        <v>0</v>
      </c>
      <c r="LR36" s="479">
        <f t="shared" si="336"/>
        <v>0</v>
      </c>
      <c r="LS36" s="479">
        <f t="shared" si="337"/>
        <v>0</v>
      </c>
      <c r="LT36" s="479">
        <f t="shared" si="337"/>
        <v>0</v>
      </c>
      <c r="LU36" s="479">
        <f t="shared" si="337"/>
        <v>0</v>
      </c>
      <c r="LV36" s="479">
        <f t="shared" si="337"/>
        <v>0</v>
      </c>
      <c r="LW36" s="479">
        <f t="shared" si="337"/>
        <v>0</v>
      </c>
      <c r="LX36" s="479">
        <f t="shared" si="337"/>
        <v>0</v>
      </c>
      <c r="LY36" s="479">
        <f t="shared" si="337"/>
        <v>0</v>
      </c>
      <c r="LZ36" s="479">
        <f t="shared" si="337"/>
        <v>0</v>
      </c>
      <c r="MA36" s="479">
        <f t="shared" si="337"/>
        <v>0</v>
      </c>
      <c r="MB36" s="479">
        <f t="shared" si="337"/>
        <v>0</v>
      </c>
      <c r="MC36" s="479">
        <f t="shared" si="337"/>
        <v>0</v>
      </c>
      <c r="MD36" s="479">
        <f t="shared" si="337"/>
        <v>0</v>
      </c>
      <c r="ME36" s="479">
        <f t="shared" si="337"/>
        <v>0</v>
      </c>
      <c r="MF36" s="479">
        <f t="shared" si="337"/>
        <v>0</v>
      </c>
      <c r="MG36" s="479">
        <f t="shared" si="337"/>
        <v>0</v>
      </c>
      <c r="MH36" s="479">
        <f t="shared" si="337"/>
        <v>0</v>
      </c>
      <c r="MI36" s="479">
        <f t="shared" si="337"/>
        <v>0</v>
      </c>
      <c r="MJ36" s="479">
        <f t="shared" si="337"/>
        <v>0</v>
      </c>
      <c r="MK36" s="479">
        <f t="shared" si="337"/>
        <v>0</v>
      </c>
      <c r="ML36" s="479">
        <f t="shared" si="337"/>
        <v>0</v>
      </c>
      <c r="MM36" s="479">
        <f t="shared" si="337"/>
        <v>0</v>
      </c>
      <c r="MN36" s="479">
        <f t="shared" si="337"/>
        <v>0</v>
      </c>
      <c r="MO36" s="479">
        <f t="shared" si="337"/>
        <v>0</v>
      </c>
      <c r="MP36" s="479">
        <f t="shared" si="337"/>
        <v>0</v>
      </c>
      <c r="MQ36" s="479">
        <f t="shared" si="337"/>
        <v>0</v>
      </c>
      <c r="MR36" s="479">
        <f t="shared" si="337"/>
        <v>0</v>
      </c>
      <c r="MS36" s="479">
        <f t="shared" si="337"/>
        <v>0</v>
      </c>
      <c r="MT36" s="479">
        <f t="shared" si="337"/>
        <v>0</v>
      </c>
      <c r="MU36" s="479">
        <f t="shared" si="337"/>
        <v>0</v>
      </c>
      <c r="MV36" s="479">
        <f t="shared" si="337"/>
        <v>0</v>
      </c>
      <c r="MW36" s="479">
        <f t="shared" si="337"/>
        <v>0</v>
      </c>
      <c r="MX36" s="479">
        <f t="shared" si="337"/>
        <v>0</v>
      </c>
      <c r="MY36" s="479">
        <f t="shared" si="337"/>
        <v>0</v>
      </c>
      <c r="MZ36" s="479">
        <f t="shared" si="337"/>
        <v>0</v>
      </c>
      <c r="NA36" s="479">
        <f t="shared" si="337"/>
        <v>0</v>
      </c>
      <c r="NB36" s="479">
        <f t="shared" si="337"/>
        <v>0</v>
      </c>
      <c r="NC36" s="479">
        <f t="shared" si="337"/>
        <v>0</v>
      </c>
      <c r="ND36" s="479">
        <f t="shared" si="337"/>
        <v>0</v>
      </c>
      <c r="NE36" s="479">
        <f t="shared" si="337"/>
        <v>0</v>
      </c>
      <c r="NF36" s="479">
        <f t="shared" si="337"/>
        <v>0</v>
      </c>
      <c r="NG36" s="479">
        <f t="shared" si="337"/>
        <v>0</v>
      </c>
      <c r="NH36" s="479">
        <f t="shared" si="337"/>
        <v>0</v>
      </c>
      <c r="NI36" s="479">
        <f t="shared" si="337"/>
        <v>0</v>
      </c>
      <c r="NJ36" s="479">
        <f t="shared" si="337"/>
        <v>0</v>
      </c>
      <c r="NK36" s="479">
        <f t="shared" si="337"/>
        <v>0</v>
      </c>
      <c r="NL36" s="479">
        <f t="shared" si="337"/>
        <v>0</v>
      </c>
      <c r="NM36" s="479">
        <f t="shared" si="337"/>
        <v>0</v>
      </c>
      <c r="NN36" s="479">
        <f t="shared" si="337"/>
        <v>0</v>
      </c>
      <c r="NO36" s="479">
        <f t="shared" si="337"/>
        <v>0</v>
      </c>
      <c r="NP36" s="479">
        <f t="shared" si="337"/>
        <v>0</v>
      </c>
      <c r="NQ36" s="479">
        <f t="shared" si="337"/>
        <v>0</v>
      </c>
      <c r="NR36" s="479">
        <f t="shared" si="337"/>
        <v>0</v>
      </c>
      <c r="NS36" s="479">
        <f t="shared" si="337"/>
        <v>0</v>
      </c>
      <c r="NT36" s="479">
        <f t="shared" si="337"/>
        <v>0</v>
      </c>
      <c r="NU36" s="479">
        <f t="shared" si="337"/>
        <v>0</v>
      </c>
      <c r="NV36" s="479">
        <f t="shared" si="337"/>
        <v>0</v>
      </c>
      <c r="NW36" s="479">
        <f t="shared" si="337"/>
        <v>0</v>
      </c>
      <c r="NX36" s="479">
        <f t="shared" si="337"/>
        <v>0</v>
      </c>
      <c r="NY36" s="479">
        <f t="shared" si="337"/>
        <v>0</v>
      </c>
      <c r="NZ36" s="479">
        <f t="shared" si="337"/>
        <v>0</v>
      </c>
      <c r="OA36" s="479">
        <f t="shared" si="337"/>
        <v>0</v>
      </c>
      <c r="OB36" s="479">
        <f t="shared" si="337"/>
        <v>0</v>
      </c>
      <c r="OC36" s="479">
        <f t="shared" si="337"/>
        <v>0</v>
      </c>
      <c r="OD36" s="479">
        <f t="shared" si="337"/>
        <v>0</v>
      </c>
      <c r="OE36" s="479">
        <f t="shared" si="330"/>
        <v>0</v>
      </c>
      <c r="OF36" s="479">
        <f t="shared" si="330"/>
        <v>0</v>
      </c>
      <c r="OG36" s="479">
        <f t="shared" si="330"/>
        <v>0</v>
      </c>
      <c r="OH36" s="479">
        <f t="shared" si="330"/>
        <v>0</v>
      </c>
      <c r="OI36" s="479">
        <f t="shared" si="330"/>
        <v>0</v>
      </c>
      <c r="OJ36" s="479">
        <f t="shared" si="330"/>
        <v>0</v>
      </c>
      <c r="OK36" s="479">
        <f t="shared" si="330"/>
        <v>0</v>
      </c>
      <c r="OL36" s="479">
        <f t="shared" si="330"/>
        <v>0</v>
      </c>
      <c r="OM36" s="479">
        <f t="shared" si="330"/>
        <v>0</v>
      </c>
      <c r="ON36" s="479">
        <f t="shared" si="330"/>
        <v>0</v>
      </c>
      <c r="OO36" s="479">
        <f t="shared" si="330"/>
        <v>0</v>
      </c>
    </row>
    <row r="37" spans="2:405">
      <c r="B37" s="97" t="str">
        <f>Assumptions!B102</f>
        <v>Market Study</v>
      </c>
      <c r="C37" s="97"/>
      <c r="D37" s="500">
        <f>Assumptions!C102</f>
        <v>7500</v>
      </c>
      <c r="E37" s="507">
        <f>Assumptions!$C$8</f>
        <v>46204</v>
      </c>
      <c r="F37" s="507">
        <f>EOMONTH(E37,Assumptions!$C$9-1)</f>
        <v>46387</v>
      </c>
      <c r="G37" s="97">
        <f t="shared" si="323"/>
        <v>6</v>
      </c>
      <c r="H37" s="97"/>
      <c r="I37" s="97"/>
      <c r="J37" s="479">
        <f t="shared" si="331"/>
        <v>-1250</v>
      </c>
      <c r="K37" s="479">
        <f t="shared" si="332"/>
        <v>-1250</v>
      </c>
      <c r="L37" s="479">
        <f t="shared" si="332"/>
        <v>-1250</v>
      </c>
      <c r="M37" s="479">
        <f t="shared" si="332"/>
        <v>-1250</v>
      </c>
      <c r="N37" s="479">
        <f t="shared" si="332"/>
        <v>-1250</v>
      </c>
      <c r="O37" s="479">
        <f t="shared" si="332"/>
        <v>-1250</v>
      </c>
      <c r="P37" s="479">
        <f t="shared" si="332"/>
        <v>0</v>
      </c>
      <c r="Q37" s="479">
        <f t="shared" si="332"/>
        <v>0</v>
      </c>
      <c r="R37" s="479">
        <f t="shared" si="332"/>
        <v>0</v>
      </c>
      <c r="S37" s="479">
        <f t="shared" si="332"/>
        <v>0</v>
      </c>
      <c r="T37" s="479">
        <f t="shared" si="332"/>
        <v>0</v>
      </c>
      <c r="U37" s="479">
        <f t="shared" si="332"/>
        <v>0</v>
      </c>
      <c r="V37" s="479">
        <f t="shared" si="332"/>
        <v>0</v>
      </c>
      <c r="W37" s="479">
        <f t="shared" si="332"/>
        <v>0</v>
      </c>
      <c r="X37" s="479">
        <f t="shared" si="332"/>
        <v>0</v>
      </c>
      <c r="Y37" s="479">
        <f t="shared" si="332"/>
        <v>0</v>
      </c>
      <c r="Z37" s="479">
        <f t="shared" si="332"/>
        <v>0</v>
      </c>
      <c r="AA37" s="479">
        <f t="shared" si="332"/>
        <v>0</v>
      </c>
      <c r="AB37" s="479">
        <f t="shared" si="332"/>
        <v>0</v>
      </c>
      <c r="AC37" s="479">
        <f t="shared" si="332"/>
        <v>0</v>
      </c>
      <c r="AD37" s="479">
        <f t="shared" si="332"/>
        <v>0</v>
      </c>
      <c r="AE37" s="479">
        <f t="shared" si="332"/>
        <v>0</v>
      </c>
      <c r="AF37" s="479">
        <f t="shared" si="332"/>
        <v>0</v>
      </c>
      <c r="AG37" s="479">
        <f t="shared" si="332"/>
        <v>0</v>
      </c>
      <c r="AH37" s="479">
        <f t="shared" si="332"/>
        <v>0</v>
      </c>
      <c r="AI37" s="479">
        <f t="shared" si="332"/>
        <v>0</v>
      </c>
      <c r="AJ37" s="479">
        <f t="shared" si="332"/>
        <v>0</v>
      </c>
      <c r="AK37" s="479">
        <f t="shared" si="332"/>
        <v>0</v>
      </c>
      <c r="AL37" s="479">
        <f t="shared" si="332"/>
        <v>0</v>
      </c>
      <c r="AM37" s="479">
        <f t="shared" si="332"/>
        <v>0</v>
      </c>
      <c r="AN37" s="479">
        <f t="shared" si="332"/>
        <v>0</v>
      </c>
      <c r="AO37" s="479">
        <f t="shared" si="332"/>
        <v>0</v>
      </c>
      <c r="AP37" s="479">
        <f t="shared" si="332"/>
        <v>0</v>
      </c>
      <c r="AQ37" s="479">
        <f t="shared" si="332"/>
        <v>0</v>
      </c>
      <c r="AR37" s="479">
        <f t="shared" si="332"/>
        <v>0</v>
      </c>
      <c r="AS37" s="479">
        <f t="shared" si="332"/>
        <v>0</v>
      </c>
      <c r="AT37" s="479">
        <f t="shared" si="332"/>
        <v>0</v>
      </c>
      <c r="AU37" s="479">
        <f t="shared" si="332"/>
        <v>0</v>
      </c>
      <c r="AV37" s="479">
        <f t="shared" si="332"/>
        <v>0</v>
      </c>
      <c r="AW37" s="479">
        <f t="shared" si="332"/>
        <v>0</v>
      </c>
      <c r="AX37" s="479">
        <f t="shared" si="332"/>
        <v>0</v>
      </c>
      <c r="AY37" s="479">
        <f t="shared" si="332"/>
        <v>0</v>
      </c>
      <c r="AZ37" s="479">
        <f t="shared" si="332"/>
        <v>0</v>
      </c>
      <c r="BA37" s="479">
        <f t="shared" si="332"/>
        <v>0</v>
      </c>
      <c r="BB37" s="479">
        <f t="shared" si="332"/>
        <v>0</v>
      </c>
      <c r="BC37" s="479">
        <f t="shared" si="332"/>
        <v>0</v>
      </c>
      <c r="BD37" s="479">
        <f t="shared" si="332"/>
        <v>0</v>
      </c>
      <c r="BE37" s="479">
        <f t="shared" si="332"/>
        <v>0</v>
      </c>
      <c r="BF37" s="479">
        <f t="shared" si="332"/>
        <v>0</v>
      </c>
      <c r="BG37" s="479">
        <f t="shared" si="332"/>
        <v>0</v>
      </c>
      <c r="BH37" s="479">
        <f t="shared" si="332"/>
        <v>0</v>
      </c>
      <c r="BI37" s="479">
        <f t="shared" si="332"/>
        <v>0</v>
      </c>
      <c r="BJ37" s="479">
        <f t="shared" si="332"/>
        <v>0</v>
      </c>
      <c r="BK37" s="479">
        <f t="shared" si="332"/>
        <v>0</v>
      </c>
      <c r="BL37" s="479">
        <f t="shared" si="332"/>
        <v>0</v>
      </c>
      <c r="BM37" s="479">
        <f t="shared" si="332"/>
        <v>0</v>
      </c>
      <c r="BN37" s="479">
        <f t="shared" si="332"/>
        <v>0</v>
      </c>
      <c r="BO37" s="479">
        <f t="shared" si="332"/>
        <v>0</v>
      </c>
      <c r="BP37" s="479">
        <f t="shared" si="332"/>
        <v>0</v>
      </c>
      <c r="BQ37" s="479">
        <f t="shared" si="332"/>
        <v>0</v>
      </c>
      <c r="BR37" s="479">
        <f t="shared" si="332"/>
        <v>0</v>
      </c>
      <c r="BS37" s="479">
        <f t="shared" si="332"/>
        <v>0</v>
      </c>
      <c r="BT37" s="479">
        <f t="shared" si="332"/>
        <v>0</v>
      </c>
      <c r="BU37" s="479">
        <f t="shared" ref="BU37:CJ44" si="338">-IF(BU$7&gt;=$E37,IF(BU$7&lt;=$F37,$D37/$G37,0),0)</f>
        <v>0</v>
      </c>
      <c r="BV37" s="479">
        <f t="shared" si="338"/>
        <v>0</v>
      </c>
      <c r="BW37" s="479">
        <f t="shared" si="333"/>
        <v>0</v>
      </c>
      <c r="BX37" s="479">
        <f t="shared" si="333"/>
        <v>0</v>
      </c>
      <c r="BY37" s="479">
        <f t="shared" si="333"/>
        <v>0</v>
      </c>
      <c r="BZ37" s="479">
        <f t="shared" si="333"/>
        <v>0</v>
      </c>
      <c r="CA37" s="479">
        <f t="shared" si="333"/>
        <v>0</v>
      </c>
      <c r="CB37" s="479">
        <f t="shared" si="333"/>
        <v>0</v>
      </c>
      <c r="CC37" s="479">
        <f t="shared" si="333"/>
        <v>0</v>
      </c>
      <c r="CD37" s="479">
        <f t="shared" si="333"/>
        <v>0</v>
      </c>
      <c r="CE37" s="479">
        <f t="shared" si="333"/>
        <v>0</v>
      </c>
      <c r="CF37" s="479">
        <f t="shared" si="333"/>
        <v>0</v>
      </c>
      <c r="CG37" s="479">
        <f t="shared" si="333"/>
        <v>0</v>
      </c>
      <c r="CH37" s="479">
        <f t="shared" si="333"/>
        <v>0</v>
      </c>
      <c r="CI37" s="479">
        <f t="shared" si="333"/>
        <v>0</v>
      </c>
      <c r="CJ37" s="479">
        <f t="shared" si="333"/>
        <v>0</v>
      </c>
      <c r="CK37" s="479">
        <f t="shared" si="333"/>
        <v>0</v>
      </c>
      <c r="CL37" s="479">
        <f t="shared" si="333"/>
        <v>0</v>
      </c>
      <c r="CM37" s="479">
        <f t="shared" si="333"/>
        <v>0</v>
      </c>
      <c r="CN37" s="479">
        <f t="shared" si="333"/>
        <v>0</v>
      </c>
      <c r="CO37" s="479">
        <f t="shared" si="333"/>
        <v>0</v>
      </c>
      <c r="CP37" s="479">
        <f t="shared" si="333"/>
        <v>0</v>
      </c>
      <c r="CQ37" s="479">
        <f t="shared" si="333"/>
        <v>0</v>
      </c>
      <c r="CR37" s="479">
        <f t="shared" si="333"/>
        <v>0</v>
      </c>
      <c r="CS37" s="479">
        <f t="shared" si="333"/>
        <v>0</v>
      </c>
      <c r="CT37" s="479">
        <f t="shared" si="333"/>
        <v>0</v>
      </c>
      <c r="CU37" s="479">
        <f t="shared" si="333"/>
        <v>0</v>
      </c>
      <c r="CV37" s="479">
        <f t="shared" si="333"/>
        <v>0</v>
      </c>
      <c r="CW37" s="479">
        <f t="shared" si="333"/>
        <v>0</v>
      </c>
      <c r="CX37" s="479">
        <f t="shared" si="333"/>
        <v>0</v>
      </c>
      <c r="CY37" s="479">
        <f t="shared" si="333"/>
        <v>0</v>
      </c>
      <c r="CZ37" s="479">
        <f t="shared" si="333"/>
        <v>0</v>
      </c>
      <c r="DA37" s="479">
        <f t="shared" si="333"/>
        <v>0</v>
      </c>
      <c r="DB37" s="479">
        <f t="shared" si="333"/>
        <v>0</v>
      </c>
      <c r="DC37" s="479">
        <f t="shared" si="333"/>
        <v>0</v>
      </c>
      <c r="DD37" s="479">
        <f t="shared" si="333"/>
        <v>0</v>
      </c>
      <c r="DE37" s="479">
        <f t="shared" si="333"/>
        <v>0</v>
      </c>
      <c r="DF37" s="479">
        <f t="shared" si="333"/>
        <v>0</v>
      </c>
      <c r="DG37" s="479">
        <f t="shared" si="333"/>
        <v>0</v>
      </c>
      <c r="DH37" s="479">
        <f t="shared" si="333"/>
        <v>0</v>
      </c>
      <c r="DI37" s="479">
        <f t="shared" si="333"/>
        <v>0</v>
      </c>
      <c r="DJ37" s="479">
        <f t="shared" si="333"/>
        <v>0</v>
      </c>
      <c r="DK37" s="479">
        <f t="shared" si="333"/>
        <v>0</v>
      </c>
      <c r="DL37" s="479">
        <f t="shared" si="333"/>
        <v>0</v>
      </c>
      <c r="DM37" s="479">
        <f t="shared" si="333"/>
        <v>0</v>
      </c>
      <c r="DN37" s="479">
        <f t="shared" si="333"/>
        <v>0</v>
      </c>
      <c r="DO37" s="479">
        <f t="shared" si="333"/>
        <v>0</v>
      </c>
      <c r="DP37" s="479">
        <f t="shared" si="333"/>
        <v>0</v>
      </c>
      <c r="DQ37" s="479">
        <f t="shared" si="333"/>
        <v>0</v>
      </c>
      <c r="DR37" s="479">
        <f t="shared" si="333"/>
        <v>0</v>
      </c>
      <c r="DS37" s="479">
        <f t="shared" si="333"/>
        <v>0</v>
      </c>
      <c r="DT37" s="479">
        <f t="shared" si="333"/>
        <v>0</v>
      </c>
      <c r="DU37" s="479">
        <f t="shared" si="333"/>
        <v>0</v>
      </c>
      <c r="DV37" s="479">
        <f t="shared" si="333"/>
        <v>0</v>
      </c>
      <c r="DW37" s="479">
        <f t="shared" si="333"/>
        <v>0</v>
      </c>
      <c r="DX37" s="479">
        <f t="shared" si="333"/>
        <v>0</v>
      </c>
      <c r="DY37" s="479">
        <f t="shared" si="333"/>
        <v>0</v>
      </c>
      <c r="DZ37" s="479">
        <f t="shared" si="333"/>
        <v>0</v>
      </c>
      <c r="EA37" s="479">
        <f t="shared" si="333"/>
        <v>0</v>
      </c>
      <c r="EB37" s="479">
        <f t="shared" si="333"/>
        <v>0</v>
      </c>
      <c r="EC37" s="479">
        <f t="shared" si="333"/>
        <v>0</v>
      </c>
      <c r="ED37" s="479">
        <f t="shared" si="333"/>
        <v>0</v>
      </c>
      <c r="EE37" s="479">
        <f t="shared" si="333"/>
        <v>0</v>
      </c>
      <c r="EF37" s="479">
        <f t="shared" si="333"/>
        <v>0</v>
      </c>
      <c r="EG37" s="479">
        <f t="shared" ref="EG37:EV44" si="339">-IF(EG$7&gt;=$E37,IF(EG$7&lt;=$F37,$D37/$G37,0),0)</f>
        <v>0</v>
      </c>
      <c r="EH37" s="479">
        <f t="shared" si="339"/>
        <v>0</v>
      </c>
      <c r="EI37" s="479">
        <f t="shared" si="334"/>
        <v>0</v>
      </c>
      <c r="EJ37" s="479">
        <f t="shared" si="334"/>
        <v>0</v>
      </c>
      <c r="EK37" s="479">
        <f t="shared" si="334"/>
        <v>0</v>
      </c>
      <c r="EL37" s="479">
        <f t="shared" si="334"/>
        <v>0</v>
      </c>
      <c r="EM37" s="479">
        <f t="shared" si="334"/>
        <v>0</v>
      </c>
      <c r="EN37" s="479">
        <f t="shared" si="334"/>
        <v>0</v>
      </c>
      <c r="EO37" s="479">
        <f t="shared" si="334"/>
        <v>0</v>
      </c>
      <c r="EP37" s="479">
        <f t="shared" si="334"/>
        <v>0</v>
      </c>
      <c r="EQ37" s="479">
        <f t="shared" si="334"/>
        <v>0</v>
      </c>
      <c r="ER37" s="479">
        <f t="shared" si="334"/>
        <v>0</v>
      </c>
      <c r="ES37" s="479">
        <f t="shared" si="334"/>
        <v>0</v>
      </c>
      <c r="ET37" s="479">
        <f t="shared" si="334"/>
        <v>0</v>
      </c>
      <c r="EU37" s="479">
        <f t="shared" si="334"/>
        <v>0</v>
      </c>
      <c r="EV37" s="479">
        <f t="shared" si="334"/>
        <v>0</v>
      </c>
      <c r="EW37" s="479">
        <f t="shared" si="334"/>
        <v>0</v>
      </c>
      <c r="EX37" s="479">
        <f t="shared" si="334"/>
        <v>0</v>
      </c>
      <c r="EY37" s="479">
        <f t="shared" si="334"/>
        <v>0</v>
      </c>
      <c r="EZ37" s="479">
        <f t="shared" si="334"/>
        <v>0</v>
      </c>
      <c r="FA37" s="479">
        <f t="shared" si="334"/>
        <v>0</v>
      </c>
      <c r="FB37" s="479">
        <f t="shared" si="334"/>
        <v>0</v>
      </c>
      <c r="FC37" s="479">
        <f t="shared" si="334"/>
        <v>0</v>
      </c>
      <c r="FD37" s="479">
        <f t="shared" si="334"/>
        <v>0</v>
      </c>
      <c r="FE37" s="479">
        <f t="shared" si="334"/>
        <v>0</v>
      </c>
      <c r="FF37" s="479">
        <f t="shared" si="334"/>
        <v>0</v>
      </c>
      <c r="FG37" s="479">
        <f t="shared" si="334"/>
        <v>0</v>
      </c>
      <c r="FH37" s="479">
        <f t="shared" si="334"/>
        <v>0</v>
      </c>
      <c r="FI37" s="479">
        <f t="shared" si="334"/>
        <v>0</v>
      </c>
      <c r="FJ37" s="479">
        <f t="shared" si="334"/>
        <v>0</v>
      </c>
      <c r="FK37" s="479">
        <f t="shared" si="334"/>
        <v>0</v>
      </c>
      <c r="FL37" s="479">
        <f t="shared" si="334"/>
        <v>0</v>
      </c>
      <c r="FM37" s="479">
        <f t="shared" si="334"/>
        <v>0</v>
      </c>
      <c r="FN37" s="479">
        <f t="shared" si="334"/>
        <v>0</v>
      </c>
      <c r="FO37" s="479">
        <f t="shared" si="334"/>
        <v>0</v>
      </c>
      <c r="FP37" s="479">
        <f t="shared" si="334"/>
        <v>0</v>
      </c>
      <c r="FQ37" s="479">
        <f t="shared" si="334"/>
        <v>0</v>
      </c>
      <c r="FR37" s="479">
        <f t="shared" si="334"/>
        <v>0</v>
      </c>
      <c r="FS37" s="479">
        <f t="shared" si="334"/>
        <v>0</v>
      </c>
      <c r="FT37" s="479">
        <f t="shared" si="334"/>
        <v>0</v>
      </c>
      <c r="FU37" s="479">
        <f t="shared" si="334"/>
        <v>0</v>
      </c>
      <c r="FV37" s="479">
        <f t="shared" si="334"/>
        <v>0</v>
      </c>
      <c r="FW37" s="479">
        <f t="shared" si="334"/>
        <v>0</v>
      </c>
      <c r="FX37" s="479">
        <f t="shared" si="334"/>
        <v>0</v>
      </c>
      <c r="FY37" s="479">
        <f t="shared" si="334"/>
        <v>0</v>
      </c>
      <c r="FZ37" s="479">
        <f t="shared" si="334"/>
        <v>0</v>
      </c>
      <c r="GA37" s="479">
        <f t="shared" si="334"/>
        <v>0</v>
      </c>
      <c r="GB37" s="479">
        <f t="shared" si="334"/>
        <v>0</v>
      </c>
      <c r="GC37" s="479">
        <f t="shared" si="334"/>
        <v>0</v>
      </c>
      <c r="GD37" s="479">
        <f t="shared" si="334"/>
        <v>0</v>
      </c>
      <c r="GE37" s="479">
        <f t="shared" si="334"/>
        <v>0</v>
      </c>
      <c r="GF37" s="479">
        <f t="shared" si="334"/>
        <v>0</v>
      </c>
      <c r="GG37" s="479">
        <f t="shared" si="334"/>
        <v>0</v>
      </c>
      <c r="GH37" s="479">
        <f t="shared" si="334"/>
        <v>0</v>
      </c>
      <c r="GI37" s="479">
        <f t="shared" si="334"/>
        <v>0</v>
      </c>
      <c r="GJ37" s="479">
        <f t="shared" si="334"/>
        <v>0</v>
      </c>
      <c r="GK37" s="479">
        <f t="shared" si="334"/>
        <v>0</v>
      </c>
      <c r="GL37" s="479">
        <f t="shared" si="334"/>
        <v>0</v>
      </c>
      <c r="GM37" s="479">
        <f t="shared" si="334"/>
        <v>0</v>
      </c>
      <c r="GN37" s="479">
        <f t="shared" si="334"/>
        <v>0</v>
      </c>
      <c r="GO37" s="479">
        <f t="shared" si="334"/>
        <v>0</v>
      </c>
      <c r="GP37" s="479">
        <f t="shared" si="334"/>
        <v>0</v>
      </c>
      <c r="GQ37" s="479">
        <f t="shared" si="334"/>
        <v>0</v>
      </c>
      <c r="GR37" s="479">
        <f t="shared" si="334"/>
        <v>0</v>
      </c>
      <c r="GS37" s="479">
        <f t="shared" ref="GS37:HH44" si="340">-IF(GS$7&gt;=$E37,IF(GS$7&lt;=$F37,$D37/$G37,0),0)</f>
        <v>0</v>
      </c>
      <c r="GT37" s="479">
        <f t="shared" si="340"/>
        <v>0</v>
      </c>
      <c r="GU37" s="479">
        <f t="shared" si="335"/>
        <v>0</v>
      </c>
      <c r="GV37" s="479">
        <f t="shared" si="335"/>
        <v>0</v>
      </c>
      <c r="GW37" s="479">
        <f t="shared" si="335"/>
        <v>0</v>
      </c>
      <c r="GX37" s="479">
        <f t="shared" si="335"/>
        <v>0</v>
      </c>
      <c r="GY37" s="479">
        <f t="shared" si="335"/>
        <v>0</v>
      </c>
      <c r="GZ37" s="479">
        <f t="shared" si="335"/>
        <v>0</v>
      </c>
      <c r="HA37" s="479">
        <f t="shared" si="335"/>
        <v>0</v>
      </c>
      <c r="HB37" s="479">
        <f t="shared" si="335"/>
        <v>0</v>
      </c>
      <c r="HC37" s="479">
        <f t="shared" si="335"/>
        <v>0</v>
      </c>
      <c r="HD37" s="479">
        <f t="shared" si="335"/>
        <v>0</v>
      </c>
      <c r="HE37" s="479">
        <f t="shared" si="335"/>
        <v>0</v>
      </c>
      <c r="HF37" s="479">
        <f t="shared" si="335"/>
        <v>0</v>
      </c>
      <c r="HG37" s="479">
        <f t="shared" si="335"/>
        <v>0</v>
      </c>
      <c r="HH37" s="479">
        <f t="shared" si="335"/>
        <v>0</v>
      </c>
      <c r="HI37" s="479">
        <f t="shared" si="335"/>
        <v>0</v>
      </c>
      <c r="HJ37" s="479">
        <f t="shared" si="335"/>
        <v>0</v>
      </c>
      <c r="HK37" s="479">
        <f t="shared" si="335"/>
        <v>0</v>
      </c>
      <c r="HL37" s="479">
        <f t="shared" si="335"/>
        <v>0</v>
      </c>
      <c r="HM37" s="479">
        <f t="shared" si="335"/>
        <v>0</v>
      </c>
      <c r="HN37" s="479">
        <f t="shared" si="335"/>
        <v>0</v>
      </c>
      <c r="HO37" s="479">
        <f t="shared" si="335"/>
        <v>0</v>
      </c>
      <c r="HP37" s="479">
        <f t="shared" si="335"/>
        <v>0</v>
      </c>
      <c r="HQ37" s="479">
        <f t="shared" si="335"/>
        <v>0</v>
      </c>
      <c r="HR37" s="479">
        <f t="shared" si="335"/>
        <v>0</v>
      </c>
      <c r="HS37" s="479">
        <f t="shared" si="335"/>
        <v>0</v>
      </c>
      <c r="HT37" s="479">
        <f t="shared" si="335"/>
        <v>0</v>
      </c>
      <c r="HU37" s="479">
        <f t="shared" si="335"/>
        <v>0</v>
      </c>
      <c r="HV37" s="479">
        <f t="shared" si="335"/>
        <v>0</v>
      </c>
      <c r="HW37" s="479">
        <f t="shared" si="335"/>
        <v>0</v>
      </c>
      <c r="HX37" s="479">
        <f t="shared" si="335"/>
        <v>0</v>
      </c>
      <c r="HY37" s="479">
        <f t="shared" si="335"/>
        <v>0</v>
      </c>
      <c r="HZ37" s="479">
        <f t="shared" si="335"/>
        <v>0</v>
      </c>
      <c r="IA37" s="479">
        <f t="shared" si="335"/>
        <v>0</v>
      </c>
      <c r="IB37" s="479">
        <f t="shared" si="335"/>
        <v>0</v>
      </c>
      <c r="IC37" s="479">
        <f t="shared" si="335"/>
        <v>0</v>
      </c>
      <c r="ID37" s="479">
        <f t="shared" si="335"/>
        <v>0</v>
      </c>
      <c r="IE37" s="479">
        <f t="shared" si="335"/>
        <v>0</v>
      </c>
      <c r="IF37" s="479">
        <f t="shared" si="335"/>
        <v>0</v>
      </c>
      <c r="IG37" s="479">
        <f t="shared" si="335"/>
        <v>0</v>
      </c>
      <c r="IH37" s="479">
        <f t="shared" si="335"/>
        <v>0</v>
      </c>
      <c r="II37" s="479">
        <f t="shared" si="335"/>
        <v>0</v>
      </c>
      <c r="IJ37" s="479">
        <f t="shared" si="335"/>
        <v>0</v>
      </c>
      <c r="IK37" s="479">
        <f t="shared" si="335"/>
        <v>0</v>
      </c>
      <c r="IL37" s="479">
        <f t="shared" si="335"/>
        <v>0</v>
      </c>
      <c r="IM37" s="479">
        <f t="shared" si="335"/>
        <v>0</v>
      </c>
      <c r="IN37" s="479">
        <f t="shared" si="335"/>
        <v>0</v>
      </c>
      <c r="IO37" s="479">
        <f t="shared" si="335"/>
        <v>0</v>
      </c>
      <c r="IP37" s="479">
        <f t="shared" si="335"/>
        <v>0</v>
      </c>
      <c r="IQ37" s="479">
        <f t="shared" si="335"/>
        <v>0</v>
      </c>
      <c r="IR37" s="479">
        <f t="shared" si="335"/>
        <v>0</v>
      </c>
      <c r="IS37" s="479">
        <f t="shared" si="335"/>
        <v>0</v>
      </c>
      <c r="IT37" s="479">
        <f t="shared" si="335"/>
        <v>0</v>
      </c>
      <c r="IU37" s="479">
        <f t="shared" si="335"/>
        <v>0</v>
      </c>
      <c r="IV37" s="479">
        <f t="shared" si="335"/>
        <v>0</v>
      </c>
      <c r="IW37" s="479">
        <f t="shared" si="335"/>
        <v>0</v>
      </c>
      <c r="IX37" s="479">
        <f t="shared" si="335"/>
        <v>0</v>
      </c>
      <c r="IY37" s="479">
        <f t="shared" si="335"/>
        <v>0</v>
      </c>
      <c r="IZ37" s="479">
        <f t="shared" si="335"/>
        <v>0</v>
      </c>
      <c r="JA37" s="479">
        <f t="shared" si="335"/>
        <v>0</v>
      </c>
      <c r="JB37" s="479">
        <f t="shared" si="335"/>
        <v>0</v>
      </c>
      <c r="JC37" s="479">
        <f t="shared" si="335"/>
        <v>0</v>
      </c>
      <c r="JD37" s="479">
        <f t="shared" si="335"/>
        <v>0</v>
      </c>
      <c r="JE37" s="479">
        <f t="shared" ref="JE37:JT44" si="341">-IF(JE$7&gt;=$E37,IF(JE$7&lt;=$F37,$D37/$G37,0),0)</f>
        <v>0</v>
      </c>
      <c r="JF37" s="479">
        <f t="shared" si="341"/>
        <v>0</v>
      </c>
      <c r="JG37" s="479">
        <f t="shared" si="336"/>
        <v>0</v>
      </c>
      <c r="JH37" s="479">
        <f t="shared" si="336"/>
        <v>0</v>
      </c>
      <c r="JI37" s="479">
        <f t="shared" si="336"/>
        <v>0</v>
      </c>
      <c r="JJ37" s="479">
        <f t="shared" si="336"/>
        <v>0</v>
      </c>
      <c r="JK37" s="479">
        <f t="shared" si="336"/>
        <v>0</v>
      </c>
      <c r="JL37" s="479">
        <f t="shared" si="336"/>
        <v>0</v>
      </c>
      <c r="JM37" s="479">
        <f t="shared" si="336"/>
        <v>0</v>
      </c>
      <c r="JN37" s="479">
        <f t="shared" si="336"/>
        <v>0</v>
      </c>
      <c r="JO37" s="479">
        <f t="shared" si="336"/>
        <v>0</v>
      </c>
      <c r="JP37" s="479">
        <f t="shared" si="336"/>
        <v>0</v>
      </c>
      <c r="JQ37" s="479">
        <f t="shared" si="336"/>
        <v>0</v>
      </c>
      <c r="JR37" s="479">
        <f t="shared" si="336"/>
        <v>0</v>
      </c>
      <c r="JS37" s="479">
        <f t="shared" si="336"/>
        <v>0</v>
      </c>
      <c r="JT37" s="479">
        <f t="shared" si="336"/>
        <v>0</v>
      </c>
      <c r="JU37" s="479">
        <f t="shared" si="336"/>
        <v>0</v>
      </c>
      <c r="JV37" s="479">
        <f t="shared" si="336"/>
        <v>0</v>
      </c>
      <c r="JW37" s="479">
        <f t="shared" si="336"/>
        <v>0</v>
      </c>
      <c r="JX37" s="479">
        <f t="shared" si="336"/>
        <v>0</v>
      </c>
      <c r="JY37" s="479">
        <f t="shared" si="336"/>
        <v>0</v>
      </c>
      <c r="JZ37" s="479">
        <f t="shared" si="336"/>
        <v>0</v>
      </c>
      <c r="KA37" s="479">
        <f t="shared" si="336"/>
        <v>0</v>
      </c>
      <c r="KB37" s="479">
        <f t="shared" si="336"/>
        <v>0</v>
      </c>
      <c r="KC37" s="479">
        <f t="shared" si="336"/>
        <v>0</v>
      </c>
      <c r="KD37" s="479">
        <f t="shared" si="336"/>
        <v>0</v>
      </c>
      <c r="KE37" s="479">
        <f t="shared" si="336"/>
        <v>0</v>
      </c>
      <c r="KF37" s="479">
        <f t="shared" si="336"/>
        <v>0</v>
      </c>
      <c r="KG37" s="479">
        <f t="shared" si="336"/>
        <v>0</v>
      </c>
      <c r="KH37" s="479">
        <f t="shared" si="336"/>
        <v>0</v>
      </c>
      <c r="KI37" s="479">
        <f t="shared" si="336"/>
        <v>0</v>
      </c>
      <c r="KJ37" s="479">
        <f t="shared" si="336"/>
        <v>0</v>
      </c>
      <c r="KK37" s="479">
        <f t="shared" si="336"/>
        <v>0</v>
      </c>
      <c r="KL37" s="479">
        <f t="shared" si="336"/>
        <v>0</v>
      </c>
      <c r="KM37" s="479">
        <f t="shared" si="336"/>
        <v>0</v>
      </c>
      <c r="KN37" s="479">
        <f t="shared" si="336"/>
        <v>0</v>
      </c>
      <c r="KO37" s="479">
        <f t="shared" si="336"/>
        <v>0</v>
      </c>
      <c r="KP37" s="479">
        <f t="shared" si="336"/>
        <v>0</v>
      </c>
      <c r="KQ37" s="479">
        <f t="shared" si="336"/>
        <v>0</v>
      </c>
      <c r="KR37" s="479">
        <f t="shared" si="336"/>
        <v>0</v>
      </c>
      <c r="KS37" s="479">
        <f t="shared" si="336"/>
        <v>0</v>
      </c>
      <c r="KT37" s="479">
        <f t="shared" si="336"/>
        <v>0</v>
      </c>
      <c r="KU37" s="479">
        <f t="shared" si="336"/>
        <v>0</v>
      </c>
      <c r="KV37" s="479">
        <f t="shared" si="336"/>
        <v>0</v>
      </c>
      <c r="KW37" s="479">
        <f t="shared" si="336"/>
        <v>0</v>
      </c>
      <c r="KX37" s="479">
        <f t="shared" si="336"/>
        <v>0</v>
      </c>
      <c r="KY37" s="479">
        <f t="shared" si="336"/>
        <v>0</v>
      </c>
      <c r="KZ37" s="479">
        <f t="shared" si="336"/>
        <v>0</v>
      </c>
      <c r="LA37" s="479">
        <f t="shared" si="336"/>
        <v>0</v>
      </c>
      <c r="LB37" s="479">
        <f t="shared" si="336"/>
        <v>0</v>
      </c>
      <c r="LC37" s="479">
        <f t="shared" si="336"/>
        <v>0</v>
      </c>
      <c r="LD37" s="479">
        <f t="shared" si="336"/>
        <v>0</v>
      </c>
      <c r="LE37" s="479">
        <f t="shared" si="336"/>
        <v>0</v>
      </c>
      <c r="LF37" s="479">
        <f t="shared" si="336"/>
        <v>0</v>
      </c>
      <c r="LG37" s="479">
        <f t="shared" si="336"/>
        <v>0</v>
      </c>
      <c r="LH37" s="479">
        <f t="shared" si="336"/>
        <v>0</v>
      </c>
      <c r="LI37" s="479">
        <f t="shared" si="336"/>
        <v>0</v>
      </c>
      <c r="LJ37" s="479">
        <f t="shared" si="336"/>
        <v>0</v>
      </c>
      <c r="LK37" s="479">
        <f t="shared" si="336"/>
        <v>0</v>
      </c>
      <c r="LL37" s="479">
        <f t="shared" si="336"/>
        <v>0</v>
      </c>
      <c r="LM37" s="479">
        <f t="shared" si="336"/>
        <v>0</v>
      </c>
      <c r="LN37" s="479">
        <f t="shared" si="336"/>
        <v>0</v>
      </c>
      <c r="LO37" s="479">
        <f t="shared" si="336"/>
        <v>0</v>
      </c>
      <c r="LP37" s="479">
        <f t="shared" si="336"/>
        <v>0</v>
      </c>
      <c r="LQ37" s="479">
        <f t="shared" ref="LQ37:MF44" si="342">-IF(LQ$7&gt;=$E37,IF(LQ$7&lt;=$F37,$D37/$G37,0),0)</f>
        <v>0</v>
      </c>
      <c r="LR37" s="479">
        <f t="shared" si="342"/>
        <v>0</v>
      </c>
      <c r="LS37" s="479">
        <f t="shared" si="337"/>
        <v>0</v>
      </c>
      <c r="LT37" s="479">
        <f t="shared" si="337"/>
        <v>0</v>
      </c>
      <c r="LU37" s="479">
        <f t="shared" si="337"/>
        <v>0</v>
      </c>
      <c r="LV37" s="479">
        <f t="shared" si="337"/>
        <v>0</v>
      </c>
      <c r="LW37" s="479">
        <f t="shared" si="337"/>
        <v>0</v>
      </c>
      <c r="LX37" s="479">
        <f t="shared" si="337"/>
        <v>0</v>
      </c>
      <c r="LY37" s="479">
        <f t="shared" si="337"/>
        <v>0</v>
      </c>
      <c r="LZ37" s="479">
        <f t="shared" si="337"/>
        <v>0</v>
      </c>
      <c r="MA37" s="479">
        <f t="shared" si="337"/>
        <v>0</v>
      </c>
      <c r="MB37" s="479">
        <f t="shared" si="337"/>
        <v>0</v>
      </c>
      <c r="MC37" s="479">
        <f t="shared" si="337"/>
        <v>0</v>
      </c>
      <c r="MD37" s="479">
        <f t="shared" si="337"/>
        <v>0</v>
      </c>
      <c r="ME37" s="479">
        <f t="shared" si="337"/>
        <v>0</v>
      </c>
      <c r="MF37" s="479">
        <f t="shared" si="337"/>
        <v>0</v>
      </c>
      <c r="MG37" s="479">
        <f t="shared" si="337"/>
        <v>0</v>
      </c>
      <c r="MH37" s="479">
        <f t="shared" si="337"/>
        <v>0</v>
      </c>
      <c r="MI37" s="479">
        <f t="shared" si="337"/>
        <v>0</v>
      </c>
      <c r="MJ37" s="479">
        <f t="shared" si="337"/>
        <v>0</v>
      </c>
      <c r="MK37" s="479">
        <f t="shared" si="337"/>
        <v>0</v>
      </c>
      <c r="ML37" s="479">
        <f t="shared" si="337"/>
        <v>0</v>
      </c>
      <c r="MM37" s="479">
        <f t="shared" si="337"/>
        <v>0</v>
      </c>
      <c r="MN37" s="479">
        <f t="shared" si="337"/>
        <v>0</v>
      </c>
      <c r="MO37" s="479">
        <f t="shared" si="337"/>
        <v>0</v>
      </c>
      <c r="MP37" s="479">
        <f t="shared" si="337"/>
        <v>0</v>
      </c>
      <c r="MQ37" s="479">
        <f t="shared" si="337"/>
        <v>0</v>
      </c>
      <c r="MR37" s="479">
        <f t="shared" si="337"/>
        <v>0</v>
      </c>
      <c r="MS37" s="479">
        <f t="shared" si="337"/>
        <v>0</v>
      </c>
      <c r="MT37" s="479">
        <f t="shared" si="337"/>
        <v>0</v>
      </c>
      <c r="MU37" s="479">
        <f t="shared" si="337"/>
        <v>0</v>
      </c>
      <c r="MV37" s="479">
        <f t="shared" si="337"/>
        <v>0</v>
      </c>
      <c r="MW37" s="479">
        <f t="shared" si="337"/>
        <v>0</v>
      </c>
      <c r="MX37" s="479">
        <f t="shared" si="337"/>
        <v>0</v>
      </c>
      <c r="MY37" s="479">
        <f t="shared" si="337"/>
        <v>0</v>
      </c>
      <c r="MZ37" s="479">
        <f t="shared" si="337"/>
        <v>0</v>
      </c>
      <c r="NA37" s="479">
        <f t="shared" si="337"/>
        <v>0</v>
      </c>
      <c r="NB37" s="479">
        <f t="shared" si="337"/>
        <v>0</v>
      </c>
      <c r="NC37" s="479">
        <f t="shared" si="337"/>
        <v>0</v>
      </c>
      <c r="ND37" s="479">
        <f t="shared" si="337"/>
        <v>0</v>
      </c>
      <c r="NE37" s="479">
        <f t="shared" si="337"/>
        <v>0</v>
      </c>
      <c r="NF37" s="479">
        <f t="shared" si="337"/>
        <v>0</v>
      </c>
      <c r="NG37" s="479">
        <f t="shared" si="337"/>
        <v>0</v>
      </c>
      <c r="NH37" s="479">
        <f t="shared" si="337"/>
        <v>0</v>
      </c>
      <c r="NI37" s="479">
        <f t="shared" si="337"/>
        <v>0</v>
      </c>
      <c r="NJ37" s="479">
        <f t="shared" si="337"/>
        <v>0</v>
      </c>
      <c r="NK37" s="479">
        <f t="shared" si="337"/>
        <v>0</v>
      </c>
      <c r="NL37" s="479">
        <f t="shared" si="337"/>
        <v>0</v>
      </c>
      <c r="NM37" s="479">
        <f t="shared" si="337"/>
        <v>0</v>
      </c>
      <c r="NN37" s="479">
        <f t="shared" si="337"/>
        <v>0</v>
      </c>
      <c r="NO37" s="479">
        <f t="shared" si="337"/>
        <v>0</v>
      </c>
      <c r="NP37" s="479">
        <f t="shared" si="337"/>
        <v>0</v>
      </c>
      <c r="NQ37" s="479">
        <f t="shared" si="337"/>
        <v>0</v>
      </c>
      <c r="NR37" s="479">
        <f t="shared" si="337"/>
        <v>0</v>
      </c>
      <c r="NS37" s="479">
        <f t="shared" si="337"/>
        <v>0</v>
      </c>
      <c r="NT37" s="479">
        <f t="shared" si="337"/>
        <v>0</v>
      </c>
      <c r="NU37" s="479">
        <f t="shared" si="337"/>
        <v>0</v>
      </c>
      <c r="NV37" s="479">
        <f t="shared" si="337"/>
        <v>0</v>
      </c>
      <c r="NW37" s="479">
        <f t="shared" si="337"/>
        <v>0</v>
      </c>
      <c r="NX37" s="479">
        <f t="shared" si="337"/>
        <v>0</v>
      </c>
      <c r="NY37" s="479">
        <f t="shared" si="337"/>
        <v>0</v>
      </c>
      <c r="NZ37" s="479">
        <f t="shared" si="337"/>
        <v>0</v>
      </c>
      <c r="OA37" s="479">
        <f t="shared" si="337"/>
        <v>0</v>
      </c>
      <c r="OB37" s="479">
        <f t="shared" si="337"/>
        <v>0</v>
      </c>
      <c r="OC37" s="479">
        <f t="shared" ref="OC37:OD44" si="343">-IF(OC$7&gt;=$E37,IF(OC$7&lt;=$F37,$D37/$G37,0),0)</f>
        <v>0</v>
      </c>
      <c r="OD37" s="479">
        <f t="shared" si="343"/>
        <v>0</v>
      </c>
      <c r="OE37" s="479">
        <f t="shared" si="330"/>
        <v>0</v>
      </c>
      <c r="OF37" s="479">
        <f t="shared" si="330"/>
        <v>0</v>
      </c>
      <c r="OG37" s="479">
        <f t="shared" si="330"/>
        <v>0</v>
      </c>
      <c r="OH37" s="479">
        <f t="shared" si="330"/>
        <v>0</v>
      </c>
      <c r="OI37" s="479">
        <f t="shared" si="330"/>
        <v>0</v>
      </c>
      <c r="OJ37" s="479">
        <f t="shared" si="330"/>
        <v>0</v>
      </c>
      <c r="OK37" s="479">
        <f t="shared" si="330"/>
        <v>0</v>
      </c>
      <c r="OL37" s="479">
        <f t="shared" si="330"/>
        <v>0</v>
      </c>
      <c r="OM37" s="479">
        <f t="shared" si="330"/>
        <v>0</v>
      </c>
      <c r="ON37" s="479">
        <f t="shared" si="330"/>
        <v>0</v>
      </c>
      <c r="OO37" s="479">
        <f t="shared" si="330"/>
        <v>0</v>
      </c>
    </row>
    <row r="38" spans="2:405">
      <c r="B38" s="97" t="str">
        <f>Assumptions!B103</f>
        <v>Marketing</v>
      </c>
      <c r="C38" s="97"/>
      <c r="D38" s="500">
        <f>Assumptions!C103</f>
        <v>329000</v>
      </c>
      <c r="E38" s="507">
        <f>Assumptions!$C$8</f>
        <v>46204</v>
      </c>
      <c r="F38" s="507">
        <f>EOMONTH(E38,Assumptions!$C$9-1)</f>
        <v>46387</v>
      </c>
      <c r="G38" s="97">
        <f t="shared" si="323"/>
        <v>6</v>
      </c>
      <c r="H38" s="97"/>
      <c r="I38" s="97"/>
      <c r="J38" s="479">
        <f t="shared" si="331"/>
        <v>-54833.333333333336</v>
      </c>
      <c r="K38" s="479">
        <f t="shared" si="331"/>
        <v>-54833.333333333336</v>
      </c>
      <c r="L38" s="479">
        <f t="shared" si="331"/>
        <v>-54833.333333333336</v>
      </c>
      <c r="M38" s="479">
        <f t="shared" si="331"/>
        <v>-54833.333333333336</v>
      </c>
      <c r="N38" s="479">
        <f t="shared" si="331"/>
        <v>-54833.333333333336</v>
      </c>
      <c r="O38" s="479">
        <f t="shared" si="331"/>
        <v>-54833.333333333336</v>
      </c>
      <c r="P38" s="479">
        <f t="shared" si="331"/>
        <v>0</v>
      </c>
      <c r="Q38" s="479">
        <f t="shared" si="331"/>
        <v>0</v>
      </c>
      <c r="R38" s="479">
        <f t="shared" si="331"/>
        <v>0</v>
      </c>
      <c r="S38" s="479">
        <f t="shared" si="331"/>
        <v>0</v>
      </c>
      <c r="T38" s="479">
        <f t="shared" si="331"/>
        <v>0</v>
      </c>
      <c r="U38" s="479">
        <f t="shared" si="331"/>
        <v>0</v>
      </c>
      <c r="V38" s="479">
        <f t="shared" si="331"/>
        <v>0</v>
      </c>
      <c r="W38" s="479">
        <f t="shared" si="331"/>
        <v>0</v>
      </c>
      <c r="X38" s="479">
        <f t="shared" si="331"/>
        <v>0</v>
      </c>
      <c r="Y38" s="479">
        <f t="shared" si="331"/>
        <v>0</v>
      </c>
      <c r="Z38" s="479">
        <f t="shared" ref="Z38:AO44" si="344">-IF(Z$7&gt;=$E38,IF(Z$7&lt;=$F38,$D38/$G38,0),0)</f>
        <v>0</v>
      </c>
      <c r="AA38" s="479">
        <f t="shared" si="344"/>
        <v>0</v>
      </c>
      <c r="AB38" s="479">
        <f t="shared" si="344"/>
        <v>0</v>
      </c>
      <c r="AC38" s="479">
        <f t="shared" si="344"/>
        <v>0</v>
      </c>
      <c r="AD38" s="479">
        <f t="shared" si="344"/>
        <v>0</v>
      </c>
      <c r="AE38" s="479">
        <f t="shared" si="344"/>
        <v>0</v>
      </c>
      <c r="AF38" s="479">
        <f t="shared" si="344"/>
        <v>0</v>
      </c>
      <c r="AG38" s="479">
        <f t="shared" si="344"/>
        <v>0</v>
      </c>
      <c r="AH38" s="479">
        <f t="shared" si="344"/>
        <v>0</v>
      </c>
      <c r="AI38" s="479">
        <f t="shared" si="344"/>
        <v>0</v>
      </c>
      <c r="AJ38" s="479">
        <f t="shared" si="344"/>
        <v>0</v>
      </c>
      <c r="AK38" s="479">
        <f t="shared" si="344"/>
        <v>0</v>
      </c>
      <c r="AL38" s="479">
        <f t="shared" si="344"/>
        <v>0</v>
      </c>
      <c r="AM38" s="479">
        <f t="shared" si="344"/>
        <v>0</v>
      </c>
      <c r="AN38" s="479">
        <f t="shared" si="344"/>
        <v>0</v>
      </c>
      <c r="AO38" s="479">
        <f t="shared" si="344"/>
        <v>0</v>
      </c>
      <c r="AP38" s="479">
        <f t="shared" ref="AP38:BE44" si="345">-IF(AP$7&gt;=$E38,IF(AP$7&lt;=$F38,$D38/$G38,0),0)</f>
        <v>0</v>
      </c>
      <c r="AQ38" s="479">
        <f t="shared" si="345"/>
        <v>0</v>
      </c>
      <c r="AR38" s="479">
        <f t="shared" si="345"/>
        <v>0</v>
      </c>
      <c r="AS38" s="479">
        <f t="shared" si="345"/>
        <v>0</v>
      </c>
      <c r="AT38" s="479">
        <f t="shared" si="345"/>
        <v>0</v>
      </c>
      <c r="AU38" s="479">
        <f t="shared" si="345"/>
        <v>0</v>
      </c>
      <c r="AV38" s="479">
        <f t="shared" si="345"/>
        <v>0</v>
      </c>
      <c r="AW38" s="479">
        <f t="shared" si="345"/>
        <v>0</v>
      </c>
      <c r="AX38" s="479">
        <f t="shared" si="345"/>
        <v>0</v>
      </c>
      <c r="AY38" s="479">
        <f t="shared" si="345"/>
        <v>0</v>
      </c>
      <c r="AZ38" s="479">
        <f t="shared" si="345"/>
        <v>0</v>
      </c>
      <c r="BA38" s="479">
        <f t="shared" si="345"/>
        <v>0</v>
      </c>
      <c r="BB38" s="479">
        <f t="shared" si="345"/>
        <v>0</v>
      </c>
      <c r="BC38" s="479">
        <f t="shared" si="345"/>
        <v>0</v>
      </c>
      <c r="BD38" s="479">
        <f t="shared" si="345"/>
        <v>0</v>
      </c>
      <c r="BE38" s="479">
        <f t="shared" si="345"/>
        <v>0</v>
      </c>
      <c r="BF38" s="479">
        <f t="shared" ref="BF38:BU44" si="346">-IF(BF$7&gt;=$E38,IF(BF$7&lt;=$F38,$D38/$G38,0),0)</f>
        <v>0</v>
      </c>
      <c r="BG38" s="479">
        <f t="shared" si="346"/>
        <v>0</v>
      </c>
      <c r="BH38" s="479">
        <f t="shared" si="346"/>
        <v>0</v>
      </c>
      <c r="BI38" s="479">
        <f t="shared" si="346"/>
        <v>0</v>
      </c>
      <c r="BJ38" s="479">
        <f t="shared" si="346"/>
        <v>0</v>
      </c>
      <c r="BK38" s="479">
        <f t="shared" si="346"/>
        <v>0</v>
      </c>
      <c r="BL38" s="479">
        <f t="shared" si="346"/>
        <v>0</v>
      </c>
      <c r="BM38" s="479">
        <f t="shared" si="346"/>
        <v>0</v>
      </c>
      <c r="BN38" s="479">
        <f t="shared" si="346"/>
        <v>0</v>
      </c>
      <c r="BO38" s="479">
        <f t="shared" si="346"/>
        <v>0</v>
      </c>
      <c r="BP38" s="479">
        <f t="shared" si="346"/>
        <v>0</v>
      </c>
      <c r="BQ38" s="479">
        <f t="shared" si="346"/>
        <v>0</v>
      </c>
      <c r="BR38" s="479">
        <f t="shared" si="346"/>
        <v>0</v>
      </c>
      <c r="BS38" s="479">
        <f t="shared" si="346"/>
        <v>0</v>
      </c>
      <c r="BT38" s="479">
        <f t="shared" si="346"/>
        <v>0</v>
      </c>
      <c r="BU38" s="479">
        <f t="shared" si="346"/>
        <v>0</v>
      </c>
      <c r="BV38" s="479">
        <f t="shared" si="338"/>
        <v>0</v>
      </c>
      <c r="BW38" s="479">
        <f t="shared" si="338"/>
        <v>0</v>
      </c>
      <c r="BX38" s="479">
        <f t="shared" si="338"/>
        <v>0</v>
      </c>
      <c r="BY38" s="479">
        <f t="shared" si="338"/>
        <v>0</v>
      </c>
      <c r="BZ38" s="479">
        <f t="shared" si="338"/>
        <v>0</v>
      </c>
      <c r="CA38" s="479">
        <f t="shared" si="338"/>
        <v>0</v>
      </c>
      <c r="CB38" s="479">
        <f t="shared" si="338"/>
        <v>0</v>
      </c>
      <c r="CC38" s="479">
        <f t="shared" si="338"/>
        <v>0</v>
      </c>
      <c r="CD38" s="479">
        <f t="shared" si="338"/>
        <v>0</v>
      </c>
      <c r="CE38" s="479">
        <f t="shared" si="338"/>
        <v>0</v>
      </c>
      <c r="CF38" s="479">
        <f t="shared" si="338"/>
        <v>0</v>
      </c>
      <c r="CG38" s="479">
        <f t="shared" si="338"/>
        <v>0</v>
      </c>
      <c r="CH38" s="479">
        <f t="shared" si="338"/>
        <v>0</v>
      </c>
      <c r="CI38" s="479">
        <f t="shared" si="338"/>
        <v>0</v>
      </c>
      <c r="CJ38" s="479">
        <f t="shared" si="338"/>
        <v>0</v>
      </c>
      <c r="CK38" s="479">
        <f t="shared" ref="CK38:CZ44" si="347">-IF(CK$7&gt;=$E38,IF(CK$7&lt;=$F38,$D38/$G38,0),0)</f>
        <v>0</v>
      </c>
      <c r="CL38" s="479">
        <f t="shared" si="347"/>
        <v>0</v>
      </c>
      <c r="CM38" s="479">
        <f t="shared" si="347"/>
        <v>0</v>
      </c>
      <c r="CN38" s="479">
        <f t="shared" si="347"/>
        <v>0</v>
      </c>
      <c r="CO38" s="479">
        <f t="shared" si="347"/>
        <v>0</v>
      </c>
      <c r="CP38" s="479">
        <f t="shared" si="347"/>
        <v>0</v>
      </c>
      <c r="CQ38" s="479">
        <f t="shared" si="347"/>
        <v>0</v>
      </c>
      <c r="CR38" s="479">
        <f t="shared" si="347"/>
        <v>0</v>
      </c>
      <c r="CS38" s="479">
        <f t="shared" si="347"/>
        <v>0</v>
      </c>
      <c r="CT38" s="479">
        <f t="shared" si="347"/>
        <v>0</v>
      </c>
      <c r="CU38" s="479">
        <f t="shared" si="347"/>
        <v>0</v>
      </c>
      <c r="CV38" s="479">
        <f t="shared" si="347"/>
        <v>0</v>
      </c>
      <c r="CW38" s="479">
        <f t="shared" si="347"/>
        <v>0</v>
      </c>
      <c r="CX38" s="479">
        <f t="shared" si="347"/>
        <v>0</v>
      </c>
      <c r="CY38" s="479">
        <f t="shared" si="347"/>
        <v>0</v>
      </c>
      <c r="CZ38" s="479">
        <f t="shared" si="347"/>
        <v>0</v>
      </c>
      <c r="DA38" s="479">
        <f t="shared" ref="DA38:DP44" si="348">-IF(DA$7&gt;=$E38,IF(DA$7&lt;=$F38,$D38/$G38,0),0)</f>
        <v>0</v>
      </c>
      <c r="DB38" s="479">
        <f t="shared" si="348"/>
        <v>0</v>
      </c>
      <c r="DC38" s="479">
        <f t="shared" si="348"/>
        <v>0</v>
      </c>
      <c r="DD38" s="479">
        <f t="shared" si="348"/>
        <v>0</v>
      </c>
      <c r="DE38" s="479">
        <f t="shared" si="348"/>
        <v>0</v>
      </c>
      <c r="DF38" s="479">
        <f t="shared" si="348"/>
        <v>0</v>
      </c>
      <c r="DG38" s="479">
        <f t="shared" si="348"/>
        <v>0</v>
      </c>
      <c r="DH38" s="479">
        <f t="shared" si="348"/>
        <v>0</v>
      </c>
      <c r="DI38" s="479">
        <f t="shared" si="348"/>
        <v>0</v>
      </c>
      <c r="DJ38" s="479">
        <f t="shared" si="348"/>
        <v>0</v>
      </c>
      <c r="DK38" s="479">
        <f t="shared" si="348"/>
        <v>0</v>
      </c>
      <c r="DL38" s="479">
        <f t="shared" si="348"/>
        <v>0</v>
      </c>
      <c r="DM38" s="479">
        <f t="shared" si="348"/>
        <v>0</v>
      </c>
      <c r="DN38" s="479">
        <f t="shared" si="348"/>
        <v>0</v>
      </c>
      <c r="DO38" s="479">
        <f t="shared" si="348"/>
        <v>0</v>
      </c>
      <c r="DP38" s="479">
        <f t="shared" si="348"/>
        <v>0</v>
      </c>
      <c r="DQ38" s="479">
        <f t="shared" ref="DQ38:EF44" si="349">-IF(DQ$7&gt;=$E38,IF(DQ$7&lt;=$F38,$D38/$G38,0),0)</f>
        <v>0</v>
      </c>
      <c r="DR38" s="479">
        <f t="shared" si="349"/>
        <v>0</v>
      </c>
      <c r="DS38" s="479">
        <f t="shared" si="349"/>
        <v>0</v>
      </c>
      <c r="DT38" s="479">
        <f t="shared" si="349"/>
        <v>0</v>
      </c>
      <c r="DU38" s="479">
        <f t="shared" si="349"/>
        <v>0</v>
      </c>
      <c r="DV38" s="479">
        <f t="shared" si="349"/>
        <v>0</v>
      </c>
      <c r="DW38" s="479">
        <f t="shared" si="349"/>
        <v>0</v>
      </c>
      <c r="DX38" s="479">
        <f t="shared" si="349"/>
        <v>0</v>
      </c>
      <c r="DY38" s="479">
        <f t="shared" si="349"/>
        <v>0</v>
      </c>
      <c r="DZ38" s="479">
        <f t="shared" si="349"/>
        <v>0</v>
      </c>
      <c r="EA38" s="479">
        <f t="shared" si="349"/>
        <v>0</v>
      </c>
      <c r="EB38" s="479">
        <f t="shared" si="349"/>
        <v>0</v>
      </c>
      <c r="EC38" s="479">
        <f t="shared" si="349"/>
        <v>0</v>
      </c>
      <c r="ED38" s="479">
        <f t="shared" si="349"/>
        <v>0</v>
      </c>
      <c r="EE38" s="479">
        <f t="shared" si="349"/>
        <v>0</v>
      </c>
      <c r="EF38" s="479">
        <f t="shared" si="349"/>
        <v>0</v>
      </c>
      <c r="EG38" s="479">
        <f t="shared" si="339"/>
        <v>0</v>
      </c>
      <c r="EH38" s="479">
        <f t="shared" si="339"/>
        <v>0</v>
      </c>
      <c r="EI38" s="479">
        <f t="shared" si="339"/>
        <v>0</v>
      </c>
      <c r="EJ38" s="479">
        <f t="shared" si="339"/>
        <v>0</v>
      </c>
      <c r="EK38" s="479">
        <f t="shared" si="339"/>
        <v>0</v>
      </c>
      <c r="EL38" s="479">
        <f t="shared" si="339"/>
        <v>0</v>
      </c>
      <c r="EM38" s="479">
        <f t="shared" si="339"/>
        <v>0</v>
      </c>
      <c r="EN38" s="479">
        <f t="shared" si="339"/>
        <v>0</v>
      </c>
      <c r="EO38" s="479">
        <f t="shared" si="339"/>
        <v>0</v>
      </c>
      <c r="EP38" s="479">
        <f t="shared" si="339"/>
        <v>0</v>
      </c>
      <c r="EQ38" s="479">
        <f t="shared" si="339"/>
        <v>0</v>
      </c>
      <c r="ER38" s="479">
        <f t="shared" si="339"/>
        <v>0</v>
      </c>
      <c r="ES38" s="479">
        <f t="shared" si="339"/>
        <v>0</v>
      </c>
      <c r="ET38" s="479">
        <f t="shared" si="339"/>
        <v>0</v>
      </c>
      <c r="EU38" s="479">
        <f t="shared" si="339"/>
        <v>0</v>
      </c>
      <c r="EV38" s="479">
        <f t="shared" si="339"/>
        <v>0</v>
      </c>
      <c r="EW38" s="479">
        <f t="shared" ref="EW38:FL44" si="350">-IF(EW$7&gt;=$E38,IF(EW$7&lt;=$F38,$D38/$G38,0),0)</f>
        <v>0</v>
      </c>
      <c r="EX38" s="479">
        <f t="shared" si="350"/>
        <v>0</v>
      </c>
      <c r="EY38" s="479">
        <f t="shared" si="350"/>
        <v>0</v>
      </c>
      <c r="EZ38" s="479">
        <f t="shared" si="350"/>
        <v>0</v>
      </c>
      <c r="FA38" s="479">
        <f t="shared" si="350"/>
        <v>0</v>
      </c>
      <c r="FB38" s="479">
        <f t="shared" si="350"/>
        <v>0</v>
      </c>
      <c r="FC38" s="479">
        <f t="shared" si="350"/>
        <v>0</v>
      </c>
      <c r="FD38" s="479">
        <f t="shared" si="350"/>
        <v>0</v>
      </c>
      <c r="FE38" s="479">
        <f t="shared" si="350"/>
        <v>0</v>
      </c>
      <c r="FF38" s="479">
        <f t="shared" si="350"/>
        <v>0</v>
      </c>
      <c r="FG38" s="479">
        <f t="shared" si="350"/>
        <v>0</v>
      </c>
      <c r="FH38" s="479">
        <f t="shared" si="350"/>
        <v>0</v>
      </c>
      <c r="FI38" s="479">
        <f t="shared" si="350"/>
        <v>0</v>
      </c>
      <c r="FJ38" s="479">
        <f t="shared" si="350"/>
        <v>0</v>
      </c>
      <c r="FK38" s="479">
        <f t="shared" si="350"/>
        <v>0</v>
      </c>
      <c r="FL38" s="479">
        <f t="shared" si="350"/>
        <v>0</v>
      </c>
      <c r="FM38" s="479">
        <f t="shared" ref="FM38:GB44" si="351">-IF(FM$7&gt;=$E38,IF(FM$7&lt;=$F38,$D38/$G38,0),0)</f>
        <v>0</v>
      </c>
      <c r="FN38" s="479">
        <f t="shared" si="351"/>
        <v>0</v>
      </c>
      <c r="FO38" s="479">
        <f t="shared" si="351"/>
        <v>0</v>
      </c>
      <c r="FP38" s="479">
        <f t="shared" si="351"/>
        <v>0</v>
      </c>
      <c r="FQ38" s="479">
        <f t="shared" si="351"/>
        <v>0</v>
      </c>
      <c r="FR38" s="479">
        <f t="shared" si="351"/>
        <v>0</v>
      </c>
      <c r="FS38" s="479">
        <f t="shared" si="351"/>
        <v>0</v>
      </c>
      <c r="FT38" s="479">
        <f t="shared" si="351"/>
        <v>0</v>
      </c>
      <c r="FU38" s="479">
        <f t="shared" si="351"/>
        <v>0</v>
      </c>
      <c r="FV38" s="479">
        <f t="shared" si="351"/>
        <v>0</v>
      </c>
      <c r="FW38" s="479">
        <f t="shared" si="351"/>
        <v>0</v>
      </c>
      <c r="FX38" s="479">
        <f t="shared" si="351"/>
        <v>0</v>
      </c>
      <c r="FY38" s="479">
        <f t="shared" si="351"/>
        <v>0</v>
      </c>
      <c r="FZ38" s="479">
        <f t="shared" si="351"/>
        <v>0</v>
      </c>
      <c r="GA38" s="479">
        <f t="shared" si="351"/>
        <v>0</v>
      </c>
      <c r="GB38" s="479">
        <f t="shared" si="351"/>
        <v>0</v>
      </c>
      <c r="GC38" s="479">
        <f t="shared" ref="GC38:GR44" si="352">-IF(GC$7&gt;=$E38,IF(GC$7&lt;=$F38,$D38/$G38,0),0)</f>
        <v>0</v>
      </c>
      <c r="GD38" s="479">
        <f t="shared" si="352"/>
        <v>0</v>
      </c>
      <c r="GE38" s="479">
        <f t="shared" si="352"/>
        <v>0</v>
      </c>
      <c r="GF38" s="479">
        <f t="shared" si="352"/>
        <v>0</v>
      </c>
      <c r="GG38" s="479">
        <f t="shared" si="352"/>
        <v>0</v>
      </c>
      <c r="GH38" s="479">
        <f t="shared" si="352"/>
        <v>0</v>
      </c>
      <c r="GI38" s="479">
        <f t="shared" si="352"/>
        <v>0</v>
      </c>
      <c r="GJ38" s="479">
        <f t="shared" si="352"/>
        <v>0</v>
      </c>
      <c r="GK38" s="479">
        <f t="shared" si="352"/>
        <v>0</v>
      </c>
      <c r="GL38" s="479">
        <f t="shared" si="352"/>
        <v>0</v>
      </c>
      <c r="GM38" s="479">
        <f t="shared" si="352"/>
        <v>0</v>
      </c>
      <c r="GN38" s="479">
        <f t="shared" si="352"/>
        <v>0</v>
      </c>
      <c r="GO38" s="479">
        <f t="shared" si="352"/>
        <v>0</v>
      </c>
      <c r="GP38" s="479">
        <f t="shared" si="352"/>
        <v>0</v>
      </c>
      <c r="GQ38" s="479">
        <f t="shared" si="352"/>
        <v>0</v>
      </c>
      <c r="GR38" s="479">
        <f t="shared" si="352"/>
        <v>0</v>
      </c>
      <c r="GS38" s="479">
        <f t="shared" si="340"/>
        <v>0</v>
      </c>
      <c r="GT38" s="479">
        <f t="shared" si="340"/>
        <v>0</v>
      </c>
      <c r="GU38" s="479">
        <f t="shared" si="340"/>
        <v>0</v>
      </c>
      <c r="GV38" s="479">
        <f t="shared" si="340"/>
        <v>0</v>
      </c>
      <c r="GW38" s="479">
        <f t="shared" si="340"/>
        <v>0</v>
      </c>
      <c r="GX38" s="479">
        <f t="shared" si="340"/>
        <v>0</v>
      </c>
      <c r="GY38" s="479">
        <f t="shared" si="340"/>
        <v>0</v>
      </c>
      <c r="GZ38" s="479">
        <f t="shared" si="340"/>
        <v>0</v>
      </c>
      <c r="HA38" s="479">
        <f t="shared" si="340"/>
        <v>0</v>
      </c>
      <c r="HB38" s="479">
        <f t="shared" si="340"/>
        <v>0</v>
      </c>
      <c r="HC38" s="479">
        <f t="shared" si="340"/>
        <v>0</v>
      </c>
      <c r="HD38" s="479">
        <f t="shared" si="340"/>
        <v>0</v>
      </c>
      <c r="HE38" s="479">
        <f t="shared" si="340"/>
        <v>0</v>
      </c>
      <c r="HF38" s="479">
        <f t="shared" si="340"/>
        <v>0</v>
      </c>
      <c r="HG38" s="479">
        <f t="shared" si="340"/>
        <v>0</v>
      </c>
      <c r="HH38" s="479">
        <f t="shared" si="340"/>
        <v>0</v>
      </c>
      <c r="HI38" s="479">
        <f t="shared" ref="HI38:HX44" si="353">-IF(HI$7&gt;=$E38,IF(HI$7&lt;=$F38,$D38/$G38,0),0)</f>
        <v>0</v>
      </c>
      <c r="HJ38" s="479">
        <f t="shared" si="353"/>
        <v>0</v>
      </c>
      <c r="HK38" s="479">
        <f t="shared" si="353"/>
        <v>0</v>
      </c>
      <c r="HL38" s="479">
        <f t="shared" si="353"/>
        <v>0</v>
      </c>
      <c r="HM38" s="479">
        <f t="shared" si="353"/>
        <v>0</v>
      </c>
      <c r="HN38" s="479">
        <f t="shared" si="353"/>
        <v>0</v>
      </c>
      <c r="HO38" s="479">
        <f t="shared" si="353"/>
        <v>0</v>
      </c>
      <c r="HP38" s="479">
        <f t="shared" si="353"/>
        <v>0</v>
      </c>
      <c r="HQ38" s="479">
        <f t="shared" si="353"/>
        <v>0</v>
      </c>
      <c r="HR38" s="479">
        <f t="shared" si="353"/>
        <v>0</v>
      </c>
      <c r="HS38" s="479">
        <f t="shared" si="353"/>
        <v>0</v>
      </c>
      <c r="HT38" s="479">
        <f t="shared" si="353"/>
        <v>0</v>
      </c>
      <c r="HU38" s="479">
        <f t="shared" si="353"/>
        <v>0</v>
      </c>
      <c r="HV38" s="479">
        <f t="shared" si="353"/>
        <v>0</v>
      </c>
      <c r="HW38" s="479">
        <f t="shared" si="353"/>
        <v>0</v>
      </c>
      <c r="HX38" s="479">
        <f t="shared" si="353"/>
        <v>0</v>
      </c>
      <c r="HY38" s="479">
        <f t="shared" ref="HY38:IN44" si="354">-IF(HY$7&gt;=$E38,IF(HY$7&lt;=$F38,$D38/$G38,0),0)</f>
        <v>0</v>
      </c>
      <c r="HZ38" s="479">
        <f t="shared" si="354"/>
        <v>0</v>
      </c>
      <c r="IA38" s="479">
        <f t="shared" si="354"/>
        <v>0</v>
      </c>
      <c r="IB38" s="479">
        <f t="shared" si="354"/>
        <v>0</v>
      </c>
      <c r="IC38" s="479">
        <f t="shared" si="354"/>
        <v>0</v>
      </c>
      <c r="ID38" s="479">
        <f t="shared" si="354"/>
        <v>0</v>
      </c>
      <c r="IE38" s="479">
        <f t="shared" si="354"/>
        <v>0</v>
      </c>
      <c r="IF38" s="479">
        <f t="shared" si="354"/>
        <v>0</v>
      </c>
      <c r="IG38" s="479">
        <f t="shared" si="354"/>
        <v>0</v>
      </c>
      <c r="IH38" s="479">
        <f t="shared" si="354"/>
        <v>0</v>
      </c>
      <c r="II38" s="479">
        <f t="shared" si="354"/>
        <v>0</v>
      </c>
      <c r="IJ38" s="479">
        <f t="shared" si="354"/>
        <v>0</v>
      </c>
      <c r="IK38" s="479">
        <f t="shared" si="354"/>
        <v>0</v>
      </c>
      <c r="IL38" s="479">
        <f t="shared" si="354"/>
        <v>0</v>
      </c>
      <c r="IM38" s="479">
        <f t="shared" si="354"/>
        <v>0</v>
      </c>
      <c r="IN38" s="479">
        <f t="shared" si="354"/>
        <v>0</v>
      </c>
      <c r="IO38" s="479">
        <f t="shared" ref="IO38:JD44" si="355">-IF(IO$7&gt;=$E38,IF(IO$7&lt;=$F38,$D38/$G38,0),0)</f>
        <v>0</v>
      </c>
      <c r="IP38" s="479">
        <f t="shared" si="355"/>
        <v>0</v>
      </c>
      <c r="IQ38" s="479">
        <f t="shared" si="355"/>
        <v>0</v>
      </c>
      <c r="IR38" s="479">
        <f t="shared" si="355"/>
        <v>0</v>
      </c>
      <c r="IS38" s="479">
        <f t="shared" si="355"/>
        <v>0</v>
      </c>
      <c r="IT38" s="479">
        <f t="shared" si="355"/>
        <v>0</v>
      </c>
      <c r="IU38" s="479">
        <f t="shared" si="355"/>
        <v>0</v>
      </c>
      <c r="IV38" s="479">
        <f t="shared" si="355"/>
        <v>0</v>
      </c>
      <c r="IW38" s="479">
        <f t="shared" si="355"/>
        <v>0</v>
      </c>
      <c r="IX38" s="479">
        <f t="shared" si="355"/>
        <v>0</v>
      </c>
      <c r="IY38" s="479">
        <f t="shared" si="355"/>
        <v>0</v>
      </c>
      <c r="IZ38" s="479">
        <f t="shared" si="355"/>
        <v>0</v>
      </c>
      <c r="JA38" s="479">
        <f t="shared" si="355"/>
        <v>0</v>
      </c>
      <c r="JB38" s="479">
        <f t="shared" si="355"/>
        <v>0</v>
      </c>
      <c r="JC38" s="479">
        <f t="shared" si="355"/>
        <v>0</v>
      </c>
      <c r="JD38" s="479">
        <f t="shared" si="355"/>
        <v>0</v>
      </c>
      <c r="JE38" s="479">
        <f t="shared" si="341"/>
        <v>0</v>
      </c>
      <c r="JF38" s="479">
        <f t="shared" si="341"/>
        <v>0</v>
      </c>
      <c r="JG38" s="479">
        <f t="shared" si="341"/>
        <v>0</v>
      </c>
      <c r="JH38" s="479">
        <f t="shared" si="341"/>
        <v>0</v>
      </c>
      <c r="JI38" s="479">
        <f t="shared" si="341"/>
        <v>0</v>
      </c>
      <c r="JJ38" s="479">
        <f t="shared" si="341"/>
        <v>0</v>
      </c>
      <c r="JK38" s="479">
        <f t="shared" si="341"/>
        <v>0</v>
      </c>
      <c r="JL38" s="479">
        <f t="shared" si="341"/>
        <v>0</v>
      </c>
      <c r="JM38" s="479">
        <f t="shared" si="341"/>
        <v>0</v>
      </c>
      <c r="JN38" s="479">
        <f t="shared" si="341"/>
        <v>0</v>
      </c>
      <c r="JO38" s="479">
        <f t="shared" si="341"/>
        <v>0</v>
      </c>
      <c r="JP38" s="479">
        <f t="shared" si="341"/>
        <v>0</v>
      </c>
      <c r="JQ38" s="479">
        <f t="shared" si="341"/>
        <v>0</v>
      </c>
      <c r="JR38" s="479">
        <f t="shared" si="341"/>
        <v>0</v>
      </c>
      <c r="JS38" s="479">
        <f t="shared" si="341"/>
        <v>0</v>
      </c>
      <c r="JT38" s="479">
        <f t="shared" si="341"/>
        <v>0</v>
      </c>
      <c r="JU38" s="479">
        <f t="shared" ref="JU38:KJ44" si="356">-IF(JU$7&gt;=$E38,IF(JU$7&lt;=$F38,$D38/$G38,0),0)</f>
        <v>0</v>
      </c>
      <c r="JV38" s="479">
        <f t="shared" si="356"/>
        <v>0</v>
      </c>
      <c r="JW38" s="479">
        <f t="shared" si="356"/>
        <v>0</v>
      </c>
      <c r="JX38" s="479">
        <f t="shared" si="356"/>
        <v>0</v>
      </c>
      <c r="JY38" s="479">
        <f t="shared" si="356"/>
        <v>0</v>
      </c>
      <c r="JZ38" s="479">
        <f t="shared" si="356"/>
        <v>0</v>
      </c>
      <c r="KA38" s="479">
        <f t="shared" si="356"/>
        <v>0</v>
      </c>
      <c r="KB38" s="479">
        <f t="shared" si="356"/>
        <v>0</v>
      </c>
      <c r="KC38" s="479">
        <f t="shared" si="356"/>
        <v>0</v>
      </c>
      <c r="KD38" s="479">
        <f t="shared" si="356"/>
        <v>0</v>
      </c>
      <c r="KE38" s="479">
        <f t="shared" si="356"/>
        <v>0</v>
      </c>
      <c r="KF38" s="479">
        <f t="shared" si="356"/>
        <v>0</v>
      </c>
      <c r="KG38" s="479">
        <f t="shared" si="356"/>
        <v>0</v>
      </c>
      <c r="KH38" s="479">
        <f t="shared" si="356"/>
        <v>0</v>
      </c>
      <c r="KI38" s="479">
        <f t="shared" si="356"/>
        <v>0</v>
      </c>
      <c r="KJ38" s="479">
        <f t="shared" si="356"/>
        <v>0</v>
      </c>
      <c r="KK38" s="479">
        <f t="shared" ref="KK38:KZ44" si="357">-IF(KK$7&gt;=$E38,IF(KK$7&lt;=$F38,$D38/$G38,0),0)</f>
        <v>0</v>
      </c>
      <c r="KL38" s="479">
        <f t="shared" si="357"/>
        <v>0</v>
      </c>
      <c r="KM38" s="479">
        <f t="shared" si="357"/>
        <v>0</v>
      </c>
      <c r="KN38" s="479">
        <f t="shared" si="357"/>
        <v>0</v>
      </c>
      <c r="KO38" s="479">
        <f t="shared" si="357"/>
        <v>0</v>
      </c>
      <c r="KP38" s="479">
        <f t="shared" si="357"/>
        <v>0</v>
      </c>
      <c r="KQ38" s="479">
        <f t="shared" si="357"/>
        <v>0</v>
      </c>
      <c r="KR38" s="479">
        <f t="shared" si="357"/>
        <v>0</v>
      </c>
      <c r="KS38" s="479">
        <f t="shared" si="357"/>
        <v>0</v>
      </c>
      <c r="KT38" s="479">
        <f t="shared" si="357"/>
        <v>0</v>
      </c>
      <c r="KU38" s="479">
        <f t="shared" si="357"/>
        <v>0</v>
      </c>
      <c r="KV38" s="479">
        <f t="shared" si="357"/>
        <v>0</v>
      </c>
      <c r="KW38" s="479">
        <f t="shared" si="357"/>
        <v>0</v>
      </c>
      <c r="KX38" s="479">
        <f t="shared" si="357"/>
        <v>0</v>
      </c>
      <c r="KY38" s="479">
        <f t="shared" si="357"/>
        <v>0</v>
      </c>
      <c r="KZ38" s="479">
        <f t="shared" si="357"/>
        <v>0</v>
      </c>
      <c r="LA38" s="479">
        <f t="shared" ref="LA38:LP44" si="358">-IF(LA$7&gt;=$E38,IF(LA$7&lt;=$F38,$D38/$G38,0),0)</f>
        <v>0</v>
      </c>
      <c r="LB38" s="479">
        <f t="shared" si="358"/>
        <v>0</v>
      </c>
      <c r="LC38" s="479">
        <f t="shared" si="358"/>
        <v>0</v>
      </c>
      <c r="LD38" s="479">
        <f t="shared" si="358"/>
        <v>0</v>
      </c>
      <c r="LE38" s="479">
        <f t="shared" si="358"/>
        <v>0</v>
      </c>
      <c r="LF38" s="479">
        <f t="shared" si="358"/>
        <v>0</v>
      </c>
      <c r="LG38" s="479">
        <f t="shared" si="358"/>
        <v>0</v>
      </c>
      <c r="LH38" s="479">
        <f t="shared" si="358"/>
        <v>0</v>
      </c>
      <c r="LI38" s="479">
        <f t="shared" si="358"/>
        <v>0</v>
      </c>
      <c r="LJ38" s="479">
        <f t="shared" si="358"/>
        <v>0</v>
      </c>
      <c r="LK38" s="479">
        <f t="shared" si="358"/>
        <v>0</v>
      </c>
      <c r="LL38" s="479">
        <f t="shared" si="358"/>
        <v>0</v>
      </c>
      <c r="LM38" s="479">
        <f t="shared" si="358"/>
        <v>0</v>
      </c>
      <c r="LN38" s="479">
        <f t="shared" si="358"/>
        <v>0</v>
      </c>
      <c r="LO38" s="479">
        <f t="shared" si="358"/>
        <v>0</v>
      </c>
      <c r="LP38" s="479">
        <f t="shared" si="358"/>
        <v>0</v>
      </c>
      <c r="LQ38" s="479">
        <f t="shared" si="342"/>
        <v>0</v>
      </c>
      <c r="LR38" s="479">
        <f t="shared" si="342"/>
        <v>0</v>
      </c>
      <c r="LS38" s="479">
        <f t="shared" si="342"/>
        <v>0</v>
      </c>
      <c r="LT38" s="479">
        <f t="shared" si="342"/>
        <v>0</v>
      </c>
      <c r="LU38" s="479">
        <f t="shared" si="342"/>
        <v>0</v>
      </c>
      <c r="LV38" s="479">
        <f t="shared" si="342"/>
        <v>0</v>
      </c>
      <c r="LW38" s="479">
        <f t="shared" si="342"/>
        <v>0</v>
      </c>
      <c r="LX38" s="479">
        <f t="shared" si="342"/>
        <v>0</v>
      </c>
      <c r="LY38" s="479">
        <f t="shared" si="342"/>
        <v>0</v>
      </c>
      <c r="LZ38" s="479">
        <f t="shared" si="342"/>
        <v>0</v>
      </c>
      <c r="MA38" s="479">
        <f t="shared" si="342"/>
        <v>0</v>
      </c>
      <c r="MB38" s="479">
        <f t="shared" si="342"/>
        <v>0</v>
      </c>
      <c r="MC38" s="479">
        <f t="shared" si="342"/>
        <v>0</v>
      </c>
      <c r="MD38" s="479">
        <f t="shared" si="342"/>
        <v>0</v>
      </c>
      <c r="ME38" s="479">
        <f t="shared" si="342"/>
        <v>0</v>
      </c>
      <c r="MF38" s="479">
        <f t="shared" si="342"/>
        <v>0</v>
      </c>
      <c r="MG38" s="479">
        <f t="shared" ref="MG38:MV44" si="359">-IF(MG$7&gt;=$E38,IF(MG$7&lt;=$F38,$D38/$G38,0),0)</f>
        <v>0</v>
      </c>
      <c r="MH38" s="479">
        <f t="shared" si="359"/>
        <v>0</v>
      </c>
      <c r="MI38" s="479">
        <f t="shared" si="359"/>
        <v>0</v>
      </c>
      <c r="MJ38" s="479">
        <f t="shared" si="359"/>
        <v>0</v>
      </c>
      <c r="MK38" s="479">
        <f t="shared" si="359"/>
        <v>0</v>
      </c>
      <c r="ML38" s="479">
        <f t="shared" si="359"/>
        <v>0</v>
      </c>
      <c r="MM38" s="479">
        <f t="shared" si="359"/>
        <v>0</v>
      </c>
      <c r="MN38" s="479">
        <f t="shared" si="359"/>
        <v>0</v>
      </c>
      <c r="MO38" s="479">
        <f t="shared" si="359"/>
        <v>0</v>
      </c>
      <c r="MP38" s="479">
        <f t="shared" si="359"/>
        <v>0</v>
      </c>
      <c r="MQ38" s="479">
        <f t="shared" si="359"/>
        <v>0</v>
      </c>
      <c r="MR38" s="479">
        <f t="shared" si="359"/>
        <v>0</v>
      </c>
      <c r="MS38" s="479">
        <f t="shared" si="359"/>
        <v>0</v>
      </c>
      <c r="MT38" s="479">
        <f t="shared" si="359"/>
        <v>0</v>
      </c>
      <c r="MU38" s="479">
        <f t="shared" si="359"/>
        <v>0</v>
      </c>
      <c r="MV38" s="479">
        <f t="shared" si="359"/>
        <v>0</v>
      </c>
      <c r="MW38" s="479">
        <f t="shared" ref="MW38:NL44" si="360">-IF(MW$7&gt;=$E38,IF(MW$7&lt;=$F38,$D38/$G38,0),0)</f>
        <v>0</v>
      </c>
      <c r="MX38" s="479">
        <f t="shared" si="360"/>
        <v>0</v>
      </c>
      <c r="MY38" s="479">
        <f t="shared" si="360"/>
        <v>0</v>
      </c>
      <c r="MZ38" s="479">
        <f t="shared" si="360"/>
        <v>0</v>
      </c>
      <c r="NA38" s="479">
        <f t="shared" si="360"/>
        <v>0</v>
      </c>
      <c r="NB38" s="479">
        <f t="shared" si="360"/>
        <v>0</v>
      </c>
      <c r="NC38" s="479">
        <f t="shared" si="360"/>
        <v>0</v>
      </c>
      <c r="ND38" s="479">
        <f t="shared" si="360"/>
        <v>0</v>
      </c>
      <c r="NE38" s="479">
        <f t="shared" si="360"/>
        <v>0</v>
      </c>
      <c r="NF38" s="479">
        <f t="shared" si="360"/>
        <v>0</v>
      </c>
      <c r="NG38" s="479">
        <f t="shared" si="360"/>
        <v>0</v>
      </c>
      <c r="NH38" s="479">
        <f t="shared" si="360"/>
        <v>0</v>
      </c>
      <c r="NI38" s="479">
        <f t="shared" si="360"/>
        <v>0</v>
      </c>
      <c r="NJ38" s="479">
        <f t="shared" si="360"/>
        <v>0</v>
      </c>
      <c r="NK38" s="479">
        <f t="shared" si="360"/>
        <v>0</v>
      </c>
      <c r="NL38" s="479">
        <f t="shared" si="360"/>
        <v>0</v>
      </c>
      <c r="NM38" s="479">
        <f t="shared" ref="NM38:OB44" si="361">-IF(NM$7&gt;=$E38,IF(NM$7&lt;=$F38,$D38/$G38,0),0)</f>
        <v>0</v>
      </c>
      <c r="NN38" s="479">
        <f t="shared" si="361"/>
        <v>0</v>
      </c>
      <c r="NO38" s="479">
        <f t="shared" si="361"/>
        <v>0</v>
      </c>
      <c r="NP38" s="479">
        <f t="shared" si="361"/>
        <v>0</v>
      </c>
      <c r="NQ38" s="479">
        <f t="shared" si="361"/>
        <v>0</v>
      </c>
      <c r="NR38" s="479">
        <f t="shared" si="361"/>
        <v>0</v>
      </c>
      <c r="NS38" s="479">
        <f t="shared" si="361"/>
        <v>0</v>
      </c>
      <c r="NT38" s="479">
        <f t="shared" si="361"/>
        <v>0</v>
      </c>
      <c r="NU38" s="479">
        <f t="shared" si="361"/>
        <v>0</v>
      </c>
      <c r="NV38" s="479">
        <f t="shared" si="361"/>
        <v>0</v>
      </c>
      <c r="NW38" s="479">
        <f t="shared" si="361"/>
        <v>0</v>
      </c>
      <c r="NX38" s="479">
        <f t="shared" si="361"/>
        <v>0</v>
      </c>
      <c r="NY38" s="479">
        <f t="shared" si="361"/>
        <v>0</v>
      </c>
      <c r="NZ38" s="479">
        <f t="shared" si="361"/>
        <v>0</v>
      </c>
      <c r="OA38" s="479">
        <f t="shared" si="361"/>
        <v>0</v>
      </c>
      <c r="OB38" s="479">
        <f t="shared" si="361"/>
        <v>0</v>
      </c>
      <c r="OC38" s="479">
        <f t="shared" si="343"/>
        <v>0</v>
      </c>
      <c r="OD38" s="479">
        <f t="shared" si="343"/>
        <v>0</v>
      </c>
      <c r="OE38" s="479">
        <f t="shared" si="330"/>
        <v>0</v>
      </c>
      <c r="OF38" s="479">
        <f t="shared" si="330"/>
        <v>0</v>
      </c>
      <c r="OG38" s="479">
        <f t="shared" si="330"/>
        <v>0</v>
      </c>
      <c r="OH38" s="479">
        <f t="shared" si="330"/>
        <v>0</v>
      </c>
      <c r="OI38" s="479">
        <f t="shared" si="330"/>
        <v>0</v>
      </c>
      <c r="OJ38" s="479">
        <f t="shared" si="330"/>
        <v>0</v>
      </c>
      <c r="OK38" s="479">
        <f t="shared" si="330"/>
        <v>0</v>
      </c>
      <c r="OL38" s="479">
        <f t="shared" si="330"/>
        <v>0</v>
      </c>
      <c r="OM38" s="479">
        <f t="shared" si="330"/>
        <v>0</v>
      </c>
      <c r="ON38" s="479">
        <f t="shared" si="330"/>
        <v>0</v>
      </c>
      <c r="OO38" s="479">
        <f t="shared" si="330"/>
        <v>0</v>
      </c>
    </row>
    <row r="39" spans="2:405">
      <c r="B39" s="97" t="str">
        <f>Assumptions!B104</f>
        <v>Permits / Fees</v>
      </c>
      <c r="C39" s="97"/>
      <c r="D39" s="500">
        <f>Assumptions!C104</f>
        <v>75000</v>
      </c>
      <c r="E39" s="507">
        <f>Assumptions!$C$8</f>
        <v>46204</v>
      </c>
      <c r="F39" s="507">
        <f>EOMONTH(E39,Assumptions!$C$9-1)</f>
        <v>46387</v>
      </c>
      <c r="G39" s="97">
        <f t="shared" si="323"/>
        <v>6</v>
      </c>
      <c r="H39" s="97"/>
      <c r="I39" s="97"/>
      <c r="J39" s="479">
        <f t="shared" si="331"/>
        <v>-12500</v>
      </c>
      <c r="K39" s="479">
        <f t="shared" si="331"/>
        <v>-12500</v>
      </c>
      <c r="L39" s="479">
        <f t="shared" si="331"/>
        <v>-12500</v>
      </c>
      <c r="M39" s="479">
        <f t="shared" si="331"/>
        <v>-12500</v>
      </c>
      <c r="N39" s="479">
        <f t="shared" si="331"/>
        <v>-12500</v>
      </c>
      <c r="O39" s="479">
        <f t="shared" si="331"/>
        <v>-12500</v>
      </c>
      <c r="P39" s="479">
        <f t="shared" si="331"/>
        <v>0</v>
      </c>
      <c r="Q39" s="479">
        <f t="shared" si="331"/>
        <v>0</v>
      </c>
      <c r="R39" s="479">
        <f t="shared" si="331"/>
        <v>0</v>
      </c>
      <c r="S39" s="479">
        <f t="shared" si="331"/>
        <v>0</v>
      </c>
      <c r="T39" s="479">
        <f t="shared" si="331"/>
        <v>0</v>
      </c>
      <c r="U39" s="479">
        <f t="shared" si="331"/>
        <v>0</v>
      </c>
      <c r="V39" s="479">
        <f t="shared" si="331"/>
        <v>0</v>
      </c>
      <c r="W39" s="479">
        <f t="shared" si="331"/>
        <v>0</v>
      </c>
      <c r="X39" s="479">
        <f t="shared" si="331"/>
        <v>0</v>
      </c>
      <c r="Y39" s="479">
        <f t="shared" si="331"/>
        <v>0</v>
      </c>
      <c r="Z39" s="479">
        <f t="shared" si="344"/>
        <v>0</v>
      </c>
      <c r="AA39" s="479">
        <f t="shared" si="344"/>
        <v>0</v>
      </c>
      <c r="AB39" s="479">
        <f t="shared" si="344"/>
        <v>0</v>
      </c>
      <c r="AC39" s="479">
        <f t="shared" si="344"/>
        <v>0</v>
      </c>
      <c r="AD39" s="479">
        <f t="shared" si="344"/>
        <v>0</v>
      </c>
      <c r="AE39" s="479">
        <f t="shared" si="344"/>
        <v>0</v>
      </c>
      <c r="AF39" s="479">
        <f t="shared" si="344"/>
        <v>0</v>
      </c>
      <c r="AG39" s="479">
        <f t="shared" si="344"/>
        <v>0</v>
      </c>
      <c r="AH39" s="479">
        <f t="shared" si="344"/>
        <v>0</v>
      </c>
      <c r="AI39" s="479">
        <f t="shared" si="344"/>
        <v>0</v>
      </c>
      <c r="AJ39" s="479">
        <f t="shared" si="344"/>
        <v>0</v>
      </c>
      <c r="AK39" s="479">
        <f t="shared" si="344"/>
        <v>0</v>
      </c>
      <c r="AL39" s="479">
        <f t="shared" si="344"/>
        <v>0</v>
      </c>
      <c r="AM39" s="479">
        <f t="shared" si="344"/>
        <v>0</v>
      </c>
      <c r="AN39" s="479">
        <f t="shared" si="344"/>
        <v>0</v>
      </c>
      <c r="AO39" s="479">
        <f t="shared" si="344"/>
        <v>0</v>
      </c>
      <c r="AP39" s="479">
        <f t="shared" si="345"/>
        <v>0</v>
      </c>
      <c r="AQ39" s="479">
        <f t="shared" si="345"/>
        <v>0</v>
      </c>
      <c r="AR39" s="479">
        <f t="shared" si="345"/>
        <v>0</v>
      </c>
      <c r="AS39" s="479">
        <f t="shared" si="345"/>
        <v>0</v>
      </c>
      <c r="AT39" s="479">
        <f t="shared" si="345"/>
        <v>0</v>
      </c>
      <c r="AU39" s="479">
        <f t="shared" si="345"/>
        <v>0</v>
      </c>
      <c r="AV39" s="479">
        <f t="shared" si="345"/>
        <v>0</v>
      </c>
      <c r="AW39" s="479">
        <f t="shared" si="345"/>
        <v>0</v>
      </c>
      <c r="AX39" s="479">
        <f t="shared" si="345"/>
        <v>0</v>
      </c>
      <c r="AY39" s="479">
        <f t="shared" si="345"/>
        <v>0</v>
      </c>
      <c r="AZ39" s="479">
        <f t="shared" si="345"/>
        <v>0</v>
      </c>
      <c r="BA39" s="479">
        <f t="shared" si="345"/>
        <v>0</v>
      </c>
      <c r="BB39" s="479">
        <f t="shared" si="345"/>
        <v>0</v>
      </c>
      <c r="BC39" s="479">
        <f t="shared" si="345"/>
        <v>0</v>
      </c>
      <c r="BD39" s="479">
        <f t="shared" si="345"/>
        <v>0</v>
      </c>
      <c r="BE39" s="479">
        <f t="shared" si="345"/>
        <v>0</v>
      </c>
      <c r="BF39" s="479">
        <f t="shared" si="346"/>
        <v>0</v>
      </c>
      <c r="BG39" s="479">
        <f t="shared" si="346"/>
        <v>0</v>
      </c>
      <c r="BH39" s="479">
        <f t="shared" si="346"/>
        <v>0</v>
      </c>
      <c r="BI39" s="479">
        <f t="shared" si="346"/>
        <v>0</v>
      </c>
      <c r="BJ39" s="479">
        <f t="shared" si="346"/>
        <v>0</v>
      </c>
      <c r="BK39" s="479">
        <f t="shared" si="346"/>
        <v>0</v>
      </c>
      <c r="BL39" s="479">
        <f t="shared" si="346"/>
        <v>0</v>
      </c>
      <c r="BM39" s="479">
        <f t="shared" si="346"/>
        <v>0</v>
      </c>
      <c r="BN39" s="479">
        <f t="shared" si="346"/>
        <v>0</v>
      </c>
      <c r="BO39" s="479">
        <f t="shared" si="346"/>
        <v>0</v>
      </c>
      <c r="BP39" s="479">
        <f t="shared" si="346"/>
        <v>0</v>
      </c>
      <c r="BQ39" s="479">
        <f t="shared" si="346"/>
        <v>0</v>
      </c>
      <c r="BR39" s="479">
        <f t="shared" si="346"/>
        <v>0</v>
      </c>
      <c r="BS39" s="479">
        <f t="shared" si="346"/>
        <v>0</v>
      </c>
      <c r="BT39" s="479">
        <f t="shared" si="346"/>
        <v>0</v>
      </c>
      <c r="BU39" s="479">
        <f t="shared" si="346"/>
        <v>0</v>
      </c>
      <c r="BV39" s="479">
        <f t="shared" si="338"/>
        <v>0</v>
      </c>
      <c r="BW39" s="479">
        <f t="shared" si="338"/>
        <v>0</v>
      </c>
      <c r="BX39" s="479">
        <f t="shared" si="338"/>
        <v>0</v>
      </c>
      <c r="BY39" s="479">
        <f t="shared" si="338"/>
        <v>0</v>
      </c>
      <c r="BZ39" s="479">
        <f t="shared" si="338"/>
        <v>0</v>
      </c>
      <c r="CA39" s="479">
        <f t="shared" si="338"/>
        <v>0</v>
      </c>
      <c r="CB39" s="479">
        <f t="shared" si="338"/>
        <v>0</v>
      </c>
      <c r="CC39" s="479">
        <f t="shared" si="338"/>
        <v>0</v>
      </c>
      <c r="CD39" s="479">
        <f t="shared" si="338"/>
        <v>0</v>
      </c>
      <c r="CE39" s="479">
        <f t="shared" si="338"/>
        <v>0</v>
      </c>
      <c r="CF39" s="479">
        <f t="shared" si="338"/>
        <v>0</v>
      </c>
      <c r="CG39" s="479">
        <f t="shared" si="338"/>
        <v>0</v>
      </c>
      <c r="CH39" s="479">
        <f t="shared" si="338"/>
        <v>0</v>
      </c>
      <c r="CI39" s="479">
        <f t="shared" si="338"/>
        <v>0</v>
      </c>
      <c r="CJ39" s="479">
        <f t="shared" si="338"/>
        <v>0</v>
      </c>
      <c r="CK39" s="479">
        <f t="shared" si="347"/>
        <v>0</v>
      </c>
      <c r="CL39" s="479">
        <f t="shared" si="347"/>
        <v>0</v>
      </c>
      <c r="CM39" s="479">
        <f t="shared" si="347"/>
        <v>0</v>
      </c>
      <c r="CN39" s="479">
        <f t="shared" si="347"/>
        <v>0</v>
      </c>
      <c r="CO39" s="479">
        <f t="shared" si="347"/>
        <v>0</v>
      </c>
      <c r="CP39" s="479">
        <f t="shared" si="347"/>
        <v>0</v>
      </c>
      <c r="CQ39" s="479">
        <f t="shared" si="347"/>
        <v>0</v>
      </c>
      <c r="CR39" s="479">
        <f t="shared" si="347"/>
        <v>0</v>
      </c>
      <c r="CS39" s="479">
        <f t="shared" si="347"/>
        <v>0</v>
      </c>
      <c r="CT39" s="479">
        <f t="shared" si="347"/>
        <v>0</v>
      </c>
      <c r="CU39" s="479">
        <f t="shared" si="347"/>
        <v>0</v>
      </c>
      <c r="CV39" s="479">
        <f t="shared" si="347"/>
        <v>0</v>
      </c>
      <c r="CW39" s="479">
        <f t="shared" si="347"/>
        <v>0</v>
      </c>
      <c r="CX39" s="479">
        <f t="shared" si="347"/>
        <v>0</v>
      </c>
      <c r="CY39" s="479">
        <f t="shared" si="347"/>
        <v>0</v>
      </c>
      <c r="CZ39" s="479">
        <f t="shared" si="347"/>
        <v>0</v>
      </c>
      <c r="DA39" s="479">
        <f t="shared" si="348"/>
        <v>0</v>
      </c>
      <c r="DB39" s="479">
        <f t="shared" si="348"/>
        <v>0</v>
      </c>
      <c r="DC39" s="479">
        <f t="shared" si="348"/>
        <v>0</v>
      </c>
      <c r="DD39" s="479">
        <f t="shared" si="348"/>
        <v>0</v>
      </c>
      <c r="DE39" s="479">
        <f t="shared" si="348"/>
        <v>0</v>
      </c>
      <c r="DF39" s="479">
        <f t="shared" si="348"/>
        <v>0</v>
      </c>
      <c r="DG39" s="479">
        <f t="shared" si="348"/>
        <v>0</v>
      </c>
      <c r="DH39" s="479">
        <f t="shared" si="348"/>
        <v>0</v>
      </c>
      <c r="DI39" s="479">
        <f t="shared" si="348"/>
        <v>0</v>
      </c>
      <c r="DJ39" s="479">
        <f t="shared" si="348"/>
        <v>0</v>
      </c>
      <c r="DK39" s="479">
        <f t="shared" si="348"/>
        <v>0</v>
      </c>
      <c r="DL39" s="479">
        <f t="shared" si="348"/>
        <v>0</v>
      </c>
      <c r="DM39" s="479">
        <f t="shared" si="348"/>
        <v>0</v>
      </c>
      <c r="DN39" s="479">
        <f t="shared" si="348"/>
        <v>0</v>
      </c>
      <c r="DO39" s="479">
        <f t="shared" si="348"/>
        <v>0</v>
      </c>
      <c r="DP39" s="479">
        <f t="shared" si="348"/>
        <v>0</v>
      </c>
      <c r="DQ39" s="479">
        <f t="shared" si="349"/>
        <v>0</v>
      </c>
      <c r="DR39" s="479">
        <f t="shared" si="349"/>
        <v>0</v>
      </c>
      <c r="DS39" s="479">
        <f t="shared" si="349"/>
        <v>0</v>
      </c>
      <c r="DT39" s="479">
        <f t="shared" si="349"/>
        <v>0</v>
      </c>
      <c r="DU39" s="479">
        <f t="shared" si="349"/>
        <v>0</v>
      </c>
      <c r="DV39" s="479">
        <f t="shared" si="349"/>
        <v>0</v>
      </c>
      <c r="DW39" s="479">
        <f t="shared" si="349"/>
        <v>0</v>
      </c>
      <c r="DX39" s="479">
        <f t="shared" si="349"/>
        <v>0</v>
      </c>
      <c r="DY39" s="479">
        <f t="shared" si="349"/>
        <v>0</v>
      </c>
      <c r="DZ39" s="479">
        <f t="shared" si="349"/>
        <v>0</v>
      </c>
      <c r="EA39" s="479">
        <f t="shared" si="349"/>
        <v>0</v>
      </c>
      <c r="EB39" s="479">
        <f t="shared" si="349"/>
        <v>0</v>
      </c>
      <c r="EC39" s="479">
        <f t="shared" si="349"/>
        <v>0</v>
      </c>
      <c r="ED39" s="479">
        <f t="shared" si="349"/>
        <v>0</v>
      </c>
      <c r="EE39" s="479">
        <f t="shared" si="349"/>
        <v>0</v>
      </c>
      <c r="EF39" s="479">
        <f t="shared" si="349"/>
        <v>0</v>
      </c>
      <c r="EG39" s="479">
        <f t="shared" si="339"/>
        <v>0</v>
      </c>
      <c r="EH39" s="479">
        <f t="shared" si="339"/>
        <v>0</v>
      </c>
      <c r="EI39" s="479">
        <f t="shared" si="339"/>
        <v>0</v>
      </c>
      <c r="EJ39" s="479">
        <f t="shared" si="339"/>
        <v>0</v>
      </c>
      <c r="EK39" s="479">
        <f t="shared" si="339"/>
        <v>0</v>
      </c>
      <c r="EL39" s="479">
        <f t="shared" si="339"/>
        <v>0</v>
      </c>
      <c r="EM39" s="479">
        <f t="shared" si="339"/>
        <v>0</v>
      </c>
      <c r="EN39" s="479">
        <f t="shared" si="339"/>
        <v>0</v>
      </c>
      <c r="EO39" s="479">
        <f t="shared" si="339"/>
        <v>0</v>
      </c>
      <c r="EP39" s="479">
        <f t="shared" si="339"/>
        <v>0</v>
      </c>
      <c r="EQ39" s="479">
        <f t="shared" si="339"/>
        <v>0</v>
      </c>
      <c r="ER39" s="479">
        <f t="shared" si="339"/>
        <v>0</v>
      </c>
      <c r="ES39" s="479">
        <f t="shared" si="339"/>
        <v>0</v>
      </c>
      <c r="ET39" s="479">
        <f t="shared" si="339"/>
        <v>0</v>
      </c>
      <c r="EU39" s="479">
        <f t="shared" si="339"/>
        <v>0</v>
      </c>
      <c r="EV39" s="479">
        <f t="shared" si="339"/>
        <v>0</v>
      </c>
      <c r="EW39" s="479">
        <f t="shared" si="350"/>
        <v>0</v>
      </c>
      <c r="EX39" s="479">
        <f t="shared" si="350"/>
        <v>0</v>
      </c>
      <c r="EY39" s="479">
        <f t="shared" si="350"/>
        <v>0</v>
      </c>
      <c r="EZ39" s="479">
        <f t="shared" si="350"/>
        <v>0</v>
      </c>
      <c r="FA39" s="479">
        <f t="shared" si="350"/>
        <v>0</v>
      </c>
      <c r="FB39" s="479">
        <f t="shared" si="350"/>
        <v>0</v>
      </c>
      <c r="FC39" s="479">
        <f t="shared" si="350"/>
        <v>0</v>
      </c>
      <c r="FD39" s="479">
        <f t="shared" si="350"/>
        <v>0</v>
      </c>
      <c r="FE39" s="479">
        <f t="shared" si="350"/>
        <v>0</v>
      </c>
      <c r="FF39" s="479">
        <f t="shared" si="350"/>
        <v>0</v>
      </c>
      <c r="FG39" s="479">
        <f t="shared" si="350"/>
        <v>0</v>
      </c>
      <c r="FH39" s="479">
        <f t="shared" si="350"/>
        <v>0</v>
      </c>
      <c r="FI39" s="479">
        <f t="shared" si="350"/>
        <v>0</v>
      </c>
      <c r="FJ39" s="479">
        <f t="shared" si="350"/>
        <v>0</v>
      </c>
      <c r="FK39" s="479">
        <f t="shared" si="350"/>
        <v>0</v>
      </c>
      <c r="FL39" s="479">
        <f t="shared" si="350"/>
        <v>0</v>
      </c>
      <c r="FM39" s="479">
        <f t="shared" si="351"/>
        <v>0</v>
      </c>
      <c r="FN39" s="479">
        <f t="shared" si="351"/>
        <v>0</v>
      </c>
      <c r="FO39" s="479">
        <f t="shared" si="351"/>
        <v>0</v>
      </c>
      <c r="FP39" s="479">
        <f t="shared" si="351"/>
        <v>0</v>
      </c>
      <c r="FQ39" s="479">
        <f t="shared" si="351"/>
        <v>0</v>
      </c>
      <c r="FR39" s="479">
        <f t="shared" si="351"/>
        <v>0</v>
      </c>
      <c r="FS39" s="479">
        <f t="shared" si="351"/>
        <v>0</v>
      </c>
      <c r="FT39" s="479">
        <f t="shared" si="351"/>
        <v>0</v>
      </c>
      <c r="FU39" s="479">
        <f t="shared" si="351"/>
        <v>0</v>
      </c>
      <c r="FV39" s="479">
        <f t="shared" si="351"/>
        <v>0</v>
      </c>
      <c r="FW39" s="479">
        <f t="shared" si="351"/>
        <v>0</v>
      </c>
      <c r="FX39" s="479">
        <f t="shared" si="351"/>
        <v>0</v>
      </c>
      <c r="FY39" s="479">
        <f t="shared" si="351"/>
        <v>0</v>
      </c>
      <c r="FZ39" s="479">
        <f t="shared" si="351"/>
        <v>0</v>
      </c>
      <c r="GA39" s="479">
        <f t="shared" si="351"/>
        <v>0</v>
      </c>
      <c r="GB39" s="479">
        <f t="shared" si="351"/>
        <v>0</v>
      </c>
      <c r="GC39" s="479">
        <f t="shared" si="352"/>
        <v>0</v>
      </c>
      <c r="GD39" s="479">
        <f t="shared" si="352"/>
        <v>0</v>
      </c>
      <c r="GE39" s="479">
        <f t="shared" si="352"/>
        <v>0</v>
      </c>
      <c r="GF39" s="479">
        <f t="shared" si="352"/>
        <v>0</v>
      </c>
      <c r="GG39" s="479">
        <f t="shared" si="352"/>
        <v>0</v>
      </c>
      <c r="GH39" s="479">
        <f t="shared" si="352"/>
        <v>0</v>
      </c>
      <c r="GI39" s="479">
        <f t="shared" si="352"/>
        <v>0</v>
      </c>
      <c r="GJ39" s="479">
        <f t="shared" si="352"/>
        <v>0</v>
      </c>
      <c r="GK39" s="479">
        <f t="shared" si="352"/>
        <v>0</v>
      </c>
      <c r="GL39" s="479">
        <f t="shared" si="352"/>
        <v>0</v>
      </c>
      <c r="GM39" s="479">
        <f t="shared" si="352"/>
        <v>0</v>
      </c>
      <c r="GN39" s="479">
        <f t="shared" si="352"/>
        <v>0</v>
      </c>
      <c r="GO39" s="479">
        <f t="shared" si="352"/>
        <v>0</v>
      </c>
      <c r="GP39" s="479">
        <f t="shared" si="352"/>
        <v>0</v>
      </c>
      <c r="GQ39" s="479">
        <f t="shared" si="352"/>
        <v>0</v>
      </c>
      <c r="GR39" s="479">
        <f t="shared" si="352"/>
        <v>0</v>
      </c>
      <c r="GS39" s="479">
        <f t="shared" si="340"/>
        <v>0</v>
      </c>
      <c r="GT39" s="479">
        <f t="shared" si="340"/>
        <v>0</v>
      </c>
      <c r="GU39" s="479">
        <f t="shared" si="340"/>
        <v>0</v>
      </c>
      <c r="GV39" s="479">
        <f t="shared" si="340"/>
        <v>0</v>
      </c>
      <c r="GW39" s="479">
        <f t="shared" si="340"/>
        <v>0</v>
      </c>
      <c r="GX39" s="479">
        <f t="shared" si="340"/>
        <v>0</v>
      </c>
      <c r="GY39" s="479">
        <f t="shared" si="340"/>
        <v>0</v>
      </c>
      <c r="GZ39" s="479">
        <f t="shared" si="340"/>
        <v>0</v>
      </c>
      <c r="HA39" s="479">
        <f t="shared" si="340"/>
        <v>0</v>
      </c>
      <c r="HB39" s="479">
        <f t="shared" si="340"/>
        <v>0</v>
      </c>
      <c r="HC39" s="479">
        <f t="shared" si="340"/>
        <v>0</v>
      </c>
      <c r="HD39" s="479">
        <f t="shared" si="340"/>
        <v>0</v>
      </c>
      <c r="HE39" s="479">
        <f t="shared" si="340"/>
        <v>0</v>
      </c>
      <c r="HF39" s="479">
        <f t="shared" si="340"/>
        <v>0</v>
      </c>
      <c r="HG39" s="479">
        <f t="shared" si="340"/>
        <v>0</v>
      </c>
      <c r="HH39" s="479">
        <f t="shared" si="340"/>
        <v>0</v>
      </c>
      <c r="HI39" s="479">
        <f t="shared" si="353"/>
        <v>0</v>
      </c>
      <c r="HJ39" s="479">
        <f t="shared" si="353"/>
        <v>0</v>
      </c>
      <c r="HK39" s="479">
        <f t="shared" si="353"/>
        <v>0</v>
      </c>
      <c r="HL39" s="479">
        <f t="shared" si="353"/>
        <v>0</v>
      </c>
      <c r="HM39" s="479">
        <f t="shared" si="353"/>
        <v>0</v>
      </c>
      <c r="HN39" s="479">
        <f t="shared" si="353"/>
        <v>0</v>
      </c>
      <c r="HO39" s="479">
        <f t="shared" si="353"/>
        <v>0</v>
      </c>
      <c r="HP39" s="479">
        <f t="shared" si="353"/>
        <v>0</v>
      </c>
      <c r="HQ39" s="479">
        <f t="shared" si="353"/>
        <v>0</v>
      </c>
      <c r="HR39" s="479">
        <f t="shared" si="353"/>
        <v>0</v>
      </c>
      <c r="HS39" s="479">
        <f t="shared" si="353"/>
        <v>0</v>
      </c>
      <c r="HT39" s="479">
        <f t="shared" si="353"/>
        <v>0</v>
      </c>
      <c r="HU39" s="479">
        <f t="shared" si="353"/>
        <v>0</v>
      </c>
      <c r="HV39" s="479">
        <f t="shared" si="353"/>
        <v>0</v>
      </c>
      <c r="HW39" s="479">
        <f t="shared" si="353"/>
        <v>0</v>
      </c>
      <c r="HX39" s="479">
        <f t="shared" si="353"/>
        <v>0</v>
      </c>
      <c r="HY39" s="479">
        <f t="shared" si="354"/>
        <v>0</v>
      </c>
      <c r="HZ39" s="479">
        <f t="shared" si="354"/>
        <v>0</v>
      </c>
      <c r="IA39" s="479">
        <f t="shared" si="354"/>
        <v>0</v>
      </c>
      <c r="IB39" s="479">
        <f t="shared" si="354"/>
        <v>0</v>
      </c>
      <c r="IC39" s="479">
        <f t="shared" si="354"/>
        <v>0</v>
      </c>
      <c r="ID39" s="479">
        <f t="shared" si="354"/>
        <v>0</v>
      </c>
      <c r="IE39" s="479">
        <f t="shared" si="354"/>
        <v>0</v>
      </c>
      <c r="IF39" s="479">
        <f t="shared" si="354"/>
        <v>0</v>
      </c>
      <c r="IG39" s="479">
        <f t="shared" si="354"/>
        <v>0</v>
      </c>
      <c r="IH39" s="479">
        <f t="shared" si="354"/>
        <v>0</v>
      </c>
      <c r="II39" s="479">
        <f t="shared" si="354"/>
        <v>0</v>
      </c>
      <c r="IJ39" s="479">
        <f t="shared" si="354"/>
        <v>0</v>
      </c>
      <c r="IK39" s="479">
        <f t="shared" si="354"/>
        <v>0</v>
      </c>
      <c r="IL39" s="479">
        <f t="shared" si="354"/>
        <v>0</v>
      </c>
      <c r="IM39" s="479">
        <f t="shared" si="354"/>
        <v>0</v>
      </c>
      <c r="IN39" s="479">
        <f t="shared" si="354"/>
        <v>0</v>
      </c>
      <c r="IO39" s="479">
        <f t="shared" si="355"/>
        <v>0</v>
      </c>
      <c r="IP39" s="479">
        <f t="shared" si="355"/>
        <v>0</v>
      </c>
      <c r="IQ39" s="479">
        <f t="shared" si="355"/>
        <v>0</v>
      </c>
      <c r="IR39" s="479">
        <f t="shared" si="355"/>
        <v>0</v>
      </c>
      <c r="IS39" s="479">
        <f t="shared" si="355"/>
        <v>0</v>
      </c>
      <c r="IT39" s="479">
        <f t="shared" si="355"/>
        <v>0</v>
      </c>
      <c r="IU39" s="479">
        <f t="shared" si="355"/>
        <v>0</v>
      </c>
      <c r="IV39" s="479">
        <f t="shared" si="355"/>
        <v>0</v>
      </c>
      <c r="IW39" s="479">
        <f t="shared" si="355"/>
        <v>0</v>
      </c>
      <c r="IX39" s="479">
        <f t="shared" si="355"/>
        <v>0</v>
      </c>
      <c r="IY39" s="479">
        <f t="shared" si="355"/>
        <v>0</v>
      </c>
      <c r="IZ39" s="479">
        <f t="shared" si="355"/>
        <v>0</v>
      </c>
      <c r="JA39" s="479">
        <f t="shared" si="355"/>
        <v>0</v>
      </c>
      <c r="JB39" s="479">
        <f t="shared" si="355"/>
        <v>0</v>
      </c>
      <c r="JC39" s="479">
        <f t="shared" si="355"/>
        <v>0</v>
      </c>
      <c r="JD39" s="479">
        <f t="shared" si="355"/>
        <v>0</v>
      </c>
      <c r="JE39" s="479">
        <f t="shared" si="341"/>
        <v>0</v>
      </c>
      <c r="JF39" s="479">
        <f t="shared" si="341"/>
        <v>0</v>
      </c>
      <c r="JG39" s="479">
        <f t="shared" si="341"/>
        <v>0</v>
      </c>
      <c r="JH39" s="479">
        <f t="shared" si="341"/>
        <v>0</v>
      </c>
      <c r="JI39" s="479">
        <f t="shared" si="341"/>
        <v>0</v>
      </c>
      <c r="JJ39" s="479">
        <f t="shared" si="341"/>
        <v>0</v>
      </c>
      <c r="JK39" s="479">
        <f t="shared" si="341"/>
        <v>0</v>
      </c>
      <c r="JL39" s="479">
        <f t="shared" si="341"/>
        <v>0</v>
      </c>
      <c r="JM39" s="479">
        <f t="shared" si="341"/>
        <v>0</v>
      </c>
      <c r="JN39" s="479">
        <f t="shared" si="341"/>
        <v>0</v>
      </c>
      <c r="JO39" s="479">
        <f t="shared" si="341"/>
        <v>0</v>
      </c>
      <c r="JP39" s="479">
        <f t="shared" si="341"/>
        <v>0</v>
      </c>
      <c r="JQ39" s="479">
        <f t="shared" si="341"/>
        <v>0</v>
      </c>
      <c r="JR39" s="479">
        <f t="shared" si="341"/>
        <v>0</v>
      </c>
      <c r="JS39" s="479">
        <f t="shared" si="341"/>
        <v>0</v>
      </c>
      <c r="JT39" s="479">
        <f t="shared" si="341"/>
        <v>0</v>
      </c>
      <c r="JU39" s="479">
        <f t="shared" si="356"/>
        <v>0</v>
      </c>
      <c r="JV39" s="479">
        <f t="shared" si="356"/>
        <v>0</v>
      </c>
      <c r="JW39" s="479">
        <f t="shared" si="356"/>
        <v>0</v>
      </c>
      <c r="JX39" s="479">
        <f t="shared" si="356"/>
        <v>0</v>
      </c>
      <c r="JY39" s="479">
        <f t="shared" si="356"/>
        <v>0</v>
      </c>
      <c r="JZ39" s="479">
        <f t="shared" si="356"/>
        <v>0</v>
      </c>
      <c r="KA39" s="479">
        <f t="shared" si="356"/>
        <v>0</v>
      </c>
      <c r="KB39" s="479">
        <f t="shared" si="356"/>
        <v>0</v>
      </c>
      <c r="KC39" s="479">
        <f t="shared" si="356"/>
        <v>0</v>
      </c>
      <c r="KD39" s="479">
        <f t="shared" si="356"/>
        <v>0</v>
      </c>
      <c r="KE39" s="479">
        <f t="shared" si="356"/>
        <v>0</v>
      </c>
      <c r="KF39" s="479">
        <f t="shared" si="356"/>
        <v>0</v>
      </c>
      <c r="KG39" s="479">
        <f t="shared" si="356"/>
        <v>0</v>
      </c>
      <c r="KH39" s="479">
        <f t="shared" si="356"/>
        <v>0</v>
      </c>
      <c r="KI39" s="479">
        <f t="shared" si="356"/>
        <v>0</v>
      </c>
      <c r="KJ39" s="479">
        <f t="shared" si="356"/>
        <v>0</v>
      </c>
      <c r="KK39" s="479">
        <f t="shared" si="357"/>
        <v>0</v>
      </c>
      <c r="KL39" s="479">
        <f t="shared" si="357"/>
        <v>0</v>
      </c>
      <c r="KM39" s="479">
        <f t="shared" si="357"/>
        <v>0</v>
      </c>
      <c r="KN39" s="479">
        <f t="shared" si="357"/>
        <v>0</v>
      </c>
      <c r="KO39" s="479">
        <f t="shared" si="357"/>
        <v>0</v>
      </c>
      <c r="KP39" s="479">
        <f t="shared" si="357"/>
        <v>0</v>
      </c>
      <c r="KQ39" s="479">
        <f t="shared" si="357"/>
        <v>0</v>
      </c>
      <c r="KR39" s="479">
        <f t="shared" si="357"/>
        <v>0</v>
      </c>
      <c r="KS39" s="479">
        <f t="shared" si="357"/>
        <v>0</v>
      </c>
      <c r="KT39" s="479">
        <f t="shared" si="357"/>
        <v>0</v>
      </c>
      <c r="KU39" s="479">
        <f t="shared" si="357"/>
        <v>0</v>
      </c>
      <c r="KV39" s="479">
        <f t="shared" si="357"/>
        <v>0</v>
      </c>
      <c r="KW39" s="479">
        <f t="shared" si="357"/>
        <v>0</v>
      </c>
      <c r="KX39" s="479">
        <f t="shared" si="357"/>
        <v>0</v>
      </c>
      <c r="KY39" s="479">
        <f t="shared" si="357"/>
        <v>0</v>
      </c>
      <c r="KZ39" s="479">
        <f t="shared" si="357"/>
        <v>0</v>
      </c>
      <c r="LA39" s="479">
        <f t="shared" si="358"/>
        <v>0</v>
      </c>
      <c r="LB39" s="479">
        <f t="shared" si="358"/>
        <v>0</v>
      </c>
      <c r="LC39" s="479">
        <f t="shared" si="358"/>
        <v>0</v>
      </c>
      <c r="LD39" s="479">
        <f t="shared" si="358"/>
        <v>0</v>
      </c>
      <c r="LE39" s="479">
        <f t="shared" si="358"/>
        <v>0</v>
      </c>
      <c r="LF39" s="479">
        <f t="shared" si="358"/>
        <v>0</v>
      </c>
      <c r="LG39" s="479">
        <f t="shared" si="358"/>
        <v>0</v>
      </c>
      <c r="LH39" s="479">
        <f t="shared" si="358"/>
        <v>0</v>
      </c>
      <c r="LI39" s="479">
        <f t="shared" si="358"/>
        <v>0</v>
      </c>
      <c r="LJ39" s="479">
        <f t="shared" si="358"/>
        <v>0</v>
      </c>
      <c r="LK39" s="479">
        <f t="shared" si="358"/>
        <v>0</v>
      </c>
      <c r="LL39" s="479">
        <f t="shared" si="358"/>
        <v>0</v>
      </c>
      <c r="LM39" s="479">
        <f t="shared" si="358"/>
        <v>0</v>
      </c>
      <c r="LN39" s="479">
        <f t="shared" si="358"/>
        <v>0</v>
      </c>
      <c r="LO39" s="479">
        <f t="shared" si="358"/>
        <v>0</v>
      </c>
      <c r="LP39" s="479">
        <f t="shared" si="358"/>
        <v>0</v>
      </c>
      <c r="LQ39" s="479">
        <f t="shared" si="342"/>
        <v>0</v>
      </c>
      <c r="LR39" s="479">
        <f t="shared" si="342"/>
        <v>0</v>
      </c>
      <c r="LS39" s="479">
        <f t="shared" si="342"/>
        <v>0</v>
      </c>
      <c r="LT39" s="479">
        <f t="shared" si="342"/>
        <v>0</v>
      </c>
      <c r="LU39" s="479">
        <f t="shared" si="342"/>
        <v>0</v>
      </c>
      <c r="LV39" s="479">
        <f t="shared" si="342"/>
        <v>0</v>
      </c>
      <c r="LW39" s="479">
        <f t="shared" si="342"/>
        <v>0</v>
      </c>
      <c r="LX39" s="479">
        <f t="shared" si="342"/>
        <v>0</v>
      </c>
      <c r="LY39" s="479">
        <f t="shared" si="342"/>
        <v>0</v>
      </c>
      <c r="LZ39" s="479">
        <f t="shared" si="342"/>
        <v>0</v>
      </c>
      <c r="MA39" s="479">
        <f t="shared" si="342"/>
        <v>0</v>
      </c>
      <c r="MB39" s="479">
        <f t="shared" si="342"/>
        <v>0</v>
      </c>
      <c r="MC39" s="479">
        <f t="shared" si="342"/>
        <v>0</v>
      </c>
      <c r="MD39" s="479">
        <f t="shared" si="342"/>
        <v>0</v>
      </c>
      <c r="ME39" s="479">
        <f t="shared" si="342"/>
        <v>0</v>
      </c>
      <c r="MF39" s="479">
        <f t="shared" si="342"/>
        <v>0</v>
      </c>
      <c r="MG39" s="479">
        <f t="shared" si="359"/>
        <v>0</v>
      </c>
      <c r="MH39" s="479">
        <f t="shared" si="359"/>
        <v>0</v>
      </c>
      <c r="MI39" s="479">
        <f t="shared" si="359"/>
        <v>0</v>
      </c>
      <c r="MJ39" s="479">
        <f t="shared" si="359"/>
        <v>0</v>
      </c>
      <c r="MK39" s="479">
        <f t="shared" si="359"/>
        <v>0</v>
      </c>
      <c r="ML39" s="479">
        <f t="shared" si="359"/>
        <v>0</v>
      </c>
      <c r="MM39" s="479">
        <f t="shared" si="359"/>
        <v>0</v>
      </c>
      <c r="MN39" s="479">
        <f t="shared" si="359"/>
        <v>0</v>
      </c>
      <c r="MO39" s="479">
        <f t="shared" si="359"/>
        <v>0</v>
      </c>
      <c r="MP39" s="479">
        <f t="shared" si="359"/>
        <v>0</v>
      </c>
      <c r="MQ39" s="479">
        <f t="shared" si="359"/>
        <v>0</v>
      </c>
      <c r="MR39" s="479">
        <f t="shared" si="359"/>
        <v>0</v>
      </c>
      <c r="MS39" s="479">
        <f t="shared" si="359"/>
        <v>0</v>
      </c>
      <c r="MT39" s="479">
        <f t="shared" si="359"/>
        <v>0</v>
      </c>
      <c r="MU39" s="479">
        <f t="shared" si="359"/>
        <v>0</v>
      </c>
      <c r="MV39" s="479">
        <f t="shared" si="359"/>
        <v>0</v>
      </c>
      <c r="MW39" s="479">
        <f t="shared" si="360"/>
        <v>0</v>
      </c>
      <c r="MX39" s="479">
        <f t="shared" si="360"/>
        <v>0</v>
      </c>
      <c r="MY39" s="479">
        <f t="shared" si="360"/>
        <v>0</v>
      </c>
      <c r="MZ39" s="479">
        <f t="shared" si="360"/>
        <v>0</v>
      </c>
      <c r="NA39" s="479">
        <f t="shared" si="360"/>
        <v>0</v>
      </c>
      <c r="NB39" s="479">
        <f t="shared" si="360"/>
        <v>0</v>
      </c>
      <c r="NC39" s="479">
        <f t="shared" si="360"/>
        <v>0</v>
      </c>
      <c r="ND39" s="479">
        <f t="shared" si="360"/>
        <v>0</v>
      </c>
      <c r="NE39" s="479">
        <f t="shared" si="360"/>
        <v>0</v>
      </c>
      <c r="NF39" s="479">
        <f t="shared" si="360"/>
        <v>0</v>
      </c>
      <c r="NG39" s="479">
        <f t="shared" si="360"/>
        <v>0</v>
      </c>
      <c r="NH39" s="479">
        <f t="shared" si="360"/>
        <v>0</v>
      </c>
      <c r="NI39" s="479">
        <f t="shared" si="360"/>
        <v>0</v>
      </c>
      <c r="NJ39" s="479">
        <f t="shared" si="360"/>
        <v>0</v>
      </c>
      <c r="NK39" s="479">
        <f t="shared" si="360"/>
        <v>0</v>
      </c>
      <c r="NL39" s="479">
        <f t="shared" si="360"/>
        <v>0</v>
      </c>
      <c r="NM39" s="479">
        <f t="shared" si="361"/>
        <v>0</v>
      </c>
      <c r="NN39" s="479">
        <f t="shared" si="361"/>
        <v>0</v>
      </c>
      <c r="NO39" s="479">
        <f t="shared" si="361"/>
        <v>0</v>
      </c>
      <c r="NP39" s="479">
        <f t="shared" si="361"/>
        <v>0</v>
      </c>
      <c r="NQ39" s="479">
        <f t="shared" si="361"/>
        <v>0</v>
      </c>
      <c r="NR39" s="479">
        <f t="shared" si="361"/>
        <v>0</v>
      </c>
      <c r="NS39" s="479">
        <f t="shared" si="361"/>
        <v>0</v>
      </c>
      <c r="NT39" s="479">
        <f t="shared" si="361"/>
        <v>0</v>
      </c>
      <c r="NU39" s="479">
        <f t="shared" si="361"/>
        <v>0</v>
      </c>
      <c r="NV39" s="479">
        <f t="shared" si="361"/>
        <v>0</v>
      </c>
      <c r="NW39" s="479">
        <f t="shared" si="361"/>
        <v>0</v>
      </c>
      <c r="NX39" s="479">
        <f t="shared" si="361"/>
        <v>0</v>
      </c>
      <c r="NY39" s="479">
        <f t="shared" si="361"/>
        <v>0</v>
      </c>
      <c r="NZ39" s="479">
        <f t="shared" si="361"/>
        <v>0</v>
      </c>
      <c r="OA39" s="479">
        <f t="shared" si="361"/>
        <v>0</v>
      </c>
      <c r="OB39" s="479">
        <f t="shared" si="361"/>
        <v>0</v>
      </c>
      <c r="OC39" s="479">
        <f t="shared" si="343"/>
        <v>0</v>
      </c>
      <c r="OD39" s="479">
        <f t="shared" si="343"/>
        <v>0</v>
      </c>
      <c r="OE39" s="479">
        <f t="shared" si="330"/>
        <v>0</v>
      </c>
      <c r="OF39" s="479">
        <f t="shared" si="330"/>
        <v>0</v>
      </c>
      <c r="OG39" s="479">
        <f t="shared" si="330"/>
        <v>0</v>
      </c>
      <c r="OH39" s="479">
        <f t="shared" si="330"/>
        <v>0</v>
      </c>
      <c r="OI39" s="479">
        <f t="shared" si="330"/>
        <v>0</v>
      </c>
      <c r="OJ39" s="479">
        <f t="shared" si="330"/>
        <v>0</v>
      </c>
      <c r="OK39" s="479">
        <f t="shared" si="330"/>
        <v>0</v>
      </c>
      <c r="OL39" s="479">
        <f t="shared" si="330"/>
        <v>0</v>
      </c>
      <c r="OM39" s="479">
        <f t="shared" si="330"/>
        <v>0</v>
      </c>
      <c r="ON39" s="479">
        <f t="shared" si="330"/>
        <v>0</v>
      </c>
      <c r="OO39" s="479">
        <f t="shared" si="330"/>
        <v>0</v>
      </c>
    </row>
    <row r="40" spans="2:405">
      <c r="B40" s="97" t="str">
        <f>Assumptions!B105</f>
        <v>Survey</v>
      </c>
      <c r="C40" s="97"/>
      <c r="D40" s="500">
        <f>Assumptions!C105</f>
        <v>7500</v>
      </c>
      <c r="E40" s="507">
        <f>Assumptions!$C$8</f>
        <v>46204</v>
      </c>
      <c r="F40" s="507">
        <f>EOMONTH(E40,Assumptions!$C$9-1)</f>
        <v>46387</v>
      </c>
      <c r="G40" s="97">
        <f t="shared" si="323"/>
        <v>6</v>
      </c>
      <c r="H40" s="97"/>
      <c r="I40" s="97"/>
      <c r="J40" s="479">
        <f t="shared" si="331"/>
        <v>-1250</v>
      </c>
      <c r="K40" s="479">
        <f t="shared" si="331"/>
        <v>-1250</v>
      </c>
      <c r="L40" s="479">
        <f t="shared" si="331"/>
        <v>-1250</v>
      </c>
      <c r="M40" s="479">
        <f t="shared" si="331"/>
        <v>-1250</v>
      </c>
      <c r="N40" s="479">
        <f t="shared" si="331"/>
        <v>-1250</v>
      </c>
      <c r="O40" s="479">
        <f t="shared" si="331"/>
        <v>-1250</v>
      </c>
      <c r="P40" s="479">
        <f t="shared" si="331"/>
        <v>0</v>
      </c>
      <c r="Q40" s="479">
        <f t="shared" si="331"/>
        <v>0</v>
      </c>
      <c r="R40" s="479">
        <f t="shared" si="331"/>
        <v>0</v>
      </c>
      <c r="S40" s="479">
        <f t="shared" si="331"/>
        <v>0</v>
      </c>
      <c r="T40" s="479">
        <f t="shared" si="331"/>
        <v>0</v>
      </c>
      <c r="U40" s="479">
        <f t="shared" si="331"/>
        <v>0</v>
      </c>
      <c r="V40" s="479">
        <f t="shared" si="331"/>
        <v>0</v>
      </c>
      <c r="W40" s="479">
        <f t="shared" si="331"/>
        <v>0</v>
      </c>
      <c r="X40" s="479">
        <f t="shared" si="331"/>
        <v>0</v>
      </c>
      <c r="Y40" s="479">
        <f t="shared" si="331"/>
        <v>0</v>
      </c>
      <c r="Z40" s="479">
        <f t="shared" si="344"/>
        <v>0</v>
      </c>
      <c r="AA40" s="479">
        <f t="shared" si="344"/>
        <v>0</v>
      </c>
      <c r="AB40" s="479">
        <f t="shared" si="344"/>
        <v>0</v>
      </c>
      <c r="AC40" s="479">
        <f t="shared" si="344"/>
        <v>0</v>
      </c>
      <c r="AD40" s="479">
        <f t="shared" si="344"/>
        <v>0</v>
      </c>
      <c r="AE40" s="479">
        <f t="shared" si="344"/>
        <v>0</v>
      </c>
      <c r="AF40" s="479">
        <f t="shared" si="344"/>
        <v>0</v>
      </c>
      <c r="AG40" s="479">
        <f t="shared" si="344"/>
        <v>0</v>
      </c>
      <c r="AH40" s="479">
        <f t="shared" si="344"/>
        <v>0</v>
      </c>
      <c r="AI40" s="479">
        <f t="shared" si="344"/>
        <v>0</v>
      </c>
      <c r="AJ40" s="479">
        <f t="shared" si="344"/>
        <v>0</v>
      </c>
      <c r="AK40" s="479">
        <f t="shared" si="344"/>
        <v>0</v>
      </c>
      <c r="AL40" s="479">
        <f t="shared" si="344"/>
        <v>0</v>
      </c>
      <c r="AM40" s="479">
        <f t="shared" si="344"/>
        <v>0</v>
      </c>
      <c r="AN40" s="479">
        <f t="shared" si="344"/>
        <v>0</v>
      </c>
      <c r="AO40" s="479">
        <f t="shared" si="344"/>
        <v>0</v>
      </c>
      <c r="AP40" s="479">
        <f t="shared" si="345"/>
        <v>0</v>
      </c>
      <c r="AQ40" s="479">
        <f t="shared" si="345"/>
        <v>0</v>
      </c>
      <c r="AR40" s="479">
        <f t="shared" si="345"/>
        <v>0</v>
      </c>
      <c r="AS40" s="479">
        <f t="shared" si="345"/>
        <v>0</v>
      </c>
      <c r="AT40" s="479">
        <f t="shared" si="345"/>
        <v>0</v>
      </c>
      <c r="AU40" s="479">
        <f t="shared" si="345"/>
        <v>0</v>
      </c>
      <c r="AV40" s="479">
        <f t="shared" si="345"/>
        <v>0</v>
      </c>
      <c r="AW40" s="479">
        <f t="shared" si="345"/>
        <v>0</v>
      </c>
      <c r="AX40" s="479">
        <f t="shared" si="345"/>
        <v>0</v>
      </c>
      <c r="AY40" s="479">
        <f t="shared" si="345"/>
        <v>0</v>
      </c>
      <c r="AZ40" s="479">
        <f t="shared" si="345"/>
        <v>0</v>
      </c>
      <c r="BA40" s="479">
        <f t="shared" si="345"/>
        <v>0</v>
      </c>
      <c r="BB40" s="479">
        <f t="shared" si="345"/>
        <v>0</v>
      </c>
      <c r="BC40" s="479">
        <f t="shared" si="345"/>
        <v>0</v>
      </c>
      <c r="BD40" s="479">
        <f t="shared" si="345"/>
        <v>0</v>
      </c>
      <c r="BE40" s="479">
        <f t="shared" si="345"/>
        <v>0</v>
      </c>
      <c r="BF40" s="479">
        <f t="shared" si="346"/>
        <v>0</v>
      </c>
      <c r="BG40" s="479">
        <f t="shared" si="346"/>
        <v>0</v>
      </c>
      <c r="BH40" s="479">
        <f t="shared" si="346"/>
        <v>0</v>
      </c>
      <c r="BI40" s="479">
        <f t="shared" si="346"/>
        <v>0</v>
      </c>
      <c r="BJ40" s="479">
        <f t="shared" si="346"/>
        <v>0</v>
      </c>
      <c r="BK40" s="479">
        <f t="shared" si="346"/>
        <v>0</v>
      </c>
      <c r="BL40" s="479">
        <f t="shared" si="346"/>
        <v>0</v>
      </c>
      <c r="BM40" s="479">
        <f t="shared" si="346"/>
        <v>0</v>
      </c>
      <c r="BN40" s="479">
        <f t="shared" si="346"/>
        <v>0</v>
      </c>
      <c r="BO40" s="479">
        <f t="shared" si="346"/>
        <v>0</v>
      </c>
      <c r="BP40" s="479">
        <f t="shared" si="346"/>
        <v>0</v>
      </c>
      <c r="BQ40" s="479">
        <f t="shared" si="346"/>
        <v>0</v>
      </c>
      <c r="BR40" s="479">
        <f t="shared" si="346"/>
        <v>0</v>
      </c>
      <c r="BS40" s="479">
        <f t="shared" si="346"/>
        <v>0</v>
      </c>
      <c r="BT40" s="479">
        <f t="shared" si="346"/>
        <v>0</v>
      </c>
      <c r="BU40" s="479">
        <f t="shared" si="346"/>
        <v>0</v>
      </c>
      <c r="BV40" s="479">
        <f t="shared" si="338"/>
        <v>0</v>
      </c>
      <c r="BW40" s="479">
        <f t="shared" si="338"/>
        <v>0</v>
      </c>
      <c r="BX40" s="479">
        <f t="shared" si="338"/>
        <v>0</v>
      </c>
      <c r="BY40" s="479">
        <f t="shared" si="338"/>
        <v>0</v>
      </c>
      <c r="BZ40" s="479">
        <f t="shared" si="338"/>
        <v>0</v>
      </c>
      <c r="CA40" s="479">
        <f t="shared" si="338"/>
        <v>0</v>
      </c>
      <c r="CB40" s="479">
        <f t="shared" si="338"/>
        <v>0</v>
      </c>
      <c r="CC40" s="479">
        <f t="shared" si="338"/>
        <v>0</v>
      </c>
      <c r="CD40" s="479">
        <f t="shared" si="338"/>
        <v>0</v>
      </c>
      <c r="CE40" s="479">
        <f t="shared" si="338"/>
        <v>0</v>
      </c>
      <c r="CF40" s="479">
        <f t="shared" si="338"/>
        <v>0</v>
      </c>
      <c r="CG40" s="479">
        <f t="shared" si="338"/>
        <v>0</v>
      </c>
      <c r="CH40" s="479">
        <f t="shared" si="338"/>
        <v>0</v>
      </c>
      <c r="CI40" s="479">
        <f t="shared" si="338"/>
        <v>0</v>
      </c>
      <c r="CJ40" s="479">
        <f t="shared" si="338"/>
        <v>0</v>
      </c>
      <c r="CK40" s="479">
        <f t="shared" si="347"/>
        <v>0</v>
      </c>
      <c r="CL40" s="479">
        <f t="shared" si="347"/>
        <v>0</v>
      </c>
      <c r="CM40" s="479">
        <f t="shared" si="347"/>
        <v>0</v>
      </c>
      <c r="CN40" s="479">
        <f t="shared" si="347"/>
        <v>0</v>
      </c>
      <c r="CO40" s="479">
        <f t="shared" si="347"/>
        <v>0</v>
      </c>
      <c r="CP40" s="479">
        <f t="shared" si="347"/>
        <v>0</v>
      </c>
      <c r="CQ40" s="479">
        <f t="shared" si="347"/>
        <v>0</v>
      </c>
      <c r="CR40" s="479">
        <f t="shared" si="347"/>
        <v>0</v>
      </c>
      <c r="CS40" s="479">
        <f t="shared" si="347"/>
        <v>0</v>
      </c>
      <c r="CT40" s="479">
        <f t="shared" si="347"/>
        <v>0</v>
      </c>
      <c r="CU40" s="479">
        <f t="shared" si="347"/>
        <v>0</v>
      </c>
      <c r="CV40" s="479">
        <f t="shared" si="347"/>
        <v>0</v>
      </c>
      <c r="CW40" s="479">
        <f t="shared" si="347"/>
        <v>0</v>
      </c>
      <c r="CX40" s="479">
        <f t="shared" si="347"/>
        <v>0</v>
      </c>
      <c r="CY40" s="479">
        <f t="shared" si="347"/>
        <v>0</v>
      </c>
      <c r="CZ40" s="479">
        <f t="shared" si="347"/>
        <v>0</v>
      </c>
      <c r="DA40" s="479">
        <f t="shared" si="348"/>
        <v>0</v>
      </c>
      <c r="DB40" s="479">
        <f t="shared" si="348"/>
        <v>0</v>
      </c>
      <c r="DC40" s="479">
        <f t="shared" si="348"/>
        <v>0</v>
      </c>
      <c r="DD40" s="479">
        <f t="shared" si="348"/>
        <v>0</v>
      </c>
      <c r="DE40" s="479">
        <f t="shared" si="348"/>
        <v>0</v>
      </c>
      <c r="DF40" s="479">
        <f t="shared" si="348"/>
        <v>0</v>
      </c>
      <c r="DG40" s="479">
        <f t="shared" si="348"/>
        <v>0</v>
      </c>
      <c r="DH40" s="479">
        <f t="shared" si="348"/>
        <v>0</v>
      </c>
      <c r="DI40" s="479">
        <f t="shared" si="348"/>
        <v>0</v>
      </c>
      <c r="DJ40" s="479">
        <f t="shared" si="348"/>
        <v>0</v>
      </c>
      <c r="DK40" s="479">
        <f t="shared" si="348"/>
        <v>0</v>
      </c>
      <c r="DL40" s="479">
        <f t="shared" si="348"/>
        <v>0</v>
      </c>
      <c r="DM40" s="479">
        <f t="shared" si="348"/>
        <v>0</v>
      </c>
      <c r="DN40" s="479">
        <f t="shared" si="348"/>
        <v>0</v>
      </c>
      <c r="DO40" s="479">
        <f t="shared" si="348"/>
        <v>0</v>
      </c>
      <c r="DP40" s="479">
        <f t="shared" si="348"/>
        <v>0</v>
      </c>
      <c r="DQ40" s="479">
        <f t="shared" si="349"/>
        <v>0</v>
      </c>
      <c r="DR40" s="479">
        <f t="shared" si="349"/>
        <v>0</v>
      </c>
      <c r="DS40" s="479">
        <f t="shared" si="349"/>
        <v>0</v>
      </c>
      <c r="DT40" s="479">
        <f t="shared" si="349"/>
        <v>0</v>
      </c>
      <c r="DU40" s="479">
        <f t="shared" si="349"/>
        <v>0</v>
      </c>
      <c r="DV40" s="479">
        <f t="shared" si="349"/>
        <v>0</v>
      </c>
      <c r="DW40" s="479">
        <f t="shared" si="349"/>
        <v>0</v>
      </c>
      <c r="DX40" s="479">
        <f t="shared" si="349"/>
        <v>0</v>
      </c>
      <c r="DY40" s="479">
        <f t="shared" si="349"/>
        <v>0</v>
      </c>
      <c r="DZ40" s="479">
        <f t="shared" si="349"/>
        <v>0</v>
      </c>
      <c r="EA40" s="479">
        <f t="shared" si="349"/>
        <v>0</v>
      </c>
      <c r="EB40" s="479">
        <f t="shared" si="349"/>
        <v>0</v>
      </c>
      <c r="EC40" s="479">
        <f t="shared" si="349"/>
        <v>0</v>
      </c>
      <c r="ED40" s="479">
        <f t="shared" si="349"/>
        <v>0</v>
      </c>
      <c r="EE40" s="479">
        <f t="shared" si="349"/>
        <v>0</v>
      </c>
      <c r="EF40" s="479">
        <f t="shared" si="349"/>
        <v>0</v>
      </c>
      <c r="EG40" s="479">
        <f t="shared" si="339"/>
        <v>0</v>
      </c>
      <c r="EH40" s="479">
        <f t="shared" si="339"/>
        <v>0</v>
      </c>
      <c r="EI40" s="479">
        <f t="shared" si="339"/>
        <v>0</v>
      </c>
      <c r="EJ40" s="479">
        <f t="shared" si="339"/>
        <v>0</v>
      </c>
      <c r="EK40" s="479">
        <f t="shared" si="339"/>
        <v>0</v>
      </c>
      <c r="EL40" s="479">
        <f t="shared" si="339"/>
        <v>0</v>
      </c>
      <c r="EM40" s="479">
        <f t="shared" si="339"/>
        <v>0</v>
      </c>
      <c r="EN40" s="479">
        <f t="shared" si="339"/>
        <v>0</v>
      </c>
      <c r="EO40" s="479">
        <f t="shared" si="339"/>
        <v>0</v>
      </c>
      <c r="EP40" s="479">
        <f t="shared" si="339"/>
        <v>0</v>
      </c>
      <c r="EQ40" s="479">
        <f t="shared" si="339"/>
        <v>0</v>
      </c>
      <c r="ER40" s="479">
        <f t="shared" si="339"/>
        <v>0</v>
      </c>
      <c r="ES40" s="479">
        <f t="shared" si="339"/>
        <v>0</v>
      </c>
      <c r="ET40" s="479">
        <f t="shared" si="339"/>
        <v>0</v>
      </c>
      <c r="EU40" s="479">
        <f t="shared" si="339"/>
        <v>0</v>
      </c>
      <c r="EV40" s="479">
        <f t="shared" si="339"/>
        <v>0</v>
      </c>
      <c r="EW40" s="479">
        <f t="shared" si="350"/>
        <v>0</v>
      </c>
      <c r="EX40" s="479">
        <f t="shared" si="350"/>
        <v>0</v>
      </c>
      <c r="EY40" s="479">
        <f t="shared" si="350"/>
        <v>0</v>
      </c>
      <c r="EZ40" s="479">
        <f t="shared" si="350"/>
        <v>0</v>
      </c>
      <c r="FA40" s="479">
        <f t="shared" si="350"/>
        <v>0</v>
      </c>
      <c r="FB40" s="479">
        <f t="shared" si="350"/>
        <v>0</v>
      </c>
      <c r="FC40" s="479">
        <f t="shared" si="350"/>
        <v>0</v>
      </c>
      <c r="FD40" s="479">
        <f t="shared" si="350"/>
        <v>0</v>
      </c>
      <c r="FE40" s="479">
        <f t="shared" si="350"/>
        <v>0</v>
      </c>
      <c r="FF40" s="479">
        <f t="shared" si="350"/>
        <v>0</v>
      </c>
      <c r="FG40" s="479">
        <f t="shared" si="350"/>
        <v>0</v>
      </c>
      <c r="FH40" s="479">
        <f t="shared" si="350"/>
        <v>0</v>
      </c>
      <c r="FI40" s="479">
        <f t="shared" si="350"/>
        <v>0</v>
      </c>
      <c r="FJ40" s="479">
        <f t="shared" si="350"/>
        <v>0</v>
      </c>
      <c r="FK40" s="479">
        <f t="shared" si="350"/>
        <v>0</v>
      </c>
      <c r="FL40" s="479">
        <f t="shared" si="350"/>
        <v>0</v>
      </c>
      <c r="FM40" s="479">
        <f t="shared" si="351"/>
        <v>0</v>
      </c>
      <c r="FN40" s="479">
        <f t="shared" si="351"/>
        <v>0</v>
      </c>
      <c r="FO40" s="479">
        <f t="shared" si="351"/>
        <v>0</v>
      </c>
      <c r="FP40" s="479">
        <f t="shared" si="351"/>
        <v>0</v>
      </c>
      <c r="FQ40" s="479">
        <f t="shared" si="351"/>
        <v>0</v>
      </c>
      <c r="FR40" s="479">
        <f t="shared" si="351"/>
        <v>0</v>
      </c>
      <c r="FS40" s="479">
        <f t="shared" si="351"/>
        <v>0</v>
      </c>
      <c r="FT40" s="479">
        <f t="shared" si="351"/>
        <v>0</v>
      </c>
      <c r="FU40" s="479">
        <f t="shared" si="351"/>
        <v>0</v>
      </c>
      <c r="FV40" s="479">
        <f t="shared" si="351"/>
        <v>0</v>
      </c>
      <c r="FW40" s="479">
        <f t="shared" si="351"/>
        <v>0</v>
      </c>
      <c r="FX40" s="479">
        <f t="shared" si="351"/>
        <v>0</v>
      </c>
      <c r="FY40" s="479">
        <f t="shared" si="351"/>
        <v>0</v>
      </c>
      <c r="FZ40" s="479">
        <f t="shared" si="351"/>
        <v>0</v>
      </c>
      <c r="GA40" s="479">
        <f t="shared" si="351"/>
        <v>0</v>
      </c>
      <c r="GB40" s="479">
        <f t="shared" si="351"/>
        <v>0</v>
      </c>
      <c r="GC40" s="479">
        <f t="shared" si="352"/>
        <v>0</v>
      </c>
      <c r="GD40" s="479">
        <f t="shared" si="352"/>
        <v>0</v>
      </c>
      <c r="GE40" s="479">
        <f t="shared" si="352"/>
        <v>0</v>
      </c>
      <c r="GF40" s="479">
        <f t="shared" si="352"/>
        <v>0</v>
      </c>
      <c r="GG40" s="479">
        <f t="shared" si="352"/>
        <v>0</v>
      </c>
      <c r="GH40" s="479">
        <f t="shared" si="352"/>
        <v>0</v>
      </c>
      <c r="GI40" s="479">
        <f t="shared" si="352"/>
        <v>0</v>
      </c>
      <c r="GJ40" s="479">
        <f t="shared" si="352"/>
        <v>0</v>
      </c>
      <c r="GK40" s="479">
        <f t="shared" si="352"/>
        <v>0</v>
      </c>
      <c r="GL40" s="479">
        <f t="shared" si="352"/>
        <v>0</v>
      </c>
      <c r="GM40" s="479">
        <f t="shared" si="352"/>
        <v>0</v>
      </c>
      <c r="GN40" s="479">
        <f t="shared" si="352"/>
        <v>0</v>
      </c>
      <c r="GO40" s="479">
        <f t="shared" si="352"/>
        <v>0</v>
      </c>
      <c r="GP40" s="479">
        <f t="shared" si="352"/>
        <v>0</v>
      </c>
      <c r="GQ40" s="479">
        <f t="shared" si="352"/>
        <v>0</v>
      </c>
      <c r="GR40" s="479">
        <f t="shared" si="352"/>
        <v>0</v>
      </c>
      <c r="GS40" s="479">
        <f t="shared" si="340"/>
        <v>0</v>
      </c>
      <c r="GT40" s="479">
        <f t="shared" si="340"/>
        <v>0</v>
      </c>
      <c r="GU40" s="479">
        <f t="shared" si="340"/>
        <v>0</v>
      </c>
      <c r="GV40" s="479">
        <f t="shared" si="340"/>
        <v>0</v>
      </c>
      <c r="GW40" s="479">
        <f t="shared" si="340"/>
        <v>0</v>
      </c>
      <c r="GX40" s="479">
        <f t="shared" si="340"/>
        <v>0</v>
      </c>
      <c r="GY40" s="479">
        <f t="shared" si="340"/>
        <v>0</v>
      </c>
      <c r="GZ40" s="479">
        <f t="shared" si="340"/>
        <v>0</v>
      </c>
      <c r="HA40" s="479">
        <f t="shared" si="340"/>
        <v>0</v>
      </c>
      <c r="HB40" s="479">
        <f t="shared" si="340"/>
        <v>0</v>
      </c>
      <c r="HC40" s="479">
        <f t="shared" si="340"/>
        <v>0</v>
      </c>
      <c r="HD40" s="479">
        <f t="shared" si="340"/>
        <v>0</v>
      </c>
      <c r="HE40" s="479">
        <f t="shared" si="340"/>
        <v>0</v>
      </c>
      <c r="HF40" s="479">
        <f t="shared" si="340"/>
        <v>0</v>
      </c>
      <c r="HG40" s="479">
        <f t="shared" si="340"/>
        <v>0</v>
      </c>
      <c r="HH40" s="479">
        <f t="shared" si="340"/>
        <v>0</v>
      </c>
      <c r="HI40" s="479">
        <f t="shared" si="353"/>
        <v>0</v>
      </c>
      <c r="HJ40" s="479">
        <f t="shared" si="353"/>
        <v>0</v>
      </c>
      <c r="HK40" s="479">
        <f t="shared" si="353"/>
        <v>0</v>
      </c>
      <c r="HL40" s="479">
        <f t="shared" si="353"/>
        <v>0</v>
      </c>
      <c r="HM40" s="479">
        <f t="shared" si="353"/>
        <v>0</v>
      </c>
      <c r="HN40" s="479">
        <f t="shared" si="353"/>
        <v>0</v>
      </c>
      <c r="HO40" s="479">
        <f t="shared" si="353"/>
        <v>0</v>
      </c>
      <c r="HP40" s="479">
        <f t="shared" si="353"/>
        <v>0</v>
      </c>
      <c r="HQ40" s="479">
        <f t="shared" si="353"/>
        <v>0</v>
      </c>
      <c r="HR40" s="479">
        <f t="shared" si="353"/>
        <v>0</v>
      </c>
      <c r="HS40" s="479">
        <f t="shared" si="353"/>
        <v>0</v>
      </c>
      <c r="HT40" s="479">
        <f t="shared" si="353"/>
        <v>0</v>
      </c>
      <c r="HU40" s="479">
        <f t="shared" si="353"/>
        <v>0</v>
      </c>
      <c r="HV40" s="479">
        <f t="shared" si="353"/>
        <v>0</v>
      </c>
      <c r="HW40" s="479">
        <f t="shared" si="353"/>
        <v>0</v>
      </c>
      <c r="HX40" s="479">
        <f t="shared" si="353"/>
        <v>0</v>
      </c>
      <c r="HY40" s="479">
        <f t="shared" si="354"/>
        <v>0</v>
      </c>
      <c r="HZ40" s="479">
        <f t="shared" si="354"/>
        <v>0</v>
      </c>
      <c r="IA40" s="479">
        <f t="shared" si="354"/>
        <v>0</v>
      </c>
      <c r="IB40" s="479">
        <f t="shared" si="354"/>
        <v>0</v>
      </c>
      <c r="IC40" s="479">
        <f t="shared" si="354"/>
        <v>0</v>
      </c>
      <c r="ID40" s="479">
        <f t="shared" si="354"/>
        <v>0</v>
      </c>
      <c r="IE40" s="479">
        <f t="shared" si="354"/>
        <v>0</v>
      </c>
      <c r="IF40" s="479">
        <f t="shared" si="354"/>
        <v>0</v>
      </c>
      <c r="IG40" s="479">
        <f t="shared" si="354"/>
        <v>0</v>
      </c>
      <c r="IH40" s="479">
        <f t="shared" si="354"/>
        <v>0</v>
      </c>
      <c r="II40" s="479">
        <f t="shared" si="354"/>
        <v>0</v>
      </c>
      <c r="IJ40" s="479">
        <f t="shared" si="354"/>
        <v>0</v>
      </c>
      <c r="IK40" s="479">
        <f t="shared" si="354"/>
        <v>0</v>
      </c>
      <c r="IL40" s="479">
        <f t="shared" si="354"/>
        <v>0</v>
      </c>
      <c r="IM40" s="479">
        <f t="shared" si="354"/>
        <v>0</v>
      </c>
      <c r="IN40" s="479">
        <f t="shared" si="354"/>
        <v>0</v>
      </c>
      <c r="IO40" s="479">
        <f t="shared" si="355"/>
        <v>0</v>
      </c>
      <c r="IP40" s="479">
        <f t="shared" si="355"/>
        <v>0</v>
      </c>
      <c r="IQ40" s="479">
        <f t="shared" si="355"/>
        <v>0</v>
      </c>
      <c r="IR40" s="479">
        <f t="shared" si="355"/>
        <v>0</v>
      </c>
      <c r="IS40" s="479">
        <f t="shared" si="355"/>
        <v>0</v>
      </c>
      <c r="IT40" s="479">
        <f t="shared" si="355"/>
        <v>0</v>
      </c>
      <c r="IU40" s="479">
        <f t="shared" si="355"/>
        <v>0</v>
      </c>
      <c r="IV40" s="479">
        <f t="shared" si="355"/>
        <v>0</v>
      </c>
      <c r="IW40" s="479">
        <f t="shared" si="355"/>
        <v>0</v>
      </c>
      <c r="IX40" s="479">
        <f t="shared" si="355"/>
        <v>0</v>
      </c>
      <c r="IY40" s="479">
        <f t="shared" si="355"/>
        <v>0</v>
      </c>
      <c r="IZ40" s="479">
        <f t="shared" si="355"/>
        <v>0</v>
      </c>
      <c r="JA40" s="479">
        <f t="shared" si="355"/>
        <v>0</v>
      </c>
      <c r="JB40" s="479">
        <f t="shared" si="355"/>
        <v>0</v>
      </c>
      <c r="JC40" s="479">
        <f t="shared" si="355"/>
        <v>0</v>
      </c>
      <c r="JD40" s="479">
        <f t="shared" si="355"/>
        <v>0</v>
      </c>
      <c r="JE40" s="479">
        <f t="shared" si="341"/>
        <v>0</v>
      </c>
      <c r="JF40" s="479">
        <f t="shared" si="341"/>
        <v>0</v>
      </c>
      <c r="JG40" s="479">
        <f t="shared" si="341"/>
        <v>0</v>
      </c>
      <c r="JH40" s="479">
        <f t="shared" si="341"/>
        <v>0</v>
      </c>
      <c r="JI40" s="479">
        <f t="shared" si="341"/>
        <v>0</v>
      </c>
      <c r="JJ40" s="479">
        <f t="shared" si="341"/>
        <v>0</v>
      </c>
      <c r="JK40" s="479">
        <f t="shared" si="341"/>
        <v>0</v>
      </c>
      <c r="JL40" s="479">
        <f t="shared" si="341"/>
        <v>0</v>
      </c>
      <c r="JM40" s="479">
        <f t="shared" si="341"/>
        <v>0</v>
      </c>
      <c r="JN40" s="479">
        <f t="shared" si="341"/>
        <v>0</v>
      </c>
      <c r="JO40" s="479">
        <f t="shared" si="341"/>
        <v>0</v>
      </c>
      <c r="JP40" s="479">
        <f t="shared" si="341"/>
        <v>0</v>
      </c>
      <c r="JQ40" s="479">
        <f t="shared" si="341"/>
        <v>0</v>
      </c>
      <c r="JR40" s="479">
        <f t="shared" si="341"/>
        <v>0</v>
      </c>
      <c r="JS40" s="479">
        <f t="shared" si="341"/>
        <v>0</v>
      </c>
      <c r="JT40" s="479">
        <f t="shared" si="341"/>
        <v>0</v>
      </c>
      <c r="JU40" s="479">
        <f t="shared" si="356"/>
        <v>0</v>
      </c>
      <c r="JV40" s="479">
        <f t="shared" si="356"/>
        <v>0</v>
      </c>
      <c r="JW40" s="479">
        <f t="shared" si="356"/>
        <v>0</v>
      </c>
      <c r="JX40" s="479">
        <f t="shared" si="356"/>
        <v>0</v>
      </c>
      <c r="JY40" s="479">
        <f t="shared" si="356"/>
        <v>0</v>
      </c>
      <c r="JZ40" s="479">
        <f t="shared" si="356"/>
        <v>0</v>
      </c>
      <c r="KA40" s="479">
        <f t="shared" si="356"/>
        <v>0</v>
      </c>
      <c r="KB40" s="479">
        <f t="shared" si="356"/>
        <v>0</v>
      </c>
      <c r="KC40" s="479">
        <f t="shared" si="356"/>
        <v>0</v>
      </c>
      <c r="KD40" s="479">
        <f t="shared" si="356"/>
        <v>0</v>
      </c>
      <c r="KE40" s="479">
        <f t="shared" si="356"/>
        <v>0</v>
      </c>
      <c r="KF40" s="479">
        <f t="shared" si="356"/>
        <v>0</v>
      </c>
      <c r="KG40" s="479">
        <f t="shared" si="356"/>
        <v>0</v>
      </c>
      <c r="KH40" s="479">
        <f t="shared" si="356"/>
        <v>0</v>
      </c>
      <c r="KI40" s="479">
        <f t="shared" si="356"/>
        <v>0</v>
      </c>
      <c r="KJ40" s="479">
        <f t="shared" si="356"/>
        <v>0</v>
      </c>
      <c r="KK40" s="479">
        <f t="shared" si="357"/>
        <v>0</v>
      </c>
      <c r="KL40" s="479">
        <f t="shared" si="357"/>
        <v>0</v>
      </c>
      <c r="KM40" s="479">
        <f t="shared" si="357"/>
        <v>0</v>
      </c>
      <c r="KN40" s="479">
        <f t="shared" si="357"/>
        <v>0</v>
      </c>
      <c r="KO40" s="479">
        <f t="shared" si="357"/>
        <v>0</v>
      </c>
      <c r="KP40" s="479">
        <f t="shared" si="357"/>
        <v>0</v>
      </c>
      <c r="KQ40" s="479">
        <f t="shared" si="357"/>
        <v>0</v>
      </c>
      <c r="KR40" s="479">
        <f t="shared" si="357"/>
        <v>0</v>
      </c>
      <c r="KS40" s="479">
        <f t="shared" si="357"/>
        <v>0</v>
      </c>
      <c r="KT40" s="479">
        <f t="shared" si="357"/>
        <v>0</v>
      </c>
      <c r="KU40" s="479">
        <f t="shared" si="357"/>
        <v>0</v>
      </c>
      <c r="KV40" s="479">
        <f t="shared" si="357"/>
        <v>0</v>
      </c>
      <c r="KW40" s="479">
        <f t="shared" si="357"/>
        <v>0</v>
      </c>
      <c r="KX40" s="479">
        <f t="shared" si="357"/>
        <v>0</v>
      </c>
      <c r="KY40" s="479">
        <f t="shared" si="357"/>
        <v>0</v>
      </c>
      <c r="KZ40" s="479">
        <f t="shared" si="357"/>
        <v>0</v>
      </c>
      <c r="LA40" s="479">
        <f t="shared" si="358"/>
        <v>0</v>
      </c>
      <c r="LB40" s="479">
        <f t="shared" si="358"/>
        <v>0</v>
      </c>
      <c r="LC40" s="479">
        <f t="shared" si="358"/>
        <v>0</v>
      </c>
      <c r="LD40" s="479">
        <f t="shared" si="358"/>
        <v>0</v>
      </c>
      <c r="LE40" s="479">
        <f t="shared" si="358"/>
        <v>0</v>
      </c>
      <c r="LF40" s="479">
        <f t="shared" si="358"/>
        <v>0</v>
      </c>
      <c r="LG40" s="479">
        <f t="shared" si="358"/>
        <v>0</v>
      </c>
      <c r="LH40" s="479">
        <f t="shared" si="358"/>
        <v>0</v>
      </c>
      <c r="LI40" s="479">
        <f t="shared" si="358"/>
        <v>0</v>
      </c>
      <c r="LJ40" s="479">
        <f t="shared" si="358"/>
        <v>0</v>
      </c>
      <c r="LK40" s="479">
        <f t="shared" si="358"/>
        <v>0</v>
      </c>
      <c r="LL40" s="479">
        <f t="shared" si="358"/>
        <v>0</v>
      </c>
      <c r="LM40" s="479">
        <f t="shared" si="358"/>
        <v>0</v>
      </c>
      <c r="LN40" s="479">
        <f t="shared" si="358"/>
        <v>0</v>
      </c>
      <c r="LO40" s="479">
        <f t="shared" si="358"/>
        <v>0</v>
      </c>
      <c r="LP40" s="479">
        <f t="shared" si="358"/>
        <v>0</v>
      </c>
      <c r="LQ40" s="479">
        <f t="shared" si="342"/>
        <v>0</v>
      </c>
      <c r="LR40" s="479">
        <f t="shared" si="342"/>
        <v>0</v>
      </c>
      <c r="LS40" s="479">
        <f t="shared" si="342"/>
        <v>0</v>
      </c>
      <c r="LT40" s="479">
        <f t="shared" si="342"/>
        <v>0</v>
      </c>
      <c r="LU40" s="479">
        <f t="shared" si="342"/>
        <v>0</v>
      </c>
      <c r="LV40" s="479">
        <f t="shared" si="342"/>
        <v>0</v>
      </c>
      <c r="LW40" s="479">
        <f t="shared" si="342"/>
        <v>0</v>
      </c>
      <c r="LX40" s="479">
        <f t="shared" si="342"/>
        <v>0</v>
      </c>
      <c r="LY40" s="479">
        <f t="shared" si="342"/>
        <v>0</v>
      </c>
      <c r="LZ40" s="479">
        <f t="shared" si="342"/>
        <v>0</v>
      </c>
      <c r="MA40" s="479">
        <f t="shared" si="342"/>
        <v>0</v>
      </c>
      <c r="MB40" s="479">
        <f t="shared" si="342"/>
        <v>0</v>
      </c>
      <c r="MC40" s="479">
        <f t="shared" si="342"/>
        <v>0</v>
      </c>
      <c r="MD40" s="479">
        <f t="shared" si="342"/>
        <v>0</v>
      </c>
      <c r="ME40" s="479">
        <f t="shared" si="342"/>
        <v>0</v>
      </c>
      <c r="MF40" s="479">
        <f t="shared" si="342"/>
        <v>0</v>
      </c>
      <c r="MG40" s="479">
        <f t="shared" si="359"/>
        <v>0</v>
      </c>
      <c r="MH40" s="479">
        <f t="shared" si="359"/>
        <v>0</v>
      </c>
      <c r="MI40" s="479">
        <f t="shared" si="359"/>
        <v>0</v>
      </c>
      <c r="MJ40" s="479">
        <f t="shared" si="359"/>
        <v>0</v>
      </c>
      <c r="MK40" s="479">
        <f t="shared" si="359"/>
        <v>0</v>
      </c>
      <c r="ML40" s="479">
        <f t="shared" si="359"/>
        <v>0</v>
      </c>
      <c r="MM40" s="479">
        <f t="shared" si="359"/>
        <v>0</v>
      </c>
      <c r="MN40" s="479">
        <f t="shared" si="359"/>
        <v>0</v>
      </c>
      <c r="MO40" s="479">
        <f t="shared" si="359"/>
        <v>0</v>
      </c>
      <c r="MP40" s="479">
        <f t="shared" si="359"/>
        <v>0</v>
      </c>
      <c r="MQ40" s="479">
        <f t="shared" si="359"/>
        <v>0</v>
      </c>
      <c r="MR40" s="479">
        <f t="shared" si="359"/>
        <v>0</v>
      </c>
      <c r="MS40" s="479">
        <f t="shared" si="359"/>
        <v>0</v>
      </c>
      <c r="MT40" s="479">
        <f t="shared" si="359"/>
        <v>0</v>
      </c>
      <c r="MU40" s="479">
        <f t="shared" si="359"/>
        <v>0</v>
      </c>
      <c r="MV40" s="479">
        <f t="shared" si="359"/>
        <v>0</v>
      </c>
      <c r="MW40" s="479">
        <f t="shared" si="360"/>
        <v>0</v>
      </c>
      <c r="MX40" s="479">
        <f t="shared" si="360"/>
        <v>0</v>
      </c>
      <c r="MY40" s="479">
        <f t="shared" si="360"/>
        <v>0</v>
      </c>
      <c r="MZ40" s="479">
        <f t="shared" si="360"/>
        <v>0</v>
      </c>
      <c r="NA40" s="479">
        <f t="shared" si="360"/>
        <v>0</v>
      </c>
      <c r="NB40" s="479">
        <f t="shared" si="360"/>
        <v>0</v>
      </c>
      <c r="NC40" s="479">
        <f t="shared" si="360"/>
        <v>0</v>
      </c>
      <c r="ND40" s="479">
        <f t="shared" si="360"/>
        <v>0</v>
      </c>
      <c r="NE40" s="479">
        <f t="shared" si="360"/>
        <v>0</v>
      </c>
      <c r="NF40" s="479">
        <f t="shared" si="360"/>
        <v>0</v>
      </c>
      <c r="NG40" s="479">
        <f t="shared" si="360"/>
        <v>0</v>
      </c>
      <c r="NH40" s="479">
        <f t="shared" si="360"/>
        <v>0</v>
      </c>
      <c r="NI40" s="479">
        <f t="shared" si="360"/>
        <v>0</v>
      </c>
      <c r="NJ40" s="479">
        <f t="shared" si="360"/>
        <v>0</v>
      </c>
      <c r="NK40" s="479">
        <f t="shared" si="360"/>
        <v>0</v>
      </c>
      <c r="NL40" s="479">
        <f t="shared" si="360"/>
        <v>0</v>
      </c>
      <c r="NM40" s="479">
        <f t="shared" si="361"/>
        <v>0</v>
      </c>
      <c r="NN40" s="479">
        <f t="shared" si="361"/>
        <v>0</v>
      </c>
      <c r="NO40" s="479">
        <f t="shared" si="361"/>
        <v>0</v>
      </c>
      <c r="NP40" s="479">
        <f t="shared" si="361"/>
        <v>0</v>
      </c>
      <c r="NQ40" s="479">
        <f t="shared" si="361"/>
        <v>0</v>
      </c>
      <c r="NR40" s="479">
        <f t="shared" si="361"/>
        <v>0</v>
      </c>
      <c r="NS40" s="479">
        <f t="shared" si="361"/>
        <v>0</v>
      </c>
      <c r="NT40" s="479">
        <f t="shared" si="361"/>
        <v>0</v>
      </c>
      <c r="NU40" s="479">
        <f t="shared" si="361"/>
        <v>0</v>
      </c>
      <c r="NV40" s="479">
        <f t="shared" si="361"/>
        <v>0</v>
      </c>
      <c r="NW40" s="479">
        <f t="shared" si="361"/>
        <v>0</v>
      </c>
      <c r="NX40" s="479">
        <f t="shared" si="361"/>
        <v>0</v>
      </c>
      <c r="NY40" s="479">
        <f t="shared" si="361"/>
        <v>0</v>
      </c>
      <c r="NZ40" s="479">
        <f t="shared" si="361"/>
        <v>0</v>
      </c>
      <c r="OA40" s="479">
        <f t="shared" si="361"/>
        <v>0</v>
      </c>
      <c r="OB40" s="479">
        <f t="shared" si="361"/>
        <v>0</v>
      </c>
      <c r="OC40" s="479">
        <f t="shared" si="343"/>
        <v>0</v>
      </c>
      <c r="OD40" s="479">
        <f t="shared" si="343"/>
        <v>0</v>
      </c>
      <c r="OE40" s="479">
        <f t="shared" si="330"/>
        <v>0</v>
      </c>
      <c r="OF40" s="479">
        <f t="shared" si="330"/>
        <v>0</v>
      </c>
      <c r="OG40" s="479">
        <f t="shared" si="330"/>
        <v>0</v>
      </c>
      <c r="OH40" s="479">
        <f t="shared" si="330"/>
        <v>0</v>
      </c>
      <c r="OI40" s="479">
        <f t="shared" si="330"/>
        <v>0</v>
      </c>
      <c r="OJ40" s="479">
        <f t="shared" si="330"/>
        <v>0</v>
      </c>
      <c r="OK40" s="479">
        <f t="shared" si="330"/>
        <v>0</v>
      </c>
      <c r="OL40" s="479">
        <f t="shared" si="330"/>
        <v>0</v>
      </c>
      <c r="OM40" s="479">
        <f t="shared" si="330"/>
        <v>0</v>
      </c>
      <c r="ON40" s="479">
        <f t="shared" si="330"/>
        <v>0</v>
      </c>
      <c r="OO40" s="479">
        <f t="shared" si="330"/>
        <v>0</v>
      </c>
    </row>
    <row r="41" spans="2:405">
      <c r="B41" s="97" t="str">
        <f>Assumptions!B106</f>
        <v>Borings</v>
      </c>
      <c r="C41" s="97"/>
      <c r="D41" s="500">
        <f>Assumptions!C106</f>
        <v>125000</v>
      </c>
      <c r="E41" s="507">
        <f>Assumptions!$C$8</f>
        <v>46204</v>
      </c>
      <c r="F41" s="507">
        <f>EOMONTH(E41,Assumptions!$C$9-1)</f>
        <v>46387</v>
      </c>
      <c r="G41" s="97">
        <f t="shared" si="323"/>
        <v>6</v>
      </c>
      <c r="H41" s="97"/>
      <c r="I41" s="97"/>
      <c r="J41" s="479">
        <f t="shared" si="331"/>
        <v>-20833.333333333332</v>
      </c>
      <c r="K41" s="479">
        <f t="shared" si="331"/>
        <v>-20833.333333333332</v>
      </c>
      <c r="L41" s="479">
        <f t="shared" si="331"/>
        <v>-20833.333333333332</v>
      </c>
      <c r="M41" s="479">
        <f t="shared" si="331"/>
        <v>-20833.333333333332</v>
      </c>
      <c r="N41" s="479">
        <f t="shared" si="331"/>
        <v>-20833.333333333332</v>
      </c>
      <c r="O41" s="479">
        <f t="shared" si="331"/>
        <v>-20833.333333333332</v>
      </c>
      <c r="P41" s="479">
        <f t="shared" si="331"/>
        <v>0</v>
      </c>
      <c r="Q41" s="479">
        <f t="shared" si="331"/>
        <v>0</v>
      </c>
      <c r="R41" s="479">
        <f t="shared" si="331"/>
        <v>0</v>
      </c>
      <c r="S41" s="479">
        <f t="shared" si="331"/>
        <v>0</v>
      </c>
      <c r="T41" s="479">
        <f t="shared" si="331"/>
        <v>0</v>
      </c>
      <c r="U41" s="479">
        <f t="shared" si="331"/>
        <v>0</v>
      </c>
      <c r="V41" s="479">
        <f t="shared" si="331"/>
        <v>0</v>
      </c>
      <c r="W41" s="479">
        <f t="shared" si="331"/>
        <v>0</v>
      </c>
      <c r="X41" s="479">
        <f t="shared" si="331"/>
        <v>0</v>
      </c>
      <c r="Y41" s="479">
        <f t="shared" si="331"/>
        <v>0</v>
      </c>
      <c r="Z41" s="479">
        <f t="shared" si="344"/>
        <v>0</v>
      </c>
      <c r="AA41" s="479">
        <f t="shared" si="344"/>
        <v>0</v>
      </c>
      <c r="AB41" s="479">
        <f t="shared" si="344"/>
        <v>0</v>
      </c>
      <c r="AC41" s="479">
        <f t="shared" si="344"/>
        <v>0</v>
      </c>
      <c r="AD41" s="479">
        <f t="shared" si="344"/>
        <v>0</v>
      </c>
      <c r="AE41" s="479">
        <f t="shared" si="344"/>
        <v>0</v>
      </c>
      <c r="AF41" s="479">
        <f t="shared" si="344"/>
        <v>0</v>
      </c>
      <c r="AG41" s="479">
        <f t="shared" si="344"/>
        <v>0</v>
      </c>
      <c r="AH41" s="479">
        <f t="shared" si="344"/>
        <v>0</v>
      </c>
      <c r="AI41" s="479">
        <f t="shared" si="344"/>
        <v>0</v>
      </c>
      <c r="AJ41" s="479">
        <f t="shared" si="344"/>
        <v>0</v>
      </c>
      <c r="AK41" s="479">
        <f t="shared" si="344"/>
        <v>0</v>
      </c>
      <c r="AL41" s="479">
        <f t="shared" si="344"/>
        <v>0</v>
      </c>
      <c r="AM41" s="479">
        <f t="shared" si="344"/>
        <v>0</v>
      </c>
      <c r="AN41" s="479">
        <f t="shared" si="344"/>
        <v>0</v>
      </c>
      <c r="AO41" s="479">
        <f t="shared" si="344"/>
        <v>0</v>
      </c>
      <c r="AP41" s="479">
        <f t="shared" si="345"/>
        <v>0</v>
      </c>
      <c r="AQ41" s="479">
        <f t="shared" si="345"/>
        <v>0</v>
      </c>
      <c r="AR41" s="479">
        <f t="shared" si="345"/>
        <v>0</v>
      </c>
      <c r="AS41" s="479">
        <f t="shared" si="345"/>
        <v>0</v>
      </c>
      <c r="AT41" s="479">
        <f t="shared" si="345"/>
        <v>0</v>
      </c>
      <c r="AU41" s="479">
        <f t="shared" si="345"/>
        <v>0</v>
      </c>
      <c r="AV41" s="479">
        <f t="shared" si="345"/>
        <v>0</v>
      </c>
      <c r="AW41" s="479">
        <f t="shared" si="345"/>
        <v>0</v>
      </c>
      <c r="AX41" s="479">
        <f t="shared" si="345"/>
        <v>0</v>
      </c>
      <c r="AY41" s="479">
        <f t="shared" si="345"/>
        <v>0</v>
      </c>
      <c r="AZ41" s="479">
        <f t="shared" si="345"/>
        <v>0</v>
      </c>
      <c r="BA41" s="479">
        <f t="shared" si="345"/>
        <v>0</v>
      </c>
      <c r="BB41" s="479">
        <f t="shared" si="345"/>
        <v>0</v>
      </c>
      <c r="BC41" s="479">
        <f t="shared" si="345"/>
        <v>0</v>
      </c>
      <c r="BD41" s="479">
        <f t="shared" si="345"/>
        <v>0</v>
      </c>
      <c r="BE41" s="479">
        <f t="shared" si="345"/>
        <v>0</v>
      </c>
      <c r="BF41" s="479">
        <f t="shared" si="346"/>
        <v>0</v>
      </c>
      <c r="BG41" s="479">
        <f t="shared" si="346"/>
        <v>0</v>
      </c>
      <c r="BH41" s="479">
        <f t="shared" si="346"/>
        <v>0</v>
      </c>
      <c r="BI41" s="479">
        <f t="shared" si="346"/>
        <v>0</v>
      </c>
      <c r="BJ41" s="479">
        <f t="shared" si="346"/>
        <v>0</v>
      </c>
      <c r="BK41" s="479">
        <f t="shared" si="346"/>
        <v>0</v>
      </c>
      <c r="BL41" s="479">
        <f t="shared" si="346"/>
        <v>0</v>
      </c>
      <c r="BM41" s="479">
        <f t="shared" si="346"/>
        <v>0</v>
      </c>
      <c r="BN41" s="479">
        <f t="shared" si="346"/>
        <v>0</v>
      </c>
      <c r="BO41" s="479">
        <f t="shared" si="346"/>
        <v>0</v>
      </c>
      <c r="BP41" s="479">
        <f t="shared" si="346"/>
        <v>0</v>
      </c>
      <c r="BQ41" s="479">
        <f t="shared" si="346"/>
        <v>0</v>
      </c>
      <c r="BR41" s="479">
        <f t="shared" si="346"/>
        <v>0</v>
      </c>
      <c r="BS41" s="479">
        <f t="shared" si="346"/>
        <v>0</v>
      </c>
      <c r="BT41" s="479">
        <f t="shared" si="346"/>
        <v>0</v>
      </c>
      <c r="BU41" s="479">
        <f t="shared" si="346"/>
        <v>0</v>
      </c>
      <c r="BV41" s="479">
        <f t="shared" si="338"/>
        <v>0</v>
      </c>
      <c r="BW41" s="479">
        <f t="shared" si="338"/>
        <v>0</v>
      </c>
      <c r="BX41" s="479">
        <f t="shared" si="338"/>
        <v>0</v>
      </c>
      <c r="BY41" s="479">
        <f t="shared" si="338"/>
        <v>0</v>
      </c>
      <c r="BZ41" s="479">
        <f t="shared" si="338"/>
        <v>0</v>
      </c>
      <c r="CA41" s="479">
        <f t="shared" si="338"/>
        <v>0</v>
      </c>
      <c r="CB41" s="479">
        <f t="shared" si="338"/>
        <v>0</v>
      </c>
      <c r="CC41" s="479">
        <f t="shared" si="338"/>
        <v>0</v>
      </c>
      <c r="CD41" s="479">
        <f t="shared" si="338"/>
        <v>0</v>
      </c>
      <c r="CE41" s="479">
        <f t="shared" si="338"/>
        <v>0</v>
      </c>
      <c r="CF41" s="479">
        <f t="shared" si="338"/>
        <v>0</v>
      </c>
      <c r="CG41" s="479">
        <f t="shared" si="338"/>
        <v>0</v>
      </c>
      <c r="CH41" s="479">
        <f t="shared" si="338"/>
        <v>0</v>
      </c>
      <c r="CI41" s="479">
        <f t="shared" si="338"/>
        <v>0</v>
      </c>
      <c r="CJ41" s="479">
        <f t="shared" si="338"/>
        <v>0</v>
      </c>
      <c r="CK41" s="479">
        <f t="shared" si="347"/>
        <v>0</v>
      </c>
      <c r="CL41" s="479">
        <f t="shared" si="347"/>
        <v>0</v>
      </c>
      <c r="CM41" s="479">
        <f t="shared" si="347"/>
        <v>0</v>
      </c>
      <c r="CN41" s="479">
        <f t="shared" si="347"/>
        <v>0</v>
      </c>
      <c r="CO41" s="479">
        <f t="shared" si="347"/>
        <v>0</v>
      </c>
      <c r="CP41" s="479">
        <f t="shared" si="347"/>
        <v>0</v>
      </c>
      <c r="CQ41" s="479">
        <f t="shared" si="347"/>
        <v>0</v>
      </c>
      <c r="CR41" s="479">
        <f t="shared" si="347"/>
        <v>0</v>
      </c>
      <c r="CS41" s="479">
        <f t="shared" si="347"/>
        <v>0</v>
      </c>
      <c r="CT41" s="479">
        <f t="shared" si="347"/>
        <v>0</v>
      </c>
      <c r="CU41" s="479">
        <f t="shared" si="347"/>
        <v>0</v>
      </c>
      <c r="CV41" s="479">
        <f t="shared" si="347"/>
        <v>0</v>
      </c>
      <c r="CW41" s="479">
        <f t="shared" si="347"/>
        <v>0</v>
      </c>
      <c r="CX41" s="479">
        <f t="shared" si="347"/>
        <v>0</v>
      </c>
      <c r="CY41" s="479">
        <f t="shared" si="347"/>
        <v>0</v>
      </c>
      <c r="CZ41" s="479">
        <f t="shared" si="347"/>
        <v>0</v>
      </c>
      <c r="DA41" s="479">
        <f t="shared" si="348"/>
        <v>0</v>
      </c>
      <c r="DB41" s="479">
        <f t="shared" si="348"/>
        <v>0</v>
      </c>
      <c r="DC41" s="479">
        <f t="shared" si="348"/>
        <v>0</v>
      </c>
      <c r="DD41" s="479">
        <f t="shared" si="348"/>
        <v>0</v>
      </c>
      <c r="DE41" s="479">
        <f t="shared" si="348"/>
        <v>0</v>
      </c>
      <c r="DF41" s="479">
        <f t="shared" si="348"/>
        <v>0</v>
      </c>
      <c r="DG41" s="479">
        <f t="shared" si="348"/>
        <v>0</v>
      </c>
      <c r="DH41" s="479">
        <f t="shared" si="348"/>
        <v>0</v>
      </c>
      <c r="DI41" s="479">
        <f t="shared" si="348"/>
        <v>0</v>
      </c>
      <c r="DJ41" s="479">
        <f t="shared" si="348"/>
        <v>0</v>
      </c>
      <c r="DK41" s="479">
        <f t="shared" si="348"/>
        <v>0</v>
      </c>
      <c r="DL41" s="479">
        <f t="shared" si="348"/>
        <v>0</v>
      </c>
      <c r="DM41" s="479">
        <f t="shared" si="348"/>
        <v>0</v>
      </c>
      <c r="DN41" s="479">
        <f t="shared" si="348"/>
        <v>0</v>
      </c>
      <c r="DO41" s="479">
        <f t="shared" si="348"/>
        <v>0</v>
      </c>
      <c r="DP41" s="479">
        <f t="shared" si="348"/>
        <v>0</v>
      </c>
      <c r="DQ41" s="479">
        <f t="shared" si="349"/>
        <v>0</v>
      </c>
      <c r="DR41" s="479">
        <f t="shared" si="349"/>
        <v>0</v>
      </c>
      <c r="DS41" s="479">
        <f t="shared" si="349"/>
        <v>0</v>
      </c>
      <c r="DT41" s="479">
        <f t="shared" si="349"/>
        <v>0</v>
      </c>
      <c r="DU41" s="479">
        <f t="shared" si="349"/>
        <v>0</v>
      </c>
      <c r="DV41" s="479">
        <f t="shared" si="349"/>
        <v>0</v>
      </c>
      <c r="DW41" s="479">
        <f t="shared" si="349"/>
        <v>0</v>
      </c>
      <c r="DX41" s="479">
        <f t="shared" si="349"/>
        <v>0</v>
      </c>
      <c r="DY41" s="479">
        <f t="shared" si="349"/>
        <v>0</v>
      </c>
      <c r="DZ41" s="479">
        <f t="shared" si="349"/>
        <v>0</v>
      </c>
      <c r="EA41" s="479">
        <f t="shared" si="349"/>
        <v>0</v>
      </c>
      <c r="EB41" s="479">
        <f t="shared" si="349"/>
        <v>0</v>
      </c>
      <c r="EC41" s="479">
        <f t="shared" si="349"/>
        <v>0</v>
      </c>
      <c r="ED41" s="479">
        <f t="shared" si="349"/>
        <v>0</v>
      </c>
      <c r="EE41" s="479">
        <f t="shared" si="349"/>
        <v>0</v>
      </c>
      <c r="EF41" s="479">
        <f t="shared" si="349"/>
        <v>0</v>
      </c>
      <c r="EG41" s="479">
        <f t="shared" si="339"/>
        <v>0</v>
      </c>
      <c r="EH41" s="479">
        <f t="shared" si="339"/>
        <v>0</v>
      </c>
      <c r="EI41" s="479">
        <f t="shared" si="339"/>
        <v>0</v>
      </c>
      <c r="EJ41" s="479">
        <f t="shared" si="339"/>
        <v>0</v>
      </c>
      <c r="EK41" s="479">
        <f t="shared" si="339"/>
        <v>0</v>
      </c>
      <c r="EL41" s="479">
        <f t="shared" si="339"/>
        <v>0</v>
      </c>
      <c r="EM41" s="479">
        <f t="shared" si="339"/>
        <v>0</v>
      </c>
      <c r="EN41" s="479">
        <f t="shared" si="339"/>
        <v>0</v>
      </c>
      <c r="EO41" s="479">
        <f t="shared" si="339"/>
        <v>0</v>
      </c>
      <c r="EP41" s="479">
        <f t="shared" si="339"/>
        <v>0</v>
      </c>
      <c r="EQ41" s="479">
        <f t="shared" si="339"/>
        <v>0</v>
      </c>
      <c r="ER41" s="479">
        <f t="shared" si="339"/>
        <v>0</v>
      </c>
      <c r="ES41" s="479">
        <f t="shared" si="339"/>
        <v>0</v>
      </c>
      <c r="ET41" s="479">
        <f t="shared" si="339"/>
        <v>0</v>
      </c>
      <c r="EU41" s="479">
        <f t="shared" si="339"/>
        <v>0</v>
      </c>
      <c r="EV41" s="479">
        <f t="shared" si="339"/>
        <v>0</v>
      </c>
      <c r="EW41" s="479">
        <f t="shared" si="350"/>
        <v>0</v>
      </c>
      <c r="EX41" s="479">
        <f t="shared" si="350"/>
        <v>0</v>
      </c>
      <c r="EY41" s="479">
        <f t="shared" si="350"/>
        <v>0</v>
      </c>
      <c r="EZ41" s="479">
        <f t="shared" si="350"/>
        <v>0</v>
      </c>
      <c r="FA41" s="479">
        <f t="shared" si="350"/>
        <v>0</v>
      </c>
      <c r="FB41" s="479">
        <f t="shared" si="350"/>
        <v>0</v>
      </c>
      <c r="FC41" s="479">
        <f t="shared" si="350"/>
        <v>0</v>
      </c>
      <c r="FD41" s="479">
        <f t="shared" si="350"/>
        <v>0</v>
      </c>
      <c r="FE41" s="479">
        <f t="shared" si="350"/>
        <v>0</v>
      </c>
      <c r="FF41" s="479">
        <f t="shared" si="350"/>
        <v>0</v>
      </c>
      <c r="FG41" s="479">
        <f t="shared" si="350"/>
        <v>0</v>
      </c>
      <c r="FH41" s="479">
        <f t="shared" si="350"/>
        <v>0</v>
      </c>
      <c r="FI41" s="479">
        <f t="shared" si="350"/>
        <v>0</v>
      </c>
      <c r="FJ41" s="479">
        <f t="shared" si="350"/>
        <v>0</v>
      </c>
      <c r="FK41" s="479">
        <f t="shared" si="350"/>
        <v>0</v>
      </c>
      <c r="FL41" s="479">
        <f t="shared" si="350"/>
        <v>0</v>
      </c>
      <c r="FM41" s="479">
        <f t="shared" si="351"/>
        <v>0</v>
      </c>
      <c r="FN41" s="479">
        <f t="shared" si="351"/>
        <v>0</v>
      </c>
      <c r="FO41" s="479">
        <f t="shared" si="351"/>
        <v>0</v>
      </c>
      <c r="FP41" s="479">
        <f t="shared" si="351"/>
        <v>0</v>
      </c>
      <c r="FQ41" s="479">
        <f t="shared" si="351"/>
        <v>0</v>
      </c>
      <c r="FR41" s="479">
        <f t="shared" si="351"/>
        <v>0</v>
      </c>
      <c r="FS41" s="479">
        <f t="shared" si="351"/>
        <v>0</v>
      </c>
      <c r="FT41" s="479">
        <f t="shared" si="351"/>
        <v>0</v>
      </c>
      <c r="FU41" s="479">
        <f t="shared" si="351"/>
        <v>0</v>
      </c>
      <c r="FV41" s="479">
        <f t="shared" si="351"/>
        <v>0</v>
      </c>
      <c r="FW41" s="479">
        <f t="shared" si="351"/>
        <v>0</v>
      </c>
      <c r="FX41" s="479">
        <f t="shared" si="351"/>
        <v>0</v>
      </c>
      <c r="FY41" s="479">
        <f t="shared" si="351"/>
        <v>0</v>
      </c>
      <c r="FZ41" s="479">
        <f t="shared" si="351"/>
        <v>0</v>
      </c>
      <c r="GA41" s="479">
        <f t="shared" si="351"/>
        <v>0</v>
      </c>
      <c r="GB41" s="479">
        <f t="shared" si="351"/>
        <v>0</v>
      </c>
      <c r="GC41" s="479">
        <f t="shared" si="352"/>
        <v>0</v>
      </c>
      <c r="GD41" s="479">
        <f t="shared" si="352"/>
        <v>0</v>
      </c>
      <c r="GE41" s="479">
        <f t="shared" si="352"/>
        <v>0</v>
      </c>
      <c r="GF41" s="479">
        <f t="shared" si="352"/>
        <v>0</v>
      </c>
      <c r="GG41" s="479">
        <f t="shared" si="352"/>
        <v>0</v>
      </c>
      <c r="GH41" s="479">
        <f t="shared" si="352"/>
        <v>0</v>
      </c>
      <c r="GI41" s="479">
        <f t="shared" si="352"/>
        <v>0</v>
      </c>
      <c r="GJ41" s="479">
        <f t="shared" si="352"/>
        <v>0</v>
      </c>
      <c r="GK41" s="479">
        <f t="shared" si="352"/>
        <v>0</v>
      </c>
      <c r="GL41" s="479">
        <f t="shared" si="352"/>
        <v>0</v>
      </c>
      <c r="GM41" s="479">
        <f t="shared" si="352"/>
        <v>0</v>
      </c>
      <c r="GN41" s="479">
        <f t="shared" si="352"/>
        <v>0</v>
      </c>
      <c r="GO41" s="479">
        <f t="shared" si="352"/>
        <v>0</v>
      </c>
      <c r="GP41" s="479">
        <f t="shared" si="352"/>
        <v>0</v>
      </c>
      <c r="GQ41" s="479">
        <f t="shared" si="352"/>
        <v>0</v>
      </c>
      <c r="GR41" s="479">
        <f t="shared" si="352"/>
        <v>0</v>
      </c>
      <c r="GS41" s="479">
        <f t="shared" si="340"/>
        <v>0</v>
      </c>
      <c r="GT41" s="479">
        <f t="shared" si="340"/>
        <v>0</v>
      </c>
      <c r="GU41" s="479">
        <f t="shared" si="340"/>
        <v>0</v>
      </c>
      <c r="GV41" s="479">
        <f t="shared" si="340"/>
        <v>0</v>
      </c>
      <c r="GW41" s="479">
        <f t="shared" si="340"/>
        <v>0</v>
      </c>
      <c r="GX41" s="479">
        <f t="shared" si="340"/>
        <v>0</v>
      </c>
      <c r="GY41" s="479">
        <f t="shared" si="340"/>
        <v>0</v>
      </c>
      <c r="GZ41" s="479">
        <f t="shared" si="340"/>
        <v>0</v>
      </c>
      <c r="HA41" s="479">
        <f t="shared" si="340"/>
        <v>0</v>
      </c>
      <c r="HB41" s="479">
        <f t="shared" si="340"/>
        <v>0</v>
      </c>
      <c r="HC41" s="479">
        <f t="shared" si="340"/>
        <v>0</v>
      </c>
      <c r="HD41" s="479">
        <f t="shared" si="340"/>
        <v>0</v>
      </c>
      <c r="HE41" s="479">
        <f t="shared" si="340"/>
        <v>0</v>
      </c>
      <c r="HF41" s="479">
        <f t="shared" si="340"/>
        <v>0</v>
      </c>
      <c r="HG41" s="479">
        <f t="shared" si="340"/>
        <v>0</v>
      </c>
      <c r="HH41" s="479">
        <f t="shared" si="340"/>
        <v>0</v>
      </c>
      <c r="HI41" s="479">
        <f t="shared" si="353"/>
        <v>0</v>
      </c>
      <c r="HJ41" s="479">
        <f t="shared" si="353"/>
        <v>0</v>
      </c>
      <c r="HK41" s="479">
        <f t="shared" si="353"/>
        <v>0</v>
      </c>
      <c r="HL41" s="479">
        <f t="shared" si="353"/>
        <v>0</v>
      </c>
      <c r="HM41" s="479">
        <f t="shared" si="353"/>
        <v>0</v>
      </c>
      <c r="HN41" s="479">
        <f t="shared" si="353"/>
        <v>0</v>
      </c>
      <c r="HO41" s="479">
        <f t="shared" si="353"/>
        <v>0</v>
      </c>
      <c r="HP41" s="479">
        <f t="shared" si="353"/>
        <v>0</v>
      </c>
      <c r="HQ41" s="479">
        <f t="shared" si="353"/>
        <v>0</v>
      </c>
      <c r="HR41" s="479">
        <f t="shared" si="353"/>
        <v>0</v>
      </c>
      <c r="HS41" s="479">
        <f t="shared" si="353"/>
        <v>0</v>
      </c>
      <c r="HT41" s="479">
        <f t="shared" si="353"/>
        <v>0</v>
      </c>
      <c r="HU41" s="479">
        <f t="shared" si="353"/>
        <v>0</v>
      </c>
      <c r="HV41" s="479">
        <f t="shared" si="353"/>
        <v>0</v>
      </c>
      <c r="HW41" s="479">
        <f t="shared" si="353"/>
        <v>0</v>
      </c>
      <c r="HX41" s="479">
        <f t="shared" si="353"/>
        <v>0</v>
      </c>
      <c r="HY41" s="479">
        <f t="shared" si="354"/>
        <v>0</v>
      </c>
      <c r="HZ41" s="479">
        <f t="shared" si="354"/>
        <v>0</v>
      </c>
      <c r="IA41" s="479">
        <f t="shared" si="354"/>
        <v>0</v>
      </c>
      <c r="IB41" s="479">
        <f t="shared" si="354"/>
        <v>0</v>
      </c>
      <c r="IC41" s="479">
        <f t="shared" si="354"/>
        <v>0</v>
      </c>
      <c r="ID41" s="479">
        <f t="shared" si="354"/>
        <v>0</v>
      </c>
      <c r="IE41" s="479">
        <f t="shared" si="354"/>
        <v>0</v>
      </c>
      <c r="IF41" s="479">
        <f t="shared" si="354"/>
        <v>0</v>
      </c>
      <c r="IG41" s="479">
        <f t="shared" si="354"/>
        <v>0</v>
      </c>
      <c r="IH41" s="479">
        <f t="shared" si="354"/>
        <v>0</v>
      </c>
      <c r="II41" s="479">
        <f t="shared" si="354"/>
        <v>0</v>
      </c>
      <c r="IJ41" s="479">
        <f t="shared" si="354"/>
        <v>0</v>
      </c>
      <c r="IK41" s="479">
        <f t="shared" si="354"/>
        <v>0</v>
      </c>
      <c r="IL41" s="479">
        <f t="shared" si="354"/>
        <v>0</v>
      </c>
      <c r="IM41" s="479">
        <f t="shared" si="354"/>
        <v>0</v>
      </c>
      <c r="IN41" s="479">
        <f t="shared" si="354"/>
        <v>0</v>
      </c>
      <c r="IO41" s="479">
        <f t="shared" si="355"/>
        <v>0</v>
      </c>
      <c r="IP41" s="479">
        <f t="shared" si="355"/>
        <v>0</v>
      </c>
      <c r="IQ41" s="479">
        <f t="shared" si="355"/>
        <v>0</v>
      </c>
      <c r="IR41" s="479">
        <f t="shared" si="355"/>
        <v>0</v>
      </c>
      <c r="IS41" s="479">
        <f t="shared" si="355"/>
        <v>0</v>
      </c>
      <c r="IT41" s="479">
        <f t="shared" si="355"/>
        <v>0</v>
      </c>
      <c r="IU41" s="479">
        <f t="shared" si="355"/>
        <v>0</v>
      </c>
      <c r="IV41" s="479">
        <f t="shared" si="355"/>
        <v>0</v>
      </c>
      <c r="IW41" s="479">
        <f t="shared" si="355"/>
        <v>0</v>
      </c>
      <c r="IX41" s="479">
        <f t="shared" si="355"/>
        <v>0</v>
      </c>
      <c r="IY41" s="479">
        <f t="shared" si="355"/>
        <v>0</v>
      </c>
      <c r="IZ41" s="479">
        <f t="shared" si="355"/>
        <v>0</v>
      </c>
      <c r="JA41" s="479">
        <f t="shared" si="355"/>
        <v>0</v>
      </c>
      <c r="JB41" s="479">
        <f t="shared" si="355"/>
        <v>0</v>
      </c>
      <c r="JC41" s="479">
        <f t="shared" si="355"/>
        <v>0</v>
      </c>
      <c r="JD41" s="479">
        <f t="shared" si="355"/>
        <v>0</v>
      </c>
      <c r="JE41" s="479">
        <f t="shared" si="341"/>
        <v>0</v>
      </c>
      <c r="JF41" s="479">
        <f t="shared" si="341"/>
        <v>0</v>
      </c>
      <c r="JG41" s="479">
        <f t="shared" si="341"/>
        <v>0</v>
      </c>
      <c r="JH41" s="479">
        <f t="shared" si="341"/>
        <v>0</v>
      </c>
      <c r="JI41" s="479">
        <f t="shared" si="341"/>
        <v>0</v>
      </c>
      <c r="JJ41" s="479">
        <f t="shared" si="341"/>
        <v>0</v>
      </c>
      <c r="JK41" s="479">
        <f t="shared" si="341"/>
        <v>0</v>
      </c>
      <c r="JL41" s="479">
        <f t="shared" si="341"/>
        <v>0</v>
      </c>
      <c r="JM41" s="479">
        <f t="shared" si="341"/>
        <v>0</v>
      </c>
      <c r="JN41" s="479">
        <f t="shared" si="341"/>
        <v>0</v>
      </c>
      <c r="JO41" s="479">
        <f t="shared" si="341"/>
        <v>0</v>
      </c>
      <c r="JP41" s="479">
        <f t="shared" si="341"/>
        <v>0</v>
      </c>
      <c r="JQ41" s="479">
        <f t="shared" si="341"/>
        <v>0</v>
      </c>
      <c r="JR41" s="479">
        <f t="shared" si="341"/>
        <v>0</v>
      </c>
      <c r="JS41" s="479">
        <f t="shared" si="341"/>
        <v>0</v>
      </c>
      <c r="JT41" s="479">
        <f t="shared" si="341"/>
        <v>0</v>
      </c>
      <c r="JU41" s="479">
        <f t="shared" si="356"/>
        <v>0</v>
      </c>
      <c r="JV41" s="479">
        <f t="shared" si="356"/>
        <v>0</v>
      </c>
      <c r="JW41" s="479">
        <f t="shared" si="356"/>
        <v>0</v>
      </c>
      <c r="JX41" s="479">
        <f t="shared" si="356"/>
        <v>0</v>
      </c>
      <c r="JY41" s="479">
        <f t="shared" si="356"/>
        <v>0</v>
      </c>
      <c r="JZ41" s="479">
        <f t="shared" si="356"/>
        <v>0</v>
      </c>
      <c r="KA41" s="479">
        <f t="shared" si="356"/>
        <v>0</v>
      </c>
      <c r="KB41" s="479">
        <f t="shared" si="356"/>
        <v>0</v>
      </c>
      <c r="KC41" s="479">
        <f t="shared" si="356"/>
        <v>0</v>
      </c>
      <c r="KD41" s="479">
        <f t="shared" si="356"/>
        <v>0</v>
      </c>
      <c r="KE41" s="479">
        <f t="shared" si="356"/>
        <v>0</v>
      </c>
      <c r="KF41" s="479">
        <f t="shared" si="356"/>
        <v>0</v>
      </c>
      <c r="KG41" s="479">
        <f t="shared" si="356"/>
        <v>0</v>
      </c>
      <c r="KH41" s="479">
        <f t="shared" si="356"/>
        <v>0</v>
      </c>
      <c r="KI41" s="479">
        <f t="shared" si="356"/>
        <v>0</v>
      </c>
      <c r="KJ41" s="479">
        <f t="shared" si="356"/>
        <v>0</v>
      </c>
      <c r="KK41" s="479">
        <f t="shared" si="357"/>
        <v>0</v>
      </c>
      <c r="KL41" s="479">
        <f t="shared" si="357"/>
        <v>0</v>
      </c>
      <c r="KM41" s="479">
        <f t="shared" si="357"/>
        <v>0</v>
      </c>
      <c r="KN41" s="479">
        <f t="shared" si="357"/>
        <v>0</v>
      </c>
      <c r="KO41" s="479">
        <f t="shared" si="357"/>
        <v>0</v>
      </c>
      <c r="KP41" s="479">
        <f t="shared" si="357"/>
        <v>0</v>
      </c>
      <c r="KQ41" s="479">
        <f t="shared" si="357"/>
        <v>0</v>
      </c>
      <c r="KR41" s="479">
        <f t="shared" si="357"/>
        <v>0</v>
      </c>
      <c r="KS41" s="479">
        <f t="shared" si="357"/>
        <v>0</v>
      </c>
      <c r="KT41" s="479">
        <f t="shared" si="357"/>
        <v>0</v>
      </c>
      <c r="KU41" s="479">
        <f t="shared" si="357"/>
        <v>0</v>
      </c>
      <c r="KV41" s="479">
        <f t="shared" si="357"/>
        <v>0</v>
      </c>
      <c r="KW41" s="479">
        <f t="shared" si="357"/>
        <v>0</v>
      </c>
      <c r="KX41" s="479">
        <f t="shared" si="357"/>
        <v>0</v>
      </c>
      <c r="KY41" s="479">
        <f t="shared" si="357"/>
        <v>0</v>
      </c>
      <c r="KZ41" s="479">
        <f t="shared" si="357"/>
        <v>0</v>
      </c>
      <c r="LA41" s="479">
        <f t="shared" si="358"/>
        <v>0</v>
      </c>
      <c r="LB41" s="479">
        <f t="shared" si="358"/>
        <v>0</v>
      </c>
      <c r="LC41" s="479">
        <f t="shared" si="358"/>
        <v>0</v>
      </c>
      <c r="LD41" s="479">
        <f t="shared" si="358"/>
        <v>0</v>
      </c>
      <c r="LE41" s="479">
        <f t="shared" si="358"/>
        <v>0</v>
      </c>
      <c r="LF41" s="479">
        <f t="shared" si="358"/>
        <v>0</v>
      </c>
      <c r="LG41" s="479">
        <f t="shared" si="358"/>
        <v>0</v>
      </c>
      <c r="LH41" s="479">
        <f t="shared" si="358"/>
        <v>0</v>
      </c>
      <c r="LI41" s="479">
        <f t="shared" si="358"/>
        <v>0</v>
      </c>
      <c r="LJ41" s="479">
        <f t="shared" si="358"/>
        <v>0</v>
      </c>
      <c r="LK41" s="479">
        <f t="shared" si="358"/>
        <v>0</v>
      </c>
      <c r="LL41" s="479">
        <f t="shared" si="358"/>
        <v>0</v>
      </c>
      <c r="LM41" s="479">
        <f t="shared" si="358"/>
        <v>0</v>
      </c>
      <c r="LN41" s="479">
        <f t="shared" si="358"/>
        <v>0</v>
      </c>
      <c r="LO41" s="479">
        <f t="shared" si="358"/>
        <v>0</v>
      </c>
      <c r="LP41" s="479">
        <f t="shared" si="358"/>
        <v>0</v>
      </c>
      <c r="LQ41" s="479">
        <f t="shared" si="342"/>
        <v>0</v>
      </c>
      <c r="LR41" s="479">
        <f t="shared" si="342"/>
        <v>0</v>
      </c>
      <c r="LS41" s="479">
        <f t="shared" si="342"/>
        <v>0</v>
      </c>
      <c r="LT41" s="479">
        <f t="shared" si="342"/>
        <v>0</v>
      </c>
      <c r="LU41" s="479">
        <f t="shared" si="342"/>
        <v>0</v>
      </c>
      <c r="LV41" s="479">
        <f t="shared" si="342"/>
        <v>0</v>
      </c>
      <c r="LW41" s="479">
        <f t="shared" si="342"/>
        <v>0</v>
      </c>
      <c r="LX41" s="479">
        <f t="shared" si="342"/>
        <v>0</v>
      </c>
      <c r="LY41" s="479">
        <f t="shared" si="342"/>
        <v>0</v>
      </c>
      <c r="LZ41" s="479">
        <f t="shared" si="342"/>
        <v>0</v>
      </c>
      <c r="MA41" s="479">
        <f t="shared" si="342"/>
        <v>0</v>
      </c>
      <c r="MB41" s="479">
        <f t="shared" si="342"/>
        <v>0</v>
      </c>
      <c r="MC41" s="479">
        <f t="shared" si="342"/>
        <v>0</v>
      </c>
      <c r="MD41" s="479">
        <f t="shared" si="342"/>
        <v>0</v>
      </c>
      <c r="ME41" s="479">
        <f t="shared" si="342"/>
        <v>0</v>
      </c>
      <c r="MF41" s="479">
        <f t="shared" si="342"/>
        <v>0</v>
      </c>
      <c r="MG41" s="479">
        <f t="shared" si="359"/>
        <v>0</v>
      </c>
      <c r="MH41" s="479">
        <f t="shared" si="359"/>
        <v>0</v>
      </c>
      <c r="MI41" s="479">
        <f t="shared" si="359"/>
        <v>0</v>
      </c>
      <c r="MJ41" s="479">
        <f t="shared" si="359"/>
        <v>0</v>
      </c>
      <c r="MK41" s="479">
        <f t="shared" si="359"/>
        <v>0</v>
      </c>
      <c r="ML41" s="479">
        <f t="shared" si="359"/>
        <v>0</v>
      </c>
      <c r="MM41" s="479">
        <f t="shared" si="359"/>
        <v>0</v>
      </c>
      <c r="MN41" s="479">
        <f t="shared" si="359"/>
        <v>0</v>
      </c>
      <c r="MO41" s="479">
        <f t="shared" si="359"/>
        <v>0</v>
      </c>
      <c r="MP41" s="479">
        <f t="shared" si="359"/>
        <v>0</v>
      </c>
      <c r="MQ41" s="479">
        <f t="shared" si="359"/>
        <v>0</v>
      </c>
      <c r="MR41" s="479">
        <f t="shared" si="359"/>
        <v>0</v>
      </c>
      <c r="MS41" s="479">
        <f t="shared" si="359"/>
        <v>0</v>
      </c>
      <c r="MT41" s="479">
        <f t="shared" si="359"/>
        <v>0</v>
      </c>
      <c r="MU41" s="479">
        <f t="shared" si="359"/>
        <v>0</v>
      </c>
      <c r="MV41" s="479">
        <f t="shared" si="359"/>
        <v>0</v>
      </c>
      <c r="MW41" s="479">
        <f t="shared" si="360"/>
        <v>0</v>
      </c>
      <c r="MX41" s="479">
        <f t="shared" si="360"/>
        <v>0</v>
      </c>
      <c r="MY41" s="479">
        <f t="shared" si="360"/>
        <v>0</v>
      </c>
      <c r="MZ41" s="479">
        <f t="shared" si="360"/>
        <v>0</v>
      </c>
      <c r="NA41" s="479">
        <f t="shared" si="360"/>
        <v>0</v>
      </c>
      <c r="NB41" s="479">
        <f t="shared" si="360"/>
        <v>0</v>
      </c>
      <c r="NC41" s="479">
        <f t="shared" si="360"/>
        <v>0</v>
      </c>
      <c r="ND41" s="479">
        <f t="shared" si="360"/>
        <v>0</v>
      </c>
      <c r="NE41" s="479">
        <f t="shared" si="360"/>
        <v>0</v>
      </c>
      <c r="NF41" s="479">
        <f t="shared" si="360"/>
        <v>0</v>
      </c>
      <c r="NG41" s="479">
        <f t="shared" si="360"/>
        <v>0</v>
      </c>
      <c r="NH41" s="479">
        <f t="shared" si="360"/>
        <v>0</v>
      </c>
      <c r="NI41" s="479">
        <f t="shared" si="360"/>
        <v>0</v>
      </c>
      <c r="NJ41" s="479">
        <f t="shared" si="360"/>
        <v>0</v>
      </c>
      <c r="NK41" s="479">
        <f t="shared" si="360"/>
        <v>0</v>
      </c>
      <c r="NL41" s="479">
        <f t="shared" si="360"/>
        <v>0</v>
      </c>
      <c r="NM41" s="479">
        <f t="shared" si="361"/>
        <v>0</v>
      </c>
      <c r="NN41" s="479">
        <f t="shared" si="361"/>
        <v>0</v>
      </c>
      <c r="NO41" s="479">
        <f t="shared" si="361"/>
        <v>0</v>
      </c>
      <c r="NP41" s="479">
        <f t="shared" si="361"/>
        <v>0</v>
      </c>
      <c r="NQ41" s="479">
        <f t="shared" si="361"/>
        <v>0</v>
      </c>
      <c r="NR41" s="479">
        <f t="shared" si="361"/>
        <v>0</v>
      </c>
      <c r="NS41" s="479">
        <f t="shared" si="361"/>
        <v>0</v>
      </c>
      <c r="NT41" s="479">
        <f t="shared" si="361"/>
        <v>0</v>
      </c>
      <c r="NU41" s="479">
        <f t="shared" si="361"/>
        <v>0</v>
      </c>
      <c r="NV41" s="479">
        <f t="shared" si="361"/>
        <v>0</v>
      </c>
      <c r="NW41" s="479">
        <f t="shared" si="361"/>
        <v>0</v>
      </c>
      <c r="NX41" s="479">
        <f t="shared" si="361"/>
        <v>0</v>
      </c>
      <c r="NY41" s="479">
        <f t="shared" si="361"/>
        <v>0</v>
      </c>
      <c r="NZ41" s="479">
        <f t="shared" si="361"/>
        <v>0</v>
      </c>
      <c r="OA41" s="479">
        <f t="shared" si="361"/>
        <v>0</v>
      </c>
      <c r="OB41" s="479">
        <f t="shared" si="361"/>
        <v>0</v>
      </c>
      <c r="OC41" s="479">
        <f t="shared" si="343"/>
        <v>0</v>
      </c>
      <c r="OD41" s="479">
        <f t="shared" si="343"/>
        <v>0</v>
      </c>
      <c r="OE41" s="479">
        <f t="shared" si="330"/>
        <v>0</v>
      </c>
      <c r="OF41" s="479">
        <f t="shared" si="330"/>
        <v>0</v>
      </c>
      <c r="OG41" s="479">
        <f t="shared" si="330"/>
        <v>0</v>
      </c>
      <c r="OH41" s="479">
        <f t="shared" si="330"/>
        <v>0</v>
      </c>
      <c r="OI41" s="479">
        <f t="shared" si="330"/>
        <v>0</v>
      </c>
      <c r="OJ41" s="479">
        <f t="shared" si="330"/>
        <v>0</v>
      </c>
      <c r="OK41" s="479">
        <f t="shared" si="330"/>
        <v>0</v>
      </c>
      <c r="OL41" s="479">
        <f t="shared" si="330"/>
        <v>0</v>
      </c>
      <c r="OM41" s="479">
        <f t="shared" si="330"/>
        <v>0</v>
      </c>
      <c r="ON41" s="479">
        <f t="shared" si="330"/>
        <v>0</v>
      </c>
      <c r="OO41" s="479">
        <f t="shared" si="330"/>
        <v>0</v>
      </c>
    </row>
    <row r="42" spans="2:405">
      <c r="B42" s="97" t="str">
        <f>Assumptions!B107</f>
        <v>Title &amp; Recording</v>
      </c>
      <c r="C42" s="97"/>
      <c r="D42" s="500">
        <f>Assumptions!C107</f>
        <v>866708.31737188937</v>
      </c>
      <c r="E42" s="507">
        <f>Assumptions!$C$8</f>
        <v>46204</v>
      </c>
      <c r="F42" s="507">
        <f>EOMONTH(E42,Assumptions!$C$9-1)</f>
        <v>46387</v>
      </c>
      <c r="G42" s="97">
        <f t="shared" si="323"/>
        <v>6</v>
      </c>
      <c r="H42" s="97"/>
      <c r="I42" s="97"/>
      <c r="J42" s="479">
        <f t="shared" si="331"/>
        <v>-144451.38622864822</v>
      </c>
      <c r="K42" s="479">
        <f t="shared" si="331"/>
        <v>-144451.38622864822</v>
      </c>
      <c r="L42" s="479">
        <f t="shared" si="331"/>
        <v>-144451.38622864822</v>
      </c>
      <c r="M42" s="479">
        <f t="shared" si="331"/>
        <v>-144451.38622864822</v>
      </c>
      <c r="N42" s="479">
        <f t="shared" si="331"/>
        <v>-144451.38622864822</v>
      </c>
      <c r="O42" s="479">
        <f t="shared" si="331"/>
        <v>-144451.38622864822</v>
      </c>
      <c r="P42" s="479">
        <f t="shared" si="331"/>
        <v>0</v>
      </c>
      <c r="Q42" s="479">
        <f t="shared" si="331"/>
        <v>0</v>
      </c>
      <c r="R42" s="479">
        <f t="shared" si="331"/>
        <v>0</v>
      </c>
      <c r="S42" s="479">
        <f t="shared" si="331"/>
        <v>0</v>
      </c>
      <c r="T42" s="479">
        <f t="shared" si="331"/>
        <v>0</v>
      </c>
      <c r="U42" s="479">
        <f t="shared" si="331"/>
        <v>0</v>
      </c>
      <c r="V42" s="479">
        <f t="shared" si="331"/>
        <v>0</v>
      </c>
      <c r="W42" s="479">
        <f t="shared" si="331"/>
        <v>0</v>
      </c>
      <c r="X42" s="479">
        <f t="shared" si="331"/>
        <v>0</v>
      </c>
      <c r="Y42" s="479">
        <f t="shared" si="331"/>
        <v>0</v>
      </c>
      <c r="Z42" s="479">
        <f t="shared" si="344"/>
        <v>0</v>
      </c>
      <c r="AA42" s="479">
        <f t="shared" si="344"/>
        <v>0</v>
      </c>
      <c r="AB42" s="479">
        <f t="shared" si="344"/>
        <v>0</v>
      </c>
      <c r="AC42" s="479">
        <f t="shared" si="344"/>
        <v>0</v>
      </c>
      <c r="AD42" s="479">
        <f t="shared" si="344"/>
        <v>0</v>
      </c>
      <c r="AE42" s="479">
        <f t="shared" si="344"/>
        <v>0</v>
      </c>
      <c r="AF42" s="479">
        <f t="shared" si="344"/>
        <v>0</v>
      </c>
      <c r="AG42" s="479">
        <f t="shared" si="344"/>
        <v>0</v>
      </c>
      <c r="AH42" s="479">
        <f t="shared" si="344"/>
        <v>0</v>
      </c>
      <c r="AI42" s="479">
        <f t="shared" si="344"/>
        <v>0</v>
      </c>
      <c r="AJ42" s="479">
        <f t="shared" si="344"/>
        <v>0</v>
      </c>
      <c r="AK42" s="479">
        <f t="shared" si="344"/>
        <v>0</v>
      </c>
      <c r="AL42" s="479">
        <f t="shared" si="344"/>
        <v>0</v>
      </c>
      <c r="AM42" s="479">
        <f t="shared" si="344"/>
        <v>0</v>
      </c>
      <c r="AN42" s="479">
        <f t="shared" si="344"/>
        <v>0</v>
      </c>
      <c r="AO42" s="479">
        <f t="shared" si="344"/>
        <v>0</v>
      </c>
      <c r="AP42" s="479">
        <f t="shared" si="345"/>
        <v>0</v>
      </c>
      <c r="AQ42" s="479">
        <f t="shared" si="345"/>
        <v>0</v>
      </c>
      <c r="AR42" s="479">
        <f t="shared" si="345"/>
        <v>0</v>
      </c>
      <c r="AS42" s="479">
        <f t="shared" si="345"/>
        <v>0</v>
      </c>
      <c r="AT42" s="479">
        <f t="shared" si="345"/>
        <v>0</v>
      </c>
      <c r="AU42" s="479">
        <f t="shared" si="345"/>
        <v>0</v>
      </c>
      <c r="AV42" s="479">
        <f t="shared" si="345"/>
        <v>0</v>
      </c>
      <c r="AW42" s="479">
        <f t="shared" si="345"/>
        <v>0</v>
      </c>
      <c r="AX42" s="479">
        <f t="shared" si="345"/>
        <v>0</v>
      </c>
      <c r="AY42" s="479">
        <f t="shared" si="345"/>
        <v>0</v>
      </c>
      <c r="AZ42" s="479">
        <f t="shared" si="345"/>
        <v>0</v>
      </c>
      <c r="BA42" s="479">
        <f t="shared" si="345"/>
        <v>0</v>
      </c>
      <c r="BB42" s="479">
        <f t="shared" si="345"/>
        <v>0</v>
      </c>
      <c r="BC42" s="479">
        <f t="shared" si="345"/>
        <v>0</v>
      </c>
      <c r="BD42" s="479">
        <f t="shared" si="345"/>
        <v>0</v>
      </c>
      <c r="BE42" s="479">
        <f t="shared" si="345"/>
        <v>0</v>
      </c>
      <c r="BF42" s="479">
        <f t="shared" si="346"/>
        <v>0</v>
      </c>
      <c r="BG42" s="479">
        <f t="shared" si="346"/>
        <v>0</v>
      </c>
      <c r="BH42" s="479">
        <f t="shared" si="346"/>
        <v>0</v>
      </c>
      <c r="BI42" s="479">
        <f t="shared" si="346"/>
        <v>0</v>
      </c>
      <c r="BJ42" s="479">
        <f t="shared" si="346"/>
        <v>0</v>
      </c>
      <c r="BK42" s="479">
        <f t="shared" si="346"/>
        <v>0</v>
      </c>
      <c r="BL42" s="479">
        <f t="shared" si="346"/>
        <v>0</v>
      </c>
      <c r="BM42" s="479">
        <f t="shared" si="346"/>
        <v>0</v>
      </c>
      <c r="BN42" s="479">
        <f t="shared" si="346"/>
        <v>0</v>
      </c>
      <c r="BO42" s="479">
        <f t="shared" si="346"/>
        <v>0</v>
      </c>
      <c r="BP42" s="479">
        <f t="shared" si="346"/>
        <v>0</v>
      </c>
      <c r="BQ42" s="479">
        <f t="shared" si="346"/>
        <v>0</v>
      </c>
      <c r="BR42" s="479">
        <f t="shared" si="346"/>
        <v>0</v>
      </c>
      <c r="BS42" s="479">
        <f t="shared" si="346"/>
        <v>0</v>
      </c>
      <c r="BT42" s="479">
        <f t="shared" si="346"/>
        <v>0</v>
      </c>
      <c r="BU42" s="479">
        <f t="shared" si="346"/>
        <v>0</v>
      </c>
      <c r="BV42" s="479">
        <f t="shared" si="338"/>
        <v>0</v>
      </c>
      <c r="BW42" s="479">
        <f t="shared" si="338"/>
        <v>0</v>
      </c>
      <c r="BX42" s="479">
        <f t="shared" si="338"/>
        <v>0</v>
      </c>
      <c r="BY42" s="479">
        <f t="shared" si="338"/>
        <v>0</v>
      </c>
      <c r="BZ42" s="479">
        <f t="shared" si="338"/>
        <v>0</v>
      </c>
      <c r="CA42" s="479">
        <f t="shared" si="338"/>
        <v>0</v>
      </c>
      <c r="CB42" s="479">
        <f t="shared" si="338"/>
        <v>0</v>
      </c>
      <c r="CC42" s="479">
        <f t="shared" si="338"/>
        <v>0</v>
      </c>
      <c r="CD42" s="479">
        <f t="shared" si="338"/>
        <v>0</v>
      </c>
      <c r="CE42" s="479">
        <f t="shared" si="338"/>
        <v>0</v>
      </c>
      <c r="CF42" s="479">
        <f t="shared" si="338"/>
        <v>0</v>
      </c>
      <c r="CG42" s="479">
        <f t="shared" si="338"/>
        <v>0</v>
      </c>
      <c r="CH42" s="479">
        <f t="shared" si="338"/>
        <v>0</v>
      </c>
      <c r="CI42" s="479">
        <f t="shared" si="338"/>
        <v>0</v>
      </c>
      <c r="CJ42" s="479">
        <f t="shared" si="338"/>
        <v>0</v>
      </c>
      <c r="CK42" s="479">
        <f t="shared" si="347"/>
        <v>0</v>
      </c>
      <c r="CL42" s="479">
        <f t="shared" si="347"/>
        <v>0</v>
      </c>
      <c r="CM42" s="479">
        <f t="shared" si="347"/>
        <v>0</v>
      </c>
      <c r="CN42" s="479">
        <f t="shared" si="347"/>
        <v>0</v>
      </c>
      <c r="CO42" s="479">
        <f t="shared" si="347"/>
        <v>0</v>
      </c>
      <c r="CP42" s="479">
        <f t="shared" si="347"/>
        <v>0</v>
      </c>
      <c r="CQ42" s="479">
        <f t="shared" si="347"/>
        <v>0</v>
      </c>
      <c r="CR42" s="479">
        <f t="shared" si="347"/>
        <v>0</v>
      </c>
      <c r="CS42" s="479">
        <f t="shared" si="347"/>
        <v>0</v>
      </c>
      <c r="CT42" s="479">
        <f t="shared" si="347"/>
        <v>0</v>
      </c>
      <c r="CU42" s="479">
        <f t="shared" si="347"/>
        <v>0</v>
      </c>
      <c r="CV42" s="479">
        <f t="shared" si="347"/>
        <v>0</v>
      </c>
      <c r="CW42" s="479">
        <f t="shared" si="347"/>
        <v>0</v>
      </c>
      <c r="CX42" s="479">
        <f t="shared" si="347"/>
        <v>0</v>
      </c>
      <c r="CY42" s="479">
        <f t="shared" si="347"/>
        <v>0</v>
      </c>
      <c r="CZ42" s="479">
        <f t="shared" si="347"/>
        <v>0</v>
      </c>
      <c r="DA42" s="479">
        <f t="shared" si="348"/>
        <v>0</v>
      </c>
      <c r="DB42" s="479">
        <f t="shared" si="348"/>
        <v>0</v>
      </c>
      <c r="DC42" s="479">
        <f t="shared" si="348"/>
        <v>0</v>
      </c>
      <c r="DD42" s="479">
        <f t="shared" si="348"/>
        <v>0</v>
      </c>
      <c r="DE42" s="479">
        <f t="shared" si="348"/>
        <v>0</v>
      </c>
      <c r="DF42" s="479">
        <f t="shared" si="348"/>
        <v>0</v>
      </c>
      <c r="DG42" s="479">
        <f t="shared" si="348"/>
        <v>0</v>
      </c>
      <c r="DH42" s="479">
        <f t="shared" si="348"/>
        <v>0</v>
      </c>
      <c r="DI42" s="479">
        <f t="shared" si="348"/>
        <v>0</v>
      </c>
      <c r="DJ42" s="479">
        <f t="shared" si="348"/>
        <v>0</v>
      </c>
      <c r="DK42" s="479">
        <f t="shared" si="348"/>
        <v>0</v>
      </c>
      <c r="DL42" s="479">
        <f t="shared" si="348"/>
        <v>0</v>
      </c>
      <c r="DM42" s="479">
        <f t="shared" si="348"/>
        <v>0</v>
      </c>
      <c r="DN42" s="479">
        <f t="shared" si="348"/>
        <v>0</v>
      </c>
      <c r="DO42" s="479">
        <f t="shared" si="348"/>
        <v>0</v>
      </c>
      <c r="DP42" s="479">
        <f t="shared" si="348"/>
        <v>0</v>
      </c>
      <c r="DQ42" s="479">
        <f t="shared" si="349"/>
        <v>0</v>
      </c>
      <c r="DR42" s="479">
        <f t="shared" si="349"/>
        <v>0</v>
      </c>
      <c r="DS42" s="479">
        <f t="shared" si="349"/>
        <v>0</v>
      </c>
      <c r="DT42" s="479">
        <f t="shared" si="349"/>
        <v>0</v>
      </c>
      <c r="DU42" s="479">
        <f t="shared" si="349"/>
        <v>0</v>
      </c>
      <c r="DV42" s="479">
        <f t="shared" si="349"/>
        <v>0</v>
      </c>
      <c r="DW42" s="479">
        <f t="shared" si="349"/>
        <v>0</v>
      </c>
      <c r="DX42" s="479">
        <f t="shared" si="349"/>
        <v>0</v>
      </c>
      <c r="DY42" s="479">
        <f t="shared" si="349"/>
        <v>0</v>
      </c>
      <c r="DZ42" s="479">
        <f t="shared" si="349"/>
        <v>0</v>
      </c>
      <c r="EA42" s="479">
        <f t="shared" si="349"/>
        <v>0</v>
      </c>
      <c r="EB42" s="479">
        <f t="shared" si="349"/>
        <v>0</v>
      </c>
      <c r="EC42" s="479">
        <f t="shared" si="349"/>
        <v>0</v>
      </c>
      <c r="ED42" s="479">
        <f t="shared" si="349"/>
        <v>0</v>
      </c>
      <c r="EE42" s="479">
        <f t="shared" si="349"/>
        <v>0</v>
      </c>
      <c r="EF42" s="479">
        <f t="shared" si="349"/>
        <v>0</v>
      </c>
      <c r="EG42" s="479">
        <f t="shared" si="339"/>
        <v>0</v>
      </c>
      <c r="EH42" s="479">
        <f t="shared" si="339"/>
        <v>0</v>
      </c>
      <c r="EI42" s="479">
        <f t="shared" si="339"/>
        <v>0</v>
      </c>
      <c r="EJ42" s="479">
        <f t="shared" si="339"/>
        <v>0</v>
      </c>
      <c r="EK42" s="479">
        <f t="shared" si="339"/>
        <v>0</v>
      </c>
      <c r="EL42" s="479">
        <f t="shared" si="339"/>
        <v>0</v>
      </c>
      <c r="EM42" s="479">
        <f t="shared" si="339"/>
        <v>0</v>
      </c>
      <c r="EN42" s="479">
        <f t="shared" si="339"/>
        <v>0</v>
      </c>
      <c r="EO42" s="479">
        <f t="shared" si="339"/>
        <v>0</v>
      </c>
      <c r="EP42" s="479">
        <f t="shared" si="339"/>
        <v>0</v>
      </c>
      <c r="EQ42" s="479">
        <f t="shared" si="339"/>
        <v>0</v>
      </c>
      <c r="ER42" s="479">
        <f t="shared" si="339"/>
        <v>0</v>
      </c>
      <c r="ES42" s="479">
        <f t="shared" si="339"/>
        <v>0</v>
      </c>
      <c r="ET42" s="479">
        <f t="shared" si="339"/>
        <v>0</v>
      </c>
      <c r="EU42" s="479">
        <f t="shared" si="339"/>
        <v>0</v>
      </c>
      <c r="EV42" s="479">
        <f t="shared" si="339"/>
        <v>0</v>
      </c>
      <c r="EW42" s="479">
        <f t="shared" si="350"/>
        <v>0</v>
      </c>
      <c r="EX42" s="479">
        <f t="shared" si="350"/>
        <v>0</v>
      </c>
      <c r="EY42" s="479">
        <f t="shared" si="350"/>
        <v>0</v>
      </c>
      <c r="EZ42" s="479">
        <f t="shared" si="350"/>
        <v>0</v>
      </c>
      <c r="FA42" s="479">
        <f t="shared" si="350"/>
        <v>0</v>
      </c>
      <c r="FB42" s="479">
        <f t="shared" si="350"/>
        <v>0</v>
      </c>
      <c r="FC42" s="479">
        <f t="shared" si="350"/>
        <v>0</v>
      </c>
      <c r="FD42" s="479">
        <f t="shared" si="350"/>
        <v>0</v>
      </c>
      <c r="FE42" s="479">
        <f t="shared" si="350"/>
        <v>0</v>
      </c>
      <c r="FF42" s="479">
        <f t="shared" si="350"/>
        <v>0</v>
      </c>
      <c r="FG42" s="479">
        <f t="shared" si="350"/>
        <v>0</v>
      </c>
      <c r="FH42" s="479">
        <f t="shared" si="350"/>
        <v>0</v>
      </c>
      <c r="FI42" s="479">
        <f t="shared" si="350"/>
        <v>0</v>
      </c>
      <c r="FJ42" s="479">
        <f t="shared" si="350"/>
        <v>0</v>
      </c>
      <c r="FK42" s="479">
        <f t="shared" si="350"/>
        <v>0</v>
      </c>
      <c r="FL42" s="479">
        <f t="shared" si="350"/>
        <v>0</v>
      </c>
      <c r="FM42" s="479">
        <f t="shared" si="351"/>
        <v>0</v>
      </c>
      <c r="FN42" s="479">
        <f t="shared" si="351"/>
        <v>0</v>
      </c>
      <c r="FO42" s="479">
        <f t="shared" si="351"/>
        <v>0</v>
      </c>
      <c r="FP42" s="479">
        <f t="shared" si="351"/>
        <v>0</v>
      </c>
      <c r="FQ42" s="479">
        <f t="shared" si="351"/>
        <v>0</v>
      </c>
      <c r="FR42" s="479">
        <f t="shared" si="351"/>
        <v>0</v>
      </c>
      <c r="FS42" s="479">
        <f t="shared" si="351"/>
        <v>0</v>
      </c>
      <c r="FT42" s="479">
        <f t="shared" si="351"/>
        <v>0</v>
      </c>
      <c r="FU42" s="479">
        <f t="shared" si="351"/>
        <v>0</v>
      </c>
      <c r="FV42" s="479">
        <f t="shared" si="351"/>
        <v>0</v>
      </c>
      <c r="FW42" s="479">
        <f t="shared" si="351"/>
        <v>0</v>
      </c>
      <c r="FX42" s="479">
        <f t="shared" si="351"/>
        <v>0</v>
      </c>
      <c r="FY42" s="479">
        <f t="shared" si="351"/>
        <v>0</v>
      </c>
      <c r="FZ42" s="479">
        <f t="shared" si="351"/>
        <v>0</v>
      </c>
      <c r="GA42" s="479">
        <f t="shared" si="351"/>
        <v>0</v>
      </c>
      <c r="GB42" s="479">
        <f t="shared" si="351"/>
        <v>0</v>
      </c>
      <c r="GC42" s="479">
        <f t="shared" si="352"/>
        <v>0</v>
      </c>
      <c r="GD42" s="479">
        <f t="shared" si="352"/>
        <v>0</v>
      </c>
      <c r="GE42" s="479">
        <f t="shared" si="352"/>
        <v>0</v>
      </c>
      <c r="GF42" s="479">
        <f t="shared" si="352"/>
        <v>0</v>
      </c>
      <c r="GG42" s="479">
        <f t="shared" si="352"/>
        <v>0</v>
      </c>
      <c r="GH42" s="479">
        <f t="shared" si="352"/>
        <v>0</v>
      </c>
      <c r="GI42" s="479">
        <f t="shared" si="352"/>
        <v>0</v>
      </c>
      <c r="GJ42" s="479">
        <f t="shared" si="352"/>
        <v>0</v>
      </c>
      <c r="GK42" s="479">
        <f t="shared" si="352"/>
        <v>0</v>
      </c>
      <c r="GL42" s="479">
        <f t="shared" si="352"/>
        <v>0</v>
      </c>
      <c r="GM42" s="479">
        <f t="shared" si="352"/>
        <v>0</v>
      </c>
      <c r="GN42" s="479">
        <f t="shared" si="352"/>
        <v>0</v>
      </c>
      <c r="GO42" s="479">
        <f t="shared" si="352"/>
        <v>0</v>
      </c>
      <c r="GP42" s="479">
        <f t="shared" si="352"/>
        <v>0</v>
      </c>
      <c r="GQ42" s="479">
        <f t="shared" si="352"/>
        <v>0</v>
      </c>
      <c r="GR42" s="479">
        <f t="shared" si="352"/>
        <v>0</v>
      </c>
      <c r="GS42" s="479">
        <f t="shared" si="340"/>
        <v>0</v>
      </c>
      <c r="GT42" s="479">
        <f t="shared" si="340"/>
        <v>0</v>
      </c>
      <c r="GU42" s="479">
        <f t="shared" si="340"/>
        <v>0</v>
      </c>
      <c r="GV42" s="479">
        <f t="shared" si="340"/>
        <v>0</v>
      </c>
      <c r="GW42" s="479">
        <f t="shared" si="340"/>
        <v>0</v>
      </c>
      <c r="GX42" s="479">
        <f t="shared" si="340"/>
        <v>0</v>
      </c>
      <c r="GY42" s="479">
        <f t="shared" si="340"/>
        <v>0</v>
      </c>
      <c r="GZ42" s="479">
        <f t="shared" si="340"/>
        <v>0</v>
      </c>
      <c r="HA42" s="479">
        <f t="shared" si="340"/>
        <v>0</v>
      </c>
      <c r="HB42" s="479">
        <f t="shared" si="340"/>
        <v>0</v>
      </c>
      <c r="HC42" s="479">
        <f t="shared" si="340"/>
        <v>0</v>
      </c>
      <c r="HD42" s="479">
        <f t="shared" si="340"/>
        <v>0</v>
      </c>
      <c r="HE42" s="479">
        <f t="shared" si="340"/>
        <v>0</v>
      </c>
      <c r="HF42" s="479">
        <f t="shared" si="340"/>
        <v>0</v>
      </c>
      <c r="HG42" s="479">
        <f t="shared" si="340"/>
        <v>0</v>
      </c>
      <c r="HH42" s="479">
        <f t="shared" si="340"/>
        <v>0</v>
      </c>
      <c r="HI42" s="479">
        <f t="shared" si="353"/>
        <v>0</v>
      </c>
      <c r="HJ42" s="479">
        <f t="shared" si="353"/>
        <v>0</v>
      </c>
      <c r="HK42" s="479">
        <f t="shared" si="353"/>
        <v>0</v>
      </c>
      <c r="HL42" s="479">
        <f t="shared" si="353"/>
        <v>0</v>
      </c>
      <c r="HM42" s="479">
        <f t="shared" si="353"/>
        <v>0</v>
      </c>
      <c r="HN42" s="479">
        <f t="shared" si="353"/>
        <v>0</v>
      </c>
      <c r="HO42" s="479">
        <f t="shared" si="353"/>
        <v>0</v>
      </c>
      <c r="HP42" s="479">
        <f t="shared" si="353"/>
        <v>0</v>
      </c>
      <c r="HQ42" s="479">
        <f t="shared" si="353"/>
        <v>0</v>
      </c>
      <c r="HR42" s="479">
        <f t="shared" si="353"/>
        <v>0</v>
      </c>
      <c r="HS42" s="479">
        <f t="shared" si="353"/>
        <v>0</v>
      </c>
      <c r="HT42" s="479">
        <f t="shared" si="353"/>
        <v>0</v>
      </c>
      <c r="HU42" s="479">
        <f t="shared" si="353"/>
        <v>0</v>
      </c>
      <c r="HV42" s="479">
        <f t="shared" si="353"/>
        <v>0</v>
      </c>
      <c r="HW42" s="479">
        <f t="shared" si="353"/>
        <v>0</v>
      </c>
      <c r="HX42" s="479">
        <f t="shared" si="353"/>
        <v>0</v>
      </c>
      <c r="HY42" s="479">
        <f t="shared" si="354"/>
        <v>0</v>
      </c>
      <c r="HZ42" s="479">
        <f t="shared" si="354"/>
        <v>0</v>
      </c>
      <c r="IA42" s="479">
        <f t="shared" si="354"/>
        <v>0</v>
      </c>
      <c r="IB42" s="479">
        <f t="shared" si="354"/>
        <v>0</v>
      </c>
      <c r="IC42" s="479">
        <f t="shared" si="354"/>
        <v>0</v>
      </c>
      <c r="ID42" s="479">
        <f t="shared" si="354"/>
        <v>0</v>
      </c>
      <c r="IE42" s="479">
        <f t="shared" si="354"/>
        <v>0</v>
      </c>
      <c r="IF42" s="479">
        <f t="shared" si="354"/>
        <v>0</v>
      </c>
      <c r="IG42" s="479">
        <f t="shared" si="354"/>
        <v>0</v>
      </c>
      <c r="IH42" s="479">
        <f t="shared" si="354"/>
        <v>0</v>
      </c>
      <c r="II42" s="479">
        <f t="shared" si="354"/>
        <v>0</v>
      </c>
      <c r="IJ42" s="479">
        <f t="shared" si="354"/>
        <v>0</v>
      </c>
      <c r="IK42" s="479">
        <f t="shared" si="354"/>
        <v>0</v>
      </c>
      <c r="IL42" s="479">
        <f t="shared" si="354"/>
        <v>0</v>
      </c>
      <c r="IM42" s="479">
        <f t="shared" si="354"/>
        <v>0</v>
      </c>
      <c r="IN42" s="479">
        <f t="shared" si="354"/>
        <v>0</v>
      </c>
      <c r="IO42" s="479">
        <f t="shared" si="355"/>
        <v>0</v>
      </c>
      <c r="IP42" s="479">
        <f t="shared" si="355"/>
        <v>0</v>
      </c>
      <c r="IQ42" s="479">
        <f t="shared" si="355"/>
        <v>0</v>
      </c>
      <c r="IR42" s="479">
        <f t="shared" si="355"/>
        <v>0</v>
      </c>
      <c r="IS42" s="479">
        <f t="shared" si="355"/>
        <v>0</v>
      </c>
      <c r="IT42" s="479">
        <f t="shared" si="355"/>
        <v>0</v>
      </c>
      <c r="IU42" s="479">
        <f t="shared" si="355"/>
        <v>0</v>
      </c>
      <c r="IV42" s="479">
        <f t="shared" si="355"/>
        <v>0</v>
      </c>
      <c r="IW42" s="479">
        <f t="shared" si="355"/>
        <v>0</v>
      </c>
      <c r="IX42" s="479">
        <f t="shared" si="355"/>
        <v>0</v>
      </c>
      <c r="IY42" s="479">
        <f t="shared" si="355"/>
        <v>0</v>
      </c>
      <c r="IZ42" s="479">
        <f t="shared" si="355"/>
        <v>0</v>
      </c>
      <c r="JA42" s="479">
        <f t="shared" si="355"/>
        <v>0</v>
      </c>
      <c r="JB42" s="479">
        <f t="shared" si="355"/>
        <v>0</v>
      </c>
      <c r="JC42" s="479">
        <f t="shared" si="355"/>
        <v>0</v>
      </c>
      <c r="JD42" s="479">
        <f t="shared" si="355"/>
        <v>0</v>
      </c>
      <c r="JE42" s="479">
        <f t="shared" si="341"/>
        <v>0</v>
      </c>
      <c r="JF42" s="479">
        <f t="shared" si="341"/>
        <v>0</v>
      </c>
      <c r="JG42" s="479">
        <f t="shared" si="341"/>
        <v>0</v>
      </c>
      <c r="JH42" s="479">
        <f t="shared" si="341"/>
        <v>0</v>
      </c>
      <c r="JI42" s="479">
        <f t="shared" si="341"/>
        <v>0</v>
      </c>
      <c r="JJ42" s="479">
        <f t="shared" si="341"/>
        <v>0</v>
      </c>
      <c r="JK42" s="479">
        <f t="shared" si="341"/>
        <v>0</v>
      </c>
      <c r="JL42" s="479">
        <f t="shared" si="341"/>
        <v>0</v>
      </c>
      <c r="JM42" s="479">
        <f t="shared" si="341"/>
        <v>0</v>
      </c>
      <c r="JN42" s="479">
        <f t="shared" si="341"/>
        <v>0</v>
      </c>
      <c r="JO42" s="479">
        <f t="shared" si="341"/>
        <v>0</v>
      </c>
      <c r="JP42" s="479">
        <f t="shared" si="341"/>
        <v>0</v>
      </c>
      <c r="JQ42" s="479">
        <f t="shared" si="341"/>
        <v>0</v>
      </c>
      <c r="JR42" s="479">
        <f t="shared" si="341"/>
        <v>0</v>
      </c>
      <c r="JS42" s="479">
        <f t="shared" si="341"/>
        <v>0</v>
      </c>
      <c r="JT42" s="479">
        <f t="shared" si="341"/>
        <v>0</v>
      </c>
      <c r="JU42" s="479">
        <f t="shared" si="356"/>
        <v>0</v>
      </c>
      <c r="JV42" s="479">
        <f t="shared" si="356"/>
        <v>0</v>
      </c>
      <c r="JW42" s="479">
        <f t="shared" si="356"/>
        <v>0</v>
      </c>
      <c r="JX42" s="479">
        <f t="shared" si="356"/>
        <v>0</v>
      </c>
      <c r="JY42" s="479">
        <f t="shared" si="356"/>
        <v>0</v>
      </c>
      <c r="JZ42" s="479">
        <f t="shared" si="356"/>
        <v>0</v>
      </c>
      <c r="KA42" s="479">
        <f t="shared" si="356"/>
        <v>0</v>
      </c>
      <c r="KB42" s="479">
        <f t="shared" si="356"/>
        <v>0</v>
      </c>
      <c r="KC42" s="479">
        <f t="shared" si="356"/>
        <v>0</v>
      </c>
      <c r="KD42" s="479">
        <f t="shared" si="356"/>
        <v>0</v>
      </c>
      <c r="KE42" s="479">
        <f t="shared" si="356"/>
        <v>0</v>
      </c>
      <c r="KF42" s="479">
        <f t="shared" si="356"/>
        <v>0</v>
      </c>
      <c r="KG42" s="479">
        <f t="shared" si="356"/>
        <v>0</v>
      </c>
      <c r="KH42" s="479">
        <f t="shared" si="356"/>
        <v>0</v>
      </c>
      <c r="KI42" s="479">
        <f t="shared" si="356"/>
        <v>0</v>
      </c>
      <c r="KJ42" s="479">
        <f t="shared" si="356"/>
        <v>0</v>
      </c>
      <c r="KK42" s="479">
        <f t="shared" si="357"/>
        <v>0</v>
      </c>
      <c r="KL42" s="479">
        <f t="shared" si="357"/>
        <v>0</v>
      </c>
      <c r="KM42" s="479">
        <f t="shared" si="357"/>
        <v>0</v>
      </c>
      <c r="KN42" s="479">
        <f t="shared" si="357"/>
        <v>0</v>
      </c>
      <c r="KO42" s="479">
        <f t="shared" si="357"/>
        <v>0</v>
      </c>
      <c r="KP42" s="479">
        <f t="shared" si="357"/>
        <v>0</v>
      </c>
      <c r="KQ42" s="479">
        <f t="shared" si="357"/>
        <v>0</v>
      </c>
      <c r="KR42" s="479">
        <f t="shared" si="357"/>
        <v>0</v>
      </c>
      <c r="KS42" s="479">
        <f t="shared" si="357"/>
        <v>0</v>
      </c>
      <c r="KT42" s="479">
        <f t="shared" si="357"/>
        <v>0</v>
      </c>
      <c r="KU42" s="479">
        <f t="shared" si="357"/>
        <v>0</v>
      </c>
      <c r="KV42" s="479">
        <f t="shared" si="357"/>
        <v>0</v>
      </c>
      <c r="KW42" s="479">
        <f t="shared" si="357"/>
        <v>0</v>
      </c>
      <c r="KX42" s="479">
        <f t="shared" si="357"/>
        <v>0</v>
      </c>
      <c r="KY42" s="479">
        <f t="shared" si="357"/>
        <v>0</v>
      </c>
      <c r="KZ42" s="479">
        <f t="shared" si="357"/>
        <v>0</v>
      </c>
      <c r="LA42" s="479">
        <f t="shared" si="358"/>
        <v>0</v>
      </c>
      <c r="LB42" s="479">
        <f t="shared" si="358"/>
        <v>0</v>
      </c>
      <c r="LC42" s="479">
        <f t="shared" si="358"/>
        <v>0</v>
      </c>
      <c r="LD42" s="479">
        <f t="shared" si="358"/>
        <v>0</v>
      </c>
      <c r="LE42" s="479">
        <f t="shared" si="358"/>
        <v>0</v>
      </c>
      <c r="LF42" s="479">
        <f t="shared" si="358"/>
        <v>0</v>
      </c>
      <c r="LG42" s="479">
        <f t="shared" si="358"/>
        <v>0</v>
      </c>
      <c r="LH42" s="479">
        <f t="shared" si="358"/>
        <v>0</v>
      </c>
      <c r="LI42" s="479">
        <f t="shared" si="358"/>
        <v>0</v>
      </c>
      <c r="LJ42" s="479">
        <f t="shared" si="358"/>
        <v>0</v>
      </c>
      <c r="LK42" s="479">
        <f t="shared" si="358"/>
        <v>0</v>
      </c>
      <c r="LL42" s="479">
        <f t="shared" si="358"/>
        <v>0</v>
      </c>
      <c r="LM42" s="479">
        <f t="shared" si="358"/>
        <v>0</v>
      </c>
      <c r="LN42" s="479">
        <f t="shared" si="358"/>
        <v>0</v>
      </c>
      <c r="LO42" s="479">
        <f t="shared" si="358"/>
        <v>0</v>
      </c>
      <c r="LP42" s="479">
        <f t="shared" si="358"/>
        <v>0</v>
      </c>
      <c r="LQ42" s="479">
        <f t="shared" si="342"/>
        <v>0</v>
      </c>
      <c r="LR42" s="479">
        <f t="shared" si="342"/>
        <v>0</v>
      </c>
      <c r="LS42" s="479">
        <f t="shared" si="342"/>
        <v>0</v>
      </c>
      <c r="LT42" s="479">
        <f t="shared" si="342"/>
        <v>0</v>
      </c>
      <c r="LU42" s="479">
        <f t="shared" si="342"/>
        <v>0</v>
      </c>
      <c r="LV42" s="479">
        <f t="shared" si="342"/>
        <v>0</v>
      </c>
      <c r="LW42" s="479">
        <f t="shared" si="342"/>
        <v>0</v>
      </c>
      <c r="LX42" s="479">
        <f t="shared" si="342"/>
        <v>0</v>
      </c>
      <c r="LY42" s="479">
        <f t="shared" si="342"/>
        <v>0</v>
      </c>
      <c r="LZ42" s="479">
        <f t="shared" si="342"/>
        <v>0</v>
      </c>
      <c r="MA42" s="479">
        <f t="shared" si="342"/>
        <v>0</v>
      </c>
      <c r="MB42" s="479">
        <f t="shared" si="342"/>
        <v>0</v>
      </c>
      <c r="MC42" s="479">
        <f t="shared" si="342"/>
        <v>0</v>
      </c>
      <c r="MD42" s="479">
        <f t="shared" si="342"/>
        <v>0</v>
      </c>
      <c r="ME42" s="479">
        <f t="shared" si="342"/>
        <v>0</v>
      </c>
      <c r="MF42" s="479">
        <f t="shared" si="342"/>
        <v>0</v>
      </c>
      <c r="MG42" s="479">
        <f t="shared" si="359"/>
        <v>0</v>
      </c>
      <c r="MH42" s="479">
        <f t="shared" si="359"/>
        <v>0</v>
      </c>
      <c r="MI42" s="479">
        <f t="shared" si="359"/>
        <v>0</v>
      </c>
      <c r="MJ42" s="479">
        <f t="shared" si="359"/>
        <v>0</v>
      </c>
      <c r="MK42" s="479">
        <f t="shared" si="359"/>
        <v>0</v>
      </c>
      <c r="ML42" s="479">
        <f t="shared" si="359"/>
        <v>0</v>
      </c>
      <c r="MM42" s="479">
        <f t="shared" si="359"/>
        <v>0</v>
      </c>
      <c r="MN42" s="479">
        <f t="shared" si="359"/>
        <v>0</v>
      </c>
      <c r="MO42" s="479">
        <f t="shared" si="359"/>
        <v>0</v>
      </c>
      <c r="MP42" s="479">
        <f t="shared" si="359"/>
        <v>0</v>
      </c>
      <c r="MQ42" s="479">
        <f t="shared" si="359"/>
        <v>0</v>
      </c>
      <c r="MR42" s="479">
        <f t="shared" si="359"/>
        <v>0</v>
      </c>
      <c r="MS42" s="479">
        <f t="shared" si="359"/>
        <v>0</v>
      </c>
      <c r="MT42" s="479">
        <f t="shared" si="359"/>
        <v>0</v>
      </c>
      <c r="MU42" s="479">
        <f t="shared" si="359"/>
        <v>0</v>
      </c>
      <c r="MV42" s="479">
        <f t="shared" si="359"/>
        <v>0</v>
      </c>
      <c r="MW42" s="479">
        <f t="shared" si="360"/>
        <v>0</v>
      </c>
      <c r="MX42" s="479">
        <f t="shared" si="360"/>
        <v>0</v>
      </c>
      <c r="MY42" s="479">
        <f t="shared" si="360"/>
        <v>0</v>
      </c>
      <c r="MZ42" s="479">
        <f t="shared" si="360"/>
        <v>0</v>
      </c>
      <c r="NA42" s="479">
        <f t="shared" si="360"/>
        <v>0</v>
      </c>
      <c r="NB42" s="479">
        <f t="shared" si="360"/>
        <v>0</v>
      </c>
      <c r="NC42" s="479">
        <f t="shared" si="360"/>
        <v>0</v>
      </c>
      <c r="ND42" s="479">
        <f t="shared" si="360"/>
        <v>0</v>
      </c>
      <c r="NE42" s="479">
        <f t="shared" si="360"/>
        <v>0</v>
      </c>
      <c r="NF42" s="479">
        <f t="shared" si="360"/>
        <v>0</v>
      </c>
      <c r="NG42" s="479">
        <f t="shared" si="360"/>
        <v>0</v>
      </c>
      <c r="NH42" s="479">
        <f t="shared" si="360"/>
        <v>0</v>
      </c>
      <c r="NI42" s="479">
        <f t="shared" si="360"/>
        <v>0</v>
      </c>
      <c r="NJ42" s="479">
        <f t="shared" si="360"/>
        <v>0</v>
      </c>
      <c r="NK42" s="479">
        <f t="shared" si="360"/>
        <v>0</v>
      </c>
      <c r="NL42" s="479">
        <f t="shared" si="360"/>
        <v>0</v>
      </c>
      <c r="NM42" s="479">
        <f t="shared" si="361"/>
        <v>0</v>
      </c>
      <c r="NN42" s="479">
        <f t="shared" si="361"/>
        <v>0</v>
      </c>
      <c r="NO42" s="479">
        <f t="shared" si="361"/>
        <v>0</v>
      </c>
      <c r="NP42" s="479">
        <f t="shared" si="361"/>
        <v>0</v>
      </c>
      <c r="NQ42" s="479">
        <f t="shared" si="361"/>
        <v>0</v>
      </c>
      <c r="NR42" s="479">
        <f t="shared" si="361"/>
        <v>0</v>
      </c>
      <c r="NS42" s="479">
        <f t="shared" si="361"/>
        <v>0</v>
      </c>
      <c r="NT42" s="479">
        <f t="shared" si="361"/>
        <v>0</v>
      </c>
      <c r="NU42" s="479">
        <f t="shared" si="361"/>
        <v>0</v>
      </c>
      <c r="NV42" s="479">
        <f t="shared" si="361"/>
        <v>0</v>
      </c>
      <c r="NW42" s="479">
        <f t="shared" si="361"/>
        <v>0</v>
      </c>
      <c r="NX42" s="479">
        <f t="shared" si="361"/>
        <v>0</v>
      </c>
      <c r="NY42" s="479">
        <f t="shared" si="361"/>
        <v>0</v>
      </c>
      <c r="NZ42" s="479">
        <f t="shared" si="361"/>
        <v>0</v>
      </c>
      <c r="OA42" s="479">
        <f t="shared" si="361"/>
        <v>0</v>
      </c>
      <c r="OB42" s="479">
        <f t="shared" si="361"/>
        <v>0</v>
      </c>
      <c r="OC42" s="479">
        <f t="shared" si="343"/>
        <v>0</v>
      </c>
      <c r="OD42" s="479">
        <f t="shared" si="343"/>
        <v>0</v>
      </c>
      <c r="OE42" s="479">
        <f t="shared" si="330"/>
        <v>0</v>
      </c>
      <c r="OF42" s="479">
        <f t="shared" si="330"/>
        <v>0</v>
      </c>
      <c r="OG42" s="479">
        <f t="shared" si="330"/>
        <v>0</v>
      </c>
      <c r="OH42" s="479">
        <f t="shared" si="330"/>
        <v>0</v>
      </c>
      <c r="OI42" s="479">
        <f t="shared" si="330"/>
        <v>0</v>
      </c>
      <c r="OJ42" s="479">
        <f t="shared" si="330"/>
        <v>0</v>
      </c>
      <c r="OK42" s="479">
        <f t="shared" si="330"/>
        <v>0</v>
      </c>
      <c r="OL42" s="479">
        <f t="shared" si="330"/>
        <v>0</v>
      </c>
      <c r="OM42" s="479">
        <f t="shared" si="330"/>
        <v>0</v>
      </c>
      <c r="ON42" s="479">
        <f t="shared" si="330"/>
        <v>0</v>
      </c>
      <c r="OO42" s="479">
        <f t="shared" si="330"/>
        <v>0</v>
      </c>
    </row>
    <row r="43" spans="2:405">
      <c r="B43" s="97" t="str">
        <f>Assumptions!B108</f>
        <v>Developer Fee</v>
      </c>
      <c r="C43" s="97"/>
      <c r="D43" s="500">
        <f>Assumptions!C108</f>
        <v>0</v>
      </c>
      <c r="E43" s="507">
        <f>Assumptions!$C$8</f>
        <v>46204</v>
      </c>
      <c r="F43" s="507">
        <f>EOMONTH(E43,Assumptions!$C$9-1)</f>
        <v>46387</v>
      </c>
      <c r="G43" s="97">
        <f t="shared" si="323"/>
        <v>6</v>
      </c>
      <c r="H43" s="97"/>
      <c r="I43" s="97"/>
      <c r="J43" s="479">
        <f t="shared" si="331"/>
        <v>0</v>
      </c>
      <c r="K43" s="479">
        <f t="shared" si="331"/>
        <v>0</v>
      </c>
      <c r="L43" s="479">
        <f t="shared" si="331"/>
        <v>0</v>
      </c>
      <c r="M43" s="479">
        <f t="shared" si="331"/>
        <v>0</v>
      </c>
      <c r="N43" s="479">
        <f t="shared" si="331"/>
        <v>0</v>
      </c>
      <c r="O43" s="479">
        <f t="shared" si="331"/>
        <v>0</v>
      </c>
      <c r="P43" s="479">
        <f t="shared" si="331"/>
        <v>0</v>
      </c>
      <c r="Q43" s="479">
        <f t="shared" si="331"/>
        <v>0</v>
      </c>
      <c r="R43" s="479">
        <f t="shared" si="331"/>
        <v>0</v>
      </c>
      <c r="S43" s="479">
        <f t="shared" si="331"/>
        <v>0</v>
      </c>
      <c r="T43" s="479">
        <f t="shared" si="331"/>
        <v>0</v>
      </c>
      <c r="U43" s="479">
        <f t="shared" si="331"/>
        <v>0</v>
      </c>
      <c r="V43" s="479">
        <f t="shared" si="331"/>
        <v>0</v>
      </c>
      <c r="W43" s="479">
        <f t="shared" si="331"/>
        <v>0</v>
      </c>
      <c r="X43" s="479">
        <f t="shared" si="331"/>
        <v>0</v>
      </c>
      <c r="Y43" s="479">
        <f t="shared" si="331"/>
        <v>0</v>
      </c>
      <c r="Z43" s="479">
        <f t="shared" si="344"/>
        <v>0</v>
      </c>
      <c r="AA43" s="479">
        <f t="shared" si="344"/>
        <v>0</v>
      </c>
      <c r="AB43" s="479">
        <f t="shared" si="344"/>
        <v>0</v>
      </c>
      <c r="AC43" s="479">
        <f t="shared" si="344"/>
        <v>0</v>
      </c>
      <c r="AD43" s="479">
        <f t="shared" si="344"/>
        <v>0</v>
      </c>
      <c r="AE43" s="479">
        <f t="shared" si="344"/>
        <v>0</v>
      </c>
      <c r="AF43" s="479">
        <f t="shared" si="344"/>
        <v>0</v>
      </c>
      <c r="AG43" s="479">
        <f t="shared" si="344"/>
        <v>0</v>
      </c>
      <c r="AH43" s="479">
        <f t="shared" si="344"/>
        <v>0</v>
      </c>
      <c r="AI43" s="479">
        <f t="shared" si="344"/>
        <v>0</v>
      </c>
      <c r="AJ43" s="479">
        <f t="shared" si="344"/>
        <v>0</v>
      </c>
      <c r="AK43" s="479">
        <f t="shared" si="344"/>
        <v>0</v>
      </c>
      <c r="AL43" s="479">
        <f t="shared" si="344"/>
        <v>0</v>
      </c>
      <c r="AM43" s="479">
        <f t="shared" si="344"/>
        <v>0</v>
      </c>
      <c r="AN43" s="479">
        <f t="shared" si="344"/>
        <v>0</v>
      </c>
      <c r="AO43" s="479">
        <f t="shared" si="344"/>
        <v>0</v>
      </c>
      <c r="AP43" s="479">
        <f t="shared" si="345"/>
        <v>0</v>
      </c>
      <c r="AQ43" s="479">
        <f t="shared" si="345"/>
        <v>0</v>
      </c>
      <c r="AR43" s="479">
        <f t="shared" si="345"/>
        <v>0</v>
      </c>
      <c r="AS43" s="479">
        <f t="shared" si="345"/>
        <v>0</v>
      </c>
      <c r="AT43" s="479">
        <f t="shared" si="345"/>
        <v>0</v>
      </c>
      <c r="AU43" s="479">
        <f t="shared" si="345"/>
        <v>0</v>
      </c>
      <c r="AV43" s="479">
        <f t="shared" si="345"/>
        <v>0</v>
      </c>
      <c r="AW43" s="479">
        <f t="shared" si="345"/>
        <v>0</v>
      </c>
      <c r="AX43" s="479">
        <f t="shared" si="345"/>
        <v>0</v>
      </c>
      <c r="AY43" s="479">
        <f t="shared" si="345"/>
        <v>0</v>
      </c>
      <c r="AZ43" s="479">
        <f t="shared" si="345"/>
        <v>0</v>
      </c>
      <c r="BA43" s="479">
        <f t="shared" si="345"/>
        <v>0</v>
      </c>
      <c r="BB43" s="479">
        <f t="shared" si="345"/>
        <v>0</v>
      </c>
      <c r="BC43" s="479">
        <f t="shared" si="345"/>
        <v>0</v>
      </c>
      <c r="BD43" s="479">
        <f t="shared" si="345"/>
        <v>0</v>
      </c>
      <c r="BE43" s="479">
        <f t="shared" si="345"/>
        <v>0</v>
      </c>
      <c r="BF43" s="479">
        <f t="shared" si="346"/>
        <v>0</v>
      </c>
      <c r="BG43" s="479">
        <f t="shared" si="346"/>
        <v>0</v>
      </c>
      <c r="BH43" s="479">
        <f t="shared" si="346"/>
        <v>0</v>
      </c>
      <c r="BI43" s="479">
        <f t="shared" si="346"/>
        <v>0</v>
      </c>
      <c r="BJ43" s="479">
        <f t="shared" si="346"/>
        <v>0</v>
      </c>
      <c r="BK43" s="479">
        <f t="shared" si="346"/>
        <v>0</v>
      </c>
      <c r="BL43" s="479">
        <f t="shared" si="346"/>
        <v>0</v>
      </c>
      <c r="BM43" s="479">
        <f t="shared" si="346"/>
        <v>0</v>
      </c>
      <c r="BN43" s="479">
        <f t="shared" si="346"/>
        <v>0</v>
      </c>
      <c r="BO43" s="479">
        <f t="shared" si="346"/>
        <v>0</v>
      </c>
      <c r="BP43" s="479">
        <f t="shared" si="346"/>
        <v>0</v>
      </c>
      <c r="BQ43" s="479">
        <f t="shared" si="346"/>
        <v>0</v>
      </c>
      <c r="BR43" s="479">
        <f t="shared" si="346"/>
        <v>0</v>
      </c>
      <c r="BS43" s="479">
        <f t="shared" si="346"/>
        <v>0</v>
      </c>
      <c r="BT43" s="479">
        <f t="shared" si="346"/>
        <v>0</v>
      </c>
      <c r="BU43" s="479">
        <f t="shared" si="346"/>
        <v>0</v>
      </c>
      <c r="BV43" s="479">
        <f t="shared" si="338"/>
        <v>0</v>
      </c>
      <c r="BW43" s="479">
        <f t="shared" si="338"/>
        <v>0</v>
      </c>
      <c r="BX43" s="479">
        <f t="shared" si="338"/>
        <v>0</v>
      </c>
      <c r="BY43" s="479">
        <f t="shared" si="338"/>
        <v>0</v>
      </c>
      <c r="BZ43" s="479">
        <f t="shared" si="338"/>
        <v>0</v>
      </c>
      <c r="CA43" s="479">
        <f t="shared" si="338"/>
        <v>0</v>
      </c>
      <c r="CB43" s="479">
        <f t="shared" si="338"/>
        <v>0</v>
      </c>
      <c r="CC43" s="479">
        <f t="shared" si="338"/>
        <v>0</v>
      </c>
      <c r="CD43" s="479">
        <f t="shared" si="338"/>
        <v>0</v>
      </c>
      <c r="CE43" s="479">
        <f t="shared" si="338"/>
        <v>0</v>
      </c>
      <c r="CF43" s="479">
        <f t="shared" si="338"/>
        <v>0</v>
      </c>
      <c r="CG43" s="479">
        <f t="shared" si="338"/>
        <v>0</v>
      </c>
      <c r="CH43" s="479">
        <f t="shared" si="338"/>
        <v>0</v>
      </c>
      <c r="CI43" s="479">
        <f t="shared" si="338"/>
        <v>0</v>
      </c>
      <c r="CJ43" s="479">
        <f t="shared" si="338"/>
        <v>0</v>
      </c>
      <c r="CK43" s="479">
        <f t="shared" si="347"/>
        <v>0</v>
      </c>
      <c r="CL43" s="479">
        <f t="shared" si="347"/>
        <v>0</v>
      </c>
      <c r="CM43" s="479">
        <f t="shared" si="347"/>
        <v>0</v>
      </c>
      <c r="CN43" s="479">
        <f t="shared" si="347"/>
        <v>0</v>
      </c>
      <c r="CO43" s="479">
        <f t="shared" si="347"/>
        <v>0</v>
      </c>
      <c r="CP43" s="479">
        <f t="shared" si="347"/>
        <v>0</v>
      </c>
      <c r="CQ43" s="479">
        <f t="shared" si="347"/>
        <v>0</v>
      </c>
      <c r="CR43" s="479">
        <f t="shared" si="347"/>
        <v>0</v>
      </c>
      <c r="CS43" s="479">
        <f t="shared" si="347"/>
        <v>0</v>
      </c>
      <c r="CT43" s="479">
        <f t="shared" si="347"/>
        <v>0</v>
      </c>
      <c r="CU43" s="479">
        <f t="shared" si="347"/>
        <v>0</v>
      </c>
      <c r="CV43" s="479">
        <f t="shared" si="347"/>
        <v>0</v>
      </c>
      <c r="CW43" s="479">
        <f t="shared" si="347"/>
        <v>0</v>
      </c>
      <c r="CX43" s="479">
        <f t="shared" si="347"/>
        <v>0</v>
      </c>
      <c r="CY43" s="479">
        <f t="shared" si="347"/>
        <v>0</v>
      </c>
      <c r="CZ43" s="479">
        <f t="shared" si="347"/>
        <v>0</v>
      </c>
      <c r="DA43" s="479">
        <f t="shared" si="348"/>
        <v>0</v>
      </c>
      <c r="DB43" s="479">
        <f t="shared" si="348"/>
        <v>0</v>
      </c>
      <c r="DC43" s="479">
        <f t="shared" si="348"/>
        <v>0</v>
      </c>
      <c r="DD43" s="479">
        <f t="shared" si="348"/>
        <v>0</v>
      </c>
      <c r="DE43" s="479">
        <f t="shared" si="348"/>
        <v>0</v>
      </c>
      <c r="DF43" s="479">
        <f t="shared" si="348"/>
        <v>0</v>
      </c>
      <c r="DG43" s="479">
        <f t="shared" si="348"/>
        <v>0</v>
      </c>
      <c r="DH43" s="479">
        <f t="shared" si="348"/>
        <v>0</v>
      </c>
      <c r="DI43" s="479">
        <f t="shared" si="348"/>
        <v>0</v>
      </c>
      <c r="DJ43" s="479">
        <f t="shared" si="348"/>
        <v>0</v>
      </c>
      <c r="DK43" s="479">
        <f t="shared" si="348"/>
        <v>0</v>
      </c>
      <c r="DL43" s="479">
        <f t="shared" si="348"/>
        <v>0</v>
      </c>
      <c r="DM43" s="479">
        <f t="shared" si="348"/>
        <v>0</v>
      </c>
      <c r="DN43" s="479">
        <f t="shared" si="348"/>
        <v>0</v>
      </c>
      <c r="DO43" s="479">
        <f t="shared" si="348"/>
        <v>0</v>
      </c>
      <c r="DP43" s="479">
        <f t="shared" si="348"/>
        <v>0</v>
      </c>
      <c r="DQ43" s="479">
        <f t="shared" si="349"/>
        <v>0</v>
      </c>
      <c r="DR43" s="479">
        <f t="shared" si="349"/>
        <v>0</v>
      </c>
      <c r="DS43" s="479">
        <f t="shared" si="349"/>
        <v>0</v>
      </c>
      <c r="DT43" s="479">
        <f t="shared" si="349"/>
        <v>0</v>
      </c>
      <c r="DU43" s="479">
        <f t="shared" si="349"/>
        <v>0</v>
      </c>
      <c r="DV43" s="479">
        <f t="shared" si="349"/>
        <v>0</v>
      </c>
      <c r="DW43" s="479">
        <f t="shared" si="349"/>
        <v>0</v>
      </c>
      <c r="DX43" s="479">
        <f t="shared" si="349"/>
        <v>0</v>
      </c>
      <c r="DY43" s="479">
        <f t="shared" si="349"/>
        <v>0</v>
      </c>
      <c r="DZ43" s="479">
        <f t="shared" si="349"/>
        <v>0</v>
      </c>
      <c r="EA43" s="479">
        <f t="shared" si="349"/>
        <v>0</v>
      </c>
      <c r="EB43" s="479">
        <f t="shared" si="349"/>
        <v>0</v>
      </c>
      <c r="EC43" s="479">
        <f t="shared" si="349"/>
        <v>0</v>
      </c>
      <c r="ED43" s="479">
        <f t="shared" si="349"/>
        <v>0</v>
      </c>
      <c r="EE43" s="479">
        <f t="shared" si="349"/>
        <v>0</v>
      </c>
      <c r="EF43" s="479">
        <f t="shared" si="349"/>
        <v>0</v>
      </c>
      <c r="EG43" s="479">
        <f t="shared" si="339"/>
        <v>0</v>
      </c>
      <c r="EH43" s="479">
        <f t="shared" si="339"/>
        <v>0</v>
      </c>
      <c r="EI43" s="479">
        <f t="shared" si="339"/>
        <v>0</v>
      </c>
      <c r="EJ43" s="479">
        <f t="shared" si="339"/>
        <v>0</v>
      </c>
      <c r="EK43" s="479">
        <f t="shared" si="339"/>
        <v>0</v>
      </c>
      <c r="EL43" s="479">
        <f t="shared" si="339"/>
        <v>0</v>
      </c>
      <c r="EM43" s="479">
        <f t="shared" si="339"/>
        <v>0</v>
      </c>
      <c r="EN43" s="479">
        <f t="shared" si="339"/>
        <v>0</v>
      </c>
      <c r="EO43" s="479">
        <f t="shared" si="339"/>
        <v>0</v>
      </c>
      <c r="EP43" s="479">
        <f t="shared" si="339"/>
        <v>0</v>
      </c>
      <c r="EQ43" s="479">
        <f t="shared" si="339"/>
        <v>0</v>
      </c>
      <c r="ER43" s="479">
        <f t="shared" si="339"/>
        <v>0</v>
      </c>
      <c r="ES43" s="479">
        <f t="shared" si="339"/>
        <v>0</v>
      </c>
      <c r="ET43" s="479">
        <f t="shared" si="339"/>
        <v>0</v>
      </c>
      <c r="EU43" s="479">
        <f t="shared" si="339"/>
        <v>0</v>
      </c>
      <c r="EV43" s="479">
        <f t="shared" si="339"/>
        <v>0</v>
      </c>
      <c r="EW43" s="479">
        <f t="shared" si="350"/>
        <v>0</v>
      </c>
      <c r="EX43" s="479">
        <f t="shared" si="350"/>
        <v>0</v>
      </c>
      <c r="EY43" s="479">
        <f t="shared" si="350"/>
        <v>0</v>
      </c>
      <c r="EZ43" s="479">
        <f t="shared" si="350"/>
        <v>0</v>
      </c>
      <c r="FA43" s="479">
        <f t="shared" si="350"/>
        <v>0</v>
      </c>
      <c r="FB43" s="479">
        <f t="shared" si="350"/>
        <v>0</v>
      </c>
      <c r="FC43" s="479">
        <f t="shared" si="350"/>
        <v>0</v>
      </c>
      <c r="FD43" s="479">
        <f t="shared" si="350"/>
        <v>0</v>
      </c>
      <c r="FE43" s="479">
        <f t="shared" si="350"/>
        <v>0</v>
      </c>
      <c r="FF43" s="479">
        <f t="shared" si="350"/>
        <v>0</v>
      </c>
      <c r="FG43" s="479">
        <f t="shared" si="350"/>
        <v>0</v>
      </c>
      <c r="FH43" s="479">
        <f t="shared" si="350"/>
        <v>0</v>
      </c>
      <c r="FI43" s="479">
        <f t="shared" si="350"/>
        <v>0</v>
      </c>
      <c r="FJ43" s="479">
        <f t="shared" si="350"/>
        <v>0</v>
      </c>
      <c r="FK43" s="479">
        <f t="shared" si="350"/>
        <v>0</v>
      </c>
      <c r="FL43" s="479">
        <f t="shared" si="350"/>
        <v>0</v>
      </c>
      <c r="FM43" s="479">
        <f t="shared" si="351"/>
        <v>0</v>
      </c>
      <c r="FN43" s="479">
        <f t="shared" si="351"/>
        <v>0</v>
      </c>
      <c r="FO43" s="479">
        <f t="shared" si="351"/>
        <v>0</v>
      </c>
      <c r="FP43" s="479">
        <f t="shared" si="351"/>
        <v>0</v>
      </c>
      <c r="FQ43" s="479">
        <f t="shared" si="351"/>
        <v>0</v>
      </c>
      <c r="FR43" s="479">
        <f t="shared" si="351"/>
        <v>0</v>
      </c>
      <c r="FS43" s="479">
        <f t="shared" si="351"/>
        <v>0</v>
      </c>
      <c r="FT43" s="479">
        <f t="shared" si="351"/>
        <v>0</v>
      </c>
      <c r="FU43" s="479">
        <f t="shared" si="351"/>
        <v>0</v>
      </c>
      <c r="FV43" s="479">
        <f t="shared" si="351"/>
        <v>0</v>
      </c>
      <c r="FW43" s="479">
        <f t="shared" si="351"/>
        <v>0</v>
      </c>
      <c r="FX43" s="479">
        <f t="shared" si="351"/>
        <v>0</v>
      </c>
      <c r="FY43" s="479">
        <f t="shared" si="351"/>
        <v>0</v>
      </c>
      <c r="FZ43" s="479">
        <f t="shared" si="351"/>
        <v>0</v>
      </c>
      <c r="GA43" s="479">
        <f t="shared" si="351"/>
        <v>0</v>
      </c>
      <c r="GB43" s="479">
        <f t="shared" si="351"/>
        <v>0</v>
      </c>
      <c r="GC43" s="479">
        <f t="shared" si="352"/>
        <v>0</v>
      </c>
      <c r="GD43" s="479">
        <f t="shared" si="352"/>
        <v>0</v>
      </c>
      <c r="GE43" s="479">
        <f t="shared" si="352"/>
        <v>0</v>
      </c>
      <c r="GF43" s="479">
        <f t="shared" si="352"/>
        <v>0</v>
      </c>
      <c r="GG43" s="479">
        <f t="shared" si="352"/>
        <v>0</v>
      </c>
      <c r="GH43" s="479">
        <f t="shared" si="352"/>
        <v>0</v>
      </c>
      <c r="GI43" s="479">
        <f t="shared" si="352"/>
        <v>0</v>
      </c>
      <c r="GJ43" s="479">
        <f t="shared" si="352"/>
        <v>0</v>
      </c>
      <c r="GK43" s="479">
        <f t="shared" si="352"/>
        <v>0</v>
      </c>
      <c r="GL43" s="479">
        <f t="shared" si="352"/>
        <v>0</v>
      </c>
      <c r="GM43" s="479">
        <f t="shared" si="352"/>
        <v>0</v>
      </c>
      <c r="GN43" s="479">
        <f t="shared" si="352"/>
        <v>0</v>
      </c>
      <c r="GO43" s="479">
        <f t="shared" si="352"/>
        <v>0</v>
      </c>
      <c r="GP43" s="479">
        <f t="shared" si="352"/>
        <v>0</v>
      </c>
      <c r="GQ43" s="479">
        <f t="shared" si="352"/>
        <v>0</v>
      </c>
      <c r="GR43" s="479">
        <f t="shared" si="352"/>
        <v>0</v>
      </c>
      <c r="GS43" s="479">
        <f t="shared" si="340"/>
        <v>0</v>
      </c>
      <c r="GT43" s="479">
        <f t="shared" si="340"/>
        <v>0</v>
      </c>
      <c r="GU43" s="479">
        <f t="shared" si="340"/>
        <v>0</v>
      </c>
      <c r="GV43" s="479">
        <f t="shared" si="340"/>
        <v>0</v>
      </c>
      <c r="GW43" s="479">
        <f t="shared" si="340"/>
        <v>0</v>
      </c>
      <c r="GX43" s="479">
        <f t="shared" si="340"/>
        <v>0</v>
      </c>
      <c r="GY43" s="479">
        <f t="shared" si="340"/>
        <v>0</v>
      </c>
      <c r="GZ43" s="479">
        <f t="shared" si="340"/>
        <v>0</v>
      </c>
      <c r="HA43" s="479">
        <f t="shared" si="340"/>
        <v>0</v>
      </c>
      <c r="HB43" s="479">
        <f t="shared" si="340"/>
        <v>0</v>
      </c>
      <c r="HC43" s="479">
        <f t="shared" si="340"/>
        <v>0</v>
      </c>
      <c r="HD43" s="479">
        <f t="shared" si="340"/>
        <v>0</v>
      </c>
      <c r="HE43" s="479">
        <f t="shared" si="340"/>
        <v>0</v>
      </c>
      <c r="HF43" s="479">
        <f t="shared" si="340"/>
        <v>0</v>
      </c>
      <c r="HG43" s="479">
        <f t="shared" si="340"/>
        <v>0</v>
      </c>
      <c r="HH43" s="479">
        <f t="shared" si="340"/>
        <v>0</v>
      </c>
      <c r="HI43" s="479">
        <f t="shared" si="353"/>
        <v>0</v>
      </c>
      <c r="HJ43" s="479">
        <f t="shared" si="353"/>
        <v>0</v>
      </c>
      <c r="HK43" s="479">
        <f t="shared" si="353"/>
        <v>0</v>
      </c>
      <c r="HL43" s="479">
        <f t="shared" si="353"/>
        <v>0</v>
      </c>
      <c r="HM43" s="479">
        <f t="shared" si="353"/>
        <v>0</v>
      </c>
      <c r="HN43" s="479">
        <f t="shared" si="353"/>
        <v>0</v>
      </c>
      <c r="HO43" s="479">
        <f t="shared" si="353"/>
        <v>0</v>
      </c>
      <c r="HP43" s="479">
        <f t="shared" si="353"/>
        <v>0</v>
      </c>
      <c r="HQ43" s="479">
        <f t="shared" si="353"/>
        <v>0</v>
      </c>
      <c r="HR43" s="479">
        <f t="shared" si="353"/>
        <v>0</v>
      </c>
      <c r="HS43" s="479">
        <f t="shared" si="353"/>
        <v>0</v>
      </c>
      <c r="HT43" s="479">
        <f t="shared" si="353"/>
        <v>0</v>
      </c>
      <c r="HU43" s="479">
        <f t="shared" si="353"/>
        <v>0</v>
      </c>
      <c r="HV43" s="479">
        <f t="shared" si="353"/>
        <v>0</v>
      </c>
      <c r="HW43" s="479">
        <f t="shared" si="353"/>
        <v>0</v>
      </c>
      <c r="HX43" s="479">
        <f t="shared" si="353"/>
        <v>0</v>
      </c>
      <c r="HY43" s="479">
        <f t="shared" si="354"/>
        <v>0</v>
      </c>
      <c r="HZ43" s="479">
        <f t="shared" si="354"/>
        <v>0</v>
      </c>
      <c r="IA43" s="479">
        <f t="shared" si="354"/>
        <v>0</v>
      </c>
      <c r="IB43" s="479">
        <f t="shared" si="354"/>
        <v>0</v>
      </c>
      <c r="IC43" s="479">
        <f t="shared" si="354"/>
        <v>0</v>
      </c>
      <c r="ID43" s="479">
        <f t="shared" si="354"/>
        <v>0</v>
      </c>
      <c r="IE43" s="479">
        <f t="shared" si="354"/>
        <v>0</v>
      </c>
      <c r="IF43" s="479">
        <f t="shared" si="354"/>
        <v>0</v>
      </c>
      <c r="IG43" s="479">
        <f t="shared" si="354"/>
        <v>0</v>
      </c>
      <c r="IH43" s="479">
        <f t="shared" si="354"/>
        <v>0</v>
      </c>
      <c r="II43" s="479">
        <f t="shared" si="354"/>
        <v>0</v>
      </c>
      <c r="IJ43" s="479">
        <f t="shared" si="354"/>
        <v>0</v>
      </c>
      <c r="IK43" s="479">
        <f t="shared" si="354"/>
        <v>0</v>
      </c>
      <c r="IL43" s="479">
        <f t="shared" si="354"/>
        <v>0</v>
      </c>
      <c r="IM43" s="479">
        <f t="shared" si="354"/>
        <v>0</v>
      </c>
      <c r="IN43" s="479">
        <f t="shared" si="354"/>
        <v>0</v>
      </c>
      <c r="IO43" s="479">
        <f t="shared" si="355"/>
        <v>0</v>
      </c>
      <c r="IP43" s="479">
        <f t="shared" si="355"/>
        <v>0</v>
      </c>
      <c r="IQ43" s="479">
        <f t="shared" si="355"/>
        <v>0</v>
      </c>
      <c r="IR43" s="479">
        <f t="shared" si="355"/>
        <v>0</v>
      </c>
      <c r="IS43" s="479">
        <f t="shared" si="355"/>
        <v>0</v>
      </c>
      <c r="IT43" s="479">
        <f t="shared" si="355"/>
        <v>0</v>
      </c>
      <c r="IU43" s="479">
        <f t="shared" si="355"/>
        <v>0</v>
      </c>
      <c r="IV43" s="479">
        <f t="shared" si="355"/>
        <v>0</v>
      </c>
      <c r="IW43" s="479">
        <f t="shared" si="355"/>
        <v>0</v>
      </c>
      <c r="IX43" s="479">
        <f t="shared" si="355"/>
        <v>0</v>
      </c>
      <c r="IY43" s="479">
        <f t="shared" si="355"/>
        <v>0</v>
      </c>
      <c r="IZ43" s="479">
        <f t="shared" si="355"/>
        <v>0</v>
      </c>
      <c r="JA43" s="479">
        <f t="shared" si="355"/>
        <v>0</v>
      </c>
      <c r="JB43" s="479">
        <f t="shared" si="355"/>
        <v>0</v>
      </c>
      <c r="JC43" s="479">
        <f t="shared" si="355"/>
        <v>0</v>
      </c>
      <c r="JD43" s="479">
        <f t="shared" si="355"/>
        <v>0</v>
      </c>
      <c r="JE43" s="479">
        <f t="shared" si="341"/>
        <v>0</v>
      </c>
      <c r="JF43" s="479">
        <f t="shared" si="341"/>
        <v>0</v>
      </c>
      <c r="JG43" s="479">
        <f t="shared" si="341"/>
        <v>0</v>
      </c>
      <c r="JH43" s="479">
        <f t="shared" si="341"/>
        <v>0</v>
      </c>
      <c r="JI43" s="479">
        <f t="shared" si="341"/>
        <v>0</v>
      </c>
      <c r="JJ43" s="479">
        <f t="shared" si="341"/>
        <v>0</v>
      </c>
      <c r="JK43" s="479">
        <f t="shared" si="341"/>
        <v>0</v>
      </c>
      <c r="JL43" s="479">
        <f t="shared" si="341"/>
        <v>0</v>
      </c>
      <c r="JM43" s="479">
        <f t="shared" si="341"/>
        <v>0</v>
      </c>
      <c r="JN43" s="479">
        <f t="shared" si="341"/>
        <v>0</v>
      </c>
      <c r="JO43" s="479">
        <f t="shared" si="341"/>
        <v>0</v>
      </c>
      <c r="JP43" s="479">
        <f t="shared" si="341"/>
        <v>0</v>
      </c>
      <c r="JQ43" s="479">
        <f t="shared" si="341"/>
        <v>0</v>
      </c>
      <c r="JR43" s="479">
        <f t="shared" si="341"/>
        <v>0</v>
      </c>
      <c r="JS43" s="479">
        <f t="shared" si="341"/>
        <v>0</v>
      </c>
      <c r="JT43" s="479">
        <f t="shared" si="341"/>
        <v>0</v>
      </c>
      <c r="JU43" s="479">
        <f t="shared" si="356"/>
        <v>0</v>
      </c>
      <c r="JV43" s="479">
        <f t="shared" si="356"/>
        <v>0</v>
      </c>
      <c r="JW43" s="479">
        <f t="shared" si="356"/>
        <v>0</v>
      </c>
      <c r="JX43" s="479">
        <f t="shared" si="356"/>
        <v>0</v>
      </c>
      <c r="JY43" s="479">
        <f t="shared" si="356"/>
        <v>0</v>
      </c>
      <c r="JZ43" s="479">
        <f t="shared" si="356"/>
        <v>0</v>
      </c>
      <c r="KA43" s="479">
        <f t="shared" si="356"/>
        <v>0</v>
      </c>
      <c r="KB43" s="479">
        <f t="shared" si="356"/>
        <v>0</v>
      </c>
      <c r="KC43" s="479">
        <f t="shared" si="356"/>
        <v>0</v>
      </c>
      <c r="KD43" s="479">
        <f t="shared" si="356"/>
        <v>0</v>
      </c>
      <c r="KE43" s="479">
        <f t="shared" si="356"/>
        <v>0</v>
      </c>
      <c r="KF43" s="479">
        <f t="shared" si="356"/>
        <v>0</v>
      </c>
      <c r="KG43" s="479">
        <f t="shared" si="356"/>
        <v>0</v>
      </c>
      <c r="KH43" s="479">
        <f t="shared" si="356"/>
        <v>0</v>
      </c>
      <c r="KI43" s="479">
        <f t="shared" si="356"/>
        <v>0</v>
      </c>
      <c r="KJ43" s="479">
        <f t="shared" si="356"/>
        <v>0</v>
      </c>
      <c r="KK43" s="479">
        <f t="shared" si="357"/>
        <v>0</v>
      </c>
      <c r="KL43" s="479">
        <f t="shared" si="357"/>
        <v>0</v>
      </c>
      <c r="KM43" s="479">
        <f t="shared" si="357"/>
        <v>0</v>
      </c>
      <c r="KN43" s="479">
        <f t="shared" si="357"/>
        <v>0</v>
      </c>
      <c r="KO43" s="479">
        <f t="shared" si="357"/>
        <v>0</v>
      </c>
      <c r="KP43" s="479">
        <f t="shared" si="357"/>
        <v>0</v>
      </c>
      <c r="KQ43" s="479">
        <f t="shared" si="357"/>
        <v>0</v>
      </c>
      <c r="KR43" s="479">
        <f t="shared" si="357"/>
        <v>0</v>
      </c>
      <c r="KS43" s="479">
        <f t="shared" si="357"/>
        <v>0</v>
      </c>
      <c r="KT43" s="479">
        <f t="shared" si="357"/>
        <v>0</v>
      </c>
      <c r="KU43" s="479">
        <f t="shared" si="357"/>
        <v>0</v>
      </c>
      <c r="KV43" s="479">
        <f t="shared" si="357"/>
        <v>0</v>
      </c>
      <c r="KW43" s="479">
        <f t="shared" si="357"/>
        <v>0</v>
      </c>
      <c r="KX43" s="479">
        <f t="shared" si="357"/>
        <v>0</v>
      </c>
      <c r="KY43" s="479">
        <f t="shared" si="357"/>
        <v>0</v>
      </c>
      <c r="KZ43" s="479">
        <f t="shared" si="357"/>
        <v>0</v>
      </c>
      <c r="LA43" s="479">
        <f t="shared" si="358"/>
        <v>0</v>
      </c>
      <c r="LB43" s="479">
        <f t="shared" si="358"/>
        <v>0</v>
      </c>
      <c r="LC43" s="479">
        <f t="shared" si="358"/>
        <v>0</v>
      </c>
      <c r="LD43" s="479">
        <f t="shared" si="358"/>
        <v>0</v>
      </c>
      <c r="LE43" s="479">
        <f t="shared" si="358"/>
        <v>0</v>
      </c>
      <c r="LF43" s="479">
        <f t="shared" si="358"/>
        <v>0</v>
      </c>
      <c r="LG43" s="479">
        <f t="shared" si="358"/>
        <v>0</v>
      </c>
      <c r="LH43" s="479">
        <f t="shared" si="358"/>
        <v>0</v>
      </c>
      <c r="LI43" s="479">
        <f t="shared" si="358"/>
        <v>0</v>
      </c>
      <c r="LJ43" s="479">
        <f t="shared" si="358"/>
        <v>0</v>
      </c>
      <c r="LK43" s="479">
        <f t="shared" si="358"/>
        <v>0</v>
      </c>
      <c r="LL43" s="479">
        <f t="shared" si="358"/>
        <v>0</v>
      </c>
      <c r="LM43" s="479">
        <f t="shared" si="358"/>
        <v>0</v>
      </c>
      <c r="LN43" s="479">
        <f t="shared" si="358"/>
        <v>0</v>
      </c>
      <c r="LO43" s="479">
        <f t="shared" si="358"/>
        <v>0</v>
      </c>
      <c r="LP43" s="479">
        <f t="shared" si="358"/>
        <v>0</v>
      </c>
      <c r="LQ43" s="479">
        <f t="shared" si="342"/>
        <v>0</v>
      </c>
      <c r="LR43" s="479">
        <f t="shared" si="342"/>
        <v>0</v>
      </c>
      <c r="LS43" s="479">
        <f t="shared" si="342"/>
        <v>0</v>
      </c>
      <c r="LT43" s="479">
        <f t="shared" si="342"/>
        <v>0</v>
      </c>
      <c r="LU43" s="479">
        <f t="shared" si="342"/>
        <v>0</v>
      </c>
      <c r="LV43" s="479">
        <f t="shared" si="342"/>
        <v>0</v>
      </c>
      <c r="LW43" s="479">
        <f t="shared" si="342"/>
        <v>0</v>
      </c>
      <c r="LX43" s="479">
        <f t="shared" si="342"/>
        <v>0</v>
      </c>
      <c r="LY43" s="479">
        <f t="shared" si="342"/>
        <v>0</v>
      </c>
      <c r="LZ43" s="479">
        <f t="shared" si="342"/>
        <v>0</v>
      </c>
      <c r="MA43" s="479">
        <f t="shared" si="342"/>
        <v>0</v>
      </c>
      <c r="MB43" s="479">
        <f t="shared" si="342"/>
        <v>0</v>
      </c>
      <c r="MC43" s="479">
        <f t="shared" si="342"/>
        <v>0</v>
      </c>
      <c r="MD43" s="479">
        <f t="shared" si="342"/>
        <v>0</v>
      </c>
      <c r="ME43" s="479">
        <f t="shared" si="342"/>
        <v>0</v>
      </c>
      <c r="MF43" s="479">
        <f t="shared" si="342"/>
        <v>0</v>
      </c>
      <c r="MG43" s="479">
        <f t="shared" si="359"/>
        <v>0</v>
      </c>
      <c r="MH43" s="479">
        <f t="shared" si="359"/>
        <v>0</v>
      </c>
      <c r="MI43" s="479">
        <f t="shared" si="359"/>
        <v>0</v>
      </c>
      <c r="MJ43" s="479">
        <f t="shared" si="359"/>
        <v>0</v>
      </c>
      <c r="MK43" s="479">
        <f t="shared" si="359"/>
        <v>0</v>
      </c>
      <c r="ML43" s="479">
        <f t="shared" si="359"/>
        <v>0</v>
      </c>
      <c r="MM43" s="479">
        <f t="shared" si="359"/>
        <v>0</v>
      </c>
      <c r="MN43" s="479">
        <f t="shared" si="359"/>
        <v>0</v>
      </c>
      <c r="MO43" s="479">
        <f t="shared" si="359"/>
        <v>0</v>
      </c>
      <c r="MP43" s="479">
        <f t="shared" si="359"/>
        <v>0</v>
      </c>
      <c r="MQ43" s="479">
        <f t="shared" si="359"/>
        <v>0</v>
      </c>
      <c r="MR43" s="479">
        <f t="shared" si="359"/>
        <v>0</v>
      </c>
      <c r="MS43" s="479">
        <f t="shared" si="359"/>
        <v>0</v>
      </c>
      <c r="MT43" s="479">
        <f t="shared" si="359"/>
        <v>0</v>
      </c>
      <c r="MU43" s="479">
        <f t="shared" si="359"/>
        <v>0</v>
      </c>
      <c r="MV43" s="479">
        <f t="shared" si="359"/>
        <v>0</v>
      </c>
      <c r="MW43" s="479">
        <f t="shared" si="360"/>
        <v>0</v>
      </c>
      <c r="MX43" s="479">
        <f t="shared" si="360"/>
        <v>0</v>
      </c>
      <c r="MY43" s="479">
        <f t="shared" si="360"/>
        <v>0</v>
      </c>
      <c r="MZ43" s="479">
        <f t="shared" si="360"/>
        <v>0</v>
      </c>
      <c r="NA43" s="479">
        <f t="shared" si="360"/>
        <v>0</v>
      </c>
      <c r="NB43" s="479">
        <f t="shared" si="360"/>
        <v>0</v>
      </c>
      <c r="NC43" s="479">
        <f t="shared" si="360"/>
        <v>0</v>
      </c>
      <c r="ND43" s="479">
        <f t="shared" si="360"/>
        <v>0</v>
      </c>
      <c r="NE43" s="479">
        <f t="shared" si="360"/>
        <v>0</v>
      </c>
      <c r="NF43" s="479">
        <f t="shared" si="360"/>
        <v>0</v>
      </c>
      <c r="NG43" s="479">
        <f t="shared" si="360"/>
        <v>0</v>
      </c>
      <c r="NH43" s="479">
        <f t="shared" si="360"/>
        <v>0</v>
      </c>
      <c r="NI43" s="479">
        <f t="shared" si="360"/>
        <v>0</v>
      </c>
      <c r="NJ43" s="479">
        <f t="shared" si="360"/>
        <v>0</v>
      </c>
      <c r="NK43" s="479">
        <f t="shared" si="360"/>
        <v>0</v>
      </c>
      <c r="NL43" s="479">
        <f t="shared" si="360"/>
        <v>0</v>
      </c>
      <c r="NM43" s="479">
        <f t="shared" si="361"/>
        <v>0</v>
      </c>
      <c r="NN43" s="479">
        <f t="shared" si="361"/>
        <v>0</v>
      </c>
      <c r="NO43" s="479">
        <f t="shared" si="361"/>
        <v>0</v>
      </c>
      <c r="NP43" s="479">
        <f t="shared" si="361"/>
        <v>0</v>
      </c>
      <c r="NQ43" s="479">
        <f t="shared" si="361"/>
        <v>0</v>
      </c>
      <c r="NR43" s="479">
        <f t="shared" si="361"/>
        <v>0</v>
      </c>
      <c r="NS43" s="479">
        <f t="shared" si="361"/>
        <v>0</v>
      </c>
      <c r="NT43" s="479">
        <f t="shared" si="361"/>
        <v>0</v>
      </c>
      <c r="NU43" s="479">
        <f t="shared" si="361"/>
        <v>0</v>
      </c>
      <c r="NV43" s="479">
        <f t="shared" si="361"/>
        <v>0</v>
      </c>
      <c r="NW43" s="479">
        <f t="shared" si="361"/>
        <v>0</v>
      </c>
      <c r="NX43" s="479">
        <f t="shared" si="361"/>
        <v>0</v>
      </c>
      <c r="NY43" s="479">
        <f t="shared" si="361"/>
        <v>0</v>
      </c>
      <c r="NZ43" s="479">
        <f t="shared" si="361"/>
        <v>0</v>
      </c>
      <c r="OA43" s="479">
        <f t="shared" si="361"/>
        <v>0</v>
      </c>
      <c r="OB43" s="479">
        <f t="shared" si="361"/>
        <v>0</v>
      </c>
      <c r="OC43" s="479">
        <f t="shared" si="343"/>
        <v>0</v>
      </c>
      <c r="OD43" s="479">
        <f t="shared" si="343"/>
        <v>0</v>
      </c>
      <c r="OE43" s="479">
        <f t="shared" si="330"/>
        <v>0</v>
      </c>
      <c r="OF43" s="479">
        <f t="shared" si="330"/>
        <v>0</v>
      </c>
      <c r="OG43" s="479">
        <f t="shared" si="330"/>
        <v>0</v>
      </c>
      <c r="OH43" s="479">
        <f t="shared" si="330"/>
        <v>0</v>
      </c>
      <c r="OI43" s="479">
        <f t="shared" si="330"/>
        <v>0</v>
      </c>
      <c r="OJ43" s="479">
        <f t="shared" si="330"/>
        <v>0</v>
      </c>
      <c r="OK43" s="479">
        <f t="shared" si="330"/>
        <v>0</v>
      </c>
      <c r="OL43" s="479">
        <f t="shared" si="330"/>
        <v>0</v>
      </c>
      <c r="OM43" s="479">
        <f t="shared" si="330"/>
        <v>0</v>
      </c>
      <c r="ON43" s="479">
        <f t="shared" si="330"/>
        <v>0</v>
      </c>
      <c r="OO43" s="479">
        <f t="shared" si="330"/>
        <v>0</v>
      </c>
    </row>
    <row r="44" spans="2:405">
      <c r="B44" s="97" t="str">
        <f>Assumptions!B109</f>
        <v>Soft Cost Contingency</v>
      </c>
      <c r="C44" s="97"/>
      <c r="D44" s="500">
        <f>Assumptions!C109</f>
        <v>1885875.5059627844</v>
      </c>
      <c r="E44" s="507">
        <f>Assumptions!$C$8</f>
        <v>46204</v>
      </c>
      <c r="F44" s="507">
        <f>EOMONTH(E44,Assumptions!$C$9-1)</f>
        <v>46387</v>
      </c>
      <c r="G44" s="97">
        <f t="shared" si="323"/>
        <v>6</v>
      </c>
      <c r="H44" s="97"/>
      <c r="I44" s="97"/>
      <c r="J44" s="479">
        <f t="shared" si="331"/>
        <v>-314312.58432713075</v>
      </c>
      <c r="K44" s="479">
        <f t="shared" si="331"/>
        <v>-314312.58432713075</v>
      </c>
      <c r="L44" s="479">
        <f t="shared" si="331"/>
        <v>-314312.58432713075</v>
      </c>
      <c r="M44" s="479">
        <f t="shared" si="331"/>
        <v>-314312.58432713075</v>
      </c>
      <c r="N44" s="479">
        <f t="shared" si="331"/>
        <v>-314312.58432713075</v>
      </c>
      <c r="O44" s="479">
        <f t="shared" si="331"/>
        <v>-314312.58432713075</v>
      </c>
      <c r="P44" s="479">
        <f t="shared" si="331"/>
        <v>0</v>
      </c>
      <c r="Q44" s="479">
        <f t="shared" si="331"/>
        <v>0</v>
      </c>
      <c r="R44" s="479">
        <f t="shared" si="331"/>
        <v>0</v>
      </c>
      <c r="S44" s="479">
        <f t="shared" si="331"/>
        <v>0</v>
      </c>
      <c r="T44" s="479">
        <f t="shared" si="331"/>
        <v>0</v>
      </c>
      <c r="U44" s="479">
        <f t="shared" si="331"/>
        <v>0</v>
      </c>
      <c r="V44" s="479">
        <f t="shared" si="331"/>
        <v>0</v>
      </c>
      <c r="W44" s="479">
        <f t="shared" si="331"/>
        <v>0</v>
      </c>
      <c r="X44" s="479">
        <f t="shared" si="331"/>
        <v>0</v>
      </c>
      <c r="Y44" s="479">
        <f t="shared" si="331"/>
        <v>0</v>
      </c>
      <c r="Z44" s="479">
        <f t="shared" si="344"/>
        <v>0</v>
      </c>
      <c r="AA44" s="479">
        <f t="shared" si="344"/>
        <v>0</v>
      </c>
      <c r="AB44" s="479">
        <f t="shared" si="344"/>
        <v>0</v>
      </c>
      <c r="AC44" s="479">
        <f t="shared" si="344"/>
        <v>0</v>
      </c>
      <c r="AD44" s="479">
        <f t="shared" si="344"/>
        <v>0</v>
      </c>
      <c r="AE44" s="479">
        <f t="shared" si="344"/>
        <v>0</v>
      </c>
      <c r="AF44" s="479">
        <f t="shared" si="344"/>
        <v>0</v>
      </c>
      <c r="AG44" s="479">
        <f t="shared" si="344"/>
        <v>0</v>
      </c>
      <c r="AH44" s="479">
        <f t="shared" si="344"/>
        <v>0</v>
      </c>
      <c r="AI44" s="479">
        <f t="shared" si="344"/>
        <v>0</v>
      </c>
      <c r="AJ44" s="479">
        <f t="shared" si="344"/>
        <v>0</v>
      </c>
      <c r="AK44" s="479">
        <f t="shared" si="344"/>
        <v>0</v>
      </c>
      <c r="AL44" s="479">
        <f t="shared" si="344"/>
        <v>0</v>
      </c>
      <c r="AM44" s="479">
        <f t="shared" si="344"/>
        <v>0</v>
      </c>
      <c r="AN44" s="479">
        <f t="shared" si="344"/>
        <v>0</v>
      </c>
      <c r="AO44" s="479">
        <f t="shared" si="344"/>
        <v>0</v>
      </c>
      <c r="AP44" s="479">
        <f t="shared" si="345"/>
        <v>0</v>
      </c>
      <c r="AQ44" s="479">
        <f t="shared" si="345"/>
        <v>0</v>
      </c>
      <c r="AR44" s="479">
        <f t="shared" si="345"/>
        <v>0</v>
      </c>
      <c r="AS44" s="479">
        <f t="shared" si="345"/>
        <v>0</v>
      </c>
      <c r="AT44" s="479">
        <f t="shared" si="345"/>
        <v>0</v>
      </c>
      <c r="AU44" s="479">
        <f t="shared" si="345"/>
        <v>0</v>
      </c>
      <c r="AV44" s="479">
        <f t="shared" si="345"/>
        <v>0</v>
      </c>
      <c r="AW44" s="479">
        <f t="shared" si="345"/>
        <v>0</v>
      </c>
      <c r="AX44" s="479">
        <f t="shared" si="345"/>
        <v>0</v>
      </c>
      <c r="AY44" s="479">
        <f t="shared" si="345"/>
        <v>0</v>
      </c>
      <c r="AZ44" s="479">
        <f t="shared" si="345"/>
        <v>0</v>
      </c>
      <c r="BA44" s="479">
        <f t="shared" si="345"/>
        <v>0</v>
      </c>
      <c r="BB44" s="479">
        <f t="shared" si="345"/>
        <v>0</v>
      </c>
      <c r="BC44" s="479">
        <f t="shared" si="345"/>
        <v>0</v>
      </c>
      <c r="BD44" s="479">
        <f t="shared" si="345"/>
        <v>0</v>
      </c>
      <c r="BE44" s="479">
        <f t="shared" si="345"/>
        <v>0</v>
      </c>
      <c r="BF44" s="479">
        <f t="shared" si="346"/>
        <v>0</v>
      </c>
      <c r="BG44" s="479">
        <f t="shared" si="346"/>
        <v>0</v>
      </c>
      <c r="BH44" s="479">
        <f t="shared" si="346"/>
        <v>0</v>
      </c>
      <c r="BI44" s="479">
        <f t="shared" si="346"/>
        <v>0</v>
      </c>
      <c r="BJ44" s="479">
        <f t="shared" si="346"/>
        <v>0</v>
      </c>
      <c r="BK44" s="479">
        <f t="shared" si="346"/>
        <v>0</v>
      </c>
      <c r="BL44" s="479">
        <f t="shared" si="346"/>
        <v>0</v>
      </c>
      <c r="BM44" s="479">
        <f t="shared" si="346"/>
        <v>0</v>
      </c>
      <c r="BN44" s="479">
        <f t="shared" si="346"/>
        <v>0</v>
      </c>
      <c r="BO44" s="479">
        <f t="shared" si="346"/>
        <v>0</v>
      </c>
      <c r="BP44" s="479">
        <f t="shared" si="346"/>
        <v>0</v>
      </c>
      <c r="BQ44" s="479">
        <f t="shared" si="346"/>
        <v>0</v>
      </c>
      <c r="BR44" s="479">
        <f t="shared" si="346"/>
        <v>0</v>
      </c>
      <c r="BS44" s="479">
        <f t="shared" si="346"/>
        <v>0</v>
      </c>
      <c r="BT44" s="479">
        <f t="shared" si="346"/>
        <v>0</v>
      </c>
      <c r="BU44" s="479">
        <f t="shared" si="346"/>
        <v>0</v>
      </c>
      <c r="BV44" s="479">
        <f t="shared" si="338"/>
        <v>0</v>
      </c>
      <c r="BW44" s="479">
        <f t="shared" si="338"/>
        <v>0</v>
      </c>
      <c r="BX44" s="479">
        <f t="shared" si="338"/>
        <v>0</v>
      </c>
      <c r="BY44" s="479">
        <f t="shared" si="338"/>
        <v>0</v>
      </c>
      <c r="BZ44" s="479">
        <f t="shared" si="338"/>
        <v>0</v>
      </c>
      <c r="CA44" s="479">
        <f t="shared" si="338"/>
        <v>0</v>
      </c>
      <c r="CB44" s="479">
        <f t="shared" si="338"/>
        <v>0</v>
      </c>
      <c r="CC44" s="479">
        <f t="shared" si="338"/>
        <v>0</v>
      </c>
      <c r="CD44" s="479">
        <f t="shared" si="338"/>
        <v>0</v>
      </c>
      <c r="CE44" s="479">
        <f t="shared" si="338"/>
        <v>0</v>
      </c>
      <c r="CF44" s="479">
        <f t="shared" si="338"/>
        <v>0</v>
      </c>
      <c r="CG44" s="479">
        <f t="shared" si="338"/>
        <v>0</v>
      </c>
      <c r="CH44" s="479">
        <f t="shared" si="338"/>
        <v>0</v>
      </c>
      <c r="CI44" s="479">
        <f t="shared" si="338"/>
        <v>0</v>
      </c>
      <c r="CJ44" s="479">
        <f t="shared" si="338"/>
        <v>0</v>
      </c>
      <c r="CK44" s="479">
        <f t="shared" si="347"/>
        <v>0</v>
      </c>
      <c r="CL44" s="479">
        <f t="shared" si="347"/>
        <v>0</v>
      </c>
      <c r="CM44" s="479">
        <f t="shared" si="347"/>
        <v>0</v>
      </c>
      <c r="CN44" s="479">
        <f t="shared" si="347"/>
        <v>0</v>
      </c>
      <c r="CO44" s="479">
        <f t="shared" si="347"/>
        <v>0</v>
      </c>
      <c r="CP44" s="479">
        <f t="shared" si="347"/>
        <v>0</v>
      </c>
      <c r="CQ44" s="479">
        <f t="shared" si="347"/>
        <v>0</v>
      </c>
      <c r="CR44" s="479">
        <f t="shared" si="347"/>
        <v>0</v>
      </c>
      <c r="CS44" s="479">
        <f t="shared" si="347"/>
        <v>0</v>
      </c>
      <c r="CT44" s="479">
        <f t="shared" si="347"/>
        <v>0</v>
      </c>
      <c r="CU44" s="479">
        <f t="shared" si="347"/>
        <v>0</v>
      </c>
      <c r="CV44" s="479">
        <f t="shared" si="347"/>
        <v>0</v>
      </c>
      <c r="CW44" s="479">
        <f t="shared" si="347"/>
        <v>0</v>
      </c>
      <c r="CX44" s="479">
        <f t="shared" si="347"/>
        <v>0</v>
      </c>
      <c r="CY44" s="479">
        <f t="shared" si="347"/>
        <v>0</v>
      </c>
      <c r="CZ44" s="479">
        <f t="shared" si="347"/>
        <v>0</v>
      </c>
      <c r="DA44" s="479">
        <f t="shared" si="348"/>
        <v>0</v>
      </c>
      <c r="DB44" s="479">
        <f t="shared" si="348"/>
        <v>0</v>
      </c>
      <c r="DC44" s="479">
        <f t="shared" si="348"/>
        <v>0</v>
      </c>
      <c r="DD44" s="479">
        <f t="shared" si="348"/>
        <v>0</v>
      </c>
      <c r="DE44" s="479">
        <f t="shared" si="348"/>
        <v>0</v>
      </c>
      <c r="DF44" s="479">
        <f t="shared" si="348"/>
        <v>0</v>
      </c>
      <c r="DG44" s="479">
        <f t="shared" si="348"/>
        <v>0</v>
      </c>
      <c r="DH44" s="479">
        <f t="shared" si="348"/>
        <v>0</v>
      </c>
      <c r="DI44" s="479">
        <f t="shared" si="348"/>
        <v>0</v>
      </c>
      <c r="DJ44" s="479">
        <f t="shared" si="348"/>
        <v>0</v>
      </c>
      <c r="DK44" s="479">
        <f t="shared" si="348"/>
        <v>0</v>
      </c>
      <c r="DL44" s="479">
        <f t="shared" si="348"/>
        <v>0</v>
      </c>
      <c r="DM44" s="479">
        <f t="shared" si="348"/>
        <v>0</v>
      </c>
      <c r="DN44" s="479">
        <f t="shared" si="348"/>
        <v>0</v>
      </c>
      <c r="DO44" s="479">
        <f t="shared" si="348"/>
        <v>0</v>
      </c>
      <c r="DP44" s="479">
        <f t="shared" si="348"/>
        <v>0</v>
      </c>
      <c r="DQ44" s="479">
        <f t="shared" si="349"/>
        <v>0</v>
      </c>
      <c r="DR44" s="479">
        <f t="shared" si="349"/>
        <v>0</v>
      </c>
      <c r="DS44" s="479">
        <f t="shared" si="349"/>
        <v>0</v>
      </c>
      <c r="DT44" s="479">
        <f t="shared" si="349"/>
        <v>0</v>
      </c>
      <c r="DU44" s="479">
        <f t="shared" si="349"/>
        <v>0</v>
      </c>
      <c r="DV44" s="479">
        <f t="shared" si="349"/>
        <v>0</v>
      </c>
      <c r="DW44" s="479">
        <f t="shared" si="349"/>
        <v>0</v>
      </c>
      <c r="DX44" s="479">
        <f t="shared" si="349"/>
        <v>0</v>
      </c>
      <c r="DY44" s="479">
        <f t="shared" si="349"/>
        <v>0</v>
      </c>
      <c r="DZ44" s="479">
        <f t="shared" si="349"/>
        <v>0</v>
      </c>
      <c r="EA44" s="479">
        <f t="shared" si="349"/>
        <v>0</v>
      </c>
      <c r="EB44" s="479">
        <f t="shared" si="349"/>
        <v>0</v>
      </c>
      <c r="EC44" s="479">
        <f t="shared" si="349"/>
        <v>0</v>
      </c>
      <c r="ED44" s="479">
        <f t="shared" si="349"/>
        <v>0</v>
      </c>
      <c r="EE44" s="479">
        <f t="shared" si="349"/>
        <v>0</v>
      </c>
      <c r="EF44" s="479">
        <f t="shared" si="349"/>
        <v>0</v>
      </c>
      <c r="EG44" s="479">
        <f t="shared" si="339"/>
        <v>0</v>
      </c>
      <c r="EH44" s="479">
        <f t="shared" si="339"/>
        <v>0</v>
      </c>
      <c r="EI44" s="479">
        <f t="shared" si="339"/>
        <v>0</v>
      </c>
      <c r="EJ44" s="479">
        <f t="shared" si="339"/>
        <v>0</v>
      </c>
      <c r="EK44" s="479">
        <f t="shared" si="339"/>
        <v>0</v>
      </c>
      <c r="EL44" s="479">
        <f t="shared" si="339"/>
        <v>0</v>
      </c>
      <c r="EM44" s="479">
        <f t="shared" si="339"/>
        <v>0</v>
      </c>
      <c r="EN44" s="479">
        <f t="shared" si="339"/>
        <v>0</v>
      </c>
      <c r="EO44" s="479">
        <f t="shared" si="339"/>
        <v>0</v>
      </c>
      <c r="EP44" s="479">
        <f t="shared" si="339"/>
        <v>0</v>
      </c>
      <c r="EQ44" s="479">
        <f t="shared" si="339"/>
        <v>0</v>
      </c>
      <c r="ER44" s="479">
        <f t="shared" si="339"/>
        <v>0</v>
      </c>
      <c r="ES44" s="479">
        <f t="shared" si="339"/>
        <v>0</v>
      </c>
      <c r="ET44" s="479">
        <f t="shared" si="339"/>
        <v>0</v>
      </c>
      <c r="EU44" s="479">
        <f t="shared" si="339"/>
        <v>0</v>
      </c>
      <c r="EV44" s="479">
        <f t="shared" si="339"/>
        <v>0</v>
      </c>
      <c r="EW44" s="479">
        <f t="shared" si="350"/>
        <v>0</v>
      </c>
      <c r="EX44" s="479">
        <f t="shared" si="350"/>
        <v>0</v>
      </c>
      <c r="EY44" s="479">
        <f t="shared" si="350"/>
        <v>0</v>
      </c>
      <c r="EZ44" s="479">
        <f t="shared" si="350"/>
        <v>0</v>
      </c>
      <c r="FA44" s="479">
        <f t="shared" si="350"/>
        <v>0</v>
      </c>
      <c r="FB44" s="479">
        <f t="shared" si="350"/>
        <v>0</v>
      </c>
      <c r="FC44" s="479">
        <f t="shared" si="350"/>
        <v>0</v>
      </c>
      <c r="FD44" s="479">
        <f t="shared" si="350"/>
        <v>0</v>
      </c>
      <c r="FE44" s="479">
        <f t="shared" si="350"/>
        <v>0</v>
      </c>
      <c r="FF44" s="479">
        <f t="shared" si="350"/>
        <v>0</v>
      </c>
      <c r="FG44" s="479">
        <f t="shared" si="350"/>
        <v>0</v>
      </c>
      <c r="FH44" s="479">
        <f t="shared" si="350"/>
        <v>0</v>
      </c>
      <c r="FI44" s="479">
        <f t="shared" si="350"/>
        <v>0</v>
      </c>
      <c r="FJ44" s="479">
        <f t="shared" si="350"/>
        <v>0</v>
      </c>
      <c r="FK44" s="479">
        <f t="shared" si="350"/>
        <v>0</v>
      </c>
      <c r="FL44" s="479">
        <f t="shared" si="350"/>
        <v>0</v>
      </c>
      <c r="FM44" s="479">
        <f t="shared" si="351"/>
        <v>0</v>
      </c>
      <c r="FN44" s="479">
        <f t="shared" si="351"/>
        <v>0</v>
      </c>
      <c r="FO44" s="479">
        <f t="shared" si="351"/>
        <v>0</v>
      </c>
      <c r="FP44" s="479">
        <f t="shared" si="351"/>
        <v>0</v>
      </c>
      <c r="FQ44" s="479">
        <f t="shared" si="351"/>
        <v>0</v>
      </c>
      <c r="FR44" s="479">
        <f t="shared" si="351"/>
        <v>0</v>
      </c>
      <c r="FS44" s="479">
        <f t="shared" si="351"/>
        <v>0</v>
      </c>
      <c r="FT44" s="479">
        <f t="shared" si="351"/>
        <v>0</v>
      </c>
      <c r="FU44" s="479">
        <f t="shared" si="351"/>
        <v>0</v>
      </c>
      <c r="FV44" s="479">
        <f t="shared" si="351"/>
        <v>0</v>
      </c>
      <c r="FW44" s="479">
        <f t="shared" si="351"/>
        <v>0</v>
      </c>
      <c r="FX44" s="479">
        <f t="shared" si="351"/>
        <v>0</v>
      </c>
      <c r="FY44" s="479">
        <f t="shared" si="351"/>
        <v>0</v>
      </c>
      <c r="FZ44" s="479">
        <f t="shared" si="351"/>
        <v>0</v>
      </c>
      <c r="GA44" s="479">
        <f t="shared" si="351"/>
        <v>0</v>
      </c>
      <c r="GB44" s="479">
        <f t="shared" si="351"/>
        <v>0</v>
      </c>
      <c r="GC44" s="479">
        <f t="shared" si="352"/>
        <v>0</v>
      </c>
      <c r="GD44" s="479">
        <f t="shared" si="352"/>
        <v>0</v>
      </c>
      <c r="GE44" s="479">
        <f t="shared" si="352"/>
        <v>0</v>
      </c>
      <c r="GF44" s="479">
        <f t="shared" si="352"/>
        <v>0</v>
      </c>
      <c r="GG44" s="479">
        <f t="shared" si="352"/>
        <v>0</v>
      </c>
      <c r="GH44" s="479">
        <f t="shared" si="352"/>
        <v>0</v>
      </c>
      <c r="GI44" s="479">
        <f t="shared" si="352"/>
        <v>0</v>
      </c>
      <c r="GJ44" s="479">
        <f t="shared" si="352"/>
        <v>0</v>
      </c>
      <c r="GK44" s="479">
        <f t="shared" si="352"/>
        <v>0</v>
      </c>
      <c r="GL44" s="479">
        <f t="shared" si="352"/>
        <v>0</v>
      </c>
      <c r="GM44" s="479">
        <f t="shared" si="352"/>
        <v>0</v>
      </c>
      <c r="GN44" s="479">
        <f t="shared" si="352"/>
        <v>0</v>
      </c>
      <c r="GO44" s="479">
        <f t="shared" si="352"/>
        <v>0</v>
      </c>
      <c r="GP44" s="479">
        <f t="shared" si="352"/>
        <v>0</v>
      </c>
      <c r="GQ44" s="479">
        <f t="shared" si="352"/>
        <v>0</v>
      </c>
      <c r="GR44" s="479">
        <f t="shared" si="352"/>
        <v>0</v>
      </c>
      <c r="GS44" s="479">
        <f t="shared" si="340"/>
        <v>0</v>
      </c>
      <c r="GT44" s="479">
        <f t="shared" si="340"/>
        <v>0</v>
      </c>
      <c r="GU44" s="479">
        <f t="shared" si="340"/>
        <v>0</v>
      </c>
      <c r="GV44" s="479">
        <f t="shared" si="340"/>
        <v>0</v>
      </c>
      <c r="GW44" s="479">
        <f t="shared" si="340"/>
        <v>0</v>
      </c>
      <c r="GX44" s="479">
        <f t="shared" si="340"/>
        <v>0</v>
      </c>
      <c r="GY44" s="479">
        <f t="shared" si="340"/>
        <v>0</v>
      </c>
      <c r="GZ44" s="479">
        <f t="shared" si="340"/>
        <v>0</v>
      </c>
      <c r="HA44" s="479">
        <f t="shared" si="340"/>
        <v>0</v>
      </c>
      <c r="HB44" s="479">
        <f t="shared" si="340"/>
        <v>0</v>
      </c>
      <c r="HC44" s="479">
        <f t="shared" si="340"/>
        <v>0</v>
      </c>
      <c r="HD44" s="479">
        <f t="shared" si="340"/>
        <v>0</v>
      </c>
      <c r="HE44" s="479">
        <f t="shared" si="340"/>
        <v>0</v>
      </c>
      <c r="HF44" s="479">
        <f t="shared" si="340"/>
        <v>0</v>
      </c>
      <c r="HG44" s="479">
        <f t="shared" si="340"/>
        <v>0</v>
      </c>
      <c r="HH44" s="479">
        <f t="shared" si="340"/>
        <v>0</v>
      </c>
      <c r="HI44" s="479">
        <f t="shared" si="353"/>
        <v>0</v>
      </c>
      <c r="HJ44" s="479">
        <f t="shared" si="353"/>
        <v>0</v>
      </c>
      <c r="HK44" s="479">
        <f t="shared" si="353"/>
        <v>0</v>
      </c>
      <c r="HL44" s="479">
        <f t="shared" si="353"/>
        <v>0</v>
      </c>
      <c r="HM44" s="479">
        <f t="shared" si="353"/>
        <v>0</v>
      </c>
      <c r="HN44" s="479">
        <f t="shared" si="353"/>
        <v>0</v>
      </c>
      <c r="HO44" s="479">
        <f t="shared" si="353"/>
        <v>0</v>
      </c>
      <c r="HP44" s="479">
        <f t="shared" si="353"/>
        <v>0</v>
      </c>
      <c r="HQ44" s="479">
        <f t="shared" si="353"/>
        <v>0</v>
      </c>
      <c r="HR44" s="479">
        <f t="shared" si="353"/>
        <v>0</v>
      </c>
      <c r="HS44" s="479">
        <f t="shared" si="353"/>
        <v>0</v>
      </c>
      <c r="HT44" s="479">
        <f t="shared" si="353"/>
        <v>0</v>
      </c>
      <c r="HU44" s="479">
        <f t="shared" si="353"/>
        <v>0</v>
      </c>
      <c r="HV44" s="479">
        <f t="shared" si="353"/>
        <v>0</v>
      </c>
      <c r="HW44" s="479">
        <f t="shared" si="353"/>
        <v>0</v>
      </c>
      <c r="HX44" s="479">
        <f t="shared" si="353"/>
        <v>0</v>
      </c>
      <c r="HY44" s="479">
        <f t="shared" si="354"/>
        <v>0</v>
      </c>
      <c r="HZ44" s="479">
        <f t="shared" si="354"/>
        <v>0</v>
      </c>
      <c r="IA44" s="479">
        <f t="shared" si="354"/>
        <v>0</v>
      </c>
      <c r="IB44" s="479">
        <f t="shared" si="354"/>
        <v>0</v>
      </c>
      <c r="IC44" s="479">
        <f t="shared" si="354"/>
        <v>0</v>
      </c>
      <c r="ID44" s="479">
        <f t="shared" si="354"/>
        <v>0</v>
      </c>
      <c r="IE44" s="479">
        <f t="shared" si="354"/>
        <v>0</v>
      </c>
      <c r="IF44" s="479">
        <f t="shared" si="354"/>
        <v>0</v>
      </c>
      <c r="IG44" s="479">
        <f t="shared" si="354"/>
        <v>0</v>
      </c>
      <c r="IH44" s="479">
        <f t="shared" si="354"/>
        <v>0</v>
      </c>
      <c r="II44" s="479">
        <f t="shared" si="354"/>
        <v>0</v>
      </c>
      <c r="IJ44" s="479">
        <f t="shared" si="354"/>
        <v>0</v>
      </c>
      <c r="IK44" s="479">
        <f t="shared" si="354"/>
        <v>0</v>
      </c>
      <c r="IL44" s="479">
        <f t="shared" si="354"/>
        <v>0</v>
      </c>
      <c r="IM44" s="479">
        <f t="shared" si="354"/>
        <v>0</v>
      </c>
      <c r="IN44" s="479">
        <f t="shared" si="354"/>
        <v>0</v>
      </c>
      <c r="IO44" s="479">
        <f t="shared" si="355"/>
        <v>0</v>
      </c>
      <c r="IP44" s="479">
        <f t="shared" si="355"/>
        <v>0</v>
      </c>
      <c r="IQ44" s="479">
        <f t="shared" si="355"/>
        <v>0</v>
      </c>
      <c r="IR44" s="479">
        <f t="shared" si="355"/>
        <v>0</v>
      </c>
      <c r="IS44" s="479">
        <f t="shared" si="355"/>
        <v>0</v>
      </c>
      <c r="IT44" s="479">
        <f t="shared" si="355"/>
        <v>0</v>
      </c>
      <c r="IU44" s="479">
        <f t="shared" si="355"/>
        <v>0</v>
      </c>
      <c r="IV44" s="479">
        <f t="shared" si="355"/>
        <v>0</v>
      </c>
      <c r="IW44" s="479">
        <f t="shared" si="355"/>
        <v>0</v>
      </c>
      <c r="IX44" s="479">
        <f t="shared" si="355"/>
        <v>0</v>
      </c>
      <c r="IY44" s="479">
        <f t="shared" si="355"/>
        <v>0</v>
      </c>
      <c r="IZ44" s="479">
        <f t="shared" si="355"/>
        <v>0</v>
      </c>
      <c r="JA44" s="479">
        <f t="shared" si="355"/>
        <v>0</v>
      </c>
      <c r="JB44" s="479">
        <f t="shared" si="355"/>
        <v>0</v>
      </c>
      <c r="JC44" s="479">
        <f t="shared" si="355"/>
        <v>0</v>
      </c>
      <c r="JD44" s="479">
        <f t="shared" si="355"/>
        <v>0</v>
      </c>
      <c r="JE44" s="479">
        <f t="shared" si="341"/>
        <v>0</v>
      </c>
      <c r="JF44" s="479">
        <f t="shared" si="341"/>
        <v>0</v>
      </c>
      <c r="JG44" s="479">
        <f t="shared" si="341"/>
        <v>0</v>
      </c>
      <c r="JH44" s="479">
        <f t="shared" si="341"/>
        <v>0</v>
      </c>
      <c r="JI44" s="479">
        <f t="shared" si="341"/>
        <v>0</v>
      </c>
      <c r="JJ44" s="479">
        <f t="shared" si="341"/>
        <v>0</v>
      </c>
      <c r="JK44" s="479">
        <f t="shared" si="341"/>
        <v>0</v>
      </c>
      <c r="JL44" s="479">
        <f t="shared" si="341"/>
        <v>0</v>
      </c>
      <c r="JM44" s="479">
        <f t="shared" si="341"/>
        <v>0</v>
      </c>
      <c r="JN44" s="479">
        <f t="shared" si="341"/>
        <v>0</v>
      </c>
      <c r="JO44" s="479">
        <f t="shared" si="341"/>
        <v>0</v>
      </c>
      <c r="JP44" s="479">
        <f t="shared" si="341"/>
        <v>0</v>
      </c>
      <c r="JQ44" s="479">
        <f t="shared" si="341"/>
        <v>0</v>
      </c>
      <c r="JR44" s="479">
        <f t="shared" si="341"/>
        <v>0</v>
      </c>
      <c r="JS44" s="479">
        <f t="shared" si="341"/>
        <v>0</v>
      </c>
      <c r="JT44" s="479">
        <f t="shared" si="341"/>
        <v>0</v>
      </c>
      <c r="JU44" s="479">
        <f t="shared" si="356"/>
        <v>0</v>
      </c>
      <c r="JV44" s="479">
        <f t="shared" si="356"/>
        <v>0</v>
      </c>
      <c r="JW44" s="479">
        <f t="shared" si="356"/>
        <v>0</v>
      </c>
      <c r="JX44" s="479">
        <f t="shared" si="356"/>
        <v>0</v>
      </c>
      <c r="JY44" s="479">
        <f t="shared" si="356"/>
        <v>0</v>
      </c>
      <c r="JZ44" s="479">
        <f t="shared" si="356"/>
        <v>0</v>
      </c>
      <c r="KA44" s="479">
        <f t="shared" si="356"/>
        <v>0</v>
      </c>
      <c r="KB44" s="479">
        <f t="shared" si="356"/>
        <v>0</v>
      </c>
      <c r="KC44" s="479">
        <f t="shared" si="356"/>
        <v>0</v>
      </c>
      <c r="KD44" s="479">
        <f t="shared" si="356"/>
        <v>0</v>
      </c>
      <c r="KE44" s="479">
        <f t="shared" si="356"/>
        <v>0</v>
      </c>
      <c r="KF44" s="479">
        <f t="shared" si="356"/>
        <v>0</v>
      </c>
      <c r="KG44" s="479">
        <f t="shared" si="356"/>
        <v>0</v>
      </c>
      <c r="KH44" s="479">
        <f t="shared" si="356"/>
        <v>0</v>
      </c>
      <c r="KI44" s="479">
        <f t="shared" si="356"/>
        <v>0</v>
      </c>
      <c r="KJ44" s="479">
        <f t="shared" si="356"/>
        <v>0</v>
      </c>
      <c r="KK44" s="479">
        <f t="shared" si="357"/>
        <v>0</v>
      </c>
      <c r="KL44" s="479">
        <f t="shared" si="357"/>
        <v>0</v>
      </c>
      <c r="KM44" s="479">
        <f t="shared" si="357"/>
        <v>0</v>
      </c>
      <c r="KN44" s="479">
        <f t="shared" si="357"/>
        <v>0</v>
      </c>
      <c r="KO44" s="479">
        <f t="shared" si="357"/>
        <v>0</v>
      </c>
      <c r="KP44" s="479">
        <f t="shared" si="357"/>
        <v>0</v>
      </c>
      <c r="KQ44" s="479">
        <f t="shared" si="357"/>
        <v>0</v>
      </c>
      <c r="KR44" s="479">
        <f t="shared" si="357"/>
        <v>0</v>
      </c>
      <c r="KS44" s="479">
        <f t="shared" si="357"/>
        <v>0</v>
      </c>
      <c r="KT44" s="479">
        <f t="shared" si="357"/>
        <v>0</v>
      </c>
      <c r="KU44" s="479">
        <f t="shared" si="357"/>
        <v>0</v>
      </c>
      <c r="KV44" s="479">
        <f t="shared" si="357"/>
        <v>0</v>
      </c>
      <c r="KW44" s="479">
        <f t="shared" si="357"/>
        <v>0</v>
      </c>
      <c r="KX44" s="479">
        <f t="shared" si="357"/>
        <v>0</v>
      </c>
      <c r="KY44" s="479">
        <f t="shared" si="357"/>
        <v>0</v>
      </c>
      <c r="KZ44" s="479">
        <f t="shared" si="357"/>
        <v>0</v>
      </c>
      <c r="LA44" s="479">
        <f t="shared" si="358"/>
        <v>0</v>
      </c>
      <c r="LB44" s="479">
        <f t="shared" si="358"/>
        <v>0</v>
      </c>
      <c r="LC44" s="479">
        <f t="shared" si="358"/>
        <v>0</v>
      </c>
      <c r="LD44" s="479">
        <f t="shared" si="358"/>
        <v>0</v>
      </c>
      <c r="LE44" s="479">
        <f t="shared" si="358"/>
        <v>0</v>
      </c>
      <c r="LF44" s="479">
        <f t="shared" si="358"/>
        <v>0</v>
      </c>
      <c r="LG44" s="479">
        <f t="shared" si="358"/>
        <v>0</v>
      </c>
      <c r="LH44" s="479">
        <f t="shared" si="358"/>
        <v>0</v>
      </c>
      <c r="LI44" s="479">
        <f t="shared" si="358"/>
        <v>0</v>
      </c>
      <c r="LJ44" s="479">
        <f t="shared" si="358"/>
        <v>0</v>
      </c>
      <c r="LK44" s="479">
        <f t="shared" si="358"/>
        <v>0</v>
      </c>
      <c r="LL44" s="479">
        <f t="shared" si="358"/>
        <v>0</v>
      </c>
      <c r="LM44" s="479">
        <f t="shared" si="358"/>
        <v>0</v>
      </c>
      <c r="LN44" s="479">
        <f t="shared" si="358"/>
        <v>0</v>
      </c>
      <c r="LO44" s="479">
        <f t="shared" si="358"/>
        <v>0</v>
      </c>
      <c r="LP44" s="479">
        <f t="shared" si="358"/>
        <v>0</v>
      </c>
      <c r="LQ44" s="479">
        <f t="shared" si="342"/>
        <v>0</v>
      </c>
      <c r="LR44" s="479">
        <f t="shared" si="342"/>
        <v>0</v>
      </c>
      <c r="LS44" s="479">
        <f t="shared" si="342"/>
        <v>0</v>
      </c>
      <c r="LT44" s="479">
        <f t="shared" si="342"/>
        <v>0</v>
      </c>
      <c r="LU44" s="479">
        <f t="shared" si="342"/>
        <v>0</v>
      </c>
      <c r="LV44" s="479">
        <f t="shared" si="342"/>
        <v>0</v>
      </c>
      <c r="LW44" s="479">
        <f t="shared" si="342"/>
        <v>0</v>
      </c>
      <c r="LX44" s="479">
        <f t="shared" si="342"/>
        <v>0</v>
      </c>
      <c r="LY44" s="479">
        <f t="shared" si="342"/>
        <v>0</v>
      </c>
      <c r="LZ44" s="479">
        <f t="shared" si="342"/>
        <v>0</v>
      </c>
      <c r="MA44" s="479">
        <f t="shared" si="342"/>
        <v>0</v>
      </c>
      <c r="MB44" s="479">
        <f t="shared" si="342"/>
        <v>0</v>
      </c>
      <c r="MC44" s="479">
        <f t="shared" si="342"/>
        <v>0</v>
      </c>
      <c r="MD44" s="479">
        <f t="shared" si="342"/>
        <v>0</v>
      </c>
      <c r="ME44" s="479">
        <f t="shared" si="342"/>
        <v>0</v>
      </c>
      <c r="MF44" s="479">
        <f t="shared" si="342"/>
        <v>0</v>
      </c>
      <c r="MG44" s="479">
        <f t="shared" si="359"/>
        <v>0</v>
      </c>
      <c r="MH44" s="479">
        <f t="shared" si="359"/>
        <v>0</v>
      </c>
      <c r="MI44" s="479">
        <f t="shared" si="359"/>
        <v>0</v>
      </c>
      <c r="MJ44" s="479">
        <f t="shared" si="359"/>
        <v>0</v>
      </c>
      <c r="MK44" s="479">
        <f t="shared" si="359"/>
        <v>0</v>
      </c>
      <c r="ML44" s="479">
        <f t="shared" si="359"/>
        <v>0</v>
      </c>
      <c r="MM44" s="479">
        <f t="shared" si="359"/>
        <v>0</v>
      </c>
      <c r="MN44" s="479">
        <f t="shared" si="359"/>
        <v>0</v>
      </c>
      <c r="MO44" s="479">
        <f t="shared" si="359"/>
        <v>0</v>
      </c>
      <c r="MP44" s="479">
        <f t="shared" si="359"/>
        <v>0</v>
      </c>
      <c r="MQ44" s="479">
        <f t="shared" si="359"/>
        <v>0</v>
      </c>
      <c r="MR44" s="479">
        <f t="shared" si="359"/>
        <v>0</v>
      </c>
      <c r="MS44" s="479">
        <f t="shared" si="359"/>
        <v>0</v>
      </c>
      <c r="MT44" s="479">
        <f t="shared" si="359"/>
        <v>0</v>
      </c>
      <c r="MU44" s="479">
        <f t="shared" si="359"/>
        <v>0</v>
      </c>
      <c r="MV44" s="479">
        <f t="shared" si="359"/>
        <v>0</v>
      </c>
      <c r="MW44" s="479">
        <f t="shared" si="360"/>
        <v>0</v>
      </c>
      <c r="MX44" s="479">
        <f t="shared" si="360"/>
        <v>0</v>
      </c>
      <c r="MY44" s="479">
        <f t="shared" si="360"/>
        <v>0</v>
      </c>
      <c r="MZ44" s="479">
        <f t="shared" si="360"/>
        <v>0</v>
      </c>
      <c r="NA44" s="479">
        <f t="shared" si="360"/>
        <v>0</v>
      </c>
      <c r="NB44" s="479">
        <f t="shared" si="360"/>
        <v>0</v>
      </c>
      <c r="NC44" s="479">
        <f t="shared" si="360"/>
        <v>0</v>
      </c>
      <c r="ND44" s="479">
        <f t="shared" si="360"/>
        <v>0</v>
      </c>
      <c r="NE44" s="479">
        <f t="shared" si="360"/>
        <v>0</v>
      </c>
      <c r="NF44" s="479">
        <f t="shared" si="360"/>
        <v>0</v>
      </c>
      <c r="NG44" s="479">
        <f t="shared" si="360"/>
        <v>0</v>
      </c>
      <c r="NH44" s="479">
        <f t="shared" si="360"/>
        <v>0</v>
      </c>
      <c r="NI44" s="479">
        <f t="shared" si="360"/>
        <v>0</v>
      </c>
      <c r="NJ44" s="479">
        <f t="shared" si="360"/>
        <v>0</v>
      </c>
      <c r="NK44" s="479">
        <f t="shared" si="360"/>
        <v>0</v>
      </c>
      <c r="NL44" s="479">
        <f t="shared" si="360"/>
        <v>0</v>
      </c>
      <c r="NM44" s="479">
        <f t="shared" si="361"/>
        <v>0</v>
      </c>
      <c r="NN44" s="479">
        <f t="shared" si="361"/>
        <v>0</v>
      </c>
      <c r="NO44" s="479">
        <f t="shared" si="361"/>
        <v>0</v>
      </c>
      <c r="NP44" s="479">
        <f t="shared" si="361"/>
        <v>0</v>
      </c>
      <c r="NQ44" s="479">
        <f t="shared" si="361"/>
        <v>0</v>
      </c>
      <c r="NR44" s="479">
        <f t="shared" si="361"/>
        <v>0</v>
      </c>
      <c r="NS44" s="479">
        <f t="shared" si="361"/>
        <v>0</v>
      </c>
      <c r="NT44" s="479">
        <f t="shared" si="361"/>
        <v>0</v>
      </c>
      <c r="NU44" s="479">
        <f t="shared" si="361"/>
        <v>0</v>
      </c>
      <c r="NV44" s="479">
        <f t="shared" si="361"/>
        <v>0</v>
      </c>
      <c r="NW44" s="479">
        <f t="shared" si="361"/>
        <v>0</v>
      </c>
      <c r="NX44" s="479">
        <f t="shared" si="361"/>
        <v>0</v>
      </c>
      <c r="NY44" s="479">
        <f t="shared" si="361"/>
        <v>0</v>
      </c>
      <c r="NZ44" s="479">
        <f t="shared" si="361"/>
        <v>0</v>
      </c>
      <c r="OA44" s="479">
        <f t="shared" si="361"/>
        <v>0</v>
      </c>
      <c r="OB44" s="479">
        <f t="shared" si="361"/>
        <v>0</v>
      </c>
      <c r="OC44" s="479">
        <f t="shared" si="343"/>
        <v>0</v>
      </c>
      <c r="OD44" s="479">
        <f t="shared" si="343"/>
        <v>0</v>
      </c>
      <c r="OE44" s="479">
        <f t="shared" si="330"/>
        <v>0</v>
      </c>
      <c r="OF44" s="479">
        <f t="shared" si="330"/>
        <v>0</v>
      </c>
      <c r="OG44" s="479">
        <f t="shared" si="330"/>
        <v>0</v>
      </c>
      <c r="OH44" s="479">
        <f t="shared" si="330"/>
        <v>0</v>
      </c>
      <c r="OI44" s="479">
        <f t="shared" si="330"/>
        <v>0</v>
      </c>
      <c r="OJ44" s="479">
        <f t="shared" si="330"/>
        <v>0</v>
      </c>
      <c r="OK44" s="479">
        <f t="shared" si="330"/>
        <v>0</v>
      </c>
      <c r="OL44" s="479">
        <f t="shared" si="330"/>
        <v>0</v>
      </c>
      <c r="OM44" s="479">
        <f t="shared" si="330"/>
        <v>0</v>
      </c>
      <c r="ON44" s="479">
        <f t="shared" si="330"/>
        <v>0</v>
      </c>
      <c r="OO44" s="479">
        <f t="shared" si="330"/>
        <v>0</v>
      </c>
    </row>
    <row r="45" spans="2:405"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/>
      <c r="CD45" s="97"/>
      <c r="CE45" s="97"/>
      <c r="CF45" s="97"/>
      <c r="CG45" s="97"/>
      <c r="CH45" s="97"/>
      <c r="CI45" s="97"/>
      <c r="CJ45" s="97"/>
      <c r="CK45" s="97"/>
      <c r="CL45" s="97"/>
      <c r="CM45" s="97"/>
      <c r="CN45" s="97"/>
      <c r="CO45" s="97"/>
      <c r="CP45" s="97"/>
      <c r="CQ45" s="97"/>
      <c r="CR45" s="97"/>
      <c r="CS45" s="97"/>
      <c r="CT45" s="97"/>
      <c r="CU45" s="97"/>
      <c r="CV45" s="97"/>
      <c r="CW45" s="97"/>
      <c r="CX45" s="97"/>
      <c r="CY45" s="97"/>
      <c r="CZ45" s="97"/>
      <c r="DA45" s="97"/>
      <c r="DB45" s="97"/>
      <c r="DC45" s="97"/>
      <c r="DD45" s="97"/>
      <c r="DE45" s="97"/>
      <c r="DF45" s="97"/>
      <c r="DG45" s="97"/>
      <c r="DH45" s="97"/>
      <c r="DI45" s="97"/>
      <c r="DJ45" s="97"/>
      <c r="DK45" s="97"/>
      <c r="DL45" s="97"/>
      <c r="DM45" s="97"/>
      <c r="DN45" s="97"/>
      <c r="DO45" s="97"/>
      <c r="DP45" s="97"/>
      <c r="DQ45" s="97"/>
      <c r="DR45" s="97"/>
      <c r="DS45" s="97"/>
      <c r="DT45" s="97"/>
      <c r="DU45" s="97"/>
      <c r="DV45" s="97"/>
      <c r="DW45" s="97"/>
      <c r="DX45" s="97"/>
      <c r="DY45" s="97"/>
      <c r="DZ45" s="97"/>
      <c r="EA45" s="97"/>
      <c r="EB45" s="97"/>
      <c r="EC45" s="97"/>
      <c r="ED45" s="97"/>
      <c r="EE45" s="97"/>
      <c r="EF45" s="97"/>
      <c r="EG45" s="97"/>
      <c r="EH45" s="97"/>
      <c r="EI45" s="97"/>
      <c r="EJ45" s="97"/>
      <c r="EK45" s="97"/>
      <c r="EL45" s="97"/>
      <c r="EM45" s="97"/>
      <c r="EN45" s="97"/>
      <c r="EO45" s="97"/>
      <c r="EP45" s="97"/>
      <c r="EQ45" s="97"/>
      <c r="ER45" s="97"/>
      <c r="ES45" s="97"/>
      <c r="ET45" s="97"/>
      <c r="EU45" s="97"/>
      <c r="EV45" s="97"/>
      <c r="EW45" s="97"/>
      <c r="EX45" s="97"/>
      <c r="EY45" s="97"/>
      <c r="EZ45" s="97"/>
      <c r="FA45" s="97"/>
      <c r="FB45" s="97"/>
      <c r="FC45" s="97"/>
      <c r="FD45" s="97"/>
      <c r="FE45" s="97"/>
      <c r="FF45" s="97"/>
      <c r="FG45" s="97"/>
      <c r="FH45" s="97"/>
      <c r="FI45" s="97"/>
      <c r="FJ45" s="97"/>
      <c r="FK45" s="97"/>
      <c r="FL45" s="97"/>
      <c r="FM45" s="97"/>
      <c r="FN45" s="97"/>
      <c r="FO45" s="97"/>
      <c r="FP45" s="97"/>
      <c r="FQ45" s="97"/>
      <c r="FR45" s="97"/>
      <c r="FS45" s="97"/>
      <c r="FT45" s="97"/>
      <c r="FU45" s="97"/>
      <c r="FV45" s="97"/>
      <c r="FW45" s="97"/>
      <c r="FX45" s="97"/>
      <c r="FY45" s="97"/>
      <c r="FZ45" s="97"/>
      <c r="GA45" s="97"/>
      <c r="GB45" s="97"/>
      <c r="GC45" s="97"/>
      <c r="GD45" s="97"/>
      <c r="GE45" s="97"/>
      <c r="GF45" s="97"/>
      <c r="GG45" s="97"/>
      <c r="GH45" s="97"/>
      <c r="GI45" s="97"/>
      <c r="GJ45" s="97"/>
      <c r="GK45" s="97"/>
      <c r="GL45" s="97"/>
      <c r="GM45" s="97"/>
      <c r="GN45" s="97"/>
      <c r="GO45" s="97"/>
      <c r="GP45" s="97"/>
      <c r="GQ45" s="97"/>
      <c r="GR45" s="97"/>
      <c r="GS45" s="97"/>
      <c r="GT45" s="97"/>
      <c r="GU45" s="97"/>
      <c r="GV45" s="97"/>
      <c r="GW45" s="97"/>
      <c r="GX45" s="97"/>
      <c r="GY45" s="97"/>
      <c r="GZ45" s="97"/>
      <c r="HA45" s="97"/>
      <c r="HB45" s="97"/>
      <c r="HC45" s="97"/>
      <c r="HD45" s="97"/>
      <c r="HE45" s="97"/>
      <c r="HF45" s="97"/>
      <c r="HG45" s="97"/>
      <c r="HH45" s="97"/>
      <c r="HI45" s="97"/>
      <c r="HJ45" s="97"/>
      <c r="HK45" s="97"/>
      <c r="HL45" s="97"/>
      <c r="HM45" s="97"/>
      <c r="HN45" s="97"/>
      <c r="HO45" s="97"/>
      <c r="HP45" s="97"/>
      <c r="HQ45" s="97"/>
      <c r="HR45" s="97"/>
      <c r="HS45" s="97"/>
      <c r="HT45" s="97"/>
      <c r="HU45" s="97"/>
      <c r="HV45" s="97"/>
      <c r="HW45" s="97"/>
      <c r="HX45" s="97"/>
      <c r="HY45" s="97"/>
      <c r="HZ45" s="97"/>
      <c r="IA45" s="97"/>
      <c r="IB45" s="97"/>
      <c r="IC45" s="97"/>
      <c r="ID45" s="97"/>
      <c r="IE45" s="97"/>
      <c r="IF45" s="97"/>
      <c r="IG45" s="97"/>
      <c r="IH45" s="97"/>
      <c r="II45" s="97"/>
      <c r="IJ45" s="97"/>
      <c r="IK45" s="97"/>
      <c r="IL45" s="97"/>
      <c r="IM45" s="97"/>
      <c r="IN45" s="97"/>
      <c r="IO45" s="97"/>
      <c r="IP45" s="97"/>
      <c r="IQ45" s="97"/>
      <c r="IR45" s="97"/>
      <c r="IS45" s="97"/>
      <c r="IT45" s="97"/>
      <c r="IU45" s="97"/>
      <c r="IV45" s="97"/>
      <c r="IW45" s="97"/>
      <c r="IX45" s="97"/>
      <c r="IY45" s="97"/>
      <c r="IZ45" s="97"/>
      <c r="JA45" s="97"/>
      <c r="JB45" s="97"/>
      <c r="JC45" s="97"/>
      <c r="JD45" s="97"/>
      <c r="JE45" s="97"/>
      <c r="JF45" s="97"/>
      <c r="JG45" s="97"/>
      <c r="JH45" s="97"/>
      <c r="JI45" s="97"/>
      <c r="JJ45" s="97"/>
      <c r="JK45" s="97"/>
      <c r="JL45" s="97"/>
      <c r="JM45" s="97"/>
      <c r="JN45" s="97"/>
      <c r="JO45" s="97"/>
      <c r="JP45" s="97"/>
      <c r="JQ45" s="97"/>
      <c r="JR45" s="97"/>
      <c r="JS45" s="97"/>
      <c r="JT45" s="97"/>
      <c r="JU45" s="97"/>
      <c r="JV45" s="97"/>
      <c r="JW45" s="97"/>
      <c r="JX45" s="97"/>
      <c r="JY45" s="97"/>
      <c r="JZ45" s="97"/>
      <c r="KA45" s="97"/>
      <c r="KB45" s="97"/>
      <c r="KC45" s="97"/>
      <c r="KD45" s="97"/>
      <c r="KE45" s="97"/>
      <c r="KF45" s="97"/>
      <c r="KG45" s="97"/>
      <c r="KH45" s="97"/>
      <c r="KI45" s="97"/>
      <c r="KJ45" s="97"/>
      <c r="KK45" s="97"/>
      <c r="KL45" s="97"/>
      <c r="KM45" s="97"/>
      <c r="KN45" s="97"/>
      <c r="KO45" s="97"/>
      <c r="KP45" s="97"/>
      <c r="KQ45" s="97"/>
      <c r="KR45" s="97"/>
      <c r="KS45" s="97"/>
      <c r="KT45" s="97"/>
      <c r="KU45" s="97"/>
      <c r="KV45" s="97"/>
      <c r="KW45" s="97"/>
      <c r="KX45" s="97"/>
      <c r="KY45" s="97"/>
      <c r="KZ45" s="97"/>
      <c r="LA45" s="97"/>
      <c r="LB45" s="97"/>
      <c r="LC45" s="97"/>
      <c r="LD45" s="97"/>
      <c r="LE45" s="97"/>
      <c r="LF45" s="97"/>
      <c r="LG45" s="97"/>
      <c r="LH45" s="97"/>
      <c r="LI45" s="97"/>
      <c r="LJ45" s="97"/>
      <c r="LK45" s="97"/>
      <c r="LL45" s="97"/>
      <c r="LM45" s="97"/>
      <c r="LN45" s="97"/>
      <c r="LO45" s="97"/>
      <c r="LP45" s="97"/>
      <c r="LQ45" s="97"/>
      <c r="LR45" s="97"/>
      <c r="LS45" s="97"/>
      <c r="LT45" s="97"/>
      <c r="LU45" s="97"/>
      <c r="LV45" s="97"/>
      <c r="LW45" s="97"/>
      <c r="LX45" s="97"/>
      <c r="LY45" s="97"/>
      <c r="LZ45" s="97"/>
      <c r="MA45" s="97"/>
      <c r="MB45" s="97"/>
      <c r="MC45" s="97"/>
      <c r="MD45" s="97"/>
      <c r="ME45" s="97"/>
      <c r="MF45" s="97"/>
      <c r="MG45" s="97"/>
      <c r="MH45" s="97"/>
      <c r="MI45" s="97"/>
      <c r="MJ45" s="97"/>
      <c r="MK45" s="97"/>
      <c r="ML45" s="97"/>
      <c r="MM45" s="97"/>
      <c r="MN45" s="97"/>
      <c r="MO45" s="97"/>
      <c r="MP45" s="97"/>
      <c r="MQ45" s="97"/>
      <c r="MR45" s="97"/>
      <c r="MS45" s="97"/>
      <c r="MT45" s="97"/>
      <c r="MU45" s="97"/>
      <c r="MV45" s="97"/>
      <c r="MW45" s="97"/>
      <c r="MX45" s="97"/>
      <c r="MY45" s="97"/>
      <c r="MZ45" s="97"/>
      <c r="NA45" s="97"/>
      <c r="NB45" s="97"/>
      <c r="NC45" s="97"/>
      <c r="ND45" s="97"/>
      <c r="NE45" s="97"/>
      <c r="NF45" s="97"/>
      <c r="NG45" s="97"/>
      <c r="NH45" s="97"/>
      <c r="NI45" s="97"/>
      <c r="NJ45" s="97"/>
      <c r="NK45" s="97"/>
      <c r="NL45" s="97"/>
      <c r="NM45" s="97"/>
      <c r="NN45" s="97"/>
      <c r="NO45" s="97"/>
      <c r="NP45" s="97"/>
      <c r="NQ45" s="97"/>
      <c r="NR45" s="97"/>
      <c r="NS45" s="97"/>
      <c r="NT45" s="97"/>
      <c r="NU45" s="97"/>
      <c r="NV45" s="97"/>
      <c r="NW45" s="97"/>
      <c r="NX45" s="97"/>
      <c r="NY45" s="97"/>
      <c r="NZ45" s="97"/>
      <c r="OA45" s="97"/>
      <c r="OB45" s="97"/>
      <c r="OC45" s="97"/>
      <c r="OD45" s="97"/>
      <c r="OE45" s="97"/>
      <c r="OF45" s="97"/>
      <c r="OG45" s="97"/>
      <c r="OH45" s="97"/>
      <c r="OI45" s="97"/>
      <c r="OJ45" s="97"/>
      <c r="OK45" s="97"/>
      <c r="OL45" s="97"/>
      <c r="OM45" s="97"/>
      <c r="ON45" s="97"/>
      <c r="OO45" s="97"/>
    </row>
    <row r="46" spans="2:405">
      <c r="B46" s="97" t="str">
        <f>Assumptions!B113</f>
        <v>Borrower Legal</v>
      </c>
      <c r="C46" s="97"/>
      <c r="D46" s="500">
        <f>Assumptions!C113</f>
        <v>375000</v>
      </c>
      <c r="E46" s="507">
        <f>Assumptions!$C$8</f>
        <v>46204</v>
      </c>
      <c r="F46" s="507">
        <f>EOMONTH(E46,Assumptions!$C$9-1)</f>
        <v>46387</v>
      </c>
      <c r="G46" s="97">
        <f t="shared" ref="G46:G48" si="362">((YEAR(F46)-YEAR(E46))*12+MONTH(F46)-MONTH(E46)+1)</f>
        <v>6</v>
      </c>
      <c r="H46" s="97"/>
      <c r="I46" s="97"/>
      <c r="J46" s="479">
        <f>-IF(J$7&gt;=$E46,IF(J$7&lt;=$F46,$D46/$G46,0),0)</f>
        <v>-62500</v>
      </c>
      <c r="K46" s="479">
        <f t="shared" ref="K46:BV48" si="363">-IF(K$7&gt;=$E46,IF(K$7&lt;=$F46,$D46/$G46,0),0)</f>
        <v>-62500</v>
      </c>
      <c r="L46" s="479">
        <f t="shared" si="363"/>
        <v>-62500</v>
      </c>
      <c r="M46" s="479">
        <f t="shared" si="363"/>
        <v>-62500</v>
      </c>
      <c r="N46" s="479">
        <f t="shared" si="363"/>
        <v>-62500</v>
      </c>
      <c r="O46" s="479">
        <f t="shared" si="363"/>
        <v>-62500</v>
      </c>
      <c r="P46" s="479">
        <f t="shared" si="363"/>
        <v>0</v>
      </c>
      <c r="Q46" s="479">
        <f t="shared" si="363"/>
        <v>0</v>
      </c>
      <c r="R46" s="479">
        <f t="shared" si="363"/>
        <v>0</v>
      </c>
      <c r="S46" s="479">
        <f t="shared" si="363"/>
        <v>0</v>
      </c>
      <c r="T46" s="479">
        <f t="shared" si="363"/>
        <v>0</v>
      </c>
      <c r="U46" s="479">
        <f t="shared" si="363"/>
        <v>0</v>
      </c>
      <c r="V46" s="479">
        <f t="shared" si="363"/>
        <v>0</v>
      </c>
      <c r="W46" s="479">
        <f t="shared" si="363"/>
        <v>0</v>
      </c>
      <c r="X46" s="479">
        <f t="shared" si="363"/>
        <v>0</v>
      </c>
      <c r="Y46" s="479">
        <f t="shared" si="363"/>
        <v>0</v>
      </c>
      <c r="Z46" s="479">
        <f t="shared" si="363"/>
        <v>0</v>
      </c>
      <c r="AA46" s="479">
        <f t="shared" si="363"/>
        <v>0</v>
      </c>
      <c r="AB46" s="479">
        <f t="shared" si="363"/>
        <v>0</v>
      </c>
      <c r="AC46" s="479">
        <f t="shared" si="363"/>
        <v>0</v>
      </c>
      <c r="AD46" s="479">
        <f t="shared" si="363"/>
        <v>0</v>
      </c>
      <c r="AE46" s="479">
        <f t="shared" si="363"/>
        <v>0</v>
      </c>
      <c r="AF46" s="479">
        <f t="shared" si="363"/>
        <v>0</v>
      </c>
      <c r="AG46" s="479">
        <f t="shared" si="363"/>
        <v>0</v>
      </c>
      <c r="AH46" s="479">
        <f t="shared" si="363"/>
        <v>0</v>
      </c>
      <c r="AI46" s="479">
        <f t="shared" si="363"/>
        <v>0</v>
      </c>
      <c r="AJ46" s="479">
        <f t="shared" si="363"/>
        <v>0</v>
      </c>
      <c r="AK46" s="479">
        <f t="shared" si="363"/>
        <v>0</v>
      </c>
      <c r="AL46" s="479">
        <f t="shared" si="363"/>
        <v>0</v>
      </c>
      <c r="AM46" s="479">
        <f t="shared" si="363"/>
        <v>0</v>
      </c>
      <c r="AN46" s="479">
        <f t="shared" si="363"/>
        <v>0</v>
      </c>
      <c r="AO46" s="479">
        <f t="shared" si="363"/>
        <v>0</v>
      </c>
      <c r="AP46" s="479">
        <f t="shared" si="363"/>
        <v>0</v>
      </c>
      <c r="AQ46" s="479">
        <f t="shared" si="363"/>
        <v>0</v>
      </c>
      <c r="AR46" s="479">
        <f t="shared" si="363"/>
        <v>0</v>
      </c>
      <c r="AS46" s="479">
        <f t="shared" si="363"/>
        <v>0</v>
      </c>
      <c r="AT46" s="479">
        <f t="shared" si="363"/>
        <v>0</v>
      </c>
      <c r="AU46" s="479">
        <f t="shared" si="363"/>
        <v>0</v>
      </c>
      <c r="AV46" s="479">
        <f t="shared" si="363"/>
        <v>0</v>
      </c>
      <c r="AW46" s="479">
        <f t="shared" si="363"/>
        <v>0</v>
      </c>
      <c r="AX46" s="479">
        <f t="shared" si="363"/>
        <v>0</v>
      </c>
      <c r="AY46" s="479">
        <f t="shared" si="363"/>
        <v>0</v>
      </c>
      <c r="AZ46" s="479">
        <f t="shared" si="363"/>
        <v>0</v>
      </c>
      <c r="BA46" s="479">
        <f t="shared" si="363"/>
        <v>0</v>
      </c>
      <c r="BB46" s="479">
        <f t="shared" si="363"/>
        <v>0</v>
      </c>
      <c r="BC46" s="479">
        <f t="shared" si="363"/>
        <v>0</v>
      </c>
      <c r="BD46" s="479">
        <f t="shared" si="363"/>
        <v>0</v>
      </c>
      <c r="BE46" s="479">
        <f t="shared" si="363"/>
        <v>0</v>
      </c>
      <c r="BF46" s="479">
        <f t="shared" si="363"/>
        <v>0</v>
      </c>
      <c r="BG46" s="479">
        <f t="shared" si="363"/>
        <v>0</v>
      </c>
      <c r="BH46" s="479">
        <f t="shared" si="363"/>
        <v>0</v>
      </c>
      <c r="BI46" s="479">
        <f t="shared" si="363"/>
        <v>0</v>
      </c>
      <c r="BJ46" s="479">
        <f t="shared" si="363"/>
        <v>0</v>
      </c>
      <c r="BK46" s="479">
        <f t="shared" si="363"/>
        <v>0</v>
      </c>
      <c r="BL46" s="479">
        <f t="shared" si="363"/>
        <v>0</v>
      </c>
      <c r="BM46" s="479">
        <f t="shared" si="363"/>
        <v>0</v>
      </c>
      <c r="BN46" s="479">
        <f t="shared" si="363"/>
        <v>0</v>
      </c>
      <c r="BO46" s="479">
        <f t="shared" si="363"/>
        <v>0</v>
      </c>
      <c r="BP46" s="479">
        <f t="shared" si="363"/>
        <v>0</v>
      </c>
      <c r="BQ46" s="479">
        <f t="shared" si="363"/>
        <v>0</v>
      </c>
      <c r="BR46" s="479">
        <f t="shared" si="363"/>
        <v>0</v>
      </c>
      <c r="BS46" s="479">
        <f t="shared" si="363"/>
        <v>0</v>
      </c>
      <c r="BT46" s="479">
        <f t="shared" si="363"/>
        <v>0</v>
      </c>
      <c r="BU46" s="479">
        <f t="shared" si="363"/>
        <v>0</v>
      </c>
      <c r="BV46" s="479">
        <f t="shared" si="363"/>
        <v>0</v>
      </c>
      <c r="BW46" s="479">
        <f t="shared" ref="BW46:EH48" si="364">-IF(BW$7&gt;=$E46,IF(BW$7&lt;=$F46,$D46/$G46,0),0)</f>
        <v>0</v>
      </c>
      <c r="BX46" s="479">
        <f t="shared" si="364"/>
        <v>0</v>
      </c>
      <c r="BY46" s="479">
        <f t="shared" si="364"/>
        <v>0</v>
      </c>
      <c r="BZ46" s="479">
        <f t="shared" si="364"/>
        <v>0</v>
      </c>
      <c r="CA46" s="479">
        <f t="shared" si="364"/>
        <v>0</v>
      </c>
      <c r="CB46" s="479">
        <f t="shared" si="364"/>
        <v>0</v>
      </c>
      <c r="CC46" s="479">
        <f t="shared" si="364"/>
        <v>0</v>
      </c>
      <c r="CD46" s="479">
        <f t="shared" si="364"/>
        <v>0</v>
      </c>
      <c r="CE46" s="479">
        <f t="shared" si="364"/>
        <v>0</v>
      </c>
      <c r="CF46" s="479">
        <f t="shared" si="364"/>
        <v>0</v>
      </c>
      <c r="CG46" s="479">
        <f t="shared" si="364"/>
        <v>0</v>
      </c>
      <c r="CH46" s="479">
        <f t="shared" si="364"/>
        <v>0</v>
      </c>
      <c r="CI46" s="479">
        <f t="shared" si="364"/>
        <v>0</v>
      </c>
      <c r="CJ46" s="479">
        <f t="shared" si="364"/>
        <v>0</v>
      </c>
      <c r="CK46" s="479">
        <f t="shared" si="364"/>
        <v>0</v>
      </c>
      <c r="CL46" s="479">
        <f t="shared" si="364"/>
        <v>0</v>
      </c>
      <c r="CM46" s="479">
        <f t="shared" si="364"/>
        <v>0</v>
      </c>
      <c r="CN46" s="479">
        <f t="shared" si="364"/>
        <v>0</v>
      </c>
      <c r="CO46" s="479">
        <f t="shared" si="364"/>
        <v>0</v>
      </c>
      <c r="CP46" s="479">
        <f t="shared" si="364"/>
        <v>0</v>
      </c>
      <c r="CQ46" s="479">
        <f t="shared" si="364"/>
        <v>0</v>
      </c>
      <c r="CR46" s="479">
        <f t="shared" si="364"/>
        <v>0</v>
      </c>
      <c r="CS46" s="479">
        <f t="shared" si="364"/>
        <v>0</v>
      </c>
      <c r="CT46" s="479">
        <f t="shared" si="364"/>
        <v>0</v>
      </c>
      <c r="CU46" s="479">
        <f t="shared" si="364"/>
        <v>0</v>
      </c>
      <c r="CV46" s="479">
        <f t="shared" si="364"/>
        <v>0</v>
      </c>
      <c r="CW46" s="479">
        <f t="shared" si="364"/>
        <v>0</v>
      </c>
      <c r="CX46" s="479">
        <f t="shared" si="364"/>
        <v>0</v>
      </c>
      <c r="CY46" s="479">
        <f t="shared" si="364"/>
        <v>0</v>
      </c>
      <c r="CZ46" s="479">
        <f t="shared" si="364"/>
        <v>0</v>
      </c>
      <c r="DA46" s="479">
        <f t="shared" si="364"/>
        <v>0</v>
      </c>
      <c r="DB46" s="479">
        <f t="shared" si="364"/>
        <v>0</v>
      </c>
      <c r="DC46" s="479">
        <f t="shared" si="364"/>
        <v>0</v>
      </c>
      <c r="DD46" s="479">
        <f t="shared" si="364"/>
        <v>0</v>
      </c>
      <c r="DE46" s="479">
        <f t="shared" si="364"/>
        <v>0</v>
      </c>
      <c r="DF46" s="479">
        <f t="shared" si="364"/>
        <v>0</v>
      </c>
      <c r="DG46" s="479">
        <f t="shared" si="364"/>
        <v>0</v>
      </c>
      <c r="DH46" s="479">
        <f t="shared" si="364"/>
        <v>0</v>
      </c>
      <c r="DI46" s="479">
        <f t="shared" si="364"/>
        <v>0</v>
      </c>
      <c r="DJ46" s="479">
        <f t="shared" si="364"/>
        <v>0</v>
      </c>
      <c r="DK46" s="479">
        <f t="shared" si="364"/>
        <v>0</v>
      </c>
      <c r="DL46" s="479">
        <f t="shared" si="364"/>
        <v>0</v>
      </c>
      <c r="DM46" s="479">
        <f t="shared" si="364"/>
        <v>0</v>
      </c>
      <c r="DN46" s="479">
        <f t="shared" si="364"/>
        <v>0</v>
      </c>
      <c r="DO46" s="479">
        <f t="shared" si="364"/>
        <v>0</v>
      </c>
      <c r="DP46" s="479">
        <f t="shared" si="364"/>
        <v>0</v>
      </c>
      <c r="DQ46" s="479">
        <f t="shared" si="364"/>
        <v>0</v>
      </c>
      <c r="DR46" s="479">
        <f t="shared" si="364"/>
        <v>0</v>
      </c>
      <c r="DS46" s="479">
        <f t="shared" si="364"/>
        <v>0</v>
      </c>
      <c r="DT46" s="479">
        <f t="shared" si="364"/>
        <v>0</v>
      </c>
      <c r="DU46" s="479">
        <f t="shared" si="364"/>
        <v>0</v>
      </c>
      <c r="DV46" s="479">
        <f t="shared" si="364"/>
        <v>0</v>
      </c>
      <c r="DW46" s="479">
        <f t="shared" si="364"/>
        <v>0</v>
      </c>
      <c r="DX46" s="479">
        <f t="shared" si="364"/>
        <v>0</v>
      </c>
      <c r="DY46" s="479">
        <f t="shared" si="364"/>
        <v>0</v>
      </c>
      <c r="DZ46" s="479">
        <f t="shared" si="364"/>
        <v>0</v>
      </c>
      <c r="EA46" s="479">
        <f t="shared" si="364"/>
        <v>0</v>
      </c>
      <c r="EB46" s="479">
        <f t="shared" si="364"/>
        <v>0</v>
      </c>
      <c r="EC46" s="479">
        <f t="shared" si="364"/>
        <v>0</v>
      </c>
      <c r="ED46" s="479">
        <f t="shared" si="364"/>
        <v>0</v>
      </c>
      <c r="EE46" s="479">
        <f t="shared" si="364"/>
        <v>0</v>
      </c>
      <c r="EF46" s="479">
        <f t="shared" si="364"/>
        <v>0</v>
      </c>
      <c r="EG46" s="479">
        <f t="shared" si="364"/>
        <v>0</v>
      </c>
      <c r="EH46" s="479">
        <f t="shared" si="364"/>
        <v>0</v>
      </c>
      <c r="EI46" s="479">
        <f t="shared" ref="EI46:GT48" si="365">-IF(EI$7&gt;=$E46,IF(EI$7&lt;=$F46,$D46/$G46,0),0)</f>
        <v>0</v>
      </c>
      <c r="EJ46" s="479">
        <f t="shared" si="365"/>
        <v>0</v>
      </c>
      <c r="EK46" s="479">
        <f t="shared" si="365"/>
        <v>0</v>
      </c>
      <c r="EL46" s="479">
        <f t="shared" si="365"/>
        <v>0</v>
      </c>
      <c r="EM46" s="479">
        <f t="shared" si="365"/>
        <v>0</v>
      </c>
      <c r="EN46" s="479">
        <f t="shared" si="365"/>
        <v>0</v>
      </c>
      <c r="EO46" s="479">
        <f t="shared" si="365"/>
        <v>0</v>
      </c>
      <c r="EP46" s="479">
        <f t="shared" si="365"/>
        <v>0</v>
      </c>
      <c r="EQ46" s="479">
        <f t="shared" si="365"/>
        <v>0</v>
      </c>
      <c r="ER46" s="479">
        <f t="shared" si="365"/>
        <v>0</v>
      </c>
      <c r="ES46" s="479">
        <f t="shared" si="365"/>
        <v>0</v>
      </c>
      <c r="ET46" s="479">
        <f t="shared" si="365"/>
        <v>0</v>
      </c>
      <c r="EU46" s="479">
        <f t="shared" si="365"/>
        <v>0</v>
      </c>
      <c r="EV46" s="479">
        <f t="shared" si="365"/>
        <v>0</v>
      </c>
      <c r="EW46" s="479">
        <f t="shared" si="365"/>
        <v>0</v>
      </c>
      <c r="EX46" s="479">
        <f t="shared" si="365"/>
        <v>0</v>
      </c>
      <c r="EY46" s="479">
        <f t="shared" si="365"/>
        <v>0</v>
      </c>
      <c r="EZ46" s="479">
        <f t="shared" si="365"/>
        <v>0</v>
      </c>
      <c r="FA46" s="479">
        <f t="shared" si="365"/>
        <v>0</v>
      </c>
      <c r="FB46" s="479">
        <f t="shared" si="365"/>
        <v>0</v>
      </c>
      <c r="FC46" s="479">
        <f t="shared" si="365"/>
        <v>0</v>
      </c>
      <c r="FD46" s="479">
        <f t="shared" si="365"/>
        <v>0</v>
      </c>
      <c r="FE46" s="479">
        <f t="shared" si="365"/>
        <v>0</v>
      </c>
      <c r="FF46" s="479">
        <f t="shared" si="365"/>
        <v>0</v>
      </c>
      <c r="FG46" s="479">
        <f t="shared" si="365"/>
        <v>0</v>
      </c>
      <c r="FH46" s="479">
        <f t="shared" si="365"/>
        <v>0</v>
      </c>
      <c r="FI46" s="479">
        <f t="shared" si="365"/>
        <v>0</v>
      </c>
      <c r="FJ46" s="479">
        <f t="shared" si="365"/>
        <v>0</v>
      </c>
      <c r="FK46" s="479">
        <f t="shared" si="365"/>
        <v>0</v>
      </c>
      <c r="FL46" s="479">
        <f t="shared" si="365"/>
        <v>0</v>
      </c>
      <c r="FM46" s="479">
        <f t="shared" si="365"/>
        <v>0</v>
      </c>
      <c r="FN46" s="479">
        <f t="shared" si="365"/>
        <v>0</v>
      </c>
      <c r="FO46" s="479">
        <f t="shared" si="365"/>
        <v>0</v>
      </c>
      <c r="FP46" s="479">
        <f t="shared" si="365"/>
        <v>0</v>
      </c>
      <c r="FQ46" s="479">
        <f t="shared" si="365"/>
        <v>0</v>
      </c>
      <c r="FR46" s="479">
        <f t="shared" si="365"/>
        <v>0</v>
      </c>
      <c r="FS46" s="479">
        <f t="shared" si="365"/>
        <v>0</v>
      </c>
      <c r="FT46" s="479">
        <f t="shared" si="365"/>
        <v>0</v>
      </c>
      <c r="FU46" s="479">
        <f t="shared" si="365"/>
        <v>0</v>
      </c>
      <c r="FV46" s="479">
        <f t="shared" si="365"/>
        <v>0</v>
      </c>
      <c r="FW46" s="479">
        <f t="shared" si="365"/>
        <v>0</v>
      </c>
      <c r="FX46" s="479">
        <f t="shared" si="365"/>
        <v>0</v>
      </c>
      <c r="FY46" s="479">
        <f t="shared" si="365"/>
        <v>0</v>
      </c>
      <c r="FZ46" s="479">
        <f t="shared" si="365"/>
        <v>0</v>
      </c>
      <c r="GA46" s="479">
        <f t="shared" si="365"/>
        <v>0</v>
      </c>
      <c r="GB46" s="479">
        <f t="shared" si="365"/>
        <v>0</v>
      </c>
      <c r="GC46" s="479">
        <f t="shared" si="365"/>
        <v>0</v>
      </c>
      <c r="GD46" s="479">
        <f t="shared" si="365"/>
        <v>0</v>
      </c>
      <c r="GE46" s="479">
        <f t="shared" si="365"/>
        <v>0</v>
      </c>
      <c r="GF46" s="479">
        <f t="shared" si="365"/>
        <v>0</v>
      </c>
      <c r="GG46" s="479">
        <f t="shared" si="365"/>
        <v>0</v>
      </c>
      <c r="GH46" s="479">
        <f t="shared" si="365"/>
        <v>0</v>
      </c>
      <c r="GI46" s="479">
        <f t="shared" si="365"/>
        <v>0</v>
      </c>
      <c r="GJ46" s="479">
        <f t="shared" si="365"/>
        <v>0</v>
      </c>
      <c r="GK46" s="479">
        <f t="shared" si="365"/>
        <v>0</v>
      </c>
      <c r="GL46" s="479">
        <f t="shared" si="365"/>
        <v>0</v>
      </c>
      <c r="GM46" s="479">
        <f t="shared" si="365"/>
        <v>0</v>
      </c>
      <c r="GN46" s="479">
        <f t="shared" si="365"/>
        <v>0</v>
      </c>
      <c r="GO46" s="479">
        <f t="shared" si="365"/>
        <v>0</v>
      </c>
      <c r="GP46" s="479">
        <f t="shared" si="365"/>
        <v>0</v>
      </c>
      <c r="GQ46" s="479">
        <f t="shared" si="365"/>
        <v>0</v>
      </c>
      <c r="GR46" s="479">
        <f t="shared" si="365"/>
        <v>0</v>
      </c>
      <c r="GS46" s="479">
        <f t="shared" si="365"/>
        <v>0</v>
      </c>
      <c r="GT46" s="479">
        <f t="shared" si="365"/>
        <v>0</v>
      </c>
      <c r="GU46" s="479">
        <f t="shared" ref="GU46:JF48" si="366">-IF(GU$7&gt;=$E46,IF(GU$7&lt;=$F46,$D46/$G46,0),0)</f>
        <v>0</v>
      </c>
      <c r="GV46" s="479">
        <f t="shared" si="366"/>
        <v>0</v>
      </c>
      <c r="GW46" s="479">
        <f t="shared" si="366"/>
        <v>0</v>
      </c>
      <c r="GX46" s="479">
        <f t="shared" si="366"/>
        <v>0</v>
      </c>
      <c r="GY46" s="479">
        <f t="shared" si="366"/>
        <v>0</v>
      </c>
      <c r="GZ46" s="479">
        <f t="shared" si="366"/>
        <v>0</v>
      </c>
      <c r="HA46" s="479">
        <f t="shared" si="366"/>
        <v>0</v>
      </c>
      <c r="HB46" s="479">
        <f t="shared" si="366"/>
        <v>0</v>
      </c>
      <c r="HC46" s="479">
        <f t="shared" si="366"/>
        <v>0</v>
      </c>
      <c r="HD46" s="479">
        <f t="shared" si="366"/>
        <v>0</v>
      </c>
      <c r="HE46" s="479">
        <f t="shared" si="366"/>
        <v>0</v>
      </c>
      <c r="HF46" s="479">
        <f t="shared" si="366"/>
        <v>0</v>
      </c>
      <c r="HG46" s="479">
        <f t="shared" si="366"/>
        <v>0</v>
      </c>
      <c r="HH46" s="479">
        <f t="shared" si="366"/>
        <v>0</v>
      </c>
      <c r="HI46" s="479">
        <f t="shared" si="366"/>
        <v>0</v>
      </c>
      <c r="HJ46" s="479">
        <f t="shared" si="366"/>
        <v>0</v>
      </c>
      <c r="HK46" s="479">
        <f t="shared" si="366"/>
        <v>0</v>
      </c>
      <c r="HL46" s="479">
        <f t="shared" si="366"/>
        <v>0</v>
      </c>
      <c r="HM46" s="479">
        <f t="shared" si="366"/>
        <v>0</v>
      </c>
      <c r="HN46" s="479">
        <f t="shared" si="366"/>
        <v>0</v>
      </c>
      <c r="HO46" s="479">
        <f t="shared" si="366"/>
        <v>0</v>
      </c>
      <c r="HP46" s="479">
        <f t="shared" si="366"/>
        <v>0</v>
      </c>
      <c r="HQ46" s="479">
        <f t="shared" si="366"/>
        <v>0</v>
      </c>
      <c r="HR46" s="479">
        <f t="shared" si="366"/>
        <v>0</v>
      </c>
      <c r="HS46" s="479">
        <f t="shared" si="366"/>
        <v>0</v>
      </c>
      <c r="HT46" s="479">
        <f t="shared" si="366"/>
        <v>0</v>
      </c>
      <c r="HU46" s="479">
        <f t="shared" si="366"/>
        <v>0</v>
      </c>
      <c r="HV46" s="479">
        <f t="shared" si="366"/>
        <v>0</v>
      </c>
      <c r="HW46" s="479">
        <f t="shared" si="366"/>
        <v>0</v>
      </c>
      <c r="HX46" s="479">
        <f t="shared" si="366"/>
        <v>0</v>
      </c>
      <c r="HY46" s="479">
        <f t="shared" si="366"/>
        <v>0</v>
      </c>
      <c r="HZ46" s="479">
        <f t="shared" si="366"/>
        <v>0</v>
      </c>
      <c r="IA46" s="479">
        <f t="shared" si="366"/>
        <v>0</v>
      </c>
      <c r="IB46" s="479">
        <f t="shared" si="366"/>
        <v>0</v>
      </c>
      <c r="IC46" s="479">
        <f t="shared" si="366"/>
        <v>0</v>
      </c>
      <c r="ID46" s="479">
        <f t="shared" si="366"/>
        <v>0</v>
      </c>
      <c r="IE46" s="479">
        <f t="shared" si="366"/>
        <v>0</v>
      </c>
      <c r="IF46" s="479">
        <f t="shared" si="366"/>
        <v>0</v>
      </c>
      <c r="IG46" s="479">
        <f t="shared" si="366"/>
        <v>0</v>
      </c>
      <c r="IH46" s="479">
        <f t="shared" si="366"/>
        <v>0</v>
      </c>
      <c r="II46" s="479">
        <f t="shared" si="366"/>
        <v>0</v>
      </c>
      <c r="IJ46" s="479">
        <f t="shared" si="366"/>
        <v>0</v>
      </c>
      <c r="IK46" s="479">
        <f t="shared" si="366"/>
        <v>0</v>
      </c>
      <c r="IL46" s="479">
        <f t="shared" si="366"/>
        <v>0</v>
      </c>
      <c r="IM46" s="479">
        <f t="shared" si="366"/>
        <v>0</v>
      </c>
      <c r="IN46" s="479">
        <f t="shared" si="366"/>
        <v>0</v>
      </c>
      <c r="IO46" s="479">
        <f t="shared" si="366"/>
        <v>0</v>
      </c>
      <c r="IP46" s="479">
        <f t="shared" si="366"/>
        <v>0</v>
      </c>
      <c r="IQ46" s="479">
        <f t="shared" si="366"/>
        <v>0</v>
      </c>
      <c r="IR46" s="479">
        <f t="shared" si="366"/>
        <v>0</v>
      </c>
      <c r="IS46" s="479">
        <f t="shared" si="366"/>
        <v>0</v>
      </c>
      <c r="IT46" s="479">
        <f t="shared" si="366"/>
        <v>0</v>
      </c>
      <c r="IU46" s="479">
        <f t="shared" si="366"/>
        <v>0</v>
      </c>
      <c r="IV46" s="479">
        <f t="shared" si="366"/>
        <v>0</v>
      </c>
      <c r="IW46" s="479">
        <f t="shared" si="366"/>
        <v>0</v>
      </c>
      <c r="IX46" s="479">
        <f t="shared" si="366"/>
        <v>0</v>
      </c>
      <c r="IY46" s="479">
        <f t="shared" si="366"/>
        <v>0</v>
      </c>
      <c r="IZ46" s="479">
        <f t="shared" si="366"/>
        <v>0</v>
      </c>
      <c r="JA46" s="479">
        <f t="shared" si="366"/>
        <v>0</v>
      </c>
      <c r="JB46" s="479">
        <f t="shared" si="366"/>
        <v>0</v>
      </c>
      <c r="JC46" s="479">
        <f t="shared" si="366"/>
        <v>0</v>
      </c>
      <c r="JD46" s="479">
        <f t="shared" si="366"/>
        <v>0</v>
      </c>
      <c r="JE46" s="479">
        <f t="shared" si="366"/>
        <v>0</v>
      </c>
      <c r="JF46" s="479">
        <f t="shared" si="366"/>
        <v>0</v>
      </c>
      <c r="JG46" s="479">
        <f t="shared" ref="JG46:LR48" si="367">-IF(JG$7&gt;=$E46,IF(JG$7&lt;=$F46,$D46/$G46,0),0)</f>
        <v>0</v>
      </c>
      <c r="JH46" s="479">
        <f t="shared" si="367"/>
        <v>0</v>
      </c>
      <c r="JI46" s="479">
        <f t="shared" si="367"/>
        <v>0</v>
      </c>
      <c r="JJ46" s="479">
        <f t="shared" si="367"/>
        <v>0</v>
      </c>
      <c r="JK46" s="479">
        <f t="shared" si="367"/>
        <v>0</v>
      </c>
      <c r="JL46" s="479">
        <f t="shared" si="367"/>
        <v>0</v>
      </c>
      <c r="JM46" s="479">
        <f t="shared" si="367"/>
        <v>0</v>
      </c>
      <c r="JN46" s="479">
        <f t="shared" si="367"/>
        <v>0</v>
      </c>
      <c r="JO46" s="479">
        <f t="shared" si="367"/>
        <v>0</v>
      </c>
      <c r="JP46" s="479">
        <f t="shared" si="367"/>
        <v>0</v>
      </c>
      <c r="JQ46" s="479">
        <f t="shared" si="367"/>
        <v>0</v>
      </c>
      <c r="JR46" s="479">
        <f t="shared" si="367"/>
        <v>0</v>
      </c>
      <c r="JS46" s="479">
        <f t="shared" si="367"/>
        <v>0</v>
      </c>
      <c r="JT46" s="479">
        <f t="shared" si="367"/>
        <v>0</v>
      </c>
      <c r="JU46" s="479">
        <f t="shared" si="367"/>
        <v>0</v>
      </c>
      <c r="JV46" s="479">
        <f t="shared" si="367"/>
        <v>0</v>
      </c>
      <c r="JW46" s="479">
        <f t="shared" si="367"/>
        <v>0</v>
      </c>
      <c r="JX46" s="479">
        <f t="shared" si="367"/>
        <v>0</v>
      </c>
      <c r="JY46" s="479">
        <f t="shared" si="367"/>
        <v>0</v>
      </c>
      <c r="JZ46" s="479">
        <f t="shared" si="367"/>
        <v>0</v>
      </c>
      <c r="KA46" s="479">
        <f t="shared" si="367"/>
        <v>0</v>
      </c>
      <c r="KB46" s="479">
        <f t="shared" si="367"/>
        <v>0</v>
      </c>
      <c r="KC46" s="479">
        <f t="shared" si="367"/>
        <v>0</v>
      </c>
      <c r="KD46" s="479">
        <f t="shared" si="367"/>
        <v>0</v>
      </c>
      <c r="KE46" s="479">
        <f t="shared" si="367"/>
        <v>0</v>
      </c>
      <c r="KF46" s="479">
        <f t="shared" si="367"/>
        <v>0</v>
      </c>
      <c r="KG46" s="479">
        <f t="shared" si="367"/>
        <v>0</v>
      </c>
      <c r="KH46" s="479">
        <f t="shared" si="367"/>
        <v>0</v>
      </c>
      <c r="KI46" s="479">
        <f t="shared" si="367"/>
        <v>0</v>
      </c>
      <c r="KJ46" s="479">
        <f t="shared" si="367"/>
        <v>0</v>
      </c>
      <c r="KK46" s="479">
        <f t="shared" si="367"/>
        <v>0</v>
      </c>
      <c r="KL46" s="479">
        <f t="shared" si="367"/>
        <v>0</v>
      </c>
      <c r="KM46" s="479">
        <f t="shared" si="367"/>
        <v>0</v>
      </c>
      <c r="KN46" s="479">
        <f t="shared" si="367"/>
        <v>0</v>
      </c>
      <c r="KO46" s="479">
        <f t="shared" si="367"/>
        <v>0</v>
      </c>
      <c r="KP46" s="479">
        <f t="shared" si="367"/>
        <v>0</v>
      </c>
      <c r="KQ46" s="479">
        <f t="shared" si="367"/>
        <v>0</v>
      </c>
      <c r="KR46" s="479">
        <f t="shared" si="367"/>
        <v>0</v>
      </c>
      <c r="KS46" s="479">
        <f t="shared" si="367"/>
        <v>0</v>
      </c>
      <c r="KT46" s="479">
        <f t="shared" si="367"/>
        <v>0</v>
      </c>
      <c r="KU46" s="479">
        <f t="shared" si="367"/>
        <v>0</v>
      </c>
      <c r="KV46" s="479">
        <f t="shared" si="367"/>
        <v>0</v>
      </c>
      <c r="KW46" s="479">
        <f t="shared" si="367"/>
        <v>0</v>
      </c>
      <c r="KX46" s="479">
        <f t="shared" si="367"/>
        <v>0</v>
      </c>
      <c r="KY46" s="479">
        <f t="shared" si="367"/>
        <v>0</v>
      </c>
      <c r="KZ46" s="479">
        <f t="shared" si="367"/>
        <v>0</v>
      </c>
      <c r="LA46" s="479">
        <f t="shared" si="367"/>
        <v>0</v>
      </c>
      <c r="LB46" s="479">
        <f t="shared" si="367"/>
        <v>0</v>
      </c>
      <c r="LC46" s="479">
        <f t="shared" si="367"/>
        <v>0</v>
      </c>
      <c r="LD46" s="479">
        <f t="shared" si="367"/>
        <v>0</v>
      </c>
      <c r="LE46" s="479">
        <f t="shared" si="367"/>
        <v>0</v>
      </c>
      <c r="LF46" s="479">
        <f t="shared" si="367"/>
        <v>0</v>
      </c>
      <c r="LG46" s="479">
        <f t="shared" si="367"/>
        <v>0</v>
      </c>
      <c r="LH46" s="479">
        <f t="shared" si="367"/>
        <v>0</v>
      </c>
      <c r="LI46" s="479">
        <f t="shared" si="367"/>
        <v>0</v>
      </c>
      <c r="LJ46" s="479">
        <f t="shared" si="367"/>
        <v>0</v>
      </c>
      <c r="LK46" s="479">
        <f t="shared" si="367"/>
        <v>0</v>
      </c>
      <c r="LL46" s="479">
        <f t="shared" si="367"/>
        <v>0</v>
      </c>
      <c r="LM46" s="479">
        <f t="shared" si="367"/>
        <v>0</v>
      </c>
      <c r="LN46" s="479">
        <f t="shared" si="367"/>
        <v>0</v>
      </c>
      <c r="LO46" s="479">
        <f t="shared" si="367"/>
        <v>0</v>
      </c>
      <c r="LP46" s="479">
        <f t="shared" si="367"/>
        <v>0</v>
      </c>
      <c r="LQ46" s="479">
        <f t="shared" si="367"/>
        <v>0</v>
      </c>
      <c r="LR46" s="479">
        <f t="shared" si="367"/>
        <v>0</v>
      </c>
      <c r="LS46" s="479">
        <f t="shared" ref="LS46:OD48" si="368">-IF(LS$7&gt;=$E46,IF(LS$7&lt;=$F46,$D46/$G46,0),0)</f>
        <v>0</v>
      </c>
      <c r="LT46" s="479">
        <f t="shared" si="368"/>
        <v>0</v>
      </c>
      <c r="LU46" s="479">
        <f t="shared" si="368"/>
        <v>0</v>
      </c>
      <c r="LV46" s="479">
        <f t="shared" si="368"/>
        <v>0</v>
      </c>
      <c r="LW46" s="479">
        <f t="shared" si="368"/>
        <v>0</v>
      </c>
      <c r="LX46" s="479">
        <f t="shared" si="368"/>
        <v>0</v>
      </c>
      <c r="LY46" s="479">
        <f t="shared" si="368"/>
        <v>0</v>
      </c>
      <c r="LZ46" s="479">
        <f t="shared" si="368"/>
        <v>0</v>
      </c>
      <c r="MA46" s="479">
        <f t="shared" si="368"/>
        <v>0</v>
      </c>
      <c r="MB46" s="479">
        <f t="shared" si="368"/>
        <v>0</v>
      </c>
      <c r="MC46" s="479">
        <f t="shared" si="368"/>
        <v>0</v>
      </c>
      <c r="MD46" s="479">
        <f t="shared" si="368"/>
        <v>0</v>
      </c>
      <c r="ME46" s="479">
        <f t="shared" si="368"/>
        <v>0</v>
      </c>
      <c r="MF46" s="479">
        <f t="shared" si="368"/>
        <v>0</v>
      </c>
      <c r="MG46" s="479">
        <f t="shared" si="368"/>
        <v>0</v>
      </c>
      <c r="MH46" s="479">
        <f t="shared" si="368"/>
        <v>0</v>
      </c>
      <c r="MI46" s="479">
        <f t="shared" si="368"/>
        <v>0</v>
      </c>
      <c r="MJ46" s="479">
        <f t="shared" si="368"/>
        <v>0</v>
      </c>
      <c r="MK46" s="479">
        <f t="shared" si="368"/>
        <v>0</v>
      </c>
      <c r="ML46" s="479">
        <f t="shared" si="368"/>
        <v>0</v>
      </c>
      <c r="MM46" s="479">
        <f t="shared" si="368"/>
        <v>0</v>
      </c>
      <c r="MN46" s="479">
        <f t="shared" si="368"/>
        <v>0</v>
      </c>
      <c r="MO46" s="479">
        <f t="shared" si="368"/>
        <v>0</v>
      </c>
      <c r="MP46" s="479">
        <f t="shared" si="368"/>
        <v>0</v>
      </c>
      <c r="MQ46" s="479">
        <f t="shared" si="368"/>
        <v>0</v>
      </c>
      <c r="MR46" s="479">
        <f t="shared" si="368"/>
        <v>0</v>
      </c>
      <c r="MS46" s="479">
        <f t="shared" si="368"/>
        <v>0</v>
      </c>
      <c r="MT46" s="479">
        <f t="shared" si="368"/>
        <v>0</v>
      </c>
      <c r="MU46" s="479">
        <f t="shared" si="368"/>
        <v>0</v>
      </c>
      <c r="MV46" s="479">
        <f t="shared" si="368"/>
        <v>0</v>
      </c>
      <c r="MW46" s="479">
        <f t="shared" si="368"/>
        <v>0</v>
      </c>
      <c r="MX46" s="479">
        <f t="shared" si="368"/>
        <v>0</v>
      </c>
      <c r="MY46" s="479">
        <f t="shared" si="368"/>
        <v>0</v>
      </c>
      <c r="MZ46" s="479">
        <f t="shared" si="368"/>
        <v>0</v>
      </c>
      <c r="NA46" s="479">
        <f t="shared" si="368"/>
        <v>0</v>
      </c>
      <c r="NB46" s="479">
        <f t="shared" si="368"/>
        <v>0</v>
      </c>
      <c r="NC46" s="479">
        <f t="shared" si="368"/>
        <v>0</v>
      </c>
      <c r="ND46" s="479">
        <f t="shared" si="368"/>
        <v>0</v>
      </c>
      <c r="NE46" s="479">
        <f t="shared" si="368"/>
        <v>0</v>
      </c>
      <c r="NF46" s="479">
        <f t="shared" si="368"/>
        <v>0</v>
      </c>
      <c r="NG46" s="479">
        <f t="shared" si="368"/>
        <v>0</v>
      </c>
      <c r="NH46" s="479">
        <f t="shared" si="368"/>
        <v>0</v>
      </c>
      <c r="NI46" s="479">
        <f t="shared" si="368"/>
        <v>0</v>
      </c>
      <c r="NJ46" s="479">
        <f t="shared" si="368"/>
        <v>0</v>
      </c>
      <c r="NK46" s="479">
        <f t="shared" si="368"/>
        <v>0</v>
      </c>
      <c r="NL46" s="479">
        <f t="shared" si="368"/>
        <v>0</v>
      </c>
      <c r="NM46" s="479">
        <f t="shared" si="368"/>
        <v>0</v>
      </c>
      <c r="NN46" s="479">
        <f t="shared" si="368"/>
        <v>0</v>
      </c>
      <c r="NO46" s="479">
        <f t="shared" si="368"/>
        <v>0</v>
      </c>
      <c r="NP46" s="479">
        <f t="shared" si="368"/>
        <v>0</v>
      </c>
      <c r="NQ46" s="479">
        <f t="shared" si="368"/>
        <v>0</v>
      </c>
      <c r="NR46" s="479">
        <f t="shared" si="368"/>
        <v>0</v>
      </c>
      <c r="NS46" s="479">
        <f t="shared" si="368"/>
        <v>0</v>
      </c>
      <c r="NT46" s="479">
        <f t="shared" si="368"/>
        <v>0</v>
      </c>
      <c r="NU46" s="479">
        <f t="shared" si="368"/>
        <v>0</v>
      </c>
      <c r="NV46" s="479">
        <f t="shared" si="368"/>
        <v>0</v>
      </c>
      <c r="NW46" s="479">
        <f t="shared" si="368"/>
        <v>0</v>
      </c>
      <c r="NX46" s="479">
        <f t="shared" si="368"/>
        <v>0</v>
      </c>
      <c r="NY46" s="479">
        <f t="shared" si="368"/>
        <v>0</v>
      </c>
      <c r="NZ46" s="479">
        <f t="shared" si="368"/>
        <v>0</v>
      </c>
      <c r="OA46" s="479">
        <f t="shared" si="368"/>
        <v>0</v>
      </c>
      <c r="OB46" s="479">
        <f t="shared" si="368"/>
        <v>0</v>
      </c>
      <c r="OC46" s="479">
        <f t="shared" si="368"/>
        <v>0</v>
      </c>
      <c r="OD46" s="479">
        <f t="shared" si="368"/>
        <v>0</v>
      </c>
      <c r="OE46" s="479">
        <f t="shared" ref="OE46:OO48" si="369">-IF(OE$7&gt;=$E46,IF(OE$7&lt;=$F46,$D46/$G46,0),0)</f>
        <v>0</v>
      </c>
      <c r="OF46" s="479">
        <f t="shared" si="369"/>
        <v>0</v>
      </c>
      <c r="OG46" s="479">
        <f t="shared" si="369"/>
        <v>0</v>
      </c>
      <c r="OH46" s="479">
        <f t="shared" si="369"/>
        <v>0</v>
      </c>
      <c r="OI46" s="479">
        <f t="shared" si="369"/>
        <v>0</v>
      </c>
      <c r="OJ46" s="479">
        <f t="shared" si="369"/>
        <v>0</v>
      </c>
      <c r="OK46" s="479">
        <f t="shared" si="369"/>
        <v>0</v>
      </c>
      <c r="OL46" s="479">
        <f t="shared" si="369"/>
        <v>0</v>
      </c>
      <c r="OM46" s="479">
        <f t="shared" si="369"/>
        <v>0</v>
      </c>
      <c r="ON46" s="479">
        <f t="shared" si="369"/>
        <v>0</v>
      </c>
      <c r="OO46" s="479">
        <f t="shared" si="369"/>
        <v>0</v>
      </c>
    </row>
    <row r="47" spans="2:405">
      <c r="B47" s="97" t="str">
        <f>Assumptions!B114</f>
        <v>Bank Legal</v>
      </c>
      <c r="C47" s="97"/>
      <c r="D47" s="500">
        <f>Assumptions!C114</f>
        <v>40000</v>
      </c>
      <c r="E47" s="507">
        <f>Assumptions!$C$8</f>
        <v>46204</v>
      </c>
      <c r="F47" s="507">
        <f>EOMONTH(E47,Assumptions!$C$9-1)</f>
        <v>46387</v>
      </c>
      <c r="G47" s="97">
        <f t="shared" si="362"/>
        <v>6</v>
      </c>
      <c r="H47" s="97"/>
      <c r="I47" s="97"/>
      <c r="J47" s="479">
        <f t="shared" ref="J47:J48" si="370">-IF(J$7&gt;=$E47,IF(J$7&lt;=$F47,$D47/$G47,0),0)</f>
        <v>-6666.666666666667</v>
      </c>
      <c r="K47" s="479">
        <f t="shared" si="363"/>
        <v>-6666.666666666667</v>
      </c>
      <c r="L47" s="479">
        <f t="shared" si="363"/>
        <v>-6666.666666666667</v>
      </c>
      <c r="M47" s="479">
        <f t="shared" si="363"/>
        <v>-6666.666666666667</v>
      </c>
      <c r="N47" s="479">
        <f t="shared" si="363"/>
        <v>-6666.666666666667</v>
      </c>
      <c r="O47" s="479">
        <f t="shared" si="363"/>
        <v>-6666.666666666667</v>
      </c>
      <c r="P47" s="479">
        <f t="shared" si="363"/>
        <v>0</v>
      </c>
      <c r="Q47" s="479">
        <f t="shared" si="363"/>
        <v>0</v>
      </c>
      <c r="R47" s="479">
        <f t="shared" si="363"/>
        <v>0</v>
      </c>
      <c r="S47" s="479">
        <f t="shared" si="363"/>
        <v>0</v>
      </c>
      <c r="T47" s="479">
        <f t="shared" si="363"/>
        <v>0</v>
      </c>
      <c r="U47" s="479">
        <f t="shared" si="363"/>
        <v>0</v>
      </c>
      <c r="V47" s="479">
        <f t="shared" si="363"/>
        <v>0</v>
      </c>
      <c r="W47" s="479">
        <f t="shared" si="363"/>
        <v>0</v>
      </c>
      <c r="X47" s="479">
        <f t="shared" si="363"/>
        <v>0</v>
      </c>
      <c r="Y47" s="479">
        <f t="shared" si="363"/>
        <v>0</v>
      </c>
      <c r="Z47" s="479">
        <f t="shared" si="363"/>
        <v>0</v>
      </c>
      <c r="AA47" s="479">
        <f t="shared" si="363"/>
        <v>0</v>
      </c>
      <c r="AB47" s="479">
        <f t="shared" si="363"/>
        <v>0</v>
      </c>
      <c r="AC47" s="479">
        <f t="shared" si="363"/>
        <v>0</v>
      </c>
      <c r="AD47" s="479">
        <f t="shared" si="363"/>
        <v>0</v>
      </c>
      <c r="AE47" s="479">
        <f t="shared" si="363"/>
        <v>0</v>
      </c>
      <c r="AF47" s="479">
        <f t="shared" si="363"/>
        <v>0</v>
      </c>
      <c r="AG47" s="479">
        <f t="shared" si="363"/>
        <v>0</v>
      </c>
      <c r="AH47" s="479">
        <f t="shared" si="363"/>
        <v>0</v>
      </c>
      <c r="AI47" s="479">
        <f t="shared" si="363"/>
        <v>0</v>
      </c>
      <c r="AJ47" s="479">
        <f t="shared" si="363"/>
        <v>0</v>
      </c>
      <c r="AK47" s="479">
        <f t="shared" si="363"/>
        <v>0</v>
      </c>
      <c r="AL47" s="479">
        <f t="shared" si="363"/>
        <v>0</v>
      </c>
      <c r="AM47" s="479">
        <f t="shared" si="363"/>
        <v>0</v>
      </c>
      <c r="AN47" s="479">
        <f t="shared" si="363"/>
        <v>0</v>
      </c>
      <c r="AO47" s="479">
        <f t="shared" si="363"/>
        <v>0</v>
      </c>
      <c r="AP47" s="479">
        <f t="shared" si="363"/>
        <v>0</v>
      </c>
      <c r="AQ47" s="479">
        <f t="shared" si="363"/>
        <v>0</v>
      </c>
      <c r="AR47" s="479">
        <f t="shared" si="363"/>
        <v>0</v>
      </c>
      <c r="AS47" s="479">
        <f t="shared" si="363"/>
        <v>0</v>
      </c>
      <c r="AT47" s="479">
        <f t="shared" si="363"/>
        <v>0</v>
      </c>
      <c r="AU47" s="479">
        <f t="shared" si="363"/>
        <v>0</v>
      </c>
      <c r="AV47" s="479">
        <f t="shared" si="363"/>
        <v>0</v>
      </c>
      <c r="AW47" s="479">
        <f t="shared" si="363"/>
        <v>0</v>
      </c>
      <c r="AX47" s="479">
        <f t="shared" si="363"/>
        <v>0</v>
      </c>
      <c r="AY47" s="479">
        <f t="shared" si="363"/>
        <v>0</v>
      </c>
      <c r="AZ47" s="479">
        <f t="shared" si="363"/>
        <v>0</v>
      </c>
      <c r="BA47" s="479">
        <f t="shared" si="363"/>
        <v>0</v>
      </c>
      <c r="BB47" s="479">
        <f t="shared" si="363"/>
        <v>0</v>
      </c>
      <c r="BC47" s="479">
        <f t="shared" si="363"/>
        <v>0</v>
      </c>
      <c r="BD47" s="479">
        <f t="shared" si="363"/>
        <v>0</v>
      </c>
      <c r="BE47" s="479">
        <f t="shared" si="363"/>
        <v>0</v>
      </c>
      <c r="BF47" s="479">
        <f t="shared" si="363"/>
        <v>0</v>
      </c>
      <c r="BG47" s="479">
        <f t="shared" si="363"/>
        <v>0</v>
      </c>
      <c r="BH47" s="479">
        <f t="shared" si="363"/>
        <v>0</v>
      </c>
      <c r="BI47" s="479">
        <f t="shared" si="363"/>
        <v>0</v>
      </c>
      <c r="BJ47" s="479">
        <f t="shared" si="363"/>
        <v>0</v>
      </c>
      <c r="BK47" s="479">
        <f t="shared" si="363"/>
        <v>0</v>
      </c>
      <c r="BL47" s="479">
        <f t="shared" si="363"/>
        <v>0</v>
      </c>
      <c r="BM47" s="479">
        <f t="shared" si="363"/>
        <v>0</v>
      </c>
      <c r="BN47" s="479">
        <f t="shared" si="363"/>
        <v>0</v>
      </c>
      <c r="BO47" s="479">
        <f t="shared" si="363"/>
        <v>0</v>
      </c>
      <c r="BP47" s="479">
        <f t="shared" si="363"/>
        <v>0</v>
      </c>
      <c r="BQ47" s="479">
        <f t="shared" si="363"/>
        <v>0</v>
      </c>
      <c r="BR47" s="479">
        <f t="shared" si="363"/>
        <v>0</v>
      </c>
      <c r="BS47" s="479">
        <f t="shared" si="363"/>
        <v>0</v>
      </c>
      <c r="BT47" s="479">
        <f t="shared" si="363"/>
        <v>0</v>
      </c>
      <c r="BU47" s="479">
        <f t="shared" si="363"/>
        <v>0</v>
      </c>
      <c r="BV47" s="479">
        <f t="shared" si="363"/>
        <v>0</v>
      </c>
      <c r="BW47" s="479">
        <f t="shared" si="364"/>
        <v>0</v>
      </c>
      <c r="BX47" s="479">
        <f t="shared" si="364"/>
        <v>0</v>
      </c>
      <c r="BY47" s="479">
        <f t="shared" si="364"/>
        <v>0</v>
      </c>
      <c r="BZ47" s="479">
        <f t="shared" si="364"/>
        <v>0</v>
      </c>
      <c r="CA47" s="479">
        <f t="shared" si="364"/>
        <v>0</v>
      </c>
      <c r="CB47" s="479">
        <f t="shared" si="364"/>
        <v>0</v>
      </c>
      <c r="CC47" s="479">
        <f t="shared" si="364"/>
        <v>0</v>
      </c>
      <c r="CD47" s="479">
        <f t="shared" si="364"/>
        <v>0</v>
      </c>
      <c r="CE47" s="479">
        <f t="shared" si="364"/>
        <v>0</v>
      </c>
      <c r="CF47" s="479">
        <f t="shared" si="364"/>
        <v>0</v>
      </c>
      <c r="CG47" s="479">
        <f t="shared" si="364"/>
        <v>0</v>
      </c>
      <c r="CH47" s="479">
        <f t="shared" si="364"/>
        <v>0</v>
      </c>
      <c r="CI47" s="479">
        <f t="shared" si="364"/>
        <v>0</v>
      </c>
      <c r="CJ47" s="479">
        <f t="shared" si="364"/>
        <v>0</v>
      </c>
      <c r="CK47" s="479">
        <f t="shared" si="364"/>
        <v>0</v>
      </c>
      <c r="CL47" s="479">
        <f t="shared" si="364"/>
        <v>0</v>
      </c>
      <c r="CM47" s="479">
        <f t="shared" si="364"/>
        <v>0</v>
      </c>
      <c r="CN47" s="479">
        <f t="shared" si="364"/>
        <v>0</v>
      </c>
      <c r="CO47" s="479">
        <f t="shared" si="364"/>
        <v>0</v>
      </c>
      <c r="CP47" s="479">
        <f t="shared" si="364"/>
        <v>0</v>
      </c>
      <c r="CQ47" s="479">
        <f t="shared" si="364"/>
        <v>0</v>
      </c>
      <c r="CR47" s="479">
        <f t="shared" si="364"/>
        <v>0</v>
      </c>
      <c r="CS47" s="479">
        <f t="shared" si="364"/>
        <v>0</v>
      </c>
      <c r="CT47" s="479">
        <f t="shared" si="364"/>
        <v>0</v>
      </c>
      <c r="CU47" s="479">
        <f t="shared" si="364"/>
        <v>0</v>
      </c>
      <c r="CV47" s="479">
        <f t="shared" si="364"/>
        <v>0</v>
      </c>
      <c r="CW47" s="479">
        <f t="shared" si="364"/>
        <v>0</v>
      </c>
      <c r="CX47" s="479">
        <f t="shared" si="364"/>
        <v>0</v>
      </c>
      <c r="CY47" s="479">
        <f t="shared" si="364"/>
        <v>0</v>
      </c>
      <c r="CZ47" s="479">
        <f t="shared" si="364"/>
        <v>0</v>
      </c>
      <c r="DA47" s="479">
        <f t="shared" si="364"/>
        <v>0</v>
      </c>
      <c r="DB47" s="479">
        <f t="shared" si="364"/>
        <v>0</v>
      </c>
      <c r="DC47" s="479">
        <f t="shared" si="364"/>
        <v>0</v>
      </c>
      <c r="DD47" s="479">
        <f t="shared" si="364"/>
        <v>0</v>
      </c>
      <c r="DE47" s="479">
        <f t="shared" si="364"/>
        <v>0</v>
      </c>
      <c r="DF47" s="479">
        <f t="shared" si="364"/>
        <v>0</v>
      </c>
      <c r="DG47" s="479">
        <f t="shared" si="364"/>
        <v>0</v>
      </c>
      <c r="DH47" s="479">
        <f t="shared" si="364"/>
        <v>0</v>
      </c>
      <c r="DI47" s="479">
        <f t="shared" si="364"/>
        <v>0</v>
      </c>
      <c r="DJ47" s="479">
        <f t="shared" si="364"/>
        <v>0</v>
      </c>
      <c r="DK47" s="479">
        <f t="shared" si="364"/>
        <v>0</v>
      </c>
      <c r="DL47" s="479">
        <f t="shared" si="364"/>
        <v>0</v>
      </c>
      <c r="DM47" s="479">
        <f t="shared" si="364"/>
        <v>0</v>
      </c>
      <c r="DN47" s="479">
        <f t="shared" si="364"/>
        <v>0</v>
      </c>
      <c r="DO47" s="479">
        <f t="shared" si="364"/>
        <v>0</v>
      </c>
      <c r="DP47" s="479">
        <f t="shared" si="364"/>
        <v>0</v>
      </c>
      <c r="DQ47" s="479">
        <f t="shared" si="364"/>
        <v>0</v>
      </c>
      <c r="DR47" s="479">
        <f t="shared" si="364"/>
        <v>0</v>
      </c>
      <c r="DS47" s="479">
        <f t="shared" si="364"/>
        <v>0</v>
      </c>
      <c r="DT47" s="479">
        <f t="shared" si="364"/>
        <v>0</v>
      </c>
      <c r="DU47" s="479">
        <f t="shared" si="364"/>
        <v>0</v>
      </c>
      <c r="DV47" s="479">
        <f t="shared" si="364"/>
        <v>0</v>
      </c>
      <c r="DW47" s="479">
        <f t="shared" si="364"/>
        <v>0</v>
      </c>
      <c r="DX47" s="479">
        <f t="shared" si="364"/>
        <v>0</v>
      </c>
      <c r="DY47" s="479">
        <f t="shared" si="364"/>
        <v>0</v>
      </c>
      <c r="DZ47" s="479">
        <f t="shared" si="364"/>
        <v>0</v>
      </c>
      <c r="EA47" s="479">
        <f t="shared" si="364"/>
        <v>0</v>
      </c>
      <c r="EB47" s="479">
        <f t="shared" si="364"/>
        <v>0</v>
      </c>
      <c r="EC47" s="479">
        <f t="shared" si="364"/>
        <v>0</v>
      </c>
      <c r="ED47" s="479">
        <f t="shared" si="364"/>
        <v>0</v>
      </c>
      <c r="EE47" s="479">
        <f t="shared" si="364"/>
        <v>0</v>
      </c>
      <c r="EF47" s="479">
        <f t="shared" si="364"/>
        <v>0</v>
      </c>
      <c r="EG47" s="479">
        <f t="shared" si="364"/>
        <v>0</v>
      </c>
      <c r="EH47" s="479">
        <f t="shared" si="364"/>
        <v>0</v>
      </c>
      <c r="EI47" s="479">
        <f t="shared" si="365"/>
        <v>0</v>
      </c>
      <c r="EJ47" s="479">
        <f t="shared" si="365"/>
        <v>0</v>
      </c>
      <c r="EK47" s="479">
        <f t="shared" si="365"/>
        <v>0</v>
      </c>
      <c r="EL47" s="479">
        <f t="shared" si="365"/>
        <v>0</v>
      </c>
      <c r="EM47" s="479">
        <f t="shared" si="365"/>
        <v>0</v>
      </c>
      <c r="EN47" s="479">
        <f t="shared" si="365"/>
        <v>0</v>
      </c>
      <c r="EO47" s="479">
        <f t="shared" si="365"/>
        <v>0</v>
      </c>
      <c r="EP47" s="479">
        <f t="shared" si="365"/>
        <v>0</v>
      </c>
      <c r="EQ47" s="479">
        <f t="shared" si="365"/>
        <v>0</v>
      </c>
      <c r="ER47" s="479">
        <f t="shared" si="365"/>
        <v>0</v>
      </c>
      <c r="ES47" s="479">
        <f t="shared" si="365"/>
        <v>0</v>
      </c>
      <c r="ET47" s="479">
        <f t="shared" si="365"/>
        <v>0</v>
      </c>
      <c r="EU47" s="479">
        <f t="shared" si="365"/>
        <v>0</v>
      </c>
      <c r="EV47" s="479">
        <f t="shared" si="365"/>
        <v>0</v>
      </c>
      <c r="EW47" s="479">
        <f t="shared" si="365"/>
        <v>0</v>
      </c>
      <c r="EX47" s="479">
        <f t="shared" si="365"/>
        <v>0</v>
      </c>
      <c r="EY47" s="479">
        <f t="shared" si="365"/>
        <v>0</v>
      </c>
      <c r="EZ47" s="479">
        <f t="shared" si="365"/>
        <v>0</v>
      </c>
      <c r="FA47" s="479">
        <f t="shared" si="365"/>
        <v>0</v>
      </c>
      <c r="FB47" s="479">
        <f t="shared" si="365"/>
        <v>0</v>
      </c>
      <c r="FC47" s="479">
        <f t="shared" si="365"/>
        <v>0</v>
      </c>
      <c r="FD47" s="479">
        <f t="shared" si="365"/>
        <v>0</v>
      </c>
      <c r="FE47" s="479">
        <f t="shared" si="365"/>
        <v>0</v>
      </c>
      <c r="FF47" s="479">
        <f t="shared" si="365"/>
        <v>0</v>
      </c>
      <c r="FG47" s="479">
        <f t="shared" si="365"/>
        <v>0</v>
      </c>
      <c r="FH47" s="479">
        <f t="shared" si="365"/>
        <v>0</v>
      </c>
      <c r="FI47" s="479">
        <f t="shared" si="365"/>
        <v>0</v>
      </c>
      <c r="FJ47" s="479">
        <f t="shared" si="365"/>
        <v>0</v>
      </c>
      <c r="FK47" s="479">
        <f t="shared" si="365"/>
        <v>0</v>
      </c>
      <c r="FL47" s="479">
        <f t="shared" si="365"/>
        <v>0</v>
      </c>
      <c r="FM47" s="479">
        <f t="shared" si="365"/>
        <v>0</v>
      </c>
      <c r="FN47" s="479">
        <f t="shared" si="365"/>
        <v>0</v>
      </c>
      <c r="FO47" s="479">
        <f t="shared" si="365"/>
        <v>0</v>
      </c>
      <c r="FP47" s="479">
        <f t="shared" si="365"/>
        <v>0</v>
      </c>
      <c r="FQ47" s="479">
        <f t="shared" si="365"/>
        <v>0</v>
      </c>
      <c r="FR47" s="479">
        <f t="shared" si="365"/>
        <v>0</v>
      </c>
      <c r="FS47" s="479">
        <f t="shared" si="365"/>
        <v>0</v>
      </c>
      <c r="FT47" s="479">
        <f t="shared" si="365"/>
        <v>0</v>
      </c>
      <c r="FU47" s="479">
        <f t="shared" si="365"/>
        <v>0</v>
      </c>
      <c r="FV47" s="479">
        <f t="shared" si="365"/>
        <v>0</v>
      </c>
      <c r="FW47" s="479">
        <f t="shared" si="365"/>
        <v>0</v>
      </c>
      <c r="FX47" s="479">
        <f t="shared" si="365"/>
        <v>0</v>
      </c>
      <c r="FY47" s="479">
        <f t="shared" si="365"/>
        <v>0</v>
      </c>
      <c r="FZ47" s="479">
        <f t="shared" si="365"/>
        <v>0</v>
      </c>
      <c r="GA47" s="479">
        <f t="shared" si="365"/>
        <v>0</v>
      </c>
      <c r="GB47" s="479">
        <f t="shared" si="365"/>
        <v>0</v>
      </c>
      <c r="GC47" s="479">
        <f t="shared" si="365"/>
        <v>0</v>
      </c>
      <c r="GD47" s="479">
        <f t="shared" si="365"/>
        <v>0</v>
      </c>
      <c r="GE47" s="479">
        <f t="shared" si="365"/>
        <v>0</v>
      </c>
      <c r="GF47" s="479">
        <f t="shared" si="365"/>
        <v>0</v>
      </c>
      <c r="GG47" s="479">
        <f t="shared" si="365"/>
        <v>0</v>
      </c>
      <c r="GH47" s="479">
        <f t="shared" si="365"/>
        <v>0</v>
      </c>
      <c r="GI47" s="479">
        <f t="shared" si="365"/>
        <v>0</v>
      </c>
      <c r="GJ47" s="479">
        <f t="shared" si="365"/>
        <v>0</v>
      </c>
      <c r="GK47" s="479">
        <f t="shared" si="365"/>
        <v>0</v>
      </c>
      <c r="GL47" s="479">
        <f t="shared" si="365"/>
        <v>0</v>
      </c>
      <c r="GM47" s="479">
        <f t="shared" si="365"/>
        <v>0</v>
      </c>
      <c r="GN47" s="479">
        <f t="shared" si="365"/>
        <v>0</v>
      </c>
      <c r="GO47" s="479">
        <f t="shared" si="365"/>
        <v>0</v>
      </c>
      <c r="GP47" s="479">
        <f t="shared" si="365"/>
        <v>0</v>
      </c>
      <c r="GQ47" s="479">
        <f t="shared" si="365"/>
        <v>0</v>
      </c>
      <c r="GR47" s="479">
        <f t="shared" si="365"/>
        <v>0</v>
      </c>
      <c r="GS47" s="479">
        <f t="shared" si="365"/>
        <v>0</v>
      </c>
      <c r="GT47" s="479">
        <f t="shared" si="365"/>
        <v>0</v>
      </c>
      <c r="GU47" s="479">
        <f t="shared" si="366"/>
        <v>0</v>
      </c>
      <c r="GV47" s="479">
        <f t="shared" si="366"/>
        <v>0</v>
      </c>
      <c r="GW47" s="479">
        <f t="shared" si="366"/>
        <v>0</v>
      </c>
      <c r="GX47" s="479">
        <f t="shared" si="366"/>
        <v>0</v>
      </c>
      <c r="GY47" s="479">
        <f t="shared" si="366"/>
        <v>0</v>
      </c>
      <c r="GZ47" s="479">
        <f t="shared" si="366"/>
        <v>0</v>
      </c>
      <c r="HA47" s="479">
        <f t="shared" si="366"/>
        <v>0</v>
      </c>
      <c r="HB47" s="479">
        <f t="shared" si="366"/>
        <v>0</v>
      </c>
      <c r="HC47" s="479">
        <f t="shared" si="366"/>
        <v>0</v>
      </c>
      <c r="HD47" s="479">
        <f t="shared" si="366"/>
        <v>0</v>
      </c>
      <c r="HE47" s="479">
        <f t="shared" si="366"/>
        <v>0</v>
      </c>
      <c r="HF47" s="479">
        <f t="shared" si="366"/>
        <v>0</v>
      </c>
      <c r="HG47" s="479">
        <f t="shared" si="366"/>
        <v>0</v>
      </c>
      <c r="HH47" s="479">
        <f t="shared" si="366"/>
        <v>0</v>
      </c>
      <c r="HI47" s="479">
        <f t="shared" si="366"/>
        <v>0</v>
      </c>
      <c r="HJ47" s="479">
        <f t="shared" si="366"/>
        <v>0</v>
      </c>
      <c r="HK47" s="479">
        <f t="shared" si="366"/>
        <v>0</v>
      </c>
      <c r="HL47" s="479">
        <f t="shared" si="366"/>
        <v>0</v>
      </c>
      <c r="HM47" s="479">
        <f t="shared" si="366"/>
        <v>0</v>
      </c>
      <c r="HN47" s="479">
        <f t="shared" si="366"/>
        <v>0</v>
      </c>
      <c r="HO47" s="479">
        <f t="shared" si="366"/>
        <v>0</v>
      </c>
      <c r="HP47" s="479">
        <f t="shared" si="366"/>
        <v>0</v>
      </c>
      <c r="HQ47" s="479">
        <f t="shared" si="366"/>
        <v>0</v>
      </c>
      <c r="HR47" s="479">
        <f t="shared" si="366"/>
        <v>0</v>
      </c>
      <c r="HS47" s="479">
        <f t="shared" si="366"/>
        <v>0</v>
      </c>
      <c r="HT47" s="479">
        <f t="shared" si="366"/>
        <v>0</v>
      </c>
      <c r="HU47" s="479">
        <f t="shared" si="366"/>
        <v>0</v>
      </c>
      <c r="HV47" s="479">
        <f t="shared" si="366"/>
        <v>0</v>
      </c>
      <c r="HW47" s="479">
        <f t="shared" si="366"/>
        <v>0</v>
      </c>
      <c r="HX47" s="479">
        <f t="shared" si="366"/>
        <v>0</v>
      </c>
      <c r="HY47" s="479">
        <f t="shared" si="366"/>
        <v>0</v>
      </c>
      <c r="HZ47" s="479">
        <f t="shared" si="366"/>
        <v>0</v>
      </c>
      <c r="IA47" s="479">
        <f t="shared" si="366"/>
        <v>0</v>
      </c>
      <c r="IB47" s="479">
        <f t="shared" si="366"/>
        <v>0</v>
      </c>
      <c r="IC47" s="479">
        <f t="shared" si="366"/>
        <v>0</v>
      </c>
      <c r="ID47" s="479">
        <f t="shared" si="366"/>
        <v>0</v>
      </c>
      <c r="IE47" s="479">
        <f t="shared" si="366"/>
        <v>0</v>
      </c>
      <c r="IF47" s="479">
        <f t="shared" si="366"/>
        <v>0</v>
      </c>
      <c r="IG47" s="479">
        <f t="shared" si="366"/>
        <v>0</v>
      </c>
      <c r="IH47" s="479">
        <f t="shared" si="366"/>
        <v>0</v>
      </c>
      <c r="II47" s="479">
        <f t="shared" si="366"/>
        <v>0</v>
      </c>
      <c r="IJ47" s="479">
        <f t="shared" si="366"/>
        <v>0</v>
      </c>
      <c r="IK47" s="479">
        <f t="shared" si="366"/>
        <v>0</v>
      </c>
      <c r="IL47" s="479">
        <f t="shared" si="366"/>
        <v>0</v>
      </c>
      <c r="IM47" s="479">
        <f t="shared" si="366"/>
        <v>0</v>
      </c>
      <c r="IN47" s="479">
        <f t="shared" si="366"/>
        <v>0</v>
      </c>
      <c r="IO47" s="479">
        <f t="shared" si="366"/>
        <v>0</v>
      </c>
      <c r="IP47" s="479">
        <f t="shared" si="366"/>
        <v>0</v>
      </c>
      <c r="IQ47" s="479">
        <f t="shared" si="366"/>
        <v>0</v>
      </c>
      <c r="IR47" s="479">
        <f t="shared" si="366"/>
        <v>0</v>
      </c>
      <c r="IS47" s="479">
        <f t="shared" si="366"/>
        <v>0</v>
      </c>
      <c r="IT47" s="479">
        <f t="shared" si="366"/>
        <v>0</v>
      </c>
      <c r="IU47" s="479">
        <f t="shared" si="366"/>
        <v>0</v>
      </c>
      <c r="IV47" s="479">
        <f t="shared" si="366"/>
        <v>0</v>
      </c>
      <c r="IW47" s="479">
        <f t="shared" si="366"/>
        <v>0</v>
      </c>
      <c r="IX47" s="479">
        <f t="shared" si="366"/>
        <v>0</v>
      </c>
      <c r="IY47" s="479">
        <f t="shared" si="366"/>
        <v>0</v>
      </c>
      <c r="IZ47" s="479">
        <f t="shared" si="366"/>
        <v>0</v>
      </c>
      <c r="JA47" s="479">
        <f t="shared" si="366"/>
        <v>0</v>
      </c>
      <c r="JB47" s="479">
        <f t="shared" si="366"/>
        <v>0</v>
      </c>
      <c r="JC47" s="479">
        <f t="shared" si="366"/>
        <v>0</v>
      </c>
      <c r="JD47" s="479">
        <f t="shared" si="366"/>
        <v>0</v>
      </c>
      <c r="JE47" s="479">
        <f t="shared" si="366"/>
        <v>0</v>
      </c>
      <c r="JF47" s="479">
        <f t="shared" si="366"/>
        <v>0</v>
      </c>
      <c r="JG47" s="479">
        <f t="shared" si="367"/>
        <v>0</v>
      </c>
      <c r="JH47" s="479">
        <f t="shared" si="367"/>
        <v>0</v>
      </c>
      <c r="JI47" s="479">
        <f t="shared" si="367"/>
        <v>0</v>
      </c>
      <c r="JJ47" s="479">
        <f t="shared" si="367"/>
        <v>0</v>
      </c>
      <c r="JK47" s="479">
        <f t="shared" si="367"/>
        <v>0</v>
      </c>
      <c r="JL47" s="479">
        <f t="shared" si="367"/>
        <v>0</v>
      </c>
      <c r="JM47" s="479">
        <f t="shared" si="367"/>
        <v>0</v>
      </c>
      <c r="JN47" s="479">
        <f t="shared" si="367"/>
        <v>0</v>
      </c>
      <c r="JO47" s="479">
        <f t="shared" si="367"/>
        <v>0</v>
      </c>
      <c r="JP47" s="479">
        <f t="shared" si="367"/>
        <v>0</v>
      </c>
      <c r="JQ47" s="479">
        <f t="shared" si="367"/>
        <v>0</v>
      </c>
      <c r="JR47" s="479">
        <f t="shared" si="367"/>
        <v>0</v>
      </c>
      <c r="JS47" s="479">
        <f t="shared" si="367"/>
        <v>0</v>
      </c>
      <c r="JT47" s="479">
        <f t="shared" si="367"/>
        <v>0</v>
      </c>
      <c r="JU47" s="479">
        <f t="shared" si="367"/>
        <v>0</v>
      </c>
      <c r="JV47" s="479">
        <f t="shared" si="367"/>
        <v>0</v>
      </c>
      <c r="JW47" s="479">
        <f t="shared" si="367"/>
        <v>0</v>
      </c>
      <c r="JX47" s="479">
        <f t="shared" si="367"/>
        <v>0</v>
      </c>
      <c r="JY47" s="479">
        <f t="shared" si="367"/>
        <v>0</v>
      </c>
      <c r="JZ47" s="479">
        <f t="shared" si="367"/>
        <v>0</v>
      </c>
      <c r="KA47" s="479">
        <f t="shared" si="367"/>
        <v>0</v>
      </c>
      <c r="KB47" s="479">
        <f t="shared" si="367"/>
        <v>0</v>
      </c>
      <c r="KC47" s="479">
        <f t="shared" si="367"/>
        <v>0</v>
      </c>
      <c r="KD47" s="479">
        <f t="shared" si="367"/>
        <v>0</v>
      </c>
      <c r="KE47" s="479">
        <f t="shared" si="367"/>
        <v>0</v>
      </c>
      <c r="KF47" s="479">
        <f t="shared" si="367"/>
        <v>0</v>
      </c>
      <c r="KG47" s="479">
        <f t="shared" si="367"/>
        <v>0</v>
      </c>
      <c r="KH47" s="479">
        <f t="shared" si="367"/>
        <v>0</v>
      </c>
      <c r="KI47" s="479">
        <f t="shared" si="367"/>
        <v>0</v>
      </c>
      <c r="KJ47" s="479">
        <f t="shared" si="367"/>
        <v>0</v>
      </c>
      <c r="KK47" s="479">
        <f t="shared" si="367"/>
        <v>0</v>
      </c>
      <c r="KL47" s="479">
        <f t="shared" si="367"/>
        <v>0</v>
      </c>
      <c r="KM47" s="479">
        <f t="shared" si="367"/>
        <v>0</v>
      </c>
      <c r="KN47" s="479">
        <f t="shared" si="367"/>
        <v>0</v>
      </c>
      <c r="KO47" s="479">
        <f t="shared" si="367"/>
        <v>0</v>
      </c>
      <c r="KP47" s="479">
        <f t="shared" si="367"/>
        <v>0</v>
      </c>
      <c r="KQ47" s="479">
        <f t="shared" si="367"/>
        <v>0</v>
      </c>
      <c r="KR47" s="479">
        <f t="shared" si="367"/>
        <v>0</v>
      </c>
      <c r="KS47" s="479">
        <f t="shared" si="367"/>
        <v>0</v>
      </c>
      <c r="KT47" s="479">
        <f t="shared" si="367"/>
        <v>0</v>
      </c>
      <c r="KU47" s="479">
        <f t="shared" si="367"/>
        <v>0</v>
      </c>
      <c r="KV47" s="479">
        <f t="shared" si="367"/>
        <v>0</v>
      </c>
      <c r="KW47" s="479">
        <f t="shared" si="367"/>
        <v>0</v>
      </c>
      <c r="KX47" s="479">
        <f t="shared" si="367"/>
        <v>0</v>
      </c>
      <c r="KY47" s="479">
        <f t="shared" si="367"/>
        <v>0</v>
      </c>
      <c r="KZ47" s="479">
        <f t="shared" si="367"/>
        <v>0</v>
      </c>
      <c r="LA47" s="479">
        <f t="shared" si="367"/>
        <v>0</v>
      </c>
      <c r="LB47" s="479">
        <f t="shared" si="367"/>
        <v>0</v>
      </c>
      <c r="LC47" s="479">
        <f t="shared" si="367"/>
        <v>0</v>
      </c>
      <c r="LD47" s="479">
        <f t="shared" si="367"/>
        <v>0</v>
      </c>
      <c r="LE47" s="479">
        <f t="shared" si="367"/>
        <v>0</v>
      </c>
      <c r="LF47" s="479">
        <f t="shared" si="367"/>
        <v>0</v>
      </c>
      <c r="LG47" s="479">
        <f t="shared" si="367"/>
        <v>0</v>
      </c>
      <c r="LH47" s="479">
        <f t="shared" si="367"/>
        <v>0</v>
      </c>
      <c r="LI47" s="479">
        <f t="shared" si="367"/>
        <v>0</v>
      </c>
      <c r="LJ47" s="479">
        <f t="shared" si="367"/>
        <v>0</v>
      </c>
      <c r="LK47" s="479">
        <f t="shared" si="367"/>
        <v>0</v>
      </c>
      <c r="LL47" s="479">
        <f t="shared" si="367"/>
        <v>0</v>
      </c>
      <c r="LM47" s="479">
        <f t="shared" si="367"/>
        <v>0</v>
      </c>
      <c r="LN47" s="479">
        <f t="shared" si="367"/>
        <v>0</v>
      </c>
      <c r="LO47" s="479">
        <f t="shared" si="367"/>
        <v>0</v>
      </c>
      <c r="LP47" s="479">
        <f t="shared" si="367"/>
        <v>0</v>
      </c>
      <c r="LQ47" s="479">
        <f t="shared" si="367"/>
        <v>0</v>
      </c>
      <c r="LR47" s="479">
        <f t="shared" si="367"/>
        <v>0</v>
      </c>
      <c r="LS47" s="479">
        <f t="shared" si="368"/>
        <v>0</v>
      </c>
      <c r="LT47" s="479">
        <f t="shared" si="368"/>
        <v>0</v>
      </c>
      <c r="LU47" s="479">
        <f t="shared" si="368"/>
        <v>0</v>
      </c>
      <c r="LV47" s="479">
        <f t="shared" si="368"/>
        <v>0</v>
      </c>
      <c r="LW47" s="479">
        <f t="shared" si="368"/>
        <v>0</v>
      </c>
      <c r="LX47" s="479">
        <f t="shared" si="368"/>
        <v>0</v>
      </c>
      <c r="LY47" s="479">
        <f t="shared" si="368"/>
        <v>0</v>
      </c>
      <c r="LZ47" s="479">
        <f t="shared" si="368"/>
        <v>0</v>
      </c>
      <c r="MA47" s="479">
        <f t="shared" si="368"/>
        <v>0</v>
      </c>
      <c r="MB47" s="479">
        <f t="shared" si="368"/>
        <v>0</v>
      </c>
      <c r="MC47" s="479">
        <f t="shared" si="368"/>
        <v>0</v>
      </c>
      <c r="MD47" s="479">
        <f t="shared" si="368"/>
        <v>0</v>
      </c>
      <c r="ME47" s="479">
        <f t="shared" si="368"/>
        <v>0</v>
      </c>
      <c r="MF47" s="479">
        <f t="shared" si="368"/>
        <v>0</v>
      </c>
      <c r="MG47" s="479">
        <f t="shared" si="368"/>
        <v>0</v>
      </c>
      <c r="MH47" s="479">
        <f t="shared" si="368"/>
        <v>0</v>
      </c>
      <c r="MI47" s="479">
        <f t="shared" si="368"/>
        <v>0</v>
      </c>
      <c r="MJ47" s="479">
        <f t="shared" si="368"/>
        <v>0</v>
      </c>
      <c r="MK47" s="479">
        <f t="shared" si="368"/>
        <v>0</v>
      </c>
      <c r="ML47" s="479">
        <f t="shared" si="368"/>
        <v>0</v>
      </c>
      <c r="MM47" s="479">
        <f t="shared" si="368"/>
        <v>0</v>
      </c>
      <c r="MN47" s="479">
        <f t="shared" si="368"/>
        <v>0</v>
      </c>
      <c r="MO47" s="479">
        <f t="shared" si="368"/>
        <v>0</v>
      </c>
      <c r="MP47" s="479">
        <f t="shared" si="368"/>
        <v>0</v>
      </c>
      <c r="MQ47" s="479">
        <f t="shared" si="368"/>
        <v>0</v>
      </c>
      <c r="MR47" s="479">
        <f t="shared" si="368"/>
        <v>0</v>
      </c>
      <c r="MS47" s="479">
        <f t="shared" si="368"/>
        <v>0</v>
      </c>
      <c r="MT47" s="479">
        <f t="shared" si="368"/>
        <v>0</v>
      </c>
      <c r="MU47" s="479">
        <f t="shared" si="368"/>
        <v>0</v>
      </c>
      <c r="MV47" s="479">
        <f t="shared" si="368"/>
        <v>0</v>
      </c>
      <c r="MW47" s="479">
        <f t="shared" si="368"/>
        <v>0</v>
      </c>
      <c r="MX47" s="479">
        <f t="shared" si="368"/>
        <v>0</v>
      </c>
      <c r="MY47" s="479">
        <f t="shared" si="368"/>
        <v>0</v>
      </c>
      <c r="MZ47" s="479">
        <f t="shared" si="368"/>
        <v>0</v>
      </c>
      <c r="NA47" s="479">
        <f t="shared" si="368"/>
        <v>0</v>
      </c>
      <c r="NB47" s="479">
        <f t="shared" si="368"/>
        <v>0</v>
      </c>
      <c r="NC47" s="479">
        <f t="shared" si="368"/>
        <v>0</v>
      </c>
      <c r="ND47" s="479">
        <f t="shared" si="368"/>
        <v>0</v>
      </c>
      <c r="NE47" s="479">
        <f t="shared" si="368"/>
        <v>0</v>
      </c>
      <c r="NF47" s="479">
        <f t="shared" si="368"/>
        <v>0</v>
      </c>
      <c r="NG47" s="479">
        <f t="shared" si="368"/>
        <v>0</v>
      </c>
      <c r="NH47" s="479">
        <f t="shared" si="368"/>
        <v>0</v>
      </c>
      <c r="NI47" s="479">
        <f t="shared" si="368"/>
        <v>0</v>
      </c>
      <c r="NJ47" s="479">
        <f t="shared" si="368"/>
        <v>0</v>
      </c>
      <c r="NK47" s="479">
        <f t="shared" si="368"/>
        <v>0</v>
      </c>
      <c r="NL47" s="479">
        <f t="shared" si="368"/>
        <v>0</v>
      </c>
      <c r="NM47" s="479">
        <f t="shared" si="368"/>
        <v>0</v>
      </c>
      <c r="NN47" s="479">
        <f t="shared" si="368"/>
        <v>0</v>
      </c>
      <c r="NO47" s="479">
        <f t="shared" si="368"/>
        <v>0</v>
      </c>
      <c r="NP47" s="479">
        <f t="shared" si="368"/>
        <v>0</v>
      </c>
      <c r="NQ47" s="479">
        <f t="shared" si="368"/>
        <v>0</v>
      </c>
      <c r="NR47" s="479">
        <f t="shared" si="368"/>
        <v>0</v>
      </c>
      <c r="NS47" s="479">
        <f t="shared" si="368"/>
        <v>0</v>
      </c>
      <c r="NT47" s="479">
        <f t="shared" si="368"/>
        <v>0</v>
      </c>
      <c r="NU47" s="479">
        <f t="shared" si="368"/>
        <v>0</v>
      </c>
      <c r="NV47" s="479">
        <f t="shared" si="368"/>
        <v>0</v>
      </c>
      <c r="NW47" s="479">
        <f t="shared" si="368"/>
        <v>0</v>
      </c>
      <c r="NX47" s="479">
        <f t="shared" si="368"/>
        <v>0</v>
      </c>
      <c r="NY47" s="479">
        <f t="shared" si="368"/>
        <v>0</v>
      </c>
      <c r="NZ47" s="479">
        <f t="shared" si="368"/>
        <v>0</v>
      </c>
      <c r="OA47" s="479">
        <f t="shared" si="368"/>
        <v>0</v>
      </c>
      <c r="OB47" s="479">
        <f t="shared" si="368"/>
        <v>0</v>
      </c>
      <c r="OC47" s="479">
        <f t="shared" si="368"/>
        <v>0</v>
      </c>
      <c r="OD47" s="479">
        <f t="shared" si="368"/>
        <v>0</v>
      </c>
      <c r="OE47" s="479">
        <f t="shared" si="369"/>
        <v>0</v>
      </c>
      <c r="OF47" s="479">
        <f t="shared" si="369"/>
        <v>0</v>
      </c>
      <c r="OG47" s="479">
        <f t="shared" si="369"/>
        <v>0</v>
      </c>
      <c r="OH47" s="479">
        <f t="shared" si="369"/>
        <v>0</v>
      </c>
      <c r="OI47" s="479">
        <f t="shared" si="369"/>
        <v>0</v>
      </c>
      <c r="OJ47" s="479">
        <f t="shared" si="369"/>
        <v>0</v>
      </c>
      <c r="OK47" s="479">
        <f t="shared" si="369"/>
        <v>0</v>
      </c>
      <c r="OL47" s="479">
        <f t="shared" si="369"/>
        <v>0</v>
      </c>
      <c r="OM47" s="479">
        <f t="shared" si="369"/>
        <v>0</v>
      </c>
      <c r="ON47" s="479">
        <f t="shared" si="369"/>
        <v>0</v>
      </c>
      <c r="OO47" s="479">
        <f t="shared" si="369"/>
        <v>0</v>
      </c>
    </row>
    <row r="48" spans="2:405">
      <c r="B48" s="97" t="str">
        <f>Assumptions!B115</f>
        <v>Tax Credit Certification</v>
      </c>
      <c r="C48" s="97"/>
      <c r="D48" s="500">
        <f>Assumptions!C115</f>
        <v>421496</v>
      </c>
      <c r="E48" s="507">
        <f>Assumptions!$C$8</f>
        <v>46204</v>
      </c>
      <c r="F48" s="507">
        <f>EOMONTH(E48,Assumptions!$C$9-1)</f>
        <v>46387</v>
      </c>
      <c r="G48" s="97">
        <f t="shared" si="362"/>
        <v>6</v>
      </c>
      <c r="H48" s="97"/>
      <c r="I48" s="97"/>
      <c r="J48" s="479">
        <f t="shared" si="370"/>
        <v>-70249.333333333328</v>
      </c>
      <c r="K48" s="479">
        <f t="shared" si="363"/>
        <v>-70249.333333333328</v>
      </c>
      <c r="L48" s="479">
        <f t="shared" si="363"/>
        <v>-70249.333333333328</v>
      </c>
      <c r="M48" s="479">
        <f t="shared" si="363"/>
        <v>-70249.333333333328</v>
      </c>
      <c r="N48" s="479">
        <f t="shared" si="363"/>
        <v>-70249.333333333328</v>
      </c>
      <c r="O48" s="479">
        <f t="shared" si="363"/>
        <v>-70249.333333333328</v>
      </c>
      <c r="P48" s="479">
        <f t="shared" si="363"/>
        <v>0</v>
      </c>
      <c r="Q48" s="479">
        <f t="shared" si="363"/>
        <v>0</v>
      </c>
      <c r="R48" s="479">
        <f t="shared" si="363"/>
        <v>0</v>
      </c>
      <c r="S48" s="479">
        <f t="shared" si="363"/>
        <v>0</v>
      </c>
      <c r="T48" s="479">
        <f t="shared" si="363"/>
        <v>0</v>
      </c>
      <c r="U48" s="479">
        <f t="shared" si="363"/>
        <v>0</v>
      </c>
      <c r="V48" s="479">
        <f t="shared" si="363"/>
        <v>0</v>
      </c>
      <c r="W48" s="479">
        <f t="shared" si="363"/>
        <v>0</v>
      </c>
      <c r="X48" s="479">
        <f t="shared" si="363"/>
        <v>0</v>
      </c>
      <c r="Y48" s="479">
        <f t="shared" si="363"/>
        <v>0</v>
      </c>
      <c r="Z48" s="479">
        <f t="shared" si="363"/>
        <v>0</v>
      </c>
      <c r="AA48" s="479">
        <f t="shared" si="363"/>
        <v>0</v>
      </c>
      <c r="AB48" s="479">
        <f t="shared" si="363"/>
        <v>0</v>
      </c>
      <c r="AC48" s="479">
        <f t="shared" si="363"/>
        <v>0</v>
      </c>
      <c r="AD48" s="479">
        <f t="shared" si="363"/>
        <v>0</v>
      </c>
      <c r="AE48" s="479">
        <f t="shared" si="363"/>
        <v>0</v>
      </c>
      <c r="AF48" s="479">
        <f t="shared" si="363"/>
        <v>0</v>
      </c>
      <c r="AG48" s="479">
        <f t="shared" si="363"/>
        <v>0</v>
      </c>
      <c r="AH48" s="479">
        <f t="shared" si="363"/>
        <v>0</v>
      </c>
      <c r="AI48" s="479">
        <f t="shared" si="363"/>
        <v>0</v>
      </c>
      <c r="AJ48" s="479">
        <f t="shared" si="363"/>
        <v>0</v>
      </c>
      <c r="AK48" s="479">
        <f t="shared" si="363"/>
        <v>0</v>
      </c>
      <c r="AL48" s="479">
        <f t="shared" si="363"/>
        <v>0</v>
      </c>
      <c r="AM48" s="479">
        <f t="shared" si="363"/>
        <v>0</v>
      </c>
      <c r="AN48" s="479">
        <f t="shared" si="363"/>
        <v>0</v>
      </c>
      <c r="AO48" s="479">
        <f t="shared" si="363"/>
        <v>0</v>
      </c>
      <c r="AP48" s="479">
        <f t="shared" si="363"/>
        <v>0</v>
      </c>
      <c r="AQ48" s="479">
        <f t="shared" si="363"/>
        <v>0</v>
      </c>
      <c r="AR48" s="479">
        <f t="shared" si="363"/>
        <v>0</v>
      </c>
      <c r="AS48" s="479">
        <f t="shared" si="363"/>
        <v>0</v>
      </c>
      <c r="AT48" s="479">
        <f t="shared" si="363"/>
        <v>0</v>
      </c>
      <c r="AU48" s="479">
        <f t="shared" si="363"/>
        <v>0</v>
      </c>
      <c r="AV48" s="479">
        <f t="shared" si="363"/>
        <v>0</v>
      </c>
      <c r="AW48" s="479">
        <f t="shared" si="363"/>
        <v>0</v>
      </c>
      <c r="AX48" s="479">
        <f t="shared" si="363"/>
        <v>0</v>
      </c>
      <c r="AY48" s="479">
        <f t="shared" si="363"/>
        <v>0</v>
      </c>
      <c r="AZ48" s="479">
        <f t="shared" si="363"/>
        <v>0</v>
      </c>
      <c r="BA48" s="479">
        <f t="shared" si="363"/>
        <v>0</v>
      </c>
      <c r="BB48" s="479">
        <f t="shared" si="363"/>
        <v>0</v>
      </c>
      <c r="BC48" s="479">
        <f t="shared" si="363"/>
        <v>0</v>
      </c>
      <c r="BD48" s="479">
        <f t="shared" si="363"/>
        <v>0</v>
      </c>
      <c r="BE48" s="479">
        <f t="shared" si="363"/>
        <v>0</v>
      </c>
      <c r="BF48" s="479">
        <f t="shared" si="363"/>
        <v>0</v>
      </c>
      <c r="BG48" s="479">
        <f t="shared" si="363"/>
        <v>0</v>
      </c>
      <c r="BH48" s="479">
        <f t="shared" si="363"/>
        <v>0</v>
      </c>
      <c r="BI48" s="479">
        <f t="shared" si="363"/>
        <v>0</v>
      </c>
      <c r="BJ48" s="479">
        <f t="shared" si="363"/>
        <v>0</v>
      </c>
      <c r="BK48" s="479">
        <f t="shared" si="363"/>
        <v>0</v>
      </c>
      <c r="BL48" s="479">
        <f t="shared" si="363"/>
        <v>0</v>
      </c>
      <c r="BM48" s="479">
        <f t="shared" si="363"/>
        <v>0</v>
      </c>
      <c r="BN48" s="479">
        <f t="shared" si="363"/>
        <v>0</v>
      </c>
      <c r="BO48" s="479">
        <f t="shared" si="363"/>
        <v>0</v>
      </c>
      <c r="BP48" s="479">
        <f t="shared" si="363"/>
        <v>0</v>
      </c>
      <c r="BQ48" s="479">
        <f t="shared" si="363"/>
        <v>0</v>
      </c>
      <c r="BR48" s="479">
        <f t="shared" si="363"/>
        <v>0</v>
      </c>
      <c r="BS48" s="479">
        <f t="shared" si="363"/>
        <v>0</v>
      </c>
      <c r="BT48" s="479">
        <f t="shared" si="363"/>
        <v>0</v>
      </c>
      <c r="BU48" s="479">
        <f t="shared" si="363"/>
        <v>0</v>
      </c>
      <c r="BV48" s="479">
        <f t="shared" si="363"/>
        <v>0</v>
      </c>
      <c r="BW48" s="479">
        <f t="shared" si="364"/>
        <v>0</v>
      </c>
      <c r="BX48" s="479">
        <f t="shared" si="364"/>
        <v>0</v>
      </c>
      <c r="BY48" s="479">
        <f t="shared" si="364"/>
        <v>0</v>
      </c>
      <c r="BZ48" s="479">
        <f t="shared" si="364"/>
        <v>0</v>
      </c>
      <c r="CA48" s="479">
        <f t="shared" si="364"/>
        <v>0</v>
      </c>
      <c r="CB48" s="479">
        <f t="shared" si="364"/>
        <v>0</v>
      </c>
      <c r="CC48" s="479">
        <f t="shared" si="364"/>
        <v>0</v>
      </c>
      <c r="CD48" s="479">
        <f t="shared" si="364"/>
        <v>0</v>
      </c>
      <c r="CE48" s="479">
        <f t="shared" si="364"/>
        <v>0</v>
      </c>
      <c r="CF48" s="479">
        <f t="shared" si="364"/>
        <v>0</v>
      </c>
      <c r="CG48" s="479">
        <f t="shared" si="364"/>
        <v>0</v>
      </c>
      <c r="CH48" s="479">
        <f t="shared" si="364"/>
        <v>0</v>
      </c>
      <c r="CI48" s="479">
        <f t="shared" si="364"/>
        <v>0</v>
      </c>
      <c r="CJ48" s="479">
        <f t="shared" si="364"/>
        <v>0</v>
      </c>
      <c r="CK48" s="479">
        <f t="shared" si="364"/>
        <v>0</v>
      </c>
      <c r="CL48" s="479">
        <f t="shared" si="364"/>
        <v>0</v>
      </c>
      <c r="CM48" s="479">
        <f t="shared" si="364"/>
        <v>0</v>
      </c>
      <c r="CN48" s="479">
        <f t="shared" si="364"/>
        <v>0</v>
      </c>
      <c r="CO48" s="479">
        <f t="shared" si="364"/>
        <v>0</v>
      </c>
      <c r="CP48" s="479">
        <f t="shared" si="364"/>
        <v>0</v>
      </c>
      <c r="CQ48" s="479">
        <f t="shared" si="364"/>
        <v>0</v>
      </c>
      <c r="CR48" s="479">
        <f t="shared" si="364"/>
        <v>0</v>
      </c>
      <c r="CS48" s="479">
        <f t="shared" si="364"/>
        <v>0</v>
      </c>
      <c r="CT48" s="479">
        <f t="shared" si="364"/>
        <v>0</v>
      </c>
      <c r="CU48" s="479">
        <f t="shared" si="364"/>
        <v>0</v>
      </c>
      <c r="CV48" s="479">
        <f t="shared" si="364"/>
        <v>0</v>
      </c>
      <c r="CW48" s="479">
        <f t="shared" si="364"/>
        <v>0</v>
      </c>
      <c r="CX48" s="479">
        <f t="shared" si="364"/>
        <v>0</v>
      </c>
      <c r="CY48" s="479">
        <f t="shared" si="364"/>
        <v>0</v>
      </c>
      <c r="CZ48" s="479">
        <f t="shared" si="364"/>
        <v>0</v>
      </c>
      <c r="DA48" s="479">
        <f t="shared" si="364"/>
        <v>0</v>
      </c>
      <c r="DB48" s="479">
        <f t="shared" si="364"/>
        <v>0</v>
      </c>
      <c r="DC48" s="479">
        <f t="shared" si="364"/>
        <v>0</v>
      </c>
      <c r="DD48" s="479">
        <f t="shared" si="364"/>
        <v>0</v>
      </c>
      <c r="DE48" s="479">
        <f t="shared" si="364"/>
        <v>0</v>
      </c>
      <c r="DF48" s="479">
        <f t="shared" si="364"/>
        <v>0</v>
      </c>
      <c r="DG48" s="479">
        <f t="shared" si="364"/>
        <v>0</v>
      </c>
      <c r="DH48" s="479">
        <f t="shared" si="364"/>
        <v>0</v>
      </c>
      <c r="DI48" s="479">
        <f t="shared" si="364"/>
        <v>0</v>
      </c>
      <c r="DJ48" s="479">
        <f t="shared" si="364"/>
        <v>0</v>
      </c>
      <c r="DK48" s="479">
        <f t="shared" si="364"/>
        <v>0</v>
      </c>
      <c r="DL48" s="479">
        <f t="shared" si="364"/>
        <v>0</v>
      </c>
      <c r="DM48" s="479">
        <f t="shared" si="364"/>
        <v>0</v>
      </c>
      <c r="DN48" s="479">
        <f t="shared" si="364"/>
        <v>0</v>
      </c>
      <c r="DO48" s="479">
        <f t="shared" si="364"/>
        <v>0</v>
      </c>
      <c r="DP48" s="479">
        <f t="shared" si="364"/>
        <v>0</v>
      </c>
      <c r="DQ48" s="479">
        <f t="shared" si="364"/>
        <v>0</v>
      </c>
      <c r="DR48" s="479">
        <f t="shared" si="364"/>
        <v>0</v>
      </c>
      <c r="DS48" s="479">
        <f t="shared" si="364"/>
        <v>0</v>
      </c>
      <c r="DT48" s="479">
        <f t="shared" si="364"/>
        <v>0</v>
      </c>
      <c r="DU48" s="479">
        <f t="shared" si="364"/>
        <v>0</v>
      </c>
      <c r="DV48" s="479">
        <f t="shared" si="364"/>
        <v>0</v>
      </c>
      <c r="DW48" s="479">
        <f t="shared" si="364"/>
        <v>0</v>
      </c>
      <c r="DX48" s="479">
        <f t="shared" si="364"/>
        <v>0</v>
      </c>
      <c r="DY48" s="479">
        <f t="shared" si="364"/>
        <v>0</v>
      </c>
      <c r="DZ48" s="479">
        <f t="shared" si="364"/>
        <v>0</v>
      </c>
      <c r="EA48" s="479">
        <f t="shared" si="364"/>
        <v>0</v>
      </c>
      <c r="EB48" s="479">
        <f t="shared" si="364"/>
        <v>0</v>
      </c>
      <c r="EC48" s="479">
        <f t="shared" si="364"/>
        <v>0</v>
      </c>
      <c r="ED48" s="479">
        <f t="shared" si="364"/>
        <v>0</v>
      </c>
      <c r="EE48" s="479">
        <f t="shared" si="364"/>
        <v>0</v>
      </c>
      <c r="EF48" s="479">
        <f t="shared" si="364"/>
        <v>0</v>
      </c>
      <c r="EG48" s="479">
        <f t="shared" si="364"/>
        <v>0</v>
      </c>
      <c r="EH48" s="479">
        <f t="shared" si="364"/>
        <v>0</v>
      </c>
      <c r="EI48" s="479">
        <f t="shared" si="365"/>
        <v>0</v>
      </c>
      <c r="EJ48" s="479">
        <f t="shared" si="365"/>
        <v>0</v>
      </c>
      <c r="EK48" s="479">
        <f t="shared" si="365"/>
        <v>0</v>
      </c>
      <c r="EL48" s="479">
        <f t="shared" si="365"/>
        <v>0</v>
      </c>
      <c r="EM48" s="479">
        <f t="shared" si="365"/>
        <v>0</v>
      </c>
      <c r="EN48" s="479">
        <f t="shared" si="365"/>
        <v>0</v>
      </c>
      <c r="EO48" s="479">
        <f t="shared" si="365"/>
        <v>0</v>
      </c>
      <c r="EP48" s="479">
        <f t="shared" si="365"/>
        <v>0</v>
      </c>
      <c r="EQ48" s="479">
        <f t="shared" si="365"/>
        <v>0</v>
      </c>
      <c r="ER48" s="479">
        <f t="shared" si="365"/>
        <v>0</v>
      </c>
      <c r="ES48" s="479">
        <f t="shared" si="365"/>
        <v>0</v>
      </c>
      <c r="ET48" s="479">
        <f t="shared" si="365"/>
        <v>0</v>
      </c>
      <c r="EU48" s="479">
        <f t="shared" si="365"/>
        <v>0</v>
      </c>
      <c r="EV48" s="479">
        <f t="shared" si="365"/>
        <v>0</v>
      </c>
      <c r="EW48" s="479">
        <f t="shared" si="365"/>
        <v>0</v>
      </c>
      <c r="EX48" s="479">
        <f t="shared" si="365"/>
        <v>0</v>
      </c>
      <c r="EY48" s="479">
        <f t="shared" si="365"/>
        <v>0</v>
      </c>
      <c r="EZ48" s="479">
        <f t="shared" si="365"/>
        <v>0</v>
      </c>
      <c r="FA48" s="479">
        <f t="shared" si="365"/>
        <v>0</v>
      </c>
      <c r="FB48" s="479">
        <f t="shared" si="365"/>
        <v>0</v>
      </c>
      <c r="FC48" s="479">
        <f t="shared" si="365"/>
        <v>0</v>
      </c>
      <c r="FD48" s="479">
        <f t="shared" si="365"/>
        <v>0</v>
      </c>
      <c r="FE48" s="479">
        <f t="shared" si="365"/>
        <v>0</v>
      </c>
      <c r="FF48" s="479">
        <f t="shared" si="365"/>
        <v>0</v>
      </c>
      <c r="FG48" s="479">
        <f t="shared" si="365"/>
        <v>0</v>
      </c>
      <c r="FH48" s="479">
        <f t="shared" si="365"/>
        <v>0</v>
      </c>
      <c r="FI48" s="479">
        <f t="shared" si="365"/>
        <v>0</v>
      </c>
      <c r="FJ48" s="479">
        <f t="shared" si="365"/>
        <v>0</v>
      </c>
      <c r="FK48" s="479">
        <f t="shared" si="365"/>
        <v>0</v>
      </c>
      <c r="FL48" s="479">
        <f t="shared" si="365"/>
        <v>0</v>
      </c>
      <c r="FM48" s="479">
        <f t="shared" si="365"/>
        <v>0</v>
      </c>
      <c r="FN48" s="479">
        <f t="shared" si="365"/>
        <v>0</v>
      </c>
      <c r="FO48" s="479">
        <f t="shared" si="365"/>
        <v>0</v>
      </c>
      <c r="FP48" s="479">
        <f t="shared" si="365"/>
        <v>0</v>
      </c>
      <c r="FQ48" s="479">
        <f t="shared" si="365"/>
        <v>0</v>
      </c>
      <c r="FR48" s="479">
        <f t="shared" si="365"/>
        <v>0</v>
      </c>
      <c r="FS48" s="479">
        <f t="shared" si="365"/>
        <v>0</v>
      </c>
      <c r="FT48" s="479">
        <f t="shared" si="365"/>
        <v>0</v>
      </c>
      <c r="FU48" s="479">
        <f t="shared" si="365"/>
        <v>0</v>
      </c>
      <c r="FV48" s="479">
        <f t="shared" si="365"/>
        <v>0</v>
      </c>
      <c r="FW48" s="479">
        <f t="shared" si="365"/>
        <v>0</v>
      </c>
      <c r="FX48" s="479">
        <f t="shared" si="365"/>
        <v>0</v>
      </c>
      <c r="FY48" s="479">
        <f t="shared" si="365"/>
        <v>0</v>
      </c>
      <c r="FZ48" s="479">
        <f t="shared" si="365"/>
        <v>0</v>
      </c>
      <c r="GA48" s="479">
        <f t="shared" si="365"/>
        <v>0</v>
      </c>
      <c r="GB48" s="479">
        <f t="shared" si="365"/>
        <v>0</v>
      </c>
      <c r="GC48" s="479">
        <f t="shared" si="365"/>
        <v>0</v>
      </c>
      <c r="GD48" s="479">
        <f t="shared" si="365"/>
        <v>0</v>
      </c>
      <c r="GE48" s="479">
        <f t="shared" si="365"/>
        <v>0</v>
      </c>
      <c r="GF48" s="479">
        <f t="shared" si="365"/>
        <v>0</v>
      </c>
      <c r="GG48" s="479">
        <f t="shared" si="365"/>
        <v>0</v>
      </c>
      <c r="GH48" s="479">
        <f t="shared" si="365"/>
        <v>0</v>
      </c>
      <c r="GI48" s="479">
        <f t="shared" si="365"/>
        <v>0</v>
      </c>
      <c r="GJ48" s="479">
        <f t="shared" si="365"/>
        <v>0</v>
      </c>
      <c r="GK48" s="479">
        <f t="shared" si="365"/>
        <v>0</v>
      </c>
      <c r="GL48" s="479">
        <f t="shared" si="365"/>
        <v>0</v>
      </c>
      <c r="GM48" s="479">
        <f t="shared" si="365"/>
        <v>0</v>
      </c>
      <c r="GN48" s="479">
        <f t="shared" si="365"/>
        <v>0</v>
      </c>
      <c r="GO48" s="479">
        <f t="shared" si="365"/>
        <v>0</v>
      </c>
      <c r="GP48" s="479">
        <f t="shared" si="365"/>
        <v>0</v>
      </c>
      <c r="GQ48" s="479">
        <f t="shared" si="365"/>
        <v>0</v>
      </c>
      <c r="GR48" s="479">
        <f t="shared" si="365"/>
        <v>0</v>
      </c>
      <c r="GS48" s="479">
        <f t="shared" si="365"/>
        <v>0</v>
      </c>
      <c r="GT48" s="479">
        <f t="shared" si="365"/>
        <v>0</v>
      </c>
      <c r="GU48" s="479">
        <f t="shared" si="366"/>
        <v>0</v>
      </c>
      <c r="GV48" s="479">
        <f t="shared" si="366"/>
        <v>0</v>
      </c>
      <c r="GW48" s="479">
        <f t="shared" si="366"/>
        <v>0</v>
      </c>
      <c r="GX48" s="479">
        <f t="shared" si="366"/>
        <v>0</v>
      </c>
      <c r="GY48" s="479">
        <f t="shared" si="366"/>
        <v>0</v>
      </c>
      <c r="GZ48" s="479">
        <f t="shared" si="366"/>
        <v>0</v>
      </c>
      <c r="HA48" s="479">
        <f t="shared" si="366"/>
        <v>0</v>
      </c>
      <c r="HB48" s="479">
        <f t="shared" si="366"/>
        <v>0</v>
      </c>
      <c r="HC48" s="479">
        <f t="shared" si="366"/>
        <v>0</v>
      </c>
      <c r="HD48" s="479">
        <f t="shared" si="366"/>
        <v>0</v>
      </c>
      <c r="HE48" s="479">
        <f t="shared" si="366"/>
        <v>0</v>
      </c>
      <c r="HF48" s="479">
        <f t="shared" si="366"/>
        <v>0</v>
      </c>
      <c r="HG48" s="479">
        <f t="shared" si="366"/>
        <v>0</v>
      </c>
      <c r="HH48" s="479">
        <f t="shared" si="366"/>
        <v>0</v>
      </c>
      <c r="HI48" s="479">
        <f t="shared" si="366"/>
        <v>0</v>
      </c>
      <c r="HJ48" s="479">
        <f t="shared" si="366"/>
        <v>0</v>
      </c>
      <c r="HK48" s="479">
        <f t="shared" si="366"/>
        <v>0</v>
      </c>
      <c r="HL48" s="479">
        <f t="shared" si="366"/>
        <v>0</v>
      </c>
      <c r="HM48" s="479">
        <f t="shared" si="366"/>
        <v>0</v>
      </c>
      <c r="HN48" s="479">
        <f t="shared" si="366"/>
        <v>0</v>
      </c>
      <c r="HO48" s="479">
        <f t="shared" si="366"/>
        <v>0</v>
      </c>
      <c r="HP48" s="479">
        <f t="shared" si="366"/>
        <v>0</v>
      </c>
      <c r="HQ48" s="479">
        <f t="shared" si="366"/>
        <v>0</v>
      </c>
      <c r="HR48" s="479">
        <f t="shared" si="366"/>
        <v>0</v>
      </c>
      <c r="HS48" s="479">
        <f t="shared" si="366"/>
        <v>0</v>
      </c>
      <c r="HT48" s="479">
        <f t="shared" si="366"/>
        <v>0</v>
      </c>
      <c r="HU48" s="479">
        <f t="shared" si="366"/>
        <v>0</v>
      </c>
      <c r="HV48" s="479">
        <f t="shared" si="366"/>
        <v>0</v>
      </c>
      <c r="HW48" s="479">
        <f t="shared" si="366"/>
        <v>0</v>
      </c>
      <c r="HX48" s="479">
        <f t="shared" si="366"/>
        <v>0</v>
      </c>
      <c r="HY48" s="479">
        <f t="shared" si="366"/>
        <v>0</v>
      </c>
      <c r="HZ48" s="479">
        <f t="shared" si="366"/>
        <v>0</v>
      </c>
      <c r="IA48" s="479">
        <f t="shared" si="366"/>
        <v>0</v>
      </c>
      <c r="IB48" s="479">
        <f t="shared" si="366"/>
        <v>0</v>
      </c>
      <c r="IC48" s="479">
        <f t="shared" si="366"/>
        <v>0</v>
      </c>
      <c r="ID48" s="479">
        <f t="shared" si="366"/>
        <v>0</v>
      </c>
      <c r="IE48" s="479">
        <f t="shared" si="366"/>
        <v>0</v>
      </c>
      <c r="IF48" s="479">
        <f t="shared" si="366"/>
        <v>0</v>
      </c>
      <c r="IG48" s="479">
        <f t="shared" si="366"/>
        <v>0</v>
      </c>
      <c r="IH48" s="479">
        <f t="shared" si="366"/>
        <v>0</v>
      </c>
      <c r="II48" s="479">
        <f t="shared" si="366"/>
        <v>0</v>
      </c>
      <c r="IJ48" s="479">
        <f t="shared" si="366"/>
        <v>0</v>
      </c>
      <c r="IK48" s="479">
        <f t="shared" si="366"/>
        <v>0</v>
      </c>
      <c r="IL48" s="479">
        <f t="shared" si="366"/>
        <v>0</v>
      </c>
      <c r="IM48" s="479">
        <f t="shared" si="366"/>
        <v>0</v>
      </c>
      <c r="IN48" s="479">
        <f t="shared" si="366"/>
        <v>0</v>
      </c>
      <c r="IO48" s="479">
        <f t="shared" si="366"/>
        <v>0</v>
      </c>
      <c r="IP48" s="479">
        <f t="shared" si="366"/>
        <v>0</v>
      </c>
      <c r="IQ48" s="479">
        <f t="shared" si="366"/>
        <v>0</v>
      </c>
      <c r="IR48" s="479">
        <f t="shared" si="366"/>
        <v>0</v>
      </c>
      <c r="IS48" s="479">
        <f t="shared" si="366"/>
        <v>0</v>
      </c>
      <c r="IT48" s="479">
        <f t="shared" si="366"/>
        <v>0</v>
      </c>
      <c r="IU48" s="479">
        <f t="shared" si="366"/>
        <v>0</v>
      </c>
      <c r="IV48" s="479">
        <f t="shared" si="366"/>
        <v>0</v>
      </c>
      <c r="IW48" s="479">
        <f t="shared" si="366"/>
        <v>0</v>
      </c>
      <c r="IX48" s="479">
        <f t="shared" si="366"/>
        <v>0</v>
      </c>
      <c r="IY48" s="479">
        <f t="shared" si="366"/>
        <v>0</v>
      </c>
      <c r="IZ48" s="479">
        <f t="shared" si="366"/>
        <v>0</v>
      </c>
      <c r="JA48" s="479">
        <f t="shared" si="366"/>
        <v>0</v>
      </c>
      <c r="JB48" s="479">
        <f t="shared" si="366"/>
        <v>0</v>
      </c>
      <c r="JC48" s="479">
        <f t="shared" si="366"/>
        <v>0</v>
      </c>
      <c r="JD48" s="479">
        <f t="shared" si="366"/>
        <v>0</v>
      </c>
      <c r="JE48" s="479">
        <f t="shared" si="366"/>
        <v>0</v>
      </c>
      <c r="JF48" s="479">
        <f t="shared" si="366"/>
        <v>0</v>
      </c>
      <c r="JG48" s="479">
        <f t="shared" si="367"/>
        <v>0</v>
      </c>
      <c r="JH48" s="479">
        <f t="shared" si="367"/>
        <v>0</v>
      </c>
      <c r="JI48" s="479">
        <f t="shared" si="367"/>
        <v>0</v>
      </c>
      <c r="JJ48" s="479">
        <f t="shared" si="367"/>
        <v>0</v>
      </c>
      <c r="JK48" s="479">
        <f t="shared" si="367"/>
        <v>0</v>
      </c>
      <c r="JL48" s="479">
        <f t="shared" si="367"/>
        <v>0</v>
      </c>
      <c r="JM48" s="479">
        <f t="shared" si="367"/>
        <v>0</v>
      </c>
      <c r="JN48" s="479">
        <f t="shared" si="367"/>
        <v>0</v>
      </c>
      <c r="JO48" s="479">
        <f t="shared" si="367"/>
        <v>0</v>
      </c>
      <c r="JP48" s="479">
        <f t="shared" si="367"/>
        <v>0</v>
      </c>
      <c r="JQ48" s="479">
        <f t="shared" si="367"/>
        <v>0</v>
      </c>
      <c r="JR48" s="479">
        <f t="shared" si="367"/>
        <v>0</v>
      </c>
      <c r="JS48" s="479">
        <f t="shared" si="367"/>
        <v>0</v>
      </c>
      <c r="JT48" s="479">
        <f t="shared" si="367"/>
        <v>0</v>
      </c>
      <c r="JU48" s="479">
        <f t="shared" si="367"/>
        <v>0</v>
      </c>
      <c r="JV48" s="479">
        <f t="shared" si="367"/>
        <v>0</v>
      </c>
      <c r="JW48" s="479">
        <f t="shared" si="367"/>
        <v>0</v>
      </c>
      <c r="JX48" s="479">
        <f t="shared" si="367"/>
        <v>0</v>
      </c>
      <c r="JY48" s="479">
        <f t="shared" si="367"/>
        <v>0</v>
      </c>
      <c r="JZ48" s="479">
        <f t="shared" si="367"/>
        <v>0</v>
      </c>
      <c r="KA48" s="479">
        <f t="shared" si="367"/>
        <v>0</v>
      </c>
      <c r="KB48" s="479">
        <f t="shared" si="367"/>
        <v>0</v>
      </c>
      <c r="KC48" s="479">
        <f t="shared" si="367"/>
        <v>0</v>
      </c>
      <c r="KD48" s="479">
        <f t="shared" si="367"/>
        <v>0</v>
      </c>
      <c r="KE48" s="479">
        <f t="shared" si="367"/>
        <v>0</v>
      </c>
      <c r="KF48" s="479">
        <f t="shared" si="367"/>
        <v>0</v>
      </c>
      <c r="KG48" s="479">
        <f t="shared" si="367"/>
        <v>0</v>
      </c>
      <c r="KH48" s="479">
        <f t="shared" si="367"/>
        <v>0</v>
      </c>
      <c r="KI48" s="479">
        <f t="shared" si="367"/>
        <v>0</v>
      </c>
      <c r="KJ48" s="479">
        <f t="shared" si="367"/>
        <v>0</v>
      </c>
      <c r="KK48" s="479">
        <f t="shared" si="367"/>
        <v>0</v>
      </c>
      <c r="KL48" s="479">
        <f t="shared" si="367"/>
        <v>0</v>
      </c>
      <c r="KM48" s="479">
        <f t="shared" si="367"/>
        <v>0</v>
      </c>
      <c r="KN48" s="479">
        <f t="shared" si="367"/>
        <v>0</v>
      </c>
      <c r="KO48" s="479">
        <f t="shared" si="367"/>
        <v>0</v>
      </c>
      <c r="KP48" s="479">
        <f t="shared" si="367"/>
        <v>0</v>
      </c>
      <c r="KQ48" s="479">
        <f t="shared" si="367"/>
        <v>0</v>
      </c>
      <c r="KR48" s="479">
        <f t="shared" si="367"/>
        <v>0</v>
      </c>
      <c r="KS48" s="479">
        <f t="shared" si="367"/>
        <v>0</v>
      </c>
      <c r="KT48" s="479">
        <f t="shared" si="367"/>
        <v>0</v>
      </c>
      <c r="KU48" s="479">
        <f t="shared" si="367"/>
        <v>0</v>
      </c>
      <c r="KV48" s="479">
        <f t="shared" si="367"/>
        <v>0</v>
      </c>
      <c r="KW48" s="479">
        <f t="shared" si="367"/>
        <v>0</v>
      </c>
      <c r="KX48" s="479">
        <f t="shared" si="367"/>
        <v>0</v>
      </c>
      <c r="KY48" s="479">
        <f t="shared" si="367"/>
        <v>0</v>
      </c>
      <c r="KZ48" s="479">
        <f t="shared" si="367"/>
        <v>0</v>
      </c>
      <c r="LA48" s="479">
        <f t="shared" si="367"/>
        <v>0</v>
      </c>
      <c r="LB48" s="479">
        <f t="shared" si="367"/>
        <v>0</v>
      </c>
      <c r="LC48" s="479">
        <f t="shared" si="367"/>
        <v>0</v>
      </c>
      <c r="LD48" s="479">
        <f t="shared" si="367"/>
        <v>0</v>
      </c>
      <c r="LE48" s="479">
        <f t="shared" si="367"/>
        <v>0</v>
      </c>
      <c r="LF48" s="479">
        <f t="shared" si="367"/>
        <v>0</v>
      </c>
      <c r="LG48" s="479">
        <f t="shared" si="367"/>
        <v>0</v>
      </c>
      <c r="LH48" s="479">
        <f t="shared" si="367"/>
        <v>0</v>
      </c>
      <c r="LI48" s="479">
        <f t="shared" si="367"/>
        <v>0</v>
      </c>
      <c r="LJ48" s="479">
        <f t="shared" si="367"/>
        <v>0</v>
      </c>
      <c r="LK48" s="479">
        <f t="shared" si="367"/>
        <v>0</v>
      </c>
      <c r="LL48" s="479">
        <f t="shared" si="367"/>
        <v>0</v>
      </c>
      <c r="LM48" s="479">
        <f t="shared" si="367"/>
        <v>0</v>
      </c>
      <c r="LN48" s="479">
        <f t="shared" si="367"/>
        <v>0</v>
      </c>
      <c r="LO48" s="479">
        <f t="shared" si="367"/>
        <v>0</v>
      </c>
      <c r="LP48" s="479">
        <f t="shared" si="367"/>
        <v>0</v>
      </c>
      <c r="LQ48" s="479">
        <f t="shared" si="367"/>
        <v>0</v>
      </c>
      <c r="LR48" s="479">
        <f t="shared" si="367"/>
        <v>0</v>
      </c>
      <c r="LS48" s="479">
        <f t="shared" si="368"/>
        <v>0</v>
      </c>
      <c r="LT48" s="479">
        <f t="shared" si="368"/>
        <v>0</v>
      </c>
      <c r="LU48" s="479">
        <f t="shared" si="368"/>
        <v>0</v>
      </c>
      <c r="LV48" s="479">
        <f t="shared" si="368"/>
        <v>0</v>
      </c>
      <c r="LW48" s="479">
        <f t="shared" si="368"/>
        <v>0</v>
      </c>
      <c r="LX48" s="479">
        <f t="shared" si="368"/>
        <v>0</v>
      </c>
      <c r="LY48" s="479">
        <f t="shared" si="368"/>
        <v>0</v>
      </c>
      <c r="LZ48" s="479">
        <f t="shared" si="368"/>
        <v>0</v>
      </c>
      <c r="MA48" s="479">
        <f t="shared" si="368"/>
        <v>0</v>
      </c>
      <c r="MB48" s="479">
        <f t="shared" si="368"/>
        <v>0</v>
      </c>
      <c r="MC48" s="479">
        <f t="shared" si="368"/>
        <v>0</v>
      </c>
      <c r="MD48" s="479">
        <f t="shared" si="368"/>
        <v>0</v>
      </c>
      <c r="ME48" s="479">
        <f t="shared" si="368"/>
        <v>0</v>
      </c>
      <c r="MF48" s="479">
        <f t="shared" si="368"/>
        <v>0</v>
      </c>
      <c r="MG48" s="479">
        <f t="shared" si="368"/>
        <v>0</v>
      </c>
      <c r="MH48" s="479">
        <f t="shared" si="368"/>
        <v>0</v>
      </c>
      <c r="MI48" s="479">
        <f t="shared" si="368"/>
        <v>0</v>
      </c>
      <c r="MJ48" s="479">
        <f t="shared" si="368"/>
        <v>0</v>
      </c>
      <c r="MK48" s="479">
        <f t="shared" si="368"/>
        <v>0</v>
      </c>
      <c r="ML48" s="479">
        <f t="shared" si="368"/>
        <v>0</v>
      </c>
      <c r="MM48" s="479">
        <f t="shared" si="368"/>
        <v>0</v>
      </c>
      <c r="MN48" s="479">
        <f t="shared" si="368"/>
        <v>0</v>
      </c>
      <c r="MO48" s="479">
        <f t="shared" si="368"/>
        <v>0</v>
      </c>
      <c r="MP48" s="479">
        <f t="shared" si="368"/>
        <v>0</v>
      </c>
      <c r="MQ48" s="479">
        <f t="shared" si="368"/>
        <v>0</v>
      </c>
      <c r="MR48" s="479">
        <f t="shared" si="368"/>
        <v>0</v>
      </c>
      <c r="MS48" s="479">
        <f t="shared" si="368"/>
        <v>0</v>
      </c>
      <c r="MT48" s="479">
        <f t="shared" si="368"/>
        <v>0</v>
      </c>
      <c r="MU48" s="479">
        <f t="shared" si="368"/>
        <v>0</v>
      </c>
      <c r="MV48" s="479">
        <f t="shared" si="368"/>
        <v>0</v>
      </c>
      <c r="MW48" s="479">
        <f t="shared" si="368"/>
        <v>0</v>
      </c>
      <c r="MX48" s="479">
        <f t="shared" si="368"/>
        <v>0</v>
      </c>
      <c r="MY48" s="479">
        <f t="shared" si="368"/>
        <v>0</v>
      </c>
      <c r="MZ48" s="479">
        <f t="shared" si="368"/>
        <v>0</v>
      </c>
      <c r="NA48" s="479">
        <f t="shared" si="368"/>
        <v>0</v>
      </c>
      <c r="NB48" s="479">
        <f t="shared" si="368"/>
        <v>0</v>
      </c>
      <c r="NC48" s="479">
        <f t="shared" si="368"/>
        <v>0</v>
      </c>
      <c r="ND48" s="479">
        <f t="shared" si="368"/>
        <v>0</v>
      </c>
      <c r="NE48" s="479">
        <f t="shared" si="368"/>
        <v>0</v>
      </c>
      <c r="NF48" s="479">
        <f t="shared" si="368"/>
        <v>0</v>
      </c>
      <c r="NG48" s="479">
        <f t="shared" si="368"/>
        <v>0</v>
      </c>
      <c r="NH48" s="479">
        <f t="shared" si="368"/>
        <v>0</v>
      </c>
      <c r="NI48" s="479">
        <f t="shared" si="368"/>
        <v>0</v>
      </c>
      <c r="NJ48" s="479">
        <f t="shared" si="368"/>
        <v>0</v>
      </c>
      <c r="NK48" s="479">
        <f t="shared" si="368"/>
        <v>0</v>
      </c>
      <c r="NL48" s="479">
        <f t="shared" si="368"/>
        <v>0</v>
      </c>
      <c r="NM48" s="479">
        <f t="shared" si="368"/>
        <v>0</v>
      </c>
      <c r="NN48" s="479">
        <f t="shared" si="368"/>
        <v>0</v>
      </c>
      <c r="NO48" s="479">
        <f t="shared" si="368"/>
        <v>0</v>
      </c>
      <c r="NP48" s="479">
        <f t="shared" si="368"/>
        <v>0</v>
      </c>
      <c r="NQ48" s="479">
        <f t="shared" si="368"/>
        <v>0</v>
      </c>
      <c r="NR48" s="479">
        <f t="shared" si="368"/>
        <v>0</v>
      </c>
      <c r="NS48" s="479">
        <f t="shared" si="368"/>
        <v>0</v>
      </c>
      <c r="NT48" s="479">
        <f t="shared" si="368"/>
        <v>0</v>
      </c>
      <c r="NU48" s="479">
        <f t="shared" si="368"/>
        <v>0</v>
      </c>
      <c r="NV48" s="479">
        <f t="shared" si="368"/>
        <v>0</v>
      </c>
      <c r="NW48" s="479">
        <f t="shared" si="368"/>
        <v>0</v>
      </c>
      <c r="NX48" s="479">
        <f t="shared" si="368"/>
        <v>0</v>
      </c>
      <c r="NY48" s="479">
        <f t="shared" si="368"/>
        <v>0</v>
      </c>
      <c r="NZ48" s="479">
        <f t="shared" si="368"/>
        <v>0</v>
      </c>
      <c r="OA48" s="479">
        <f t="shared" si="368"/>
        <v>0</v>
      </c>
      <c r="OB48" s="479">
        <f t="shared" si="368"/>
        <v>0</v>
      </c>
      <c r="OC48" s="479">
        <f t="shared" si="368"/>
        <v>0</v>
      </c>
      <c r="OD48" s="479">
        <f t="shared" si="368"/>
        <v>0</v>
      </c>
      <c r="OE48" s="479">
        <f t="shared" si="369"/>
        <v>0</v>
      </c>
      <c r="OF48" s="479">
        <f t="shared" si="369"/>
        <v>0</v>
      </c>
      <c r="OG48" s="479">
        <f t="shared" si="369"/>
        <v>0</v>
      </c>
      <c r="OH48" s="479">
        <f t="shared" si="369"/>
        <v>0</v>
      </c>
      <c r="OI48" s="479">
        <f t="shared" si="369"/>
        <v>0</v>
      </c>
      <c r="OJ48" s="479">
        <f t="shared" si="369"/>
        <v>0</v>
      </c>
      <c r="OK48" s="479">
        <f t="shared" si="369"/>
        <v>0</v>
      </c>
      <c r="OL48" s="479">
        <f t="shared" si="369"/>
        <v>0</v>
      </c>
      <c r="OM48" s="479">
        <f t="shared" si="369"/>
        <v>0</v>
      </c>
      <c r="ON48" s="479">
        <f t="shared" si="369"/>
        <v>0</v>
      </c>
      <c r="OO48" s="479">
        <f t="shared" si="369"/>
        <v>0</v>
      </c>
    </row>
    <row r="49" spans="2:405">
      <c r="B49" s="483"/>
      <c r="C49" s="483"/>
      <c r="D49" s="500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  <c r="BW49" s="97"/>
      <c r="BX49" s="97"/>
      <c r="BY49" s="97"/>
      <c r="BZ49" s="97"/>
      <c r="CA49" s="97"/>
      <c r="CB49" s="97"/>
      <c r="CC49" s="97"/>
      <c r="CD49" s="97"/>
      <c r="CE49" s="97"/>
      <c r="CF49" s="97"/>
      <c r="CG49" s="97"/>
      <c r="CH49" s="97"/>
      <c r="CI49" s="97"/>
      <c r="CJ49" s="97"/>
      <c r="CK49" s="97"/>
      <c r="CL49" s="97"/>
      <c r="CM49" s="97"/>
      <c r="CN49" s="97"/>
      <c r="CO49" s="97"/>
      <c r="CP49" s="97"/>
      <c r="CQ49" s="97"/>
      <c r="CR49" s="97"/>
      <c r="CS49" s="97"/>
      <c r="CT49" s="97"/>
      <c r="CU49" s="97"/>
      <c r="CV49" s="97"/>
      <c r="CW49" s="97"/>
      <c r="CX49" s="97"/>
      <c r="CY49" s="97"/>
      <c r="CZ49" s="97"/>
      <c r="DA49" s="97"/>
      <c r="DB49" s="97"/>
      <c r="DC49" s="97"/>
      <c r="DD49" s="97"/>
      <c r="DE49" s="97"/>
      <c r="DF49" s="97"/>
      <c r="DG49" s="97"/>
      <c r="DH49" s="97"/>
      <c r="DI49" s="97"/>
      <c r="DJ49" s="97"/>
      <c r="DK49" s="97"/>
      <c r="DL49" s="97"/>
      <c r="DM49" s="97"/>
      <c r="DN49" s="97"/>
      <c r="DO49" s="97"/>
      <c r="DP49" s="97"/>
      <c r="DQ49" s="97"/>
      <c r="DR49" s="97"/>
      <c r="DS49" s="97"/>
      <c r="DT49" s="97"/>
      <c r="DU49" s="97"/>
      <c r="DV49" s="97"/>
      <c r="DW49" s="97"/>
      <c r="DX49" s="97"/>
      <c r="DY49" s="97"/>
      <c r="DZ49" s="97"/>
      <c r="EA49" s="97"/>
      <c r="EB49" s="97"/>
      <c r="EC49" s="97"/>
      <c r="ED49" s="97"/>
      <c r="EE49" s="97"/>
      <c r="EF49" s="97"/>
      <c r="EG49" s="97"/>
      <c r="EH49" s="97"/>
      <c r="EI49" s="97"/>
      <c r="EJ49" s="97"/>
      <c r="EK49" s="97"/>
      <c r="EL49" s="97"/>
      <c r="EM49" s="97"/>
      <c r="EN49" s="97"/>
      <c r="EO49" s="97"/>
      <c r="EP49" s="97"/>
      <c r="EQ49" s="97"/>
      <c r="ER49" s="97"/>
      <c r="ES49" s="97"/>
      <c r="ET49" s="97"/>
      <c r="EU49" s="97"/>
      <c r="EV49" s="97"/>
      <c r="EW49" s="97"/>
      <c r="EX49" s="97"/>
      <c r="EY49" s="97"/>
      <c r="EZ49" s="97"/>
      <c r="FA49" s="97"/>
      <c r="FB49" s="97"/>
      <c r="FC49" s="97"/>
      <c r="FD49" s="97"/>
      <c r="FE49" s="97"/>
      <c r="FF49" s="97"/>
      <c r="FG49" s="97"/>
      <c r="FH49" s="97"/>
      <c r="FI49" s="97"/>
      <c r="FJ49" s="97"/>
      <c r="FK49" s="97"/>
      <c r="FL49" s="97"/>
      <c r="FM49" s="97"/>
      <c r="FN49" s="97"/>
      <c r="FO49" s="97"/>
      <c r="FP49" s="97"/>
      <c r="FQ49" s="97"/>
      <c r="FR49" s="97"/>
      <c r="FS49" s="97"/>
      <c r="FT49" s="97"/>
      <c r="FU49" s="97"/>
      <c r="FV49" s="97"/>
      <c r="FW49" s="97"/>
      <c r="FX49" s="97"/>
      <c r="FY49" s="97"/>
      <c r="FZ49" s="97"/>
      <c r="GA49" s="97"/>
      <c r="GB49" s="97"/>
      <c r="GC49" s="97"/>
      <c r="GD49" s="97"/>
      <c r="GE49" s="97"/>
      <c r="GF49" s="97"/>
      <c r="GG49" s="97"/>
      <c r="GH49" s="97"/>
      <c r="GI49" s="97"/>
      <c r="GJ49" s="97"/>
      <c r="GK49" s="97"/>
      <c r="GL49" s="97"/>
      <c r="GM49" s="97"/>
      <c r="GN49" s="97"/>
      <c r="GO49" s="97"/>
      <c r="GP49" s="97"/>
      <c r="GQ49" s="97"/>
      <c r="GR49" s="97"/>
      <c r="GS49" s="97"/>
      <c r="GT49" s="97"/>
      <c r="GU49" s="97"/>
      <c r="GV49" s="97"/>
      <c r="GW49" s="97"/>
      <c r="GX49" s="97"/>
      <c r="GY49" s="97"/>
      <c r="GZ49" s="97"/>
      <c r="HA49" s="97"/>
      <c r="HB49" s="97"/>
      <c r="HC49" s="97"/>
      <c r="HD49" s="97"/>
      <c r="HE49" s="97"/>
      <c r="HF49" s="97"/>
      <c r="HG49" s="97"/>
      <c r="HH49" s="97"/>
      <c r="HI49" s="97"/>
      <c r="HJ49" s="97"/>
      <c r="HK49" s="97"/>
      <c r="HL49" s="97"/>
      <c r="HM49" s="97"/>
      <c r="HN49" s="97"/>
      <c r="HO49" s="97"/>
      <c r="HP49" s="97"/>
      <c r="HQ49" s="97"/>
      <c r="HR49" s="97"/>
      <c r="HS49" s="97"/>
      <c r="HT49" s="97"/>
      <c r="HU49" s="97"/>
      <c r="HV49" s="97"/>
      <c r="HW49" s="97"/>
      <c r="HX49" s="97"/>
      <c r="HY49" s="97"/>
      <c r="HZ49" s="97"/>
      <c r="IA49" s="97"/>
      <c r="IB49" s="97"/>
      <c r="IC49" s="97"/>
      <c r="ID49" s="97"/>
      <c r="IE49" s="97"/>
      <c r="IF49" s="97"/>
      <c r="IG49" s="97"/>
      <c r="IH49" s="97"/>
      <c r="II49" s="97"/>
      <c r="IJ49" s="97"/>
      <c r="IK49" s="97"/>
      <c r="IL49" s="97"/>
      <c r="IM49" s="97"/>
      <c r="IN49" s="97"/>
      <c r="IO49" s="97"/>
      <c r="IP49" s="97"/>
      <c r="IQ49" s="97"/>
      <c r="IR49" s="97"/>
      <c r="IS49" s="97"/>
      <c r="IT49" s="97"/>
      <c r="IU49" s="97"/>
      <c r="IV49" s="97"/>
      <c r="IW49" s="97"/>
      <c r="IX49" s="97"/>
      <c r="IY49" s="97"/>
      <c r="IZ49" s="97"/>
      <c r="JA49" s="97"/>
      <c r="JB49" s="97"/>
      <c r="JC49" s="97"/>
      <c r="JD49" s="97"/>
      <c r="JE49" s="97"/>
      <c r="JF49" s="97"/>
      <c r="JG49" s="97"/>
      <c r="JH49" s="97"/>
      <c r="JI49" s="97"/>
      <c r="JJ49" s="97"/>
      <c r="JK49" s="97"/>
      <c r="JL49" s="97"/>
      <c r="JM49" s="97"/>
      <c r="JN49" s="97"/>
      <c r="JO49" s="97"/>
      <c r="JP49" s="97"/>
      <c r="JQ49" s="97"/>
      <c r="JR49" s="97"/>
      <c r="JS49" s="97"/>
      <c r="JT49" s="97"/>
      <c r="JU49" s="97"/>
      <c r="JV49" s="97"/>
      <c r="JW49" s="97"/>
      <c r="JX49" s="97"/>
      <c r="JY49" s="97"/>
      <c r="JZ49" s="97"/>
      <c r="KA49" s="97"/>
      <c r="KB49" s="97"/>
      <c r="KC49" s="97"/>
      <c r="KD49" s="97"/>
      <c r="KE49" s="97"/>
      <c r="KF49" s="97"/>
      <c r="KG49" s="97"/>
      <c r="KH49" s="97"/>
      <c r="KI49" s="97"/>
      <c r="KJ49" s="97"/>
      <c r="KK49" s="97"/>
      <c r="KL49" s="97"/>
      <c r="KM49" s="97"/>
      <c r="KN49" s="97"/>
      <c r="KO49" s="97"/>
      <c r="KP49" s="97"/>
      <c r="KQ49" s="97"/>
      <c r="KR49" s="97"/>
      <c r="KS49" s="97"/>
      <c r="KT49" s="97"/>
      <c r="KU49" s="97"/>
      <c r="KV49" s="97"/>
      <c r="KW49" s="97"/>
      <c r="KX49" s="97"/>
      <c r="KY49" s="97"/>
      <c r="KZ49" s="97"/>
      <c r="LA49" s="97"/>
      <c r="LB49" s="97"/>
      <c r="LC49" s="97"/>
      <c r="LD49" s="97"/>
      <c r="LE49" s="97"/>
      <c r="LF49" s="97"/>
      <c r="LG49" s="97"/>
      <c r="LH49" s="97"/>
      <c r="LI49" s="97"/>
      <c r="LJ49" s="97"/>
      <c r="LK49" s="97"/>
      <c r="LL49" s="97"/>
      <c r="LM49" s="97"/>
      <c r="LN49" s="97"/>
      <c r="LO49" s="97"/>
      <c r="LP49" s="97"/>
      <c r="LQ49" s="97"/>
      <c r="LR49" s="97"/>
      <c r="LS49" s="97"/>
      <c r="LT49" s="97"/>
      <c r="LU49" s="97"/>
      <c r="LV49" s="97"/>
      <c r="LW49" s="97"/>
      <c r="LX49" s="97"/>
      <c r="LY49" s="97"/>
      <c r="LZ49" s="97"/>
      <c r="MA49" s="97"/>
      <c r="MB49" s="97"/>
      <c r="MC49" s="97"/>
      <c r="MD49" s="97"/>
      <c r="ME49" s="97"/>
      <c r="MF49" s="97"/>
      <c r="MG49" s="97"/>
      <c r="MH49" s="97"/>
      <c r="MI49" s="97"/>
      <c r="MJ49" s="97"/>
      <c r="MK49" s="97"/>
      <c r="ML49" s="97"/>
      <c r="MM49" s="97"/>
      <c r="MN49" s="97"/>
      <c r="MO49" s="97"/>
      <c r="MP49" s="97"/>
      <c r="MQ49" s="97"/>
      <c r="MR49" s="97"/>
      <c r="MS49" s="97"/>
      <c r="MT49" s="97"/>
      <c r="MU49" s="97"/>
      <c r="MV49" s="97"/>
      <c r="MW49" s="97"/>
      <c r="MX49" s="97"/>
      <c r="MY49" s="97"/>
      <c r="MZ49" s="97"/>
      <c r="NA49" s="97"/>
      <c r="NB49" s="97"/>
      <c r="NC49" s="97"/>
      <c r="ND49" s="97"/>
      <c r="NE49" s="97"/>
      <c r="NF49" s="97"/>
      <c r="NG49" s="97"/>
      <c r="NH49" s="97"/>
      <c r="NI49" s="97"/>
      <c r="NJ49" s="97"/>
      <c r="NK49" s="97"/>
      <c r="NL49" s="97"/>
      <c r="NM49" s="97"/>
      <c r="NN49" s="97"/>
      <c r="NO49" s="97"/>
      <c r="NP49" s="97"/>
      <c r="NQ49" s="97"/>
      <c r="NR49" s="97"/>
      <c r="NS49" s="97"/>
      <c r="NT49" s="97"/>
      <c r="NU49" s="97"/>
      <c r="NV49" s="97"/>
      <c r="NW49" s="97"/>
      <c r="NX49" s="97"/>
      <c r="NY49" s="97"/>
      <c r="NZ49" s="97"/>
      <c r="OA49" s="97"/>
      <c r="OB49" s="97"/>
      <c r="OC49" s="97"/>
      <c r="OD49" s="97"/>
      <c r="OE49" s="97"/>
      <c r="OF49" s="97"/>
      <c r="OG49" s="97"/>
      <c r="OH49" s="97"/>
      <c r="OI49" s="97"/>
      <c r="OJ49" s="97"/>
      <c r="OK49" s="97"/>
      <c r="OL49" s="97"/>
      <c r="OM49" s="97"/>
      <c r="ON49" s="97"/>
      <c r="OO49" s="97"/>
    </row>
    <row r="50" spans="2:405">
      <c r="B50" s="506" t="s">
        <v>428</v>
      </c>
      <c r="C50" s="506"/>
      <c r="D50" s="504">
        <f>SUM(D17:D48)</f>
        <v>213975479.82333466</v>
      </c>
      <c r="E50" s="244"/>
      <c r="F50" s="244"/>
      <c r="G50" s="244"/>
      <c r="H50" s="244"/>
      <c r="I50" s="244"/>
      <c r="J50" s="505">
        <f>SUM(J17:J48)</f>
        <v>-1283846.6372224458</v>
      </c>
      <c r="K50" s="505">
        <f t="shared" ref="K50:BV50" si="371">SUM(K17:K48)</f>
        <v>-1283846.6372224458</v>
      </c>
      <c r="L50" s="505">
        <f t="shared" si="371"/>
        <v>-1283846.6372224458</v>
      </c>
      <c r="M50" s="505">
        <f t="shared" si="371"/>
        <v>-1283846.6372224458</v>
      </c>
      <c r="N50" s="505">
        <f t="shared" si="371"/>
        <v>-1283846.6372224458</v>
      </c>
      <c r="O50" s="505">
        <f t="shared" si="371"/>
        <v>-1283846.6372224458</v>
      </c>
      <c r="P50" s="505">
        <f t="shared" si="371"/>
        <v>-8594683.3333333321</v>
      </c>
      <c r="Q50" s="505">
        <f t="shared" si="371"/>
        <v>-8594683.3333333321</v>
      </c>
      <c r="R50" s="505">
        <f t="shared" si="371"/>
        <v>-8594683.3333333321</v>
      </c>
      <c r="S50" s="505">
        <f t="shared" si="371"/>
        <v>-8594683.3333333321</v>
      </c>
      <c r="T50" s="505">
        <f t="shared" si="371"/>
        <v>-8594683.3333333321</v>
      </c>
      <c r="U50" s="505">
        <f t="shared" si="371"/>
        <v>-8594683.3333333321</v>
      </c>
      <c r="V50" s="505">
        <f t="shared" si="371"/>
        <v>-8594683.3333333321</v>
      </c>
      <c r="W50" s="505">
        <f t="shared" si="371"/>
        <v>-8594683.3333333321</v>
      </c>
      <c r="X50" s="505">
        <f t="shared" si="371"/>
        <v>-8594683.3333333321</v>
      </c>
      <c r="Y50" s="505">
        <f t="shared" si="371"/>
        <v>-8594683.3333333321</v>
      </c>
      <c r="Z50" s="505">
        <f t="shared" si="371"/>
        <v>-8594683.3333333321</v>
      </c>
      <c r="AA50" s="505">
        <f t="shared" si="371"/>
        <v>-8594683.3333333321</v>
      </c>
      <c r="AB50" s="505">
        <f t="shared" si="371"/>
        <v>-8594683.3333333321</v>
      </c>
      <c r="AC50" s="505">
        <f t="shared" si="371"/>
        <v>-8594683.3333333321</v>
      </c>
      <c r="AD50" s="505">
        <f t="shared" si="371"/>
        <v>-8594683.3333333321</v>
      </c>
      <c r="AE50" s="505">
        <f t="shared" si="371"/>
        <v>-8594683.3333333321</v>
      </c>
      <c r="AF50" s="505">
        <f t="shared" si="371"/>
        <v>-8594683.3333333321</v>
      </c>
      <c r="AG50" s="505">
        <f t="shared" si="371"/>
        <v>-8594683.3333333321</v>
      </c>
      <c r="AH50" s="505">
        <f t="shared" si="371"/>
        <v>-8594683.3333333321</v>
      </c>
      <c r="AI50" s="505">
        <f t="shared" si="371"/>
        <v>-8594683.3333333321</v>
      </c>
      <c r="AJ50" s="505">
        <f t="shared" si="371"/>
        <v>-8594683.3333333321</v>
      </c>
      <c r="AK50" s="505">
        <f t="shared" si="371"/>
        <v>-8594683.3333333321</v>
      </c>
      <c r="AL50" s="505">
        <f t="shared" si="371"/>
        <v>-8594683.3333333321</v>
      </c>
      <c r="AM50" s="505">
        <f t="shared" si="371"/>
        <v>-8594683.3333333321</v>
      </c>
      <c r="AN50" s="505">
        <f t="shared" si="371"/>
        <v>0</v>
      </c>
      <c r="AO50" s="505">
        <f t="shared" si="371"/>
        <v>0</v>
      </c>
      <c r="AP50" s="505">
        <f t="shared" si="371"/>
        <v>0</v>
      </c>
      <c r="AQ50" s="505">
        <f t="shared" si="371"/>
        <v>0</v>
      </c>
      <c r="AR50" s="505">
        <f t="shared" si="371"/>
        <v>0</v>
      </c>
      <c r="AS50" s="505">
        <f t="shared" si="371"/>
        <v>0</v>
      </c>
      <c r="AT50" s="505">
        <f t="shared" si="371"/>
        <v>0</v>
      </c>
      <c r="AU50" s="505">
        <f t="shared" si="371"/>
        <v>0</v>
      </c>
      <c r="AV50" s="505">
        <f t="shared" si="371"/>
        <v>0</v>
      </c>
      <c r="AW50" s="505">
        <f t="shared" si="371"/>
        <v>0</v>
      </c>
      <c r="AX50" s="505">
        <f t="shared" si="371"/>
        <v>0</v>
      </c>
      <c r="AY50" s="505">
        <f t="shared" si="371"/>
        <v>0</v>
      </c>
      <c r="AZ50" s="505">
        <f t="shared" si="371"/>
        <v>0</v>
      </c>
      <c r="BA50" s="505">
        <f t="shared" si="371"/>
        <v>0</v>
      </c>
      <c r="BB50" s="505">
        <f t="shared" si="371"/>
        <v>0</v>
      </c>
      <c r="BC50" s="505">
        <f t="shared" si="371"/>
        <v>0</v>
      </c>
      <c r="BD50" s="505">
        <f t="shared" si="371"/>
        <v>0</v>
      </c>
      <c r="BE50" s="505">
        <f t="shared" si="371"/>
        <v>0</v>
      </c>
      <c r="BF50" s="505">
        <f t="shared" si="371"/>
        <v>0</v>
      </c>
      <c r="BG50" s="505">
        <f t="shared" si="371"/>
        <v>0</v>
      </c>
      <c r="BH50" s="505">
        <f t="shared" si="371"/>
        <v>0</v>
      </c>
      <c r="BI50" s="505">
        <f t="shared" si="371"/>
        <v>0</v>
      </c>
      <c r="BJ50" s="505">
        <f t="shared" si="371"/>
        <v>0</v>
      </c>
      <c r="BK50" s="505">
        <f t="shared" si="371"/>
        <v>0</v>
      </c>
      <c r="BL50" s="505">
        <f t="shared" si="371"/>
        <v>0</v>
      </c>
      <c r="BM50" s="505">
        <f t="shared" si="371"/>
        <v>0</v>
      </c>
      <c r="BN50" s="505">
        <f t="shared" si="371"/>
        <v>0</v>
      </c>
      <c r="BO50" s="505">
        <f t="shared" si="371"/>
        <v>0</v>
      </c>
      <c r="BP50" s="505">
        <f t="shared" si="371"/>
        <v>0</v>
      </c>
      <c r="BQ50" s="505">
        <f t="shared" si="371"/>
        <v>0</v>
      </c>
      <c r="BR50" s="505">
        <f t="shared" si="371"/>
        <v>0</v>
      </c>
      <c r="BS50" s="505">
        <f t="shared" si="371"/>
        <v>0</v>
      </c>
      <c r="BT50" s="505">
        <f t="shared" si="371"/>
        <v>0</v>
      </c>
      <c r="BU50" s="505">
        <f t="shared" si="371"/>
        <v>0</v>
      </c>
      <c r="BV50" s="505">
        <f t="shared" si="371"/>
        <v>0</v>
      </c>
      <c r="BW50" s="505">
        <f t="shared" ref="BW50:EH50" si="372">SUM(BW17:BW48)</f>
        <v>0</v>
      </c>
      <c r="BX50" s="505">
        <f t="shared" si="372"/>
        <v>0</v>
      </c>
      <c r="BY50" s="505">
        <f t="shared" si="372"/>
        <v>0</v>
      </c>
      <c r="BZ50" s="505">
        <f t="shared" si="372"/>
        <v>0</v>
      </c>
      <c r="CA50" s="505">
        <f t="shared" si="372"/>
        <v>0</v>
      </c>
      <c r="CB50" s="505">
        <f t="shared" si="372"/>
        <v>0</v>
      </c>
      <c r="CC50" s="505">
        <f t="shared" si="372"/>
        <v>0</v>
      </c>
      <c r="CD50" s="505">
        <f t="shared" si="372"/>
        <v>0</v>
      </c>
      <c r="CE50" s="505">
        <f t="shared" si="372"/>
        <v>0</v>
      </c>
      <c r="CF50" s="505">
        <f t="shared" si="372"/>
        <v>0</v>
      </c>
      <c r="CG50" s="505">
        <f t="shared" si="372"/>
        <v>0</v>
      </c>
      <c r="CH50" s="505">
        <f t="shared" si="372"/>
        <v>0</v>
      </c>
      <c r="CI50" s="505">
        <f t="shared" si="372"/>
        <v>0</v>
      </c>
      <c r="CJ50" s="505">
        <f t="shared" si="372"/>
        <v>0</v>
      </c>
      <c r="CK50" s="505">
        <f t="shared" si="372"/>
        <v>0</v>
      </c>
      <c r="CL50" s="505">
        <f t="shared" si="372"/>
        <v>0</v>
      </c>
      <c r="CM50" s="505">
        <f t="shared" si="372"/>
        <v>0</v>
      </c>
      <c r="CN50" s="505">
        <f t="shared" si="372"/>
        <v>0</v>
      </c>
      <c r="CO50" s="505">
        <f t="shared" si="372"/>
        <v>0</v>
      </c>
      <c r="CP50" s="505">
        <f t="shared" si="372"/>
        <v>0</v>
      </c>
      <c r="CQ50" s="505">
        <f t="shared" si="372"/>
        <v>0</v>
      </c>
      <c r="CR50" s="505">
        <f t="shared" si="372"/>
        <v>0</v>
      </c>
      <c r="CS50" s="505">
        <f t="shared" si="372"/>
        <v>0</v>
      </c>
      <c r="CT50" s="505">
        <f t="shared" si="372"/>
        <v>0</v>
      </c>
      <c r="CU50" s="505">
        <f t="shared" si="372"/>
        <v>0</v>
      </c>
      <c r="CV50" s="505">
        <f t="shared" si="372"/>
        <v>0</v>
      </c>
      <c r="CW50" s="505">
        <f t="shared" si="372"/>
        <v>0</v>
      </c>
      <c r="CX50" s="505">
        <f t="shared" si="372"/>
        <v>0</v>
      </c>
      <c r="CY50" s="505">
        <f t="shared" si="372"/>
        <v>0</v>
      </c>
      <c r="CZ50" s="505">
        <f t="shared" si="372"/>
        <v>0</v>
      </c>
      <c r="DA50" s="505">
        <f t="shared" si="372"/>
        <v>0</v>
      </c>
      <c r="DB50" s="505">
        <f t="shared" si="372"/>
        <v>0</v>
      </c>
      <c r="DC50" s="505">
        <f t="shared" si="372"/>
        <v>0</v>
      </c>
      <c r="DD50" s="505">
        <f t="shared" si="372"/>
        <v>0</v>
      </c>
      <c r="DE50" s="505">
        <f t="shared" si="372"/>
        <v>0</v>
      </c>
      <c r="DF50" s="505">
        <f t="shared" si="372"/>
        <v>0</v>
      </c>
      <c r="DG50" s="505">
        <f t="shared" si="372"/>
        <v>0</v>
      </c>
      <c r="DH50" s="505">
        <f t="shared" si="372"/>
        <v>0</v>
      </c>
      <c r="DI50" s="505">
        <f t="shared" si="372"/>
        <v>0</v>
      </c>
      <c r="DJ50" s="505">
        <f t="shared" si="372"/>
        <v>0</v>
      </c>
      <c r="DK50" s="505">
        <f t="shared" si="372"/>
        <v>0</v>
      </c>
      <c r="DL50" s="505">
        <f t="shared" si="372"/>
        <v>0</v>
      </c>
      <c r="DM50" s="505">
        <f t="shared" si="372"/>
        <v>0</v>
      </c>
      <c r="DN50" s="505">
        <f t="shared" si="372"/>
        <v>0</v>
      </c>
      <c r="DO50" s="505">
        <f t="shared" si="372"/>
        <v>0</v>
      </c>
      <c r="DP50" s="505">
        <f t="shared" si="372"/>
        <v>0</v>
      </c>
      <c r="DQ50" s="505">
        <f t="shared" si="372"/>
        <v>0</v>
      </c>
      <c r="DR50" s="505">
        <f t="shared" si="372"/>
        <v>0</v>
      </c>
      <c r="DS50" s="505">
        <f t="shared" si="372"/>
        <v>0</v>
      </c>
      <c r="DT50" s="505">
        <f t="shared" si="372"/>
        <v>0</v>
      </c>
      <c r="DU50" s="505">
        <f t="shared" si="372"/>
        <v>0</v>
      </c>
      <c r="DV50" s="505">
        <f t="shared" si="372"/>
        <v>0</v>
      </c>
      <c r="DW50" s="505">
        <f t="shared" si="372"/>
        <v>0</v>
      </c>
      <c r="DX50" s="505">
        <f t="shared" si="372"/>
        <v>0</v>
      </c>
      <c r="DY50" s="505">
        <f t="shared" si="372"/>
        <v>0</v>
      </c>
      <c r="DZ50" s="505">
        <f t="shared" si="372"/>
        <v>0</v>
      </c>
      <c r="EA50" s="505">
        <f t="shared" si="372"/>
        <v>0</v>
      </c>
      <c r="EB50" s="505">
        <f t="shared" si="372"/>
        <v>0</v>
      </c>
      <c r="EC50" s="505">
        <f t="shared" si="372"/>
        <v>0</v>
      </c>
      <c r="ED50" s="505">
        <f t="shared" si="372"/>
        <v>0</v>
      </c>
      <c r="EE50" s="505">
        <f t="shared" si="372"/>
        <v>0</v>
      </c>
      <c r="EF50" s="505">
        <f t="shared" si="372"/>
        <v>0</v>
      </c>
      <c r="EG50" s="505">
        <f t="shared" si="372"/>
        <v>0</v>
      </c>
      <c r="EH50" s="505">
        <f t="shared" si="372"/>
        <v>0</v>
      </c>
      <c r="EI50" s="505">
        <f t="shared" ref="EI50:GT50" si="373">SUM(EI17:EI48)</f>
        <v>0</v>
      </c>
      <c r="EJ50" s="505">
        <f t="shared" si="373"/>
        <v>0</v>
      </c>
      <c r="EK50" s="505">
        <f t="shared" si="373"/>
        <v>0</v>
      </c>
      <c r="EL50" s="505">
        <f t="shared" si="373"/>
        <v>0</v>
      </c>
      <c r="EM50" s="505">
        <f t="shared" si="373"/>
        <v>0</v>
      </c>
      <c r="EN50" s="505">
        <f t="shared" si="373"/>
        <v>0</v>
      </c>
      <c r="EO50" s="505">
        <f t="shared" si="373"/>
        <v>0</v>
      </c>
      <c r="EP50" s="505">
        <f t="shared" si="373"/>
        <v>0</v>
      </c>
      <c r="EQ50" s="505">
        <f t="shared" si="373"/>
        <v>0</v>
      </c>
      <c r="ER50" s="505">
        <f t="shared" si="373"/>
        <v>0</v>
      </c>
      <c r="ES50" s="505">
        <f t="shared" si="373"/>
        <v>0</v>
      </c>
      <c r="ET50" s="505">
        <f t="shared" si="373"/>
        <v>0</v>
      </c>
      <c r="EU50" s="505">
        <f t="shared" si="373"/>
        <v>0</v>
      </c>
      <c r="EV50" s="505">
        <f t="shared" si="373"/>
        <v>0</v>
      </c>
      <c r="EW50" s="505">
        <f t="shared" si="373"/>
        <v>0</v>
      </c>
      <c r="EX50" s="505">
        <f t="shared" si="373"/>
        <v>0</v>
      </c>
      <c r="EY50" s="505">
        <f t="shared" si="373"/>
        <v>0</v>
      </c>
      <c r="EZ50" s="505">
        <f t="shared" si="373"/>
        <v>0</v>
      </c>
      <c r="FA50" s="505">
        <f t="shared" si="373"/>
        <v>0</v>
      </c>
      <c r="FB50" s="505">
        <f t="shared" si="373"/>
        <v>0</v>
      </c>
      <c r="FC50" s="505">
        <f t="shared" si="373"/>
        <v>0</v>
      </c>
      <c r="FD50" s="505">
        <f t="shared" si="373"/>
        <v>0</v>
      </c>
      <c r="FE50" s="505">
        <f t="shared" si="373"/>
        <v>0</v>
      </c>
      <c r="FF50" s="505">
        <f t="shared" si="373"/>
        <v>0</v>
      </c>
      <c r="FG50" s="505">
        <f t="shared" si="373"/>
        <v>0</v>
      </c>
      <c r="FH50" s="505">
        <f t="shared" si="373"/>
        <v>0</v>
      </c>
      <c r="FI50" s="505">
        <f t="shared" si="373"/>
        <v>0</v>
      </c>
      <c r="FJ50" s="505">
        <f t="shared" si="373"/>
        <v>0</v>
      </c>
      <c r="FK50" s="505">
        <f t="shared" si="373"/>
        <v>0</v>
      </c>
      <c r="FL50" s="505">
        <f t="shared" si="373"/>
        <v>0</v>
      </c>
      <c r="FM50" s="505">
        <f t="shared" si="373"/>
        <v>0</v>
      </c>
      <c r="FN50" s="505">
        <f t="shared" si="373"/>
        <v>0</v>
      </c>
      <c r="FO50" s="505">
        <f t="shared" si="373"/>
        <v>0</v>
      </c>
      <c r="FP50" s="505">
        <f t="shared" si="373"/>
        <v>0</v>
      </c>
      <c r="FQ50" s="505">
        <f t="shared" si="373"/>
        <v>0</v>
      </c>
      <c r="FR50" s="505">
        <f t="shared" si="373"/>
        <v>0</v>
      </c>
      <c r="FS50" s="505">
        <f t="shared" si="373"/>
        <v>0</v>
      </c>
      <c r="FT50" s="505">
        <f t="shared" si="373"/>
        <v>0</v>
      </c>
      <c r="FU50" s="505">
        <f t="shared" si="373"/>
        <v>0</v>
      </c>
      <c r="FV50" s="505">
        <f t="shared" si="373"/>
        <v>0</v>
      </c>
      <c r="FW50" s="505">
        <f t="shared" si="373"/>
        <v>0</v>
      </c>
      <c r="FX50" s="505">
        <f t="shared" si="373"/>
        <v>0</v>
      </c>
      <c r="FY50" s="505">
        <f t="shared" si="373"/>
        <v>0</v>
      </c>
      <c r="FZ50" s="505">
        <f t="shared" si="373"/>
        <v>0</v>
      </c>
      <c r="GA50" s="505">
        <f t="shared" si="373"/>
        <v>0</v>
      </c>
      <c r="GB50" s="505">
        <f t="shared" si="373"/>
        <v>0</v>
      </c>
      <c r="GC50" s="505">
        <f t="shared" si="373"/>
        <v>0</v>
      </c>
      <c r="GD50" s="505">
        <f t="shared" si="373"/>
        <v>0</v>
      </c>
      <c r="GE50" s="505">
        <f t="shared" si="373"/>
        <v>0</v>
      </c>
      <c r="GF50" s="505">
        <f t="shared" si="373"/>
        <v>0</v>
      </c>
      <c r="GG50" s="505">
        <f t="shared" si="373"/>
        <v>0</v>
      </c>
      <c r="GH50" s="505">
        <f t="shared" si="373"/>
        <v>0</v>
      </c>
      <c r="GI50" s="505">
        <f t="shared" si="373"/>
        <v>0</v>
      </c>
      <c r="GJ50" s="505">
        <f t="shared" si="373"/>
        <v>0</v>
      </c>
      <c r="GK50" s="505">
        <f t="shared" si="373"/>
        <v>0</v>
      </c>
      <c r="GL50" s="505">
        <f t="shared" si="373"/>
        <v>0</v>
      </c>
      <c r="GM50" s="505">
        <f t="shared" si="373"/>
        <v>0</v>
      </c>
      <c r="GN50" s="505">
        <f t="shared" si="373"/>
        <v>0</v>
      </c>
      <c r="GO50" s="505">
        <f t="shared" si="373"/>
        <v>0</v>
      </c>
      <c r="GP50" s="505">
        <f t="shared" si="373"/>
        <v>0</v>
      </c>
      <c r="GQ50" s="505">
        <f t="shared" si="373"/>
        <v>0</v>
      </c>
      <c r="GR50" s="505">
        <f t="shared" si="373"/>
        <v>0</v>
      </c>
      <c r="GS50" s="505">
        <f t="shared" si="373"/>
        <v>0</v>
      </c>
      <c r="GT50" s="505">
        <f t="shared" si="373"/>
        <v>0</v>
      </c>
      <c r="GU50" s="505">
        <f t="shared" ref="GU50:JF50" si="374">SUM(GU17:GU48)</f>
        <v>0</v>
      </c>
      <c r="GV50" s="505">
        <f t="shared" si="374"/>
        <v>0</v>
      </c>
      <c r="GW50" s="505">
        <f t="shared" si="374"/>
        <v>0</v>
      </c>
      <c r="GX50" s="505">
        <f t="shared" si="374"/>
        <v>0</v>
      </c>
      <c r="GY50" s="505">
        <f t="shared" si="374"/>
        <v>0</v>
      </c>
      <c r="GZ50" s="505">
        <f t="shared" si="374"/>
        <v>0</v>
      </c>
      <c r="HA50" s="505">
        <f t="shared" si="374"/>
        <v>0</v>
      </c>
      <c r="HB50" s="505">
        <f t="shared" si="374"/>
        <v>0</v>
      </c>
      <c r="HC50" s="505">
        <f t="shared" si="374"/>
        <v>0</v>
      </c>
      <c r="HD50" s="505">
        <f t="shared" si="374"/>
        <v>0</v>
      </c>
      <c r="HE50" s="505">
        <f t="shared" si="374"/>
        <v>0</v>
      </c>
      <c r="HF50" s="505">
        <f t="shared" si="374"/>
        <v>0</v>
      </c>
      <c r="HG50" s="505">
        <f t="shared" si="374"/>
        <v>0</v>
      </c>
      <c r="HH50" s="505">
        <f t="shared" si="374"/>
        <v>0</v>
      </c>
      <c r="HI50" s="505">
        <f t="shared" si="374"/>
        <v>0</v>
      </c>
      <c r="HJ50" s="505">
        <f t="shared" si="374"/>
        <v>0</v>
      </c>
      <c r="HK50" s="505">
        <f t="shared" si="374"/>
        <v>0</v>
      </c>
      <c r="HL50" s="505">
        <f t="shared" si="374"/>
        <v>0</v>
      </c>
      <c r="HM50" s="505">
        <f t="shared" si="374"/>
        <v>0</v>
      </c>
      <c r="HN50" s="505">
        <f t="shared" si="374"/>
        <v>0</v>
      </c>
      <c r="HO50" s="505">
        <f t="shared" si="374"/>
        <v>0</v>
      </c>
      <c r="HP50" s="505">
        <f t="shared" si="374"/>
        <v>0</v>
      </c>
      <c r="HQ50" s="505">
        <f t="shared" si="374"/>
        <v>0</v>
      </c>
      <c r="HR50" s="505">
        <f t="shared" si="374"/>
        <v>0</v>
      </c>
      <c r="HS50" s="505">
        <f t="shared" si="374"/>
        <v>0</v>
      </c>
      <c r="HT50" s="505">
        <f t="shared" si="374"/>
        <v>0</v>
      </c>
      <c r="HU50" s="505">
        <f t="shared" si="374"/>
        <v>0</v>
      </c>
      <c r="HV50" s="505">
        <f t="shared" si="374"/>
        <v>0</v>
      </c>
      <c r="HW50" s="505">
        <f t="shared" si="374"/>
        <v>0</v>
      </c>
      <c r="HX50" s="505">
        <f t="shared" si="374"/>
        <v>0</v>
      </c>
      <c r="HY50" s="505">
        <f t="shared" si="374"/>
        <v>0</v>
      </c>
      <c r="HZ50" s="505">
        <f t="shared" si="374"/>
        <v>0</v>
      </c>
      <c r="IA50" s="505">
        <f t="shared" si="374"/>
        <v>0</v>
      </c>
      <c r="IB50" s="505">
        <f t="shared" si="374"/>
        <v>0</v>
      </c>
      <c r="IC50" s="505">
        <f t="shared" si="374"/>
        <v>0</v>
      </c>
      <c r="ID50" s="505">
        <f t="shared" si="374"/>
        <v>0</v>
      </c>
      <c r="IE50" s="505">
        <f t="shared" si="374"/>
        <v>0</v>
      </c>
      <c r="IF50" s="505">
        <f t="shared" si="374"/>
        <v>0</v>
      </c>
      <c r="IG50" s="505">
        <f t="shared" si="374"/>
        <v>0</v>
      </c>
      <c r="IH50" s="505">
        <f t="shared" si="374"/>
        <v>0</v>
      </c>
      <c r="II50" s="505">
        <f t="shared" si="374"/>
        <v>0</v>
      </c>
      <c r="IJ50" s="505">
        <f t="shared" si="374"/>
        <v>0</v>
      </c>
      <c r="IK50" s="505">
        <f t="shared" si="374"/>
        <v>0</v>
      </c>
      <c r="IL50" s="505">
        <f t="shared" si="374"/>
        <v>0</v>
      </c>
      <c r="IM50" s="505">
        <f t="shared" si="374"/>
        <v>0</v>
      </c>
      <c r="IN50" s="505">
        <f t="shared" si="374"/>
        <v>0</v>
      </c>
      <c r="IO50" s="505">
        <f t="shared" si="374"/>
        <v>0</v>
      </c>
      <c r="IP50" s="505">
        <f t="shared" si="374"/>
        <v>0</v>
      </c>
      <c r="IQ50" s="505">
        <f t="shared" si="374"/>
        <v>0</v>
      </c>
      <c r="IR50" s="505">
        <f t="shared" si="374"/>
        <v>0</v>
      </c>
      <c r="IS50" s="505">
        <f t="shared" si="374"/>
        <v>0</v>
      </c>
      <c r="IT50" s="505">
        <f t="shared" si="374"/>
        <v>0</v>
      </c>
      <c r="IU50" s="505">
        <f t="shared" si="374"/>
        <v>0</v>
      </c>
      <c r="IV50" s="505">
        <f t="shared" si="374"/>
        <v>0</v>
      </c>
      <c r="IW50" s="505">
        <f t="shared" si="374"/>
        <v>0</v>
      </c>
      <c r="IX50" s="505">
        <f t="shared" si="374"/>
        <v>0</v>
      </c>
      <c r="IY50" s="505">
        <f t="shared" si="374"/>
        <v>0</v>
      </c>
      <c r="IZ50" s="505">
        <f t="shared" si="374"/>
        <v>0</v>
      </c>
      <c r="JA50" s="505">
        <f t="shared" si="374"/>
        <v>0</v>
      </c>
      <c r="JB50" s="505">
        <f t="shared" si="374"/>
        <v>0</v>
      </c>
      <c r="JC50" s="505">
        <f t="shared" si="374"/>
        <v>0</v>
      </c>
      <c r="JD50" s="505">
        <f t="shared" si="374"/>
        <v>0</v>
      </c>
      <c r="JE50" s="505">
        <f t="shared" si="374"/>
        <v>0</v>
      </c>
      <c r="JF50" s="505">
        <f t="shared" si="374"/>
        <v>0</v>
      </c>
      <c r="JG50" s="505">
        <f t="shared" ref="JG50:LR50" si="375">SUM(JG17:JG48)</f>
        <v>0</v>
      </c>
      <c r="JH50" s="505">
        <f t="shared" si="375"/>
        <v>0</v>
      </c>
      <c r="JI50" s="505">
        <f t="shared" si="375"/>
        <v>0</v>
      </c>
      <c r="JJ50" s="505">
        <f t="shared" si="375"/>
        <v>0</v>
      </c>
      <c r="JK50" s="505">
        <f t="shared" si="375"/>
        <v>0</v>
      </c>
      <c r="JL50" s="505">
        <f t="shared" si="375"/>
        <v>0</v>
      </c>
      <c r="JM50" s="505">
        <f t="shared" si="375"/>
        <v>0</v>
      </c>
      <c r="JN50" s="505">
        <f t="shared" si="375"/>
        <v>0</v>
      </c>
      <c r="JO50" s="505">
        <f t="shared" si="375"/>
        <v>0</v>
      </c>
      <c r="JP50" s="505">
        <f t="shared" si="375"/>
        <v>0</v>
      </c>
      <c r="JQ50" s="505">
        <f t="shared" si="375"/>
        <v>0</v>
      </c>
      <c r="JR50" s="505">
        <f t="shared" si="375"/>
        <v>0</v>
      </c>
      <c r="JS50" s="505">
        <f t="shared" si="375"/>
        <v>0</v>
      </c>
      <c r="JT50" s="505">
        <f t="shared" si="375"/>
        <v>0</v>
      </c>
      <c r="JU50" s="505">
        <f t="shared" si="375"/>
        <v>0</v>
      </c>
      <c r="JV50" s="505">
        <f t="shared" si="375"/>
        <v>0</v>
      </c>
      <c r="JW50" s="505">
        <f t="shared" si="375"/>
        <v>0</v>
      </c>
      <c r="JX50" s="505">
        <f t="shared" si="375"/>
        <v>0</v>
      </c>
      <c r="JY50" s="505">
        <f t="shared" si="375"/>
        <v>0</v>
      </c>
      <c r="JZ50" s="505">
        <f t="shared" si="375"/>
        <v>0</v>
      </c>
      <c r="KA50" s="505">
        <f t="shared" si="375"/>
        <v>0</v>
      </c>
      <c r="KB50" s="505">
        <f t="shared" si="375"/>
        <v>0</v>
      </c>
      <c r="KC50" s="505">
        <f t="shared" si="375"/>
        <v>0</v>
      </c>
      <c r="KD50" s="505">
        <f t="shared" si="375"/>
        <v>0</v>
      </c>
      <c r="KE50" s="505">
        <f t="shared" si="375"/>
        <v>0</v>
      </c>
      <c r="KF50" s="505">
        <f t="shared" si="375"/>
        <v>0</v>
      </c>
      <c r="KG50" s="505">
        <f t="shared" si="375"/>
        <v>0</v>
      </c>
      <c r="KH50" s="505">
        <f t="shared" si="375"/>
        <v>0</v>
      </c>
      <c r="KI50" s="505">
        <f t="shared" si="375"/>
        <v>0</v>
      </c>
      <c r="KJ50" s="505">
        <f t="shared" si="375"/>
        <v>0</v>
      </c>
      <c r="KK50" s="505">
        <f t="shared" si="375"/>
        <v>0</v>
      </c>
      <c r="KL50" s="505">
        <f t="shared" si="375"/>
        <v>0</v>
      </c>
      <c r="KM50" s="505">
        <f t="shared" si="375"/>
        <v>0</v>
      </c>
      <c r="KN50" s="505">
        <f t="shared" si="375"/>
        <v>0</v>
      </c>
      <c r="KO50" s="505">
        <f t="shared" si="375"/>
        <v>0</v>
      </c>
      <c r="KP50" s="505">
        <f t="shared" si="375"/>
        <v>0</v>
      </c>
      <c r="KQ50" s="505">
        <f t="shared" si="375"/>
        <v>0</v>
      </c>
      <c r="KR50" s="505">
        <f t="shared" si="375"/>
        <v>0</v>
      </c>
      <c r="KS50" s="505">
        <f t="shared" si="375"/>
        <v>0</v>
      </c>
      <c r="KT50" s="505">
        <f t="shared" si="375"/>
        <v>0</v>
      </c>
      <c r="KU50" s="505">
        <f t="shared" si="375"/>
        <v>0</v>
      </c>
      <c r="KV50" s="505">
        <f t="shared" si="375"/>
        <v>0</v>
      </c>
      <c r="KW50" s="505">
        <f t="shared" si="375"/>
        <v>0</v>
      </c>
      <c r="KX50" s="505">
        <f t="shared" si="375"/>
        <v>0</v>
      </c>
      <c r="KY50" s="505">
        <f t="shared" si="375"/>
        <v>0</v>
      </c>
      <c r="KZ50" s="505">
        <f t="shared" si="375"/>
        <v>0</v>
      </c>
      <c r="LA50" s="505">
        <f t="shared" si="375"/>
        <v>0</v>
      </c>
      <c r="LB50" s="505">
        <f t="shared" si="375"/>
        <v>0</v>
      </c>
      <c r="LC50" s="505">
        <f t="shared" si="375"/>
        <v>0</v>
      </c>
      <c r="LD50" s="505">
        <f t="shared" si="375"/>
        <v>0</v>
      </c>
      <c r="LE50" s="505">
        <f t="shared" si="375"/>
        <v>0</v>
      </c>
      <c r="LF50" s="505">
        <f t="shared" si="375"/>
        <v>0</v>
      </c>
      <c r="LG50" s="505">
        <f t="shared" si="375"/>
        <v>0</v>
      </c>
      <c r="LH50" s="505">
        <f t="shared" si="375"/>
        <v>0</v>
      </c>
      <c r="LI50" s="505">
        <f t="shared" si="375"/>
        <v>0</v>
      </c>
      <c r="LJ50" s="505">
        <f t="shared" si="375"/>
        <v>0</v>
      </c>
      <c r="LK50" s="505">
        <f t="shared" si="375"/>
        <v>0</v>
      </c>
      <c r="LL50" s="505">
        <f t="shared" si="375"/>
        <v>0</v>
      </c>
      <c r="LM50" s="505">
        <f t="shared" si="375"/>
        <v>0</v>
      </c>
      <c r="LN50" s="505">
        <f t="shared" si="375"/>
        <v>0</v>
      </c>
      <c r="LO50" s="505">
        <f t="shared" si="375"/>
        <v>0</v>
      </c>
      <c r="LP50" s="505">
        <f t="shared" si="375"/>
        <v>0</v>
      </c>
      <c r="LQ50" s="505">
        <f t="shared" si="375"/>
        <v>0</v>
      </c>
      <c r="LR50" s="505">
        <f t="shared" si="375"/>
        <v>0</v>
      </c>
      <c r="LS50" s="505">
        <f t="shared" ref="LS50:OD50" si="376">SUM(LS17:LS48)</f>
        <v>0</v>
      </c>
      <c r="LT50" s="505">
        <f t="shared" si="376"/>
        <v>0</v>
      </c>
      <c r="LU50" s="505">
        <f t="shared" si="376"/>
        <v>0</v>
      </c>
      <c r="LV50" s="505">
        <f t="shared" si="376"/>
        <v>0</v>
      </c>
      <c r="LW50" s="505">
        <f t="shared" si="376"/>
        <v>0</v>
      </c>
      <c r="LX50" s="505">
        <f t="shared" si="376"/>
        <v>0</v>
      </c>
      <c r="LY50" s="505">
        <f t="shared" si="376"/>
        <v>0</v>
      </c>
      <c r="LZ50" s="505">
        <f t="shared" si="376"/>
        <v>0</v>
      </c>
      <c r="MA50" s="505">
        <f t="shared" si="376"/>
        <v>0</v>
      </c>
      <c r="MB50" s="505">
        <f t="shared" si="376"/>
        <v>0</v>
      </c>
      <c r="MC50" s="505">
        <f t="shared" si="376"/>
        <v>0</v>
      </c>
      <c r="MD50" s="505">
        <f t="shared" si="376"/>
        <v>0</v>
      </c>
      <c r="ME50" s="505">
        <f t="shared" si="376"/>
        <v>0</v>
      </c>
      <c r="MF50" s="505">
        <f t="shared" si="376"/>
        <v>0</v>
      </c>
      <c r="MG50" s="505">
        <f t="shared" si="376"/>
        <v>0</v>
      </c>
      <c r="MH50" s="505">
        <f t="shared" si="376"/>
        <v>0</v>
      </c>
      <c r="MI50" s="505">
        <f t="shared" si="376"/>
        <v>0</v>
      </c>
      <c r="MJ50" s="505">
        <f t="shared" si="376"/>
        <v>0</v>
      </c>
      <c r="MK50" s="505">
        <f t="shared" si="376"/>
        <v>0</v>
      </c>
      <c r="ML50" s="505">
        <f t="shared" si="376"/>
        <v>0</v>
      </c>
      <c r="MM50" s="505">
        <f t="shared" si="376"/>
        <v>0</v>
      </c>
      <c r="MN50" s="505">
        <f t="shared" si="376"/>
        <v>0</v>
      </c>
      <c r="MO50" s="505">
        <f t="shared" si="376"/>
        <v>0</v>
      </c>
      <c r="MP50" s="505">
        <f t="shared" si="376"/>
        <v>0</v>
      </c>
      <c r="MQ50" s="505">
        <f t="shared" si="376"/>
        <v>0</v>
      </c>
      <c r="MR50" s="505">
        <f t="shared" si="376"/>
        <v>0</v>
      </c>
      <c r="MS50" s="505">
        <f t="shared" si="376"/>
        <v>0</v>
      </c>
      <c r="MT50" s="505">
        <f t="shared" si="376"/>
        <v>0</v>
      </c>
      <c r="MU50" s="505">
        <f t="shared" si="376"/>
        <v>0</v>
      </c>
      <c r="MV50" s="505">
        <f t="shared" si="376"/>
        <v>0</v>
      </c>
      <c r="MW50" s="505">
        <f t="shared" si="376"/>
        <v>0</v>
      </c>
      <c r="MX50" s="505">
        <f t="shared" si="376"/>
        <v>0</v>
      </c>
      <c r="MY50" s="505">
        <f t="shared" si="376"/>
        <v>0</v>
      </c>
      <c r="MZ50" s="505">
        <f t="shared" si="376"/>
        <v>0</v>
      </c>
      <c r="NA50" s="505">
        <f t="shared" si="376"/>
        <v>0</v>
      </c>
      <c r="NB50" s="505">
        <f t="shared" si="376"/>
        <v>0</v>
      </c>
      <c r="NC50" s="505">
        <f t="shared" si="376"/>
        <v>0</v>
      </c>
      <c r="ND50" s="505">
        <f t="shared" si="376"/>
        <v>0</v>
      </c>
      <c r="NE50" s="505">
        <f t="shared" si="376"/>
        <v>0</v>
      </c>
      <c r="NF50" s="505">
        <f t="shared" si="376"/>
        <v>0</v>
      </c>
      <c r="NG50" s="505">
        <f t="shared" si="376"/>
        <v>0</v>
      </c>
      <c r="NH50" s="505">
        <f t="shared" si="376"/>
        <v>0</v>
      </c>
      <c r="NI50" s="505">
        <f t="shared" si="376"/>
        <v>0</v>
      </c>
      <c r="NJ50" s="505">
        <f t="shared" si="376"/>
        <v>0</v>
      </c>
      <c r="NK50" s="505">
        <f t="shared" si="376"/>
        <v>0</v>
      </c>
      <c r="NL50" s="505">
        <f t="shared" si="376"/>
        <v>0</v>
      </c>
      <c r="NM50" s="505">
        <f t="shared" si="376"/>
        <v>0</v>
      </c>
      <c r="NN50" s="505">
        <f t="shared" si="376"/>
        <v>0</v>
      </c>
      <c r="NO50" s="505">
        <f t="shared" si="376"/>
        <v>0</v>
      </c>
      <c r="NP50" s="505">
        <f t="shared" si="376"/>
        <v>0</v>
      </c>
      <c r="NQ50" s="505">
        <f t="shared" si="376"/>
        <v>0</v>
      </c>
      <c r="NR50" s="505">
        <f t="shared" si="376"/>
        <v>0</v>
      </c>
      <c r="NS50" s="505">
        <f t="shared" si="376"/>
        <v>0</v>
      </c>
      <c r="NT50" s="505">
        <f t="shared" si="376"/>
        <v>0</v>
      </c>
      <c r="NU50" s="505">
        <f t="shared" si="376"/>
        <v>0</v>
      </c>
      <c r="NV50" s="505">
        <f t="shared" si="376"/>
        <v>0</v>
      </c>
      <c r="NW50" s="505">
        <f t="shared" si="376"/>
        <v>0</v>
      </c>
      <c r="NX50" s="505">
        <f t="shared" si="376"/>
        <v>0</v>
      </c>
      <c r="NY50" s="505">
        <f t="shared" si="376"/>
        <v>0</v>
      </c>
      <c r="NZ50" s="505">
        <f t="shared" si="376"/>
        <v>0</v>
      </c>
      <c r="OA50" s="505">
        <f t="shared" si="376"/>
        <v>0</v>
      </c>
      <c r="OB50" s="505">
        <f t="shared" si="376"/>
        <v>0</v>
      </c>
      <c r="OC50" s="505">
        <f t="shared" si="376"/>
        <v>0</v>
      </c>
      <c r="OD50" s="505">
        <f t="shared" si="376"/>
        <v>0</v>
      </c>
      <c r="OE50" s="505">
        <f t="shared" ref="OE50:OO50" si="377">SUM(OE17:OE48)</f>
        <v>0</v>
      </c>
      <c r="OF50" s="505">
        <f t="shared" si="377"/>
        <v>0</v>
      </c>
      <c r="OG50" s="505">
        <f t="shared" si="377"/>
        <v>0</v>
      </c>
      <c r="OH50" s="505">
        <f t="shared" si="377"/>
        <v>0</v>
      </c>
      <c r="OI50" s="505">
        <f t="shared" si="377"/>
        <v>0</v>
      </c>
      <c r="OJ50" s="505">
        <f t="shared" si="377"/>
        <v>0</v>
      </c>
      <c r="OK50" s="505">
        <f t="shared" si="377"/>
        <v>0</v>
      </c>
      <c r="OL50" s="505">
        <f t="shared" si="377"/>
        <v>0</v>
      </c>
      <c r="OM50" s="505">
        <f t="shared" si="377"/>
        <v>0</v>
      </c>
      <c r="ON50" s="505">
        <f t="shared" si="377"/>
        <v>0</v>
      </c>
      <c r="OO50" s="505">
        <f t="shared" si="377"/>
        <v>0</v>
      </c>
    </row>
    <row r="51" spans="2:405">
      <c r="B51" s="477"/>
      <c r="C51" s="477"/>
      <c r="D51" s="477"/>
      <c r="E51" s="477"/>
      <c r="F51" s="477"/>
      <c r="G51" s="477"/>
      <c r="H51" s="477"/>
      <c r="I51" s="477"/>
      <c r="J51" s="477"/>
      <c r="K51" s="477"/>
      <c r="L51" s="484"/>
      <c r="M51" s="484"/>
      <c r="N51" s="484"/>
      <c r="O51" s="484"/>
      <c r="P51" s="484"/>
      <c r="Q51" s="484"/>
      <c r="R51" s="484"/>
      <c r="S51" s="484"/>
      <c r="T51" s="484"/>
      <c r="U51" s="484"/>
      <c r="V51" s="484"/>
      <c r="W51" s="484"/>
      <c r="X51" s="484"/>
      <c r="Y51" s="484"/>
      <c r="Z51" s="484"/>
      <c r="AA51" s="484"/>
      <c r="AB51" s="484"/>
      <c r="AC51" s="484"/>
      <c r="AD51" s="484"/>
      <c r="AE51" s="484"/>
      <c r="AF51" s="484"/>
      <c r="AG51" s="484"/>
      <c r="AH51" s="484"/>
      <c r="AI51" s="484"/>
      <c r="AJ51" s="484"/>
      <c r="AK51" s="484"/>
      <c r="AL51" s="484"/>
      <c r="AM51" s="484"/>
      <c r="AN51" s="484"/>
      <c r="AO51" s="484"/>
      <c r="AP51" s="97"/>
      <c r="AQ51" s="97"/>
    </row>
    <row r="52" spans="2:405">
      <c r="B52" s="477" t="s">
        <v>425</v>
      </c>
      <c r="C52" s="47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</row>
    <row r="53" spans="2:405">
      <c r="B53" s="97" t="s">
        <v>157</v>
      </c>
      <c r="C53" s="486"/>
      <c r="D53" s="500">
        <f>Assumptions!C123</f>
        <v>20076858.056897923</v>
      </c>
      <c r="E53" s="507">
        <f>Assumptions!$C$10</f>
        <v>46418</v>
      </c>
      <c r="F53" s="507">
        <f>EOMONTH(E53,SUM(Assumptions!$C$11:$C$12)-1)</f>
        <v>47299</v>
      </c>
      <c r="G53" s="97">
        <f t="shared" ref="G53:G56" si="378">((YEAR(F53)-YEAR(E53))*12+MONTH(F53)-MONTH(E53)+1)</f>
        <v>30</v>
      </c>
      <c r="H53" s="97"/>
      <c r="I53" s="97"/>
      <c r="J53" s="479">
        <f>-IF(J$7&gt;=$E53,IF(J$7&lt;=$F53,($D53/12),0),0)</f>
        <v>0</v>
      </c>
      <c r="K53" s="479">
        <f t="shared" ref="K53:BV54" si="379">-IF(K$7&gt;=$E53,IF(K$7&lt;=$F53,($D53/12),0),0)</f>
        <v>0</v>
      </c>
      <c r="L53" s="479">
        <f t="shared" si="379"/>
        <v>0</v>
      </c>
      <c r="M53" s="479">
        <f t="shared" si="379"/>
        <v>0</v>
      </c>
      <c r="N53" s="479">
        <f t="shared" si="379"/>
        <v>0</v>
      </c>
      <c r="O53" s="479">
        <f t="shared" si="379"/>
        <v>0</v>
      </c>
      <c r="P53" s="479">
        <f t="shared" si="379"/>
        <v>-1673071.5047414936</v>
      </c>
      <c r="Q53" s="479">
        <f t="shared" si="379"/>
        <v>-1673071.5047414936</v>
      </c>
      <c r="R53" s="479">
        <f t="shared" si="379"/>
        <v>-1673071.5047414936</v>
      </c>
      <c r="S53" s="479">
        <f t="shared" si="379"/>
        <v>-1673071.5047414936</v>
      </c>
      <c r="T53" s="479">
        <f t="shared" si="379"/>
        <v>-1673071.5047414936</v>
      </c>
      <c r="U53" s="479">
        <f t="shared" si="379"/>
        <v>-1673071.5047414936</v>
      </c>
      <c r="V53" s="479">
        <f t="shared" si="379"/>
        <v>-1673071.5047414936</v>
      </c>
      <c r="W53" s="479">
        <f t="shared" si="379"/>
        <v>-1673071.5047414936</v>
      </c>
      <c r="X53" s="479">
        <f t="shared" si="379"/>
        <v>-1673071.5047414936</v>
      </c>
      <c r="Y53" s="479">
        <f t="shared" si="379"/>
        <v>-1673071.5047414936</v>
      </c>
      <c r="Z53" s="479">
        <f t="shared" si="379"/>
        <v>-1673071.5047414936</v>
      </c>
      <c r="AA53" s="479">
        <f t="shared" si="379"/>
        <v>-1673071.5047414936</v>
      </c>
      <c r="AB53" s="479">
        <f t="shared" si="379"/>
        <v>-1673071.5047414936</v>
      </c>
      <c r="AC53" s="479">
        <f t="shared" si="379"/>
        <v>-1673071.5047414936</v>
      </c>
      <c r="AD53" s="479">
        <f t="shared" si="379"/>
        <v>-1673071.5047414936</v>
      </c>
      <c r="AE53" s="479">
        <f t="shared" si="379"/>
        <v>-1673071.5047414936</v>
      </c>
      <c r="AF53" s="479">
        <f t="shared" si="379"/>
        <v>-1673071.5047414936</v>
      </c>
      <c r="AG53" s="479">
        <f t="shared" si="379"/>
        <v>-1673071.5047414936</v>
      </c>
      <c r="AH53" s="479">
        <f t="shared" si="379"/>
        <v>-1673071.5047414936</v>
      </c>
      <c r="AI53" s="479">
        <f t="shared" si="379"/>
        <v>-1673071.5047414936</v>
      </c>
      <c r="AJ53" s="479">
        <f t="shared" si="379"/>
        <v>-1673071.5047414936</v>
      </c>
      <c r="AK53" s="479">
        <f t="shared" si="379"/>
        <v>-1673071.5047414936</v>
      </c>
      <c r="AL53" s="479">
        <f t="shared" si="379"/>
        <v>-1673071.5047414936</v>
      </c>
      <c r="AM53" s="479">
        <f t="shared" si="379"/>
        <v>-1673071.5047414936</v>
      </c>
      <c r="AN53" s="479">
        <f t="shared" si="379"/>
        <v>-1673071.5047414936</v>
      </c>
      <c r="AO53" s="479">
        <f t="shared" si="379"/>
        <v>-1673071.5047414936</v>
      </c>
      <c r="AP53" s="479">
        <f t="shared" si="379"/>
        <v>-1673071.5047414936</v>
      </c>
      <c r="AQ53" s="479">
        <f t="shared" si="379"/>
        <v>-1673071.5047414936</v>
      </c>
      <c r="AR53" s="479">
        <f t="shared" si="379"/>
        <v>-1673071.5047414936</v>
      </c>
      <c r="AS53" s="479">
        <f t="shared" si="379"/>
        <v>-1673071.5047414936</v>
      </c>
      <c r="AT53" s="479">
        <f t="shared" si="379"/>
        <v>0</v>
      </c>
      <c r="AU53" s="479">
        <f t="shared" si="379"/>
        <v>0</v>
      </c>
      <c r="AV53" s="479">
        <f t="shared" si="379"/>
        <v>0</v>
      </c>
      <c r="AW53" s="479">
        <f t="shared" si="379"/>
        <v>0</v>
      </c>
      <c r="AX53" s="479">
        <f t="shared" si="379"/>
        <v>0</v>
      </c>
      <c r="AY53" s="479">
        <f t="shared" si="379"/>
        <v>0</v>
      </c>
      <c r="AZ53" s="479">
        <f t="shared" si="379"/>
        <v>0</v>
      </c>
      <c r="BA53" s="479">
        <f t="shared" si="379"/>
        <v>0</v>
      </c>
      <c r="BB53" s="479">
        <f t="shared" si="379"/>
        <v>0</v>
      </c>
      <c r="BC53" s="479">
        <f t="shared" si="379"/>
        <v>0</v>
      </c>
      <c r="BD53" s="479">
        <f t="shared" si="379"/>
        <v>0</v>
      </c>
      <c r="BE53" s="479">
        <f t="shared" si="379"/>
        <v>0</v>
      </c>
      <c r="BF53" s="479">
        <f t="shared" si="379"/>
        <v>0</v>
      </c>
      <c r="BG53" s="479">
        <f t="shared" si="379"/>
        <v>0</v>
      </c>
      <c r="BH53" s="479">
        <f t="shared" si="379"/>
        <v>0</v>
      </c>
      <c r="BI53" s="479">
        <f t="shared" si="379"/>
        <v>0</v>
      </c>
      <c r="BJ53" s="479">
        <f t="shared" si="379"/>
        <v>0</v>
      </c>
      <c r="BK53" s="479">
        <f t="shared" si="379"/>
        <v>0</v>
      </c>
      <c r="BL53" s="479">
        <f t="shared" si="379"/>
        <v>0</v>
      </c>
      <c r="BM53" s="479">
        <f t="shared" si="379"/>
        <v>0</v>
      </c>
      <c r="BN53" s="479">
        <f t="shared" si="379"/>
        <v>0</v>
      </c>
      <c r="BO53" s="479">
        <f t="shared" si="379"/>
        <v>0</v>
      </c>
      <c r="BP53" s="479">
        <f t="shared" si="379"/>
        <v>0</v>
      </c>
      <c r="BQ53" s="479">
        <f t="shared" si="379"/>
        <v>0</v>
      </c>
      <c r="BR53" s="479">
        <f t="shared" si="379"/>
        <v>0</v>
      </c>
      <c r="BS53" s="479">
        <f t="shared" si="379"/>
        <v>0</v>
      </c>
      <c r="BT53" s="479">
        <f t="shared" si="379"/>
        <v>0</v>
      </c>
      <c r="BU53" s="479">
        <f t="shared" si="379"/>
        <v>0</v>
      </c>
      <c r="BV53" s="479">
        <f t="shared" si="379"/>
        <v>0</v>
      </c>
      <c r="BW53" s="479">
        <f t="shared" ref="BW53:EH54" si="380">-IF(BW$7&gt;=$E53,IF(BW$7&lt;=$F53,($D53/12),0),0)</f>
        <v>0</v>
      </c>
      <c r="BX53" s="479">
        <f t="shared" si="380"/>
        <v>0</v>
      </c>
      <c r="BY53" s="479">
        <f t="shared" si="380"/>
        <v>0</v>
      </c>
      <c r="BZ53" s="479">
        <f t="shared" si="380"/>
        <v>0</v>
      </c>
      <c r="CA53" s="479">
        <f t="shared" si="380"/>
        <v>0</v>
      </c>
      <c r="CB53" s="479">
        <f t="shared" si="380"/>
        <v>0</v>
      </c>
      <c r="CC53" s="479">
        <f t="shared" si="380"/>
        <v>0</v>
      </c>
      <c r="CD53" s="479">
        <f t="shared" si="380"/>
        <v>0</v>
      </c>
      <c r="CE53" s="479">
        <f t="shared" si="380"/>
        <v>0</v>
      </c>
      <c r="CF53" s="479">
        <f t="shared" si="380"/>
        <v>0</v>
      </c>
      <c r="CG53" s="479">
        <f t="shared" si="380"/>
        <v>0</v>
      </c>
      <c r="CH53" s="479">
        <f t="shared" si="380"/>
        <v>0</v>
      </c>
      <c r="CI53" s="479">
        <f t="shared" si="380"/>
        <v>0</v>
      </c>
      <c r="CJ53" s="479">
        <f t="shared" si="380"/>
        <v>0</v>
      </c>
      <c r="CK53" s="479">
        <f t="shared" si="380"/>
        <v>0</v>
      </c>
      <c r="CL53" s="479">
        <f t="shared" si="380"/>
        <v>0</v>
      </c>
      <c r="CM53" s="479">
        <f t="shared" si="380"/>
        <v>0</v>
      </c>
      <c r="CN53" s="479">
        <f t="shared" si="380"/>
        <v>0</v>
      </c>
      <c r="CO53" s="479">
        <f t="shared" si="380"/>
        <v>0</v>
      </c>
      <c r="CP53" s="479">
        <f t="shared" si="380"/>
        <v>0</v>
      </c>
      <c r="CQ53" s="479">
        <f t="shared" si="380"/>
        <v>0</v>
      </c>
      <c r="CR53" s="479">
        <f t="shared" si="380"/>
        <v>0</v>
      </c>
      <c r="CS53" s="479">
        <f t="shared" si="380"/>
        <v>0</v>
      </c>
      <c r="CT53" s="479">
        <f t="shared" si="380"/>
        <v>0</v>
      </c>
      <c r="CU53" s="479">
        <f t="shared" si="380"/>
        <v>0</v>
      </c>
      <c r="CV53" s="479">
        <f t="shared" si="380"/>
        <v>0</v>
      </c>
      <c r="CW53" s="479">
        <f t="shared" si="380"/>
        <v>0</v>
      </c>
      <c r="CX53" s="479">
        <f t="shared" si="380"/>
        <v>0</v>
      </c>
      <c r="CY53" s="479">
        <f t="shared" si="380"/>
        <v>0</v>
      </c>
      <c r="CZ53" s="479">
        <f t="shared" si="380"/>
        <v>0</v>
      </c>
      <c r="DA53" s="479">
        <f t="shared" si="380"/>
        <v>0</v>
      </c>
      <c r="DB53" s="479">
        <f t="shared" si="380"/>
        <v>0</v>
      </c>
      <c r="DC53" s="479">
        <f t="shared" si="380"/>
        <v>0</v>
      </c>
      <c r="DD53" s="479">
        <f t="shared" si="380"/>
        <v>0</v>
      </c>
      <c r="DE53" s="479">
        <f t="shared" si="380"/>
        <v>0</v>
      </c>
      <c r="DF53" s="479">
        <f t="shared" si="380"/>
        <v>0</v>
      </c>
      <c r="DG53" s="479">
        <f t="shared" si="380"/>
        <v>0</v>
      </c>
      <c r="DH53" s="479">
        <f t="shared" si="380"/>
        <v>0</v>
      </c>
      <c r="DI53" s="479">
        <f t="shared" si="380"/>
        <v>0</v>
      </c>
      <c r="DJ53" s="479">
        <f t="shared" si="380"/>
        <v>0</v>
      </c>
      <c r="DK53" s="479">
        <f t="shared" si="380"/>
        <v>0</v>
      </c>
      <c r="DL53" s="479">
        <f t="shared" si="380"/>
        <v>0</v>
      </c>
      <c r="DM53" s="479">
        <f t="shared" si="380"/>
        <v>0</v>
      </c>
      <c r="DN53" s="479">
        <f t="shared" si="380"/>
        <v>0</v>
      </c>
      <c r="DO53" s="479">
        <f t="shared" si="380"/>
        <v>0</v>
      </c>
      <c r="DP53" s="479">
        <f t="shared" si="380"/>
        <v>0</v>
      </c>
      <c r="DQ53" s="479">
        <f t="shared" si="380"/>
        <v>0</v>
      </c>
      <c r="DR53" s="479">
        <f t="shared" si="380"/>
        <v>0</v>
      </c>
      <c r="DS53" s="479">
        <f t="shared" si="380"/>
        <v>0</v>
      </c>
      <c r="DT53" s="479">
        <f t="shared" si="380"/>
        <v>0</v>
      </c>
      <c r="DU53" s="479">
        <f t="shared" si="380"/>
        <v>0</v>
      </c>
      <c r="DV53" s="479">
        <f t="shared" si="380"/>
        <v>0</v>
      </c>
      <c r="DW53" s="479">
        <f t="shared" si="380"/>
        <v>0</v>
      </c>
      <c r="DX53" s="479">
        <f t="shared" si="380"/>
        <v>0</v>
      </c>
      <c r="DY53" s="479">
        <f t="shared" si="380"/>
        <v>0</v>
      </c>
      <c r="DZ53" s="479">
        <f t="shared" si="380"/>
        <v>0</v>
      </c>
      <c r="EA53" s="479">
        <f t="shared" si="380"/>
        <v>0</v>
      </c>
      <c r="EB53" s="479">
        <f t="shared" si="380"/>
        <v>0</v>
      </c>
      <c r="EC53" s="479">
        <f t="shared" si="380"/>
        <v>0</v>
      </c>
      <c r="ED53" s="479">
        <f t="shared" si="380"/>
        <v>0</v>
      </c>
      <c r="EE53" s="479">
        <f t="shared" si="380"/>
        <v>0</v>
      </c>
      <c r="EF53" s="479">
        <f t="shared" si="380"/>
        <v>0</v>
      </c>
      <c r="EG53" s="479">
        <f t="shared" si="380"/>
        <v>0</v>
      </c>
      <c r="EH53" s="479">
        <f t="shared" si="380"/>
        <v>0</v>
      </c>
      <c r="EI53" s="479">
        <f t="shared" ref="EI53:GT54" si="381">-IF(EI$7&gt;=$E53,IF(EI$7&lt;=$F53,($D53/12),0),0)</f>
        <v>0</v>
      </c>
      <c r="EJ53" s="479">
        <f t="shared" si="381"/>
        <v>0</v>
      </c>
      <c r="EK53" s="479">
        <f t="shared" si="381"/>
        <v>0</v>
      </c>
      <c r="EL53" s="479">
        <f t="shared" si="381"/>
        <v>0</v>
      </c>
      <c r="EM53" s="479">
        <f t="shared" si="381"/>
        <v>0</v>
      </c>
      <c r="EN53" s="479">
        <f t="shared" si="381"/>
        <v>0</v>
      </c>
      <c r="EO53" s="479">
        <f t="shared" si="381"/>
        <v>0</v>
      </c>
      <c r="EP53" s="479">
        <f t="shared" si="381"/>
        <v>0</v>
      </c>
      <c r="EQ53" s="479">
        <f t="shared" si="381"/>
        <v>0</v>
      </c>
      <c r="ER53" s="479">
        <f t="shared" si="381"/>
        <v>0</v>
      </c>
      <c r="ES53" s="479">
        <f t="shared" si="381"/>
        <v>0</v>
      </c>
      <c r="ET53" s="479">
        <f t="shared" si="381"/>
        <v>0</v>
      </c>
      <c r="EU53" s="479">
        <f t="shared" si="381"/>
        <v>0</v>
      </c>
      <c r="EV53" s="479">
        <f t="shared" si="381"/>
        <v>0</v>
      </c>
      <c r="EW53" s="479">
        <f t="shared" si="381"/>
        <v>0</v>
      </c>
      <c r="EX53" s="479">
        <f t="shared" si="381"/>
        <v>0</v>
      </c>
      <c r="EY53" s="479">
        <f t="shared" si="381"/>
        <v>0</v>
      </c>
      <c r="EZ53" s="479">
        <f t="shared" si="381"/>
        <v>0</v>
      </c>
      <c r="FA53" s="479">
        <f t="shared" si="381"/>
        <v>0</v>
      </c>
      <c r="FB53" s="479">
        <f t="shared" si="381"/>
        <v>0</v>
      </c>
      <c r="FC53" s="479">
        <f t="shared" si="381"/>
        <v>0</v>
      </c>
      <c r="FD53" s="479">
        <f t="shared" si="381"/>
        <v>0</v>
      </c>
      <c r="FE53" s="479">
        <f t="shared" si="381"/>
        <v>0</v>
      </c>
      <c r="FF53" s="479">
        <f t="shared" si="381"/>
        <v>0</v>
      </c>
      <c r="FG53" s="479">
        <f t="shared" si="381"/>
        <v>0</v>
      </c>
      <c r="FH53" s="479">
        <f t="shared" si="381"/>
        <v>0</v>
      </c>
      <c r="FI53" s="479">
        <f t="shared" si="381"/>
        <v>0</v>
      </c>
      <c r="FJ53" s="479">
        <f t="shared" si="381"/>
        <v>0</v>
      </c>
      <c r="FK53" s="479">
        <f t="shared" si="381"/>
        <v>0</v>
      </c>
      <c r="FL53" s="479">
        <f t="shared" si="381"/>
        <v>0</v>
      </c>
      <c r="FM53" s="479">
        <f t="shared" si="381"/>
        <v>0</v>
      </c>
      <c r="FN53" s="479">
        <f t="shared" si="381"/>
        <v>0</v>
      </c>
      <c r="FO53" s="479">
        <f t="shared" si="381"/>
        <v>0</v>
      </c>
      <c r="FP53" s="479">
        <f t="shared" si="381"/>
        <v>0</v>
      </c>
      <c r="FQ53" s="479">
        <f t="shared" si="381"/>
        <v>0</v>
      </c>
      <c r="FR53" s="479">
        <f t="shared" si="381"/>
        <v>0</v>
      </c>
      <c r="FS53" s="479">
        <f t="shared" si="381"/>
        <v>0</v>
      </c>
      <c r="FT53" s="479">
        <f t="shared" si="381"/>
        <v>0</v>
      </c>
      <c r="FU53" s="479">
        <f t="shared" si="381"/>
        <v>0</v>
      </c>
      <c r="FV53" s="479">
        <f t="shared" si="381"/>
        <v>0</v>
      </c>
      <c r="FW53" s="479">
        <f t="shared" si="381"/>
        <v>0</v>
      </c>
      <c r="FX53" s="479">
        <f t="shared" si="381"/>
        <v>0</v>
      </c>
      <c r="FY53" s="479">
        <f t="shared" si="381"/>
        <v>0</v>
      </c>
      <c r="FZ53" s="479">
        <f t="shared" si="381"/>
        <v>0</v>
      </c>
      <c r="GA53" s="479">
        <f t="shared" si="381"/>
        <v>0</v>
      </c>
      <c r="GB53" s="479">
        <f t="shared" si="381"/>
        <v>0</v>
      </c>
      <c r="GC53" s="479">
        <f t="shared" si="381"/>
        <v>0</v>
      </c>
      <c r="GD53" s="479">
        <f t="shared" si="381"/>
        <v>0</v>
      </c>
      <c r="GE53" s="479">
        <f t="shared" si="381"/>
        <v>0</v>
      </c>
      <c r="GF53" s="479">
        <f t="shared" si="381"/>
        <v>0</v>
      </c>
      <c r="GG53" s="479">
        <f t="shared" si="381"/>
        <v>0</v>
      </c>
      <c r="GH53" s="479">
        <f t="shared" si="381"/>
        <v>0</v>
      </c>
      <c r="GI53" s="479">
        <f t="shared" si="381"/>
        <v>0</v>
      </c>
      <c r="GJ53" s="479">
        <f t="shared" si="381"/>
        <v>0</v>
      </c>
      <c r="GK53" s="479">
        <f t="shared" si="381"/>
        <v>0</v>
      </c>
      <c r="GL53" s="479">
        <f t="shared" si="381"/>
        <v>0</v>
      </c>
      <c r="GM53" s="479">
        <f t="shared" si="381"/>
        <v>0</v>
      </c>
      <c r="GN53" s="479">
        <f t="shared" si="381"/>
        <v>0</v>
      </c>
      <c r="GO53" s="479">
        <f t="shared" si="381"/>
        <v>0</v>
      </c>
      <c r="GP53" s="479">
        <f t="shared" si="381"/>
        <v>0</v>
      </c>
      <c r="GQ53" s="479">
        <f t="shared" si="381"/>
        <v>0</v>
      </c>
      <c r="GR53" s="479">
        <f t="shared" si="381"/>
        <v>0</v>
      </c>
      <c r="GS53" s="479">
        <f t="shared" si="381"/>
        <v>0</v>
      </c>
      <c r="GT53" s="479">
        <f t="shared" si="381"/>
        <v>0</v>
      </c>
      <c r="GU53" s="479">
        <f t="shared" ref="GU53:JF54" si="382">-IF(GU$7&gt;=$E53,IF(GU$7&lt;=$F53,($D53/12),0),0)</f>
        <v>0</v>
      </c>
      <c r="GV53" s="479">
        <f t="shared" si="382"/>
        <v>0</v>
      </c>
      <c r="GW53" s="479">
        <f t="shared" si="382"/>
        <v>0</v>
      </c>
      <c r="GX53" s="479">
        <f t="shared" si="382"/>
        <v>0</v>
      </c>
      <c r="GY53" s="479">
        <f t="shared" si="382"/>
        <v>0</v>
      </c>
      <c r="GZ53" s="479">
        <f t="shared" si="382"/>
        <v>0</v>
      </c>
      <c r="HA53" s="479">
        <f t="shared" si="382"/>
        <v>0</v>
      </c>
      <c r="HB53" s="479">
        <f t="shared" si="382"/>
        <v>0</v>
      </c>
      <c r="HC53" s="479">
        <f t="shared" si="382"/>
        <v>0</v>
      </c>
      <c r="HD53" s="479">
        <f t="shared" si="382"/>
        <v>0</v>
      </c>
      <c r="HE53" s="479">
        <f t="shared" si="382"/>
        <v>0</v>
      </c>
      <c r="HF53" s="479">
        <f t="shared" si="382"/>
        <v>0</v>
      </c>
      <c r="HG53" s="479">
        <f t="shared" si="382"/>
        <v>0</v>
      </c>
      <c r="HH53" s="479">
        <f t="shared" si="382"/>
        <v>0</v>
      </c>
      <c r="HI53" s="479">
        <f t="shared" si="382"/>
        <v>0</v>
      </c>
      <c r="HJ53" s="479">
        <f t="shared" si="382"/>
        <v>0</v>
      </c>
      <c r="HK53" s="479">
        <f t="shared" si="382"/>
        <v>0</v>
      </c>
      <c r="HL53" s="479">
        <f t="shared" si="382"/>
        <v>0</v>
      </c>
      <c r="HM53" s="479">
        <f t="shared" si="382"/>
        <v>0</v>
      </c>
      <c r="HN53" s="479">
        <f t="shared" si="382"/>
        <v>0</v>
      </c>
      <c r="HO53" s="479">
        <f t="shared" si="382"/>
        <v>0</v>
      </c>
      <c r="HP53" s="479">
        <f t="shared" si="382"/>
        <v>0</v>
      </c>
      <c r="HQ53" s="479">
        <f t="shared" si="382"/>
        <v>0</v>
      </c>
      <c r="HR53" s="479">
        <f t="shared" si="382"/>
        <v>0</v>
      </c>
      <c r="HS53" s="479">
        <f t="shared" si="382"/>
        <v>0</v>
      </c>
      <c r="HT53" s="479">
        <f t="shared" si="382"/>
        <v>0</v>
      </c>
      <c r="HU53" s="479">
        <f t="shared" si="382"/>
        <v>0</v>
      </c>
      <c r="HV53" s="479">
        <f t="shared" si="382"/>
        <v>0</v>
      </c>
      <c r="HW53" s="479">
        <f t="shared" si="382"/>
        <v>0</v>
      </c>
      <c r="HX53" s="479">
        <f t="shared" si="382"/>
        <v>0</v>
      </c>
      <c r="HY53" s="479">
        <f t="shared" si="382"/>
        <v>0</v>
      </c>
      <c r="HZ53" s="479">
        <f t="shared" si="382"/>
        <v>0</v>
      </c>
      <c r="IA53" s="479">
        <f t="shared" si="382"/>
        <v>0</v>
      </c>
      <c r="IB53" s="479">
        <f t="shared" si="382"/>
        <v>0</v>
      </c>
      <c r="IC53" s="479">
        <f t="shared" si="382"/>
        <v>0</v>
      </c>
      <c r="ID53" s="479">
        <f t="shared" si="382"/>
        <v>0</v>
      </c>
      <c r="IE53" s="479">
        <f t="shared" si="382"/>
        <v>0</v>
      </c>
      <c r="IF53" s="479">
        <f t="shared" si="382"/>
        <v>0</v>
      </c>
      <c r="IG53" s="479">
        <f t="shared" si="382"/>
        <v>0</v>
      </c>
      <c r="IH53" s="479">
        <f t="shared" si="382"/>
        <v>0</v>
      </c>
      <c r="II53" s="479">
        <f t="shared" si="382"/>
        <v>0</v>
      </c>
      <c r="IJ53" s="479">
        <f t="shared" si="382"/>
        <v>0</v>
      </c>
      <c r="IK53" s="479">
        <f t="shared" si="382"/>
        <v>0</v>
      </c>
      <c r="IL53" s="479">
        <f t="shared" si="382"/>
        <v>0</v>
      </c>
      <c r="IM53" s="479">
        <f t="shared" si="382"/>
        <v>0</v>
      </c>
      <c r="IN53" s="479">
        <f t="shared" si="382"/>
        <v>0</v>
      </c>
      <c r="IO53" s="479">
        <f t="shared" si="382"/>
        <v>0</v>
      </c>
      <c r="IP53" s="479">
        <f t="shared" si="382"/>
        <v>0</v>
      </c>
      <c r="IQ53" s="479">
        <f t="shared" si="382"/>
        <v>0</v>
      </c>
      <c r="IR53" s="479">
        <f t="shared" si="382"/>
        <v>0</v>
      </c>
      <c r="IS53" s="479">
        <f t="shared" si="382"/>
        <v>0</v>
      </c>
      <c r="IT53" s="479">
        <f t="shared" si="382"/>
        <v>0</v>
      </c>
      <c r="IU53" s="479">
        <f t="shared" si="382"/>
        <v>0</v>
      </c>
      <c r="IV53" s="479">
        <f t="shared" si="382"/>
        <v>0</v>
      </c>
      <c r="IW53" s="479">
        <f t="shared" si="382"/>
        <v>0</v>
      </c>
      <c r="IX53" s="479">
        <f t="shared" si="382"/>
        <v>0</v>
      </c>
      <c r="IY53" s="479">
        <f t="shared" si="382"/>
        <v>0</v>
      </c>
      <c r="IZ53" s="479">
        <f t="shared" si="382"/>
        <v>0</v>
      </c>
      <c r="JA53" s="479">
        <f t="shared" si="382"/>
        <v>0</v>
      </c>
      <c r="JB53" s="479">
        <f t="shared" si="382"/>
        <v>0</v>
      </c>
      <c r="JC53" s="479">
        <f t="shared" si="382"/>
        <v>0</v>
      </c>
      <c r="JD53" s="479">
        <f t="shared" si="382"/>
        <v>0</v>
      </c>
      <c r="JE53" s="479">
        <f t="shared" si="382"/>
        <v>0</v>
      </c>
      <c r="JF53" s="479">
        <f t="shared" si="382"/>
        <v>0</v>
      </c>
      <c r="JG53" s="479">
        <f t="shared" ref="JG53:LR54" si="383">-IF(JG$7&gt;=$E53,IF(JG$7&lt;=$F53,($D53/12),0),0)</f>
        <v>0</v>
      </c>
      <c r="JH53" s="479">
        <f t="shared" si="383"/>
        <v>0</v>
      </c>
      <c r="JI53" s="479">
        <f t="shared" si="383"/>
        <v>0</v>
      </c>
      <c r="JJ53" s="479">
        <f t="shared" si="383"/>
        <v>0</v>
      </c>
      <c r="JK53" s="479">
        <f t="shared" si="383"/>
        <v>0</v>
      </c>
      <c r="JL53" s="479">
        <f t="shared" si="383"/>
        <v>0</v>
      </c>
      <c r="JM53" s="479">
        <f t="shared" si="383"/>
        <v>0</v>
      </c>
      <c r="JN53" s="479">
        <f t="shared" si="383"/>
        <v>0</v>
      </c>
      <c r="JO53" s="479">
        <f t="shared" si="383"/>
        <v>0</v>
      </c>
      <c r="JP53" s="479">
        <f t="shared" si="383"/>
        <v>0</v>
      </c>
      <c r="JQ53" s="479">
        <f t="shared" si="383"/>
        <v>0</v>
      </c>
      <c r="JR53" s="479">
        <f t="shared" si="383"/>
        <v>0</v>
      </c>
      <c r="JS53" s="479">
        <f t="shared" si="383"/>
        <v>0</v>
      </c>
      <c r="JT53" s="479">
        <f t="shared" si="383"/>
        <v>0</v>
      </c>
      <c r="JU53" s="479">
        <f t="shared" si="383"/>
        <v>0</v>
      </c>
      <c r="JV53" s="479">
        <f t="shared" si="383"/>
        <v>0</v>
      </c>
      <c r="JW53" s="479">
        <f t="shared" si="383"/>
        <v>0</v>
      </c>
      <c r="JX53" s="479">
        <f t="shared" si="383"/>
        <v>0</v>
      </c>
      <c r="JY53" s="479">
        <f t="shared" si="383"/>
        <v>0</v>
      </c>
      <c r="JZ53" s="479">
        <f t="shared" si="383"/>
        <v>0</v>
      </c>
      <c r="KA53" s="479">
        <f t="shared" si="383"/>
        <v>0</v>
      </c>
      <c r="KB53" s="479">
        <f t="shared" si="383"/>
        <v>0</v>
      </c>
      <c r="KC53" s="479">
        <f t="shared" si="383"/>
        <v>0</v>
      </c>
      <c r="KD53" s="479">
        <f t="shared" si="383"/>
        <v>0</v>
      </c>
      <c r="KE53" s="479">
        <f t="shared" si="383"/>
        <v>0</v>
      </c>
      <c r="KF53" s="479">
        <f t="shared" si="383"/>
        <v>0</v>
      </c>
      <c r="KG53" s="479">
        <f t="shared" si="383"/>
        <v>0</v>
      </c>
      <c r="KH53" s="479">
        <f t="shared" si="383"/>
        <v>0</v>
      </c>
      <c r="KI53" s="479">
        <f t="shared" si="383"/>
        <v>0</v>
      </c>
      <c r="KJ53" s="479">
        <f t="shared" si="383"/>
        <v>0</v>
      </c>
      <c r="KK53" s="479">
        <f t="shared" si="383"/>
        <v>0</v>
      </c>
      <c r="KL53" s="479">
        <f t="shared" si="383"/>
        <v>0</v>
      </c>
      <c r="KM53" s="479">
        <f t="shared" si="383"/>
        <v>0</v>
      </c>
      <c r="KN53" s="479">
        <f t="shared" si="383"/>
        <v>0</v>
      </c>
      <c r="KO53" s="479">
        <f t="shared" si="383"/>
        <v>0</v>
      </c>
      <c r="KP53" s="479">
        <f t="shared" si="383"/>
        <v>0</v>
      </c>
      <c r="KQ53" s="479">
        <f t="shared" si="383"/>
        <v>0</v>
      </c>
      <c r="KR53" s="479">
        <f t="shared" si="383"/>
        <v>0</v>
      </c>
      <c r="KS53" s="479">
        <f t="shared" si="383"/>
        <v>0</v>
      </c>
      <c r="KT53" s="479">
        <f t="shared" si="383"/>
        <v>0</v>
      </c>
      <c r="KU53" s="479">
        <f t="shared" si="383"/>
        <v>0</v>
      </c>
      <c r="KV53" s="479">
        <f t="shared" si="383"/>
        <v>0</v>
      </c>
      <c r="KW53" s="479">
        <f t="shared" si="383"/>
        <v>0</v>
      </c>
      <c r="KX53" s="479">
        <f t="shared" si="383"/>
        <v>0</v>
      </c>
      <c r="KY53" s="479">
        <f t="shared" si="383"/>
        <v>0</v>
      </c>
      <c r="KZ53" s="479">
        <f t="shared" si="383"/>
        <v>0</v>
      </c>
      <c r="LA53" s="479">
        <f t="shared" si="383"/>
        <v>0</v>
      </c>
      <c r="LB53" s="479">
        <f t="shared" si="383"/>
        <v>0</v>
      </c>
      <c r="LC53" s="479">
        <f t="shared" si="383"/>
        <v>0</v>
      </c>
      <c r="LD53" s="479">
        <f t="shared" si="383"/>
        <v>0</v>
      </c>
      <c r="LE53" s="479">
        <f t="shared" si="383"/>
        <v>0</v>
      </c>
      <c r="LF53" s="479">
        <f t="shared" si="383"/>
        <v>0</v>
      </c>
      <c r="LG53" s="479">
        <f t="shared" si="383"/>
        <v>0</v>
      </c>
      <c r="LH53" s="479">
        <f t="shared" si="383"/>
        <v>0</v>
      </c>
      <c r="LI53" s="479">
        <f t="shared" si="383"/>
        <v>0</v>
      </c>
      <c r="LJ53" s="479">
        <f t="shared" si="383"/>
        <v>0</v>
      </c>
      <c r="LK53" s="479">
        <f t="shared" si="383"/>
        <v>0</v>
      </c>
      <c r="LL53" s="479">
        <f t="shared" si="383"/>
        <v>0</v>
      </c>
      <c r="LM53" s="479">
        <f t="shared" si="383"/>
        <v>0</v>
      </c>
      <c r="LN53" s="479">
        <f t="shared" si="383"/>
        <v>0</v>
      </c>
      <c r="LO53" s="479">
        <f t="shared" si="383"/>
        <v>0</v>
      </c>
      <c r="LP53" s="479">
        <f t="shared" si="383"/>
        <v>0</v>
      </c>
      <c r="LQ53" s="479">
        <f t="shared" si="383"/>
        <v>0</v>
      </c>
      <c r="LR53" s="479">
        <f t="shared" si="383"/>
        <v>0</v>
      </c>
      <c r="LS53" s="479">
        <f t="shared" ref="LS53:OD54" si="384">-IF(LS$7&gt;=$E53,IF(LS$7&lt;=$F53,($D53/12),0),0)</f>
        <v>0</v>
      </c>
      <c r="LT53" s="479">
        <f t="shared" si="384"/>
        <v>0</v>
      </c>
      <c r="LU53" s="479">
        <f t="shared" si="384"/>
        <v>0</v>
      </c>
      <c r="LV53" s="479">
        <f t="shared" si="384"/>
        <v>0</v>
      </c>
      <c r="LW53" s="479">
        <f t="shared" si="384"/>
        <v>0</v>
      </c>
      <c r="LX53" s="479">
        <f t="shared" si="384"/>
        <v>0</v>
      </c>
      <c r="LY53" s="479">
        <f t="shared" si="384"/>
        <v>0</v>
      </c>
      <c r="LZ53" s="479">
        <f t="shared" si="384"/>
        <v>0</v>
      </c>
      <c r="MA53" s="479">
        <f t="shared" si="384"/>
        <v>0</v>
      </c>
      <c r="MB53" s="479">
        <f t="shared" si="384"/>
        <v>0</v>
      </c>
      <c r="MC53" s="479">
        <f t="shared" si="384"/>
        <v>0</v>
      </c>
      <c r="MD53" s="479">
        <f t="shared" si="384"/>
        <v>0</v>
      </c>
      <c r="ME53" s="479">
        <f t="shared" si="384"/>
        <v>0</v>
      </c>
      <c r="MF53" s="479">
        <f t="shared" si="384"/>
        <v>0</v>
      </c>
      <c r="MG53" s="479">
        <f t="shared" si="384"/>
        <v>0</v>
      </c>
      <c r="MH53" s="479">
        <f t="shared" si="384"/>
        <v>0</v>
      </c>
      <c r="MI53" s="479">
        <f t="shared" si="384"/>
        <v>0</v>
      </c>
      <c r="MJ53" s="479">
        <f t="shared" si="384"/>
        <v>0</v>
      </c>
      <c r="MK53" s="479">
        <f t="shared" si="384"/>
        <v>0</v>
      </c>
      <c r="ML53" s="479">
        <f t="shared" si="384"/>
        <v>0</v>
      </c>
      <c r="MM53" s="479">
        <f t="shared" si="384"/>
        <v>0</v>
      </c>
      <c r="MN53" s="479">
        <f t="shared" si="384"/>
        <v>0</v>
      </c>
      <c r="MO53" s="479">
        <f t="shared" si="384"/>
        <v>0</v>
      </c>
      <c r="MP53" s="479">
        <f t="shared" si="384"/>
        <v>0</v>
      </c>
      <c r="MQ53" s="479">
        <f t="shared" si="384"/>
        <v>0</v>
      </c>
      <c r="MR53" s="479">
        <f t="shared" si="384"/>
        <v>0</v>
      </c>
      <c r="MS53" s="479">
        <f t="shared" si="384"/>
        <v>0</v>
      </c>
      <c r="MT53" s="479">
        <f t="shared" si="384"/>
        <v>0</v>
      </c>
      <c r="MU53" s="479">
        <f t="shared" si="384"/>
        <v>0</v>
      </c>
      <c r="MV53" s="479">
        <f t="shared" si="384"/>
        <v>0</v>
      </c>
      <c r="MW53" s="479">
        <f t="shared" si="384"/>
        <v>0</v>
      </c>
      <c r="MX53" s="479">
        <f t="shared" si="384"/>
        <v>0</v>
      </c>
      <c r="MY53" s="479">
        <f t="shared" si="384"/>
        <v>0</v>
      </c>
      <c r="MZ53" s="479">
        <f t="shared" si="384"/>
        <v>0</v>
      </c>
      <c r="NA53" s="479">
        <f t="shared" si="384"/>
        <v>0</v>
      </c>
      <c r="NB53" s="479">
        <f t="shared" si="384"/>
        <v>0</v>
      </c>
      <c r="NC53" s="479">
        <f t="shared" si="384"/>
        <v>0</v>
      </c>
      <c r="ND53" s="479">
        <f t="shared" si="384"/>
        <v>0</v>
      </c>
      <c r="NE53" s="479">
        <f t="shared" si="384"/>
        <v>0</v>
      </c>
      <c r="NF53" s="479">
        <f t="shared" si="384"/>
        <v>0</v>
      </c>
      <c r="NG53" s="479">
        <f t="shared" si="384"/>
        <v>0</v>
      </c>
      <c r="NH53" s="479">
        <f t="shared" si="384"/>
        <v>0</v>
      </c>
      <c r="NI53" s="479">
        <f t="shared" si="384"/>
        <v>0</v>
      </c>
      <c r="NJ53" s="479">
        <f t="shared" si="384"/>
        <v>0</v>
      </c>
      <c r="NK53" s="479">
        <f t="shared" si="384"/>
        <v>0</v>
      </c>
      <c r="NL53" s="479">
        <f t="shared" si="384"/>
        <v>0</v>
      </c>
      <c r="NM53" s="479">
        <f t="shared" si="384"/>
        <v>0</v>
      </c>
      <c r="NN53" s="479">
        <f t="shared" si="384"/>
        <v>0</v>
      </c>
      <c r="NO53" s="479">
        <f t="shared" si="384"/>
        <v>0</v>
      </c>
      <c r="NP53" s="479">
        <f t="shared" si="384"/>
        <v>0</v>
      </c>
      <c r="NQ53" s="479">
        <f t="shared" si="384"/>
        <v>0</v>
      </c>
      <c r="NR53" s="479">
        <f t="shared" si="384"/>
        <v>0</v>
      </c>
      <c r="NS53" s="479">
        <f t="shared" si="384"/>
        <v>0</v>
      </c>
      <c r="NT53" s="479">
        <f t="shared" si="384"/>
        <v>0</v>
      </c>
      <c r="NU53" s="479">
        <f t="shared" si="384"/>
        <v>0</v>
      </c>
      <c r="NV53" s="479">
        <f t="shared" si="384"/>
        <v>0</v>
      </c>
      <c r="NW53" s="479">
        <f t="shared" si="384"/>
        <v>0</v>
      </c>
      <c r="NX53" s="479">
        <f t="shared" si="384"/>
        <v>0</v>
      </c>
      <c r="NY53" s="479">
        <f t="shared" si="384"/>
        <v>0</v>
      </c>
      <c r="NZ53" s="479">
        <f t="shared" si="384"/>
        <v>0</v>
      </c>
      <c r="OA53" s="479">
        <f t="shared" si="384"/>
        <v>0</v>
      </c>
      <c r="OB53" s="479">
        <f t="shared" si="384"/>
        <v>0</v>
      </c>
      <c r="OC53" s="479">
        <f t="shared" si="384"/>
        <v>0</v>
      </c>
      <c r="OD53" s="479">
        <f t="shared" si="384"/>
        <v>0</v>
      </c>
      <c r="OE53" s="479">
        <f t="shared" ref="OE53:OO54" si="385">-IF(OE$7&gt;=$E53,IF(OE$7&lt;=$F53,($D53/12),0),0)</f>
        <v>0</v>
      </c>
      <c r="OF53" s="479">
        <f t="shared" si="385"/>
        <v>0</v>
      </c>
      <c r="OG53" s="479">
        <f t="shared" si="385"/>
        <v>0</v>
      </c>
      <c r="OH53" s="479">
        <f t="shared" si="385"/>
        <v>0</v>
      </c>
      <c r="OI53" s="479">
        <f t="shared" si="385"/>
        <v>0</v>
      </c>
      <c r="OJ53" s="479">
        <f t="shared" si="385"/>
        <v>0</v>
      </c>
      <c r="OK53" s="479">
        <f t="shared" si="385"/>
        <v>0</v>
      </c>
      <c r="OL53" s="479">
        <f t="shared" si="385"/>
        <v>0</v>
      </c>
      <c r="OM53" s="479">
        <f t="shared" si="385"/>
        <v>0</v>
      </c>
      <c r="ON53" s="479">
        <f t="shared" si="385"/>
        <v>0</v>
      </c>
      <c r="OO53" s="479">
        <f t="shared" si="385"/>
        <v>0</v>
      </c>
    </row>
    <row r="54" spans="2:405">
      <c r="B54" s="97" t="s">
        <v>397</v>
      </c>
      <c r="C54" s="97"/>
      <c r="D54" s="500">
        <f>Assumptions!C124</f>
        <v>590400</v>
      </c>
      <c r="E54" s="507">
        <f>Assumptions!$C$10</f>
        <v>46418</v>
      </c>
      <c r="F54" s="507">
        <f>EOMONTH(E54,SUM(Assumptions!$C$11:$C$12)-1)</f>
        <v>47299</v>
      </c>
      <c r="G54" s="97">
        <f t="shared" si="378"/>
        <v>30</v>
      </c>
      <c r="H54" s="97"/>
      <c r="I54" s="97"/>
      <c r="J54" s="479">
        <f>-IF(J$7&gt;=$E54,IF(J$7&lt;=$F54,($D54/12),0),0)</f>
        <v>0</v>
      </c>
      <c r="K54" s="479">
        <f t="shared" si="379"/>
        <v>0</v>
      </c>
      <c r="L54" s="479">
        <f t="shared" si="379"/>
        <v>0</v>
      </c>
      <c r="M54" s="479">
        <f t="shared" si="379"/>
        <v>0</v>
      </c>
      <c r="N54" s="479">
        <f t="shared" si="379"/>
        <v>0</v>
      </c>
      <c r="O54" s="479">
        <f t="shared" si="379"/>
        <v>0</v>
      </c>
      <c r="P54" s="479">
        <f t="shared" si="379"/>
        <v>-49200</v>
      </c>
      <c r="Q54" s="479">
        <f t="shared" si="379"/>
        <v>-49200</v>
      </c>
      <c r="R54" s="479">
        <f t="shared" si="379"/>
        <v>-49200</v>
      </c>
      <c r="S54" s="479">
        <f t="shared" si="379"/>
        <v>-49200</v>
      </c>
      <c r="T54" s="479">
        <f t="shared" si="379"/>
        <v>-49200</v>
      </c>
      <c r="U54" s="479">
        <f t="shared" si="379"/>
        <v>-49200</v>
      </c>
      <c r="V54" s="479">
        <f t="shared" si="379"/>
        <v>-49200</v>
      </c>
      <c r="W54" s="479">
        <f t="shared" si="379"/>
        <v>-49200</v>
      </c>
      <c r="X54" s="479">
        <f t="shared" si="379"/>
        <v>-49200</v>
      </c>
      <c r="Y54" s="479">
        <f t="shared" si="379"/>
        <v>-49200</v>
      </c>
      <c r="Z54" s="479">
        <f t="shared" si="379"/>
        <v>-49200</v>
      </c>
      <c r="AA54" s="479">
        <f t="shared" si="379"/>
        <v>-49200</v>
      </c>
      <c r="AB54" s="479">
        <f t="shared" si="379"/>
        <v>-49200</v>
      </c>
      <c r="AC54" s="479">
        <f t="shared" si="379"/>
        <v>-49200</v>
      </c>
      <c r="AD54" s="479">
        <f t="shared" si="379"/>
        <v>-49200</v>
      </c>
      <c r="AE54" s="479">
        <f t="shared" si="379"/>
        <v>-49200</v>
      </c>
      <c r="AF54" s="479">
        <f t="shared" si="379"/>
        <v>-49200</v>
      </c>
      <c r="AG54" s="479">
        <f t="shared" si="379"/>
        <v>-49200</v>
      </c>
      <c r="AH54" s="479">
        <f t="shared" si="379"/>
        <v>-49200</v>
      </c>
      <c r="AI54" s="479">
        <f t="shared" si="379"/>
        <v>-49200</v>
      </c>
      <c r="AJ54" s="479">
        <f t="shared" si="379"/>
        <v>-49200</v>
      </c>
      <c r="AK54" s="479">
        <f t="shared" si="379"/>
        <v>-49200</v>
      </c>
      <c r="AL54" s="479">
        <f t="shared" si="379"/>
        <v>-49200</v>
      </c>
      <c r="AM54" s="479">
        <f t="shared" si="379"/>
        <v>-49200</v>
      </c>
      <c r="AN54" s="479">
        <f t="shared" si="379"/>
        <v>-49200</v>
      </c>
      <c r="AO54" s="479">
        <f t="shared" si="379"/>
        <v>-49200</v>
      </c>
      <c r="AP54" s="479">
        <f t="shared" si="379"/>
        <v>-49200</v>
      </c>
      <c r="AQ54" s="479">
        <f t="shared" si="379"/>
        <v>-49200</v>
      </c>
      <c r="AR54" s="479">
        <f t="shared" si="379"/>
        <v>-49200</v>
      </c>
      <c r="AS54" s="479">
        <f t="shared" si="379"/>
        <v>-49200</v>
      </c>
      <c r="AT54" s="479">
        <f t="shared" si="379"/>
        <v>0</v>
      </c>
      <c r="AU54" s="479">
        <f t="shared" si="379"/>
        <v>0</v>
      </c>
      <c r="AV54" s="479">
        <f t="shared" si="379"/>
        <v>0</v>
      </c>
      <c r="AW54" s="479">
        <f t="shared" si="379"/>
        <v>0</v>
      </c>
      <c r="AX54" s="479">
        <f t="shared" si="379"/>
        <v>0</v>
      </c>
      <c r="AY54" s="479">
        <f t="shared" si="379"/>
        <v>0</v>
      </c>
      <c r="AZ54" s="479">
        <f t="shared" si="379"/>
        <v>0</v>
      </c>
      <c r="BA54" s="479">
        <f t="shared" si="379"/>
        <v>0</v>
      </c>
      <c r="BB54" s="479">
        <f t="shared" si="379"/>
        <v>0</v>
      </c>
      <c r="BC54" s="479">
        <f t="shared" si="379"/>
        <v>0</v>
      </c>
      <c r="BD54" s="479">
        <f t="shared" si="379"/>
        <v>0</v>
      </c>
      <c r="BE54" s="479">
        <f t="shared" si="379"/>
        <v>0</v>
      </c>
      <c r="BF54" s="479">
        <f t="shared" si="379"/>
        <v>0</v>
      </c>
      <c r="BG54" s="479">
        <f t="shared" si="379"/>
        <v>0</v>
      </c>
      <c r="BH54" s="479">
        <f t="shared" si="379"/>
        <v>0</v>
      </c>
      <c r="BI54" s="479">
        <f t="shared" si="379"/>
        <v>0</v>
      </c>
      <c r="BJ54" s="479">
        <f t="shared" si="379"/>
        <v>0</v>
      </c>
      <c r="BK54" s="479">
        <f t="shared" si="379"/>
        <v>0</v>
      </c>
      <c r="BL54" s="479">
        <f t="shared" si="379"/>
        <v>0</v>
      </c>
      <c r="BM54" s="479">
        <f t="shared" si="379"/>
        <v>0</v>
      </c>
      <c r="BN54" s="479">
        <f t="shared" si="379"/>
        <v>0</v>
      </c>
      <c r="BO54" s="479">
        <f t="shared" si="379"/>
        <v>0</v>
      </c>
      <c r="BP54" s="479">
        <f t="shared" si="379"/>
        <v>0</v>
      </c>
      <c r="BQ54" s="479">
        <f t="shared" si="379"/>
        <v>0</v>
      </c>
      <c r="BR54" s="479">
        <f t="shared" si="379"/>
        <v>0</v>
      </c>
      <c r="BS54" s="479">
        <f t="shared" si="379"/>
        <v>0</v>
      </c>
      <c r="BT54" s="479">
        <f t="shared" si="379"/>
        <v>0</v>
      </c>
      <c r="BU54" s="479">
        <f t="shared" si="379"/>
        <v>0</v>
      </c>
      <c r="BV54" s="479">
        <f t="shared" si="379"/>
        <v>0</v>
      </c>
      <c r="BW54" s="479">
        <f t="shared" si="380"/>
        <v>0</v>
      </c>
      <c r="BX54" s="479">
        <f t="shared" si="380"/>
        <v>0</v>
      </c>
      <c r="BY54" s="479">
        <f t="shared" si="380"/>
        <v>0</v>
      </c>
      <c r="BZ54" s="479">
        <f t="shared" si="380"/>
        <v>0</v>
      </c>
      <c r="CA54" s="479">
        <f t="shared" si="380"/>
        <v>0</v>
      </c>
      <c r="CB54" s="479">
        <f t="shared" si="380"/>
        <v>0</v>
      </c>
      <c r="CC54" s="479">
        <f t="shared" si="380"/>
        <v>0</v>
      </c>
      <c r="CD54" s="479">
        <f t="shared" si="380"/>
        <v>0</v>
      </c>
      <c r="CE54" s="479">
        <f t="shared" si="380"/>
        <v>0</v>
      </c>
      <c r="CF54" s="479">
        <f t="shared" si="380"/>
        <v>0</v>
      </c>
      <c r="CG54" s="479">
        <f t="shared" si="380"/>
        <v>0</v>
      </c>
      <c r="CH54" s="479">
        <f t="shared" si="380"/>
        <v>0</v>
      </c>
      <c r="CI54" s="479">
        <f t="shared" si="380"/>
        <v>0</v>
      </c>
      <c r="CJ54" s="479">
        <f t="shared" si="380"/>
        <v>0</v>
      </c>
      <c r="CK54" s="479">
        <f t="shared" si="380"/>
        <v>0</v>
      </c>
      <c r="CL54" s="479">
        <f t="shared" si="380"/>
        <v>0</v>
      </c>
      <c r="CM54" s="479">
        <f t="shared" si="380"/>
        <v>0</v>
      </c>
      <c r="CN54" s="479">
        <f t="shared" si="380"/>
        <v>0</v>
      </c>
      <c r="CO54" s="479">
        <f t="shared" si="380"/>
        <v>0</v>
      </c>
      <c r="CP54" s="479">
        <f t="shared" si="380"/>
        <v>0</v>
      </c>
      <c r="CQ54" s="479">
        <f t="shared" si="380"/>
        <v>0</v>
      </c>
      <c r="CR54" s="479">
        <f t="shared" si="380"/>
        <v>0</v>
      </c>
      <c r="CS54" s="479">
        <f t="shared" si="380"/>
        <v>0</v>
      </c>
      <c r="CT54" s="479">
        <f t="shared" si="380"/>
        <v>0</v>
      </c>
      <c r="CU54" s="479">
        <f t="shared" si="380"/>
        <v>0</v>
      </c>
      <c r="CV54" s="479">
        <f t="shared" si="380"/>
        <v>0</v>
      </c>
      <c r="CW54" s="479">
        <f t="shared" si="380"/>
        <v>0</v>
      </c>
      <c r="CX54" s="479">
        <f t="shared" si="380"/>
        <v>0</v>
      </c>
      <c r="CY54" s="479">
        <f t="shared" si="380"/>
        <v>0</v>
      </c>
      <c r="CZ54" s="479">
        <f t="shared" si="380"/>
        <v>0</v>
      </c>
      <c r="DA54" s="479">
        <f t="shared" si="380"/>
        <v>0</v>
      </c>
      <c r="DB54" s="479">
        <f t="shared" si="380"/>
        <v>0</v>
      </c>
      <c r="DC54" s="479">
        <f t="shared" si="380"/>
        <v>0</v>
      </c>
      <c r="DD54" s="479">
        <f t="shared" si="380"/>
        <v>0</v>
      </c>
      <c r="DE54" s="479">
        <f t="shared" si="380"/>
        <v>0</v>
      </c>
      <c r="DF54" s="479">
        <f t="shared" si="380"/>
        <v>0</v>
      </c>
      <c r="DG54" s="479">
        <f t="shared" si="380"/>
        <v>0</v>
      </c>
      <c r="DH54" s="479">
        <f t="shared" si="380"/>
        <v>0</v>
      </c>
      <c r="DI54" s="479">
        <f t="shared" si="380"/>
        <v>0</v>
      </c>
      <c r="DJ54" s="479">
        <f t="shared" si="380"/>
        <v>0</v>
      </c>
      <c r="DK54" s="479">
        <f t="shared" si="380"/>
        <v>0</v>
      </c>
      <c r="DL54" s="479">
        <f t="shared" si="380"/>
        <v>0</v>
      </c>
      <c r="DM54" s="479">
        <f t="shared" si="380"/>
        <v>0</v>
      </c>
      <c r="DN54" s="479">
        <f t="shared" si="380"/>
        <v>0</v>
      </c>
      <c r="DO54" s="479">
        <f t="shared" si="380"/>
        <v>0</v>
      </c>
      <c r="DP54" s="479">
        <f t="shared" si="380"/>
        <v>0</v>
      </c>
      <c r="DQ54" s="479">
        <f t="shared" si="380"/>
        <v>0</v>
      </c>
      <c r="DR54" s="479">
        <f t="shared" si="380"/>
        <v>0</v>
      </c>
      <c r="DS54" s="479">
        <f t="shared" si="380"/>
        <v>0</v>
      </c>
      <c r="DT54" s="479">
        <f t="shared" si="380"/>
        <v>0</v>
      </c>
      <c r="DU54" s="479">
        <f t="shared" si="380"/>
        <v>0</v>
      </c>
      <c r="DV54" s="479">
        <f t="shared" si="380"/>
        <v>0</v>
      </c>
      <c r="DW54" s="479">
        <f t="shared" si="380"/>
        <v>0</v>
      </c>
      <c r="DX54" s="479">
        <f t="shared" si="380"/>
        <v>0</v>
      </c>
      <c r="DY54" s="479">
        <f t="shared" si="380"/>
        <v>0</v>
      </c>
      <c r="DZ54" s="479">
        <f t="shared" si="380"/>
        <v>0</v>
      </c>
      <c r="EA54" s="479">
        <f t="shared" si="380"/>
        <v>0</v>
      </c>
      <c r="EB54" s="479">
        <f t="shared" si="380"/>
        <v>0</v>
      </c>
      <c r="EC54" s="479">
        <f t="shared" si="380"/>
        <v>0</v>
      </c>
      <c r="ED54" s="479">
        <f t="shared" si="380"/>
        <v>0</v>
      </c>
      <c r="EE54" s="479">
        <f t="shared" si="380"/>
        <v>0</v>
      </c>
      <c r="EF54" s="479">
        <f t="shared" si="380"/>
        <v>0</v>
      </c>
      <c r="EG54" s="479">
        <f t="shared" si="380"/>
        <v>0</v>
      </c>
      <c r="EH54" s="479">
        <f t="shared" si="380"/>
        <v>0</v>
      </c>
      <c r="EI54" s="479">
        <f t="shared" si="381"/>
        <v>0</v>
      </c>
      <c r="EJ54" s="479">
        <f t="shared" si="381"/>
        <v>0</v>
      </c>
      <c r="EK54" s="479">
        <f t="shared" si="381"/>
        <v>0</v>
      </c>
      <c r="EL54" s="479">
        <f t="shared" si="381"/>
        <v>0</v>
      </c>
      <c r="EM54" s="479">
        <f t="shared" si="381"/>
        <v>0</v>
      </c>
      <c r="EN54" s="479">
        <f t="shared" si="381"/>
        <v>0</v>
      </c>
      <c r="EO54" s="479">
        <f t="shared" si="381"/>
        <v>0</v>
      </c>
      <c r="EP54" s="479">
        <f t="shared" si="381"/>
        <v>0</v>
      </c>
      <c r="EQ54" s="479">
        <f t="shared" si="381"/>
        <v>0</v>
      </c>
      <c r="ER54" s="479">
        <f t="shared" si="381"/>
        <v>0</v>
      </c>
      <c r="ES54" s="479">
        <f t="shared" si="381"/>
        <v>0</v>
      </c>
      <c r="ET54" s="479">
        <f t="shared" si="381"/>
        <v>0</v>
      </c>
      <c r="EU54" s="479">
        <f t="shared" si="381"/>
        <v>0</v>
      </c>
      <c r="EV54" s="479">
        <f t="shared" si="381"/>
        <v>0</v>
      </c>
      <c r="EW54" s="479">
        <f t="shared" si="381"/>
        <v>0</v>
      </c>
      <c r="EX54" s="479">
        <f t="shared" si="381"/>
        <v>0</v>
      </c>
      <c r="EY54" s="479">
        <f t="shared" si="381"/>
        <v>0</v>
      </c>
      <c r="EZ54" s="479">
        <f t="shared" si="381"/>
        <v>0</v>
      </c>
      <c r="FA54" s="479">
        <f t="shared" si="381"/>
        <v>0</v>
      </c>
      <c r="FB54" s="479">
        <f t="shared" si="381"/>
        <v>0</v>
      </c>
      <c r="FC54" s="479">
        <f t="shared" si="381"/>
        <v>0</v>
      </c>
      <c r="FD54" s="479">
        <f t="shared" si="381"/>
        <v>0</v>
      </c>
      <c r="FE54" s="479">
        <f t="shared" si="381"/>
        <v>0</v>
      </c>
      <c r="FF54" s="479">
        <f t="shared" si="381"/>
        <v>0</v>
      </c>
      <c r="FG54" s="479">
        <f t="shared" si="381"/>
        <v>0</v>
      </c>
      <c r="FH54" s="479">
        <f t="shared" si="381"/>
        <v>0</v>
      </c>
      <c r="FI54" s="479">
        <f t="shared" si="381"/>
        <v>0</v>
      </c>
      <c r="FJ54" s="479">
        <f t="shared" si="381"/>
        <v>0</v>
      </c>
      <c r="FK54" s="479">
        <f t="shared" si="381"/>
        <v>0</v>
      </c>
      <c r="FL54" s="479">
        <f t="shared" si="381"/>
        <v>0</v>
      </c>
      <c r="FM54" s="479">
        <f t="shared" si="381"/>
        <v>0</v>
      </c>
      <c r="FN54" s="479">
        <f t="shared" si="381"/>
        <v>0</v>
      </c>
      <c r="FO54" s="479">
        <f t="shared" si="381"/>
        <v>0</v>
      </c>
      <c r="FP54" s="479">
        <f t="shared" si="381"/>
        <v>0</v>
      </c>
      <c r="FQ54" s="479">
        <f t="shared" si="381"/>
        <v>0</v>
      </c>
      <c r="FR54" s="479">
        <f t="shared" si="381"/>
        <v>0</v>
      </c>
      <c r="FS54" s="479">
        <f t="shared" si="381"/>
        <v>0</v>
      </c>
      <c r="FT54" s="479">
        <f t="shared" si="381"/>
        <v>0</v>
      </c>
      <c r="FU54" s="479">
        <f t="shared" si="381"/>
        <v>0</v>
      </c>
      <c r="FV54" s="479">
        <f t="shared" si="381"/>
        <v>0</v>
      </c>
      <c r="FW54" s="479">
        <f t="shared" si="381"/>
        <v>0</v>
      </c>
      <c r="FX54" s="479">
        <f t="shared" si="381"/>
        <v>0</v>
      </c>
      <c r="FY54" s="479">
        <f t="shared" si="381"/>
        <v>0</v>
      </c>
      <c r="FZ54" s="479">
        <f t="shared" si="381"/>
        <v>0</v>
      </c>
      <c r="GA54" s="479">
        <f t="shared" si="381"/>
        <v>0</v>
      </c>
      <c r="GB54" s="479">
        <f t="shared" si="381"/>
        <v>0</v>
      </c>
      <c r="GC54" s="479">
        <f t="shared" si="381"/>
        <v>0</v>
      </c>
      <c r="GD54" s="479">
        <f t="shared" si="381"/>
        <v>0</v>
      </c>
      <c r="GE54" s="479">
        <f t="shared" si="381"/>
        <v>0</v>
      </c>
      <c r="GF54" s="479">
        <f t="shared" si="381"/>
        <v>0</v>
      </c>
      <c r="GG54" s="479">
        <f t="shared" si="381"/>
        <v>0</v>
      </c>
      <c r="GH54" s="479">
        <f t="shared" si="381"/>
        <v>0</v>
      </c>
      <c r="GI54" s="479">
        <f t="shared" si="381"/>
        <v>0</v>
      </c>
      <c r="GJ54" s="479">
        <f t="shared" si="381"/>
        <v>0</v>
      </c>
      <c r="GK54" s="479">
        <f t="shared" si="381"/>
        <v>0</v>
      </c>
      <c r="GL54" s="479">
        <f t="shared" si="381"/>
        <v>0</v>
      </c>
      <c r="GM54" s="479">
        <f t="shared" si="381"/>
        <v>0</v>
      </c>
      <c r="GN54" s="479">
        <f t="shared" si="381"/>
        <v>0</v>
      </c>
      <c r="GO54" s="479">
        <f t="shared" si="381"/>
        <v>0</v>
      </c>
      <c r="GP54" s="479">
        <f t="shared" si="381"/>
        <v>0</v>
      </c>
      <c r="GQ54" s="479">
        <f t="shared" si="381"/>
        <v>0</v>
      </c>
      <c r="GR54" s="479">
        <f t="shared" si="381"/>
        <v>0</v>
      </c>
      <c r="GS54" s="479">
        <f t="shared" si="381"/>
        <v>0</v>
      </c>
      <c r="GT54" s="479">
        <f t="shared" si="381"/>
        <v>0</v>
      </c>
      <c r="GU54" s="479">
        <f t="shared" si="382"/>
        <v>0</v>
      </c>
      <c r="GV54" s="479">
        <f t="shared" si="382"/>
        <v>0</v>
      </c>
      <c r="GW54" s="479">
        <f t="shared" si="382"/>
        <v>0</v>
      </c>
      <c r="GX54" s="479">
        <f t="shared" si="382"/>
        <v>0</v>
      </c>
      <c r="GY54" s="479">
        <f t="shared" si="382"/>
        <v>0</v>
      </c>
      <c r="GZ54" s="479">
        <f t="shared" si="382"/>
        <v>0</v>
      </c>
      <c r="HA54" s="479">
        <f t="shared" si="382"/>
        <v>0</v>
      </c>
      <c r="HB54" s="479">
        <f t="shared" si="382"/>
        <v>0</v>
      </c>
      <c r="HC54" s="479">
        <f t="shared" si="382"/>
        <v>0</v>
      </c>
      <c r="HD54" s="479">
        <f t="shared" si="382"/>
        <v>0</v>
      </c>
      <c r="HE54" s="479">
        <f t="shared" si="382"/>
        <v>0</v>
      </c>
      <c r="HF54" s="479">
        <f t="shared" si="382"/>
        <v>0</v>
      </c>
      <c r="HG54" s="479">
        <f t="shared" si="382"/>
        <v>0</v>
      </c>
      <c r="HH54" s="479">
        <f t="shared" si="382"/>
        <v>0</v>
      </c>
      <c r="HI54" s="479">
        <f t="shared" si="382"/>
        <v>0</v>
      </c>
      <c r="HJ54" s="479">
        <f t="shared" si="382"/>
        <v>0</v>
      </c>
      <c r="HK54" s="479">
        <f t="shared" si="382"/>
        <v>0</v>
      </c>
      <c r="HL54" s="479">
        <f t="shared" si="382"/>
        <v>0</v>
      </c>
      <c r="HM54" s="479">
        <f t="shared" si="382"/>
        <v>0</v>
      </c>
      <c r="HN54" s="479">
        <f t="shared" si="382"/>
        <v>0</v>
      </c>
      <c r="HO54" s="479">
        <f t="shared" si="382"/>
        <v>0</v>
      </c>
      <c r="HP54" s="479">
        <f t="shared" si="382"/>
        <v>0</v>
      </c>
      <c r="HQ54" s="479">
        <f t="shared" si="382"/>
        <v>0</v>
      </c>
      <c r="HR54" s="479">
        <f t="shared" si="382"/>
        <v>0</v>
      </c>
      <c r="HS54" s="479">
        <f t="shared" si="382"/>
        <v>0</v>
      </c>
      <c r="HT54" s="479">
        <f t="shared" si="382"/>
        <v>0</v>
      </c>
      <c r="HU54" s="479">
        <f t="shared" si="382"/>
        <v>0</v>
      </c>
      <c r="HV54" s="479">
        <f t="shared" si="382"/>
        <v>0</v>
      </c>
      <c r="HW54" s="479">
        <f t="shared" si="382"/>
        <v>0</v>
      </c>
      <c r="HX54" s="479">
        <f t="shared" si="382"/>
        <v>0</v>
      </c>
      <c r="HY54" s="479">
        <f t="shared" si="382"/>
        <v>0</v>
      </c>
      <c r="HZ54" s="479">
        <f t="shared" si="382"/>
        <v>0</v>
      </c>
      <c r="IA54" s="479">
        <f t="shared" si="382"/>
        <v>0</v>
      </c>
      <c r="IB54" s="479">
        <f t="shared" si="382"/>
        <v>0</v>
      </c>
      <c r="IC54" s="479">
        <f t="shared" si="382"/>
        <v>0</v>
      </c>
      <c r="ID54" s="479">
        <f t="shared" si="382"/>
        <v>0</v>
      </c>
      <c r="IE54" s="479">
        <f t="shared" si="382"/>
        <v>0</v>
      </c>
      <c r="IF54" s="479">
        <f t="shared" si="382"/>
        <v>0</v>
      </c>
      <c r="IG54" s="479">
        <f t="shared" si="382"/>
        <v>0</v>
      </c>
      <c r="IH54" s="479">
        <f t="shared" si="382"/>
        <v>0</v>
      </c>
      <c r="II54" s="479">
        <f t="shared" si="382"/>
        <v>0</v>
      </c>
      <c r="IJ54" s="479">
        <f t="shared" si="382"/>
        <v>0</v>
      </c>
      <c r="IK54" s="479">
        <f t="shared" si="382"/>
        <v>0</v>
      </c>
      <c r="IL54" s="479">
        <f t="shared" si="382"/>
        <v>0</v>
      </c>
      <c r="IM54" s="479">
        <f t="shared" si="382"/>
        <v>0</v>
      </c>
      <c r="IN54" s="479">
        <f t="shared" si="382"/>
        <v>0</v>
      </c>
      <c r="IO54" s="479">
        <f t="shared" si="382"/>
        <v>0</v>
      </c>
      <c r="IP54" s="479">
        <f t="shared" si="382"/>
        <v>0</v>
      </c>
      <c r="IQ54" s="479">
        <f t="shared" si="382"/>
        <v>0</v>
      </c>
      <c r="IR54" s="479">
        <f t="shared" si="382"/>
        <v>0</v>
      </c>
      <c r="IS54" s="479">
        <f t="shared" si="382"/>
        <v>0</v>
      </c>
      <c r="IT54" s="479">
        <f t="shared" si="382"/>
        <v>0</v>
      </c>
      <c r="IU54" s="479">
        <f t="shared" si="382"/>
        <v>0</v>
      </c>
      <c r="IV54" s="479">
        <f t="shared" si="382"/>
        <v>0</v>
      </c>
      <c r="IW54" s="479">
        <f t="shared" si="382"/>
        <v>0</v>
      </c>
      <c r="IX54" s="479">
        <f t="shared" si="382"/>
        <v>0</v>
      </c>
      <c r="IY54" s="479">
        <f t="shared" si="382"/>
        <v>0</v>
      </c>
      <c r="IZ54" s="479">
        <f t="shared" si="382"/>
        <v>0</v>
      </c>
      <c r="JA54" s="479">
        <f t="shared" si="382"/>
        <v>0</v>
      </c>
      <c r="JB54" s="479">
        <f t="shared" si="382"/>
        <v>0</v>
      </c>
      <c r="JC54" s="479">
        <f t="shared" si="382"/>
        <v>0</v>
      </c>
      <c r="JD54" s="479">
        <f t="shared" si="382"/>
        <v>0</v>
      </c>
      <c r="JE54" s="479">
        <f t="shared" si="382"/>
        <v>0</v>
      </c>
      <c r="JF54" s="479">
        <f t="shared" si="382"/>
        <v>0</v>
      </c>
      <c r="JG54" s="479">
        <f t="shared" si="383"/>
        <v>0</v>
      </c>
      <c r="JH54" s="479">
        <f t="shared" si="383"/>
        <v>0</v>
      </c>
      <c r="JI54" s="479">
        <f t="shared" si="383"/>
        <v>0</v>
      </c>
      <c r="JJ54" s="479">
        <f t="shared" si="383"/>
        <v>0</v>
      </c>
      <c r="JK54" s="479">
        <f t="shared" si="383"/>
        <v>0</v>
      </c>
      <c r="JL54" s="479">
        <f t="shared" si="383"/>
        <v>0</v>
      </c>
      <c r="JM54" s="479">
        <f t="shared" si="383"/>
        <v>0</v>
      </c>
      <c r="JN54" s="479">
        <f t="shared" si="383"/>
        <v>0</v>
      </c>
      <c r="JO54" s="479">
        <f t="shared" si="383"/>
        <v>0</v>
      </c>
      <c r="JP54" s="479">
        <f t="shared" si="383"/>
        <v>0</v>
      </c>
      <c r="JQ54" s="479">
        <f t="shared" si="383"/>
        <v>0</v>
      </c>
      <c r="JR54" s="479">
        <f t="shared" si="383"/>
        <v>0</v>
      </c>
      <c r="JS54" s="479">
        <f t="shared" si="383"/>
        <v>0</v>
      </c>
      <c r="JT54" s="479">
        <f t="shared" si="383"/>
        <v>0</v>
      </c>
      <c r="JU54" s="479">
        <f t="shared" si="383"/>
        <v>0</v>
      </c>
      <c r="JV54" s="479">
        <f t="shared" si="383"/>
        <v>0</v>
      </c>
      <c r="JW54" s="479">
        <f t="shared" si="383"/>
        <v>0</v>
      </c>
      <c r="JX54" s="479">
        <f t="shared" si="383"/>
        <v>0</v>
      </c>
      <c r="JY54" s="479">
        <f t="shared" si="383"/>
        <v>0</v>
      </c>
      <c r="JZ54" s="479">
        <f t="shared" si="383"/>
        <v>0</v>
      </c>
      <c r="KA54" s="479">
        <f t="shared" si="383"/>
        <v>0</v>
      </c>
      <c r="KB54" s="479">
        <f t="shared" si="383"/>
        <v>0</v>
      </c>
      <c r="KC54" s="479">
        <f t="shared" si="383"/>
        <v>0</v>
      </c>
      <c r="KD54" s="479">
        <f t="shared" si="383"/>
        <v>0</v>
      </c>
      <c r="KE54" s="479">
        <f t="shared" si="383"/>
        <v>0</v>
      </c>
      <c r="KF54" s="479">
        <f t="shared" si="383"/>
        <v>0</v>
      </c>
      <c r="KG54" s="479">
        <f t="shared" si="383"/>
        <v>0</v>
      </c>
      <c r="KH54" s="479">
        <f t="shared" si="383"/>
        <v>0</v>
      </c>
      <c r="KI54" s="479">
        <f t="shared" si="383"/>
        <v>0</v>
      </c>
      <c r="KJ54" s="479">
        <f t="shared" si="383"/>
        <v>0</v>
      </c>
      <c r="KK54" s="479">
        <f t="shared" si="383"/>
        <v>0</v>
      </c>
      <c r="KL54" s="479">
        <f t="shared" si="383"/>
        <v>0</v>
      </c>
      <c r="KM54" s="479">
        <f t="shared" si="383"/>
        <v>0</v>
      </c>
      <c r="KN54" s="479">
        <f t="shared" si="383"/>
        <v>0</v>
      </c>
      <c r="KO54" s="479">
        <f t="shared" si="383"/>
        <v>0</v>
      </c>
      <c r="KP54" s="479">
        <f t="shared" si="383"/>
        <v>0</v>
      </c>
      <c r="KQ54" s="479">
        <f t="shared" si="383"/>
        <v>0</v>
      </c>
      <c r="KR54" s="479">
        <f t="shared" si="383"/>
        <v>0</v>
      </c>
      <c r="KS54" s="479">
        <f t="shared" si="383"/>
        <v>0</v>
      </c>
      <c r="KT54" s="479">
        <f t="shared" si="383"/>
        <v>0</v>
      </c>
      <c r="KU54" s="479">
        <f t="shared" si="383"/>
        <v>0</v>
      </c>
      <c r="KV54" s="479">
        <f t="shared" si="383"/>
        <v>0</v>
      </c>
      <c r="KW54" s="479">
        <f t="shared" si="383"/>
        <v>0</v>
      </c>
      <c r="KX54" s="479">
        <f t="shared" si="383"/>
        <v>0</v>
      </c>
      <c r="KY54" s="479">
        <f t="shared" si="383"/>
        <v>0</v>
      </c>
      <c r="KZ54" s="479">
        <f t="shared" si="383"/>
        <v>0</v>
      </c>
      <c r="LA54" s="479">
        <f t="shared" si="383"/>
        <v>0</v>
      </c>
      <c r="LB54" s="479">
        <f t="shared" si="383"/>
        <v>0</v>
      </c>
      <c r="LC54" s="479">
        <f t="shared" si="383"/>
        <v>0</v>
      </c>
      <c r="LD54" s="479">
        <f t="shared" si="383"/>
        <v>0</v>
      </c>
      <c r="LE54" s="479">
        <f t="shared" si="383"/>
        <v>0</v>
      </c>
      <c r="LF54" s="479">
        <f t="shared" si="383"/>
        <v>0</v>
      </c>
      <c r="LG54" s="479">
        <f t="shared" si="383"/>
        <v>0</v>
      </c>
      <c r="LH54" s="479">
        <f t="shared" si="383"/>
        <v>0</v>
      </c>
      <c r="LI54" s="479">
        <f t="shared" si="383"/>
        <v>0</v>
      </c>
      <c r="LJ54" s="479">
        <f t="shared" si="383"/>
        <v>0</v>
      </c>
      <c r="LK54" s="479">
        <f t="shared" si="383"/>
        <v>0</v>
      </c>
      <c r="LL54" s="479">
        <f t="shared" si="383"/>
        <v>0</v>
      </c>
      <c r="LM54" s="479">
        <f t="shared" si="383"/>
        <v>0</v>
      </c>
      <c r="LN54" s="479">
        <f t="shared" si="383"/>
        <v>0</v>
      </c>
      <c r="LO54" s="479">
        <f t="shared" si="383"/>
        <v>0</v>
      </c>
      <c r="LP54" s="479">
        <f t="shared" si="383"/>
        <v>0</v>
      </c>
      <c r="LQ54" s="479">
        <f t="shared" si="383"/>
        <v>0</v>
      </c>
      <c r="LR54" s="479">
        <f t="shared" si="383"/>
        <v>0</v>
      </c>
      <c r="LS54" s="479">
        <f t="shared" si="384"/>
        <v>0</v>
      </c>
      <c r="LT54" s="479">
        <f t="shared" si="384"/>
        <v>0</v>
      </c>
      <c r="LU54" s="479">
        <f t="shared" si="384"/>
        <v>0</v>
      </c>
      <c r="LV54" s="479">
        <f t="shared" si="384"/>
        <v>0</v>
      </c>
      <c r="LW54" s="479">
        <f t="shared" si="384"/>
        <v>0</v>
      </c>
      <c r="LX54" s="479">
        <f t="shared" si="384"/>
        <v>0</v>
      </c>
      <c r="LY54" s="479">
        <f t="shared" si="384"/>
        <v>0</v>
      </c>
      <c r="LZ54" s="479">
        <f t="shared" si="384"/>
        <v>0</v>
      </c>
      <c r="MA54" s="479">
        <f t="shared" si="384"/>
        <v>0</v>
      </c>
      <c r="MB54" s="479">
        <f t="shared" si="384"/>
        <v>0</v>
      </c>
      <c r="MC54" s="479">
        <f t="shared" si="384"/>
        <v>0</v>
      </c>
      <c r="MD54" s="479">
        <f t="shared" si="384"/>
        <v>0</v>
      </c>
      <c r="ME54" s="479">
        <f t="shared" si="384"/>
        <v>0</v>
      </c>
      <c r="MF54" s="479">
        <f t="shared" si="384"/>
        <v>0</v>
      </c>
      <c r="MG54" s="479">
        <f t="shared" si="384"/>
        <v>0</v>
      </c>
      <c r="MH54" s="479">
        <f t="shared" si="384"/>
        <v>0</v>
      </c>
      <c r="MI54" s="479">
        <f t="shared" si="384"/>
        <v>0</v>
      </c>
      <c r="MJ54" s="479">
        <f t="shared" si="384"/>
        <v>0</v>
      </c>
      <c r="MK54" s="479">
        <f t="shared" si="384"/>
        <v>0</v>
      </c>
      <c r="ML54" s="479">
        <f t="shared" si="384"/>
        <v>0</v>
      </c>
      <c r="MM54" s="479">
        <f t="shared" si="384"/>
        <v>0</v>
      </c>
      <c r="MN54" s="479">
        <f t="shared" si="384"/>
        <v>0</v>
      </c>
      <c r="MO54" s="479">
        <f t="shared" si="384"/>
        <v>0</v>
      </c>
      <c r="MP54" s="479">
        <f t="shared" si="384"/>
        <v>0</v>
      </c>
      <c r="MQ54" s="479">
        <f t="shared" si="384"/>
        <v>0</v>
      </c>
      <c r="MR54" s="479">
        <f t="shared" si="384"/>
        <v>0</v>
      </c>
      <c r="MS54" s="479">
        <f t="shared" si="384"/>
        <v>0</v>
      </c>
      <c r="MT54" s="479">
        <f t="shared" si="384"/>
        <v>0</v>
      </c>
      <c r="MU54" s="479">
        <f t="shared" si="384"/>
        <v>0</v>
      </c>
      <c r="MV54" s="479">
        <f t="shared" si="384"/>
        <v>0</v>
      </c>
      <c r="MW54" s="479">
        <f t="shared" si="384"/>
        <v>0</v>
      </c>
      <c r="MX54" s="479">
        <f t="shared" si="384"/>
        <v>0</v>
      </c>
      <c r="MY54" s="479">
        <f t="shared" si="384"/>
        <v>0</v>
      </c>
      <c r="MZ54" s="479">
        <f t="shared" si="384"/>
        <v>0</v>
      </c>
      <c r="NA54" s="479">
        <f t="shared" si="384"/>
        <v>0</v>
      </c>
      <c r="NB54" s="479">
        <f t="shared" si="384"/>
        <v>0</v>
      </c>
      <c r="NC54" s="479">
        <f t="shared" si="384"/>
        <v>0</v>
      </c>
      <c r="ND54" s="479">
        <f t="shared" si="384"/>
        <v>0</v>
      </c>
      <c r="NE54" s="479">
        <f t="shared" si="384"/>
        <v>0</v>
      </c>
      <c r="NF54" s="479">
        <f t="shared" si="384"/>
        <v>0</v>
      </c>
      <c r="NG54" s="479">
        <f t="shared" si="384"/>
        <v>0</v>
      </c>
      <c r="NH54" s="479">
        <f t="shared" si="384"/>
        <v>0</v>
      </c>
      <c r="NI54" s="479">
        <f t="shared" si="384"/>
        <v>0</v>
      </c>
      <c r="NJ54" s="479">
        <f t="shared" si="384"/>
        <v>0</v>
      </c>
      <c r="NK54" s="479">
        <f t="shared" si="384"/>
        <v>0</v>
      </c>
      <c r="NL54" s="479">
        <f t="shared" si="384"/>
        <v>0</v>
      </c>
      <c r="NM54" s="479">
        <f t="shared" si="384"/>
        <v>0</v>
      </c>
      <c r="NN54" s="479">
        <f t="shared" si="384"/>
        <v>0</v>
      </c>
      <c r="NO54" s="479">
        <f t="shared" si="384"/>
        <v>0</v>
      </c>
      <c r="NP54" s="479">
        <f t="shared" si="384"/>
        <v>0</v>
      </c>
      <c r="NQ54" s="479">
        <f t="shared" si="384"/>
        <v>0</v>
      </c>
      <c r="NR54" s="479">
        <f t="shared" si="384"/>
        <v>0</v>
      </c>
      <c r="NS54" s="479">
        <f t="shared" si="384"/>
        <v>0</v>
      </c>
      <c r="NT54" s="479">
        <f t="shared" si="384"/>
        <v>0</v>
      </c>
      <c r="NU54" s="479">
        <f t="shared" si="384"/>
        <v>0</v>
      </c>
      <c r="NV54" s="479">
        <f t="shared" si="384"/>
        <v>0</v>
      </c>
      <c r="NW54" s="479">
        <f t="shared" si="384"/>
        <v>0</v>
      </c>
      <c r="NX54" s="479">
        <f t="shared" si="384"/>
        <v>0</v>
      </c>
      <c r="NY54" s="479">
        <f t="shared" si="384"/>
        <v>0</v>
      </c>
      <c r="NZ54" s="479">
        <f t="shared" si="384"/>
        <v>0</v>
      </c>
      <c r="OA54" s="479">
        <f t="shared" si="384"/>
        <v>0</v>
      </c>
      <c r="OB54" s="479">
        <f t="shared" si="384"/>
        <v>0</v>
      </c>
      <c r="OC54" s="479">
        <f t="shared" si="384"/>
        <v>0</v>
      </c>
      <c r="OD54" s="479">
        <f t="shared" si="384"/>
        <v>0</v>
      </c>
      <c r="OE54" s="479">
        <f t="shared" si="385"/>
        <v>0</v>
      </c>
      <c r="OF54" s="479">
        <f t="shared" si="385"/>
        <v>0</v>
      </c>
      <c r="OG54" s="479">
        <f t="shared" si="385"/>
        <v>0</v>
      </c>
      <c r="OH54" s="479">
        <f t="shared" si="385"/>
        <v>0</v>
      </c>
      <c r="OI54" s="479">
        <f t="shared" si="385"/>
        <v>0</v>
      </c>
      <c r="OJ54" s="479">
        <f t="shared" si="385"/>
        <v>0</v>
      </c>
      <c r="OK54" s="479">
        <f t="shared" si="385"/>
        <v>0</v>
      </c>
      <c r="OL54" s="479">
        <f t="shared" si="385"/>
        <v>0</v>
      </c>
      <c r="OM54" s="479">
        <f t="shared" si="385"/>
        <v>0</v>
      </c>
      <c r="ON54" s="479">
        <f t="shared" si="385"/>
        <v>0</v>
      </c>
      <c r="OO54" s="479">
        <f t="shared" si="385"/>
        <v>0</v>
      </c>
    </row>
    <row r="55" spans="2:405">
      <c r="B55" s="97" t="s">
        <v>158</v>
      </c>
      <c r="C55" s="97"/>
      <c r="D55" s="500">
        <f>Assumptions!C125</f>
        <v>1828895.8907394533</v>
      </c>
      <c r="E55" s="507">
        <f>Assumptions!$C$8</f>
        <v>46204</v>
      </c>
      <c r="F55" s="507">
        <f>EOMONTH(E55,Assumptions!$C$9-1)</f>
        <v>46387</v>
      </c>
      <c r="G55" s="97">
        <f t="shared" si="378"/>
        <v>6</v>
      </c>
      <c r="H55" s="97"/>
      <c r="I55" s="97"/>
      <c r="J55" s="479">
        <f t="shared" ref="J55:BT55" si="386">-IF(J$7&gt;=$E55,IF(J$7&lt;=$F55,$D55/$G55,0),0)</f>
        <v>-304815.9817899089</v>
      </c>
      <c r="K55" s="479">
        <f t="shared" si="386"/>
        <v>-304815.9817899089</v>
      </c>
      <c r="L55" s="479">
        <f t="shared" si="386"/>
        <v>-304815.9817899089</v>
      </c>
      <c r="M55" s="479">
        <f t="shared" si="386"/>
        <v>-304815.9817899089</v>
      </c>
      <c r="N55" s="479">
        <f t="shared" si="386"/>
        <v>-304815.9817899089</v>
      </c>
      <c r="O55" s="479">
        <f t="shared" si="386"/>
        <v>-304815.9817899089</v>
      </c>
      <c r="P55" s="479">
        <f t="shared" si="386"/>
        <v>0</v>
      </c>
      <c r="Q55" s="479">
        <f t="shared" si="386"/>
        <v>0</v>
      </c>
      <c r="R55" s="479">
        <f t="shared" si="386"/>
        <v>0</v>
      </c>
      <c r="S55" s="479">
        <f t="shared" si="386"/>
        <v>0</v>
      </c>
      <c r="T55" s="479">
        <f t="shared" si="386"/>
        <v>0</v>
      </c>
      <c r="U55" s="479">
        <f t="shared" si="386"/>
        <v>0</v>
      </c>
      <c r="V55" s="479">
        <f t="shared" si="386"/>
        <v>0</v>
      </c>
      <c r="W55" s="479">
        <f t="shared" si="386"/>
        <v>0</v>
      </c>
      <c r="X55" s="479">
        <f t="shared" si="386"/>
        <v>0</v>
      </c>
      <c r="Y55" s="479">
        <f t="shared" si="386"/>
        <v>0</v>
      </c>
      <c r="Z55" s="479">
        <f t="shared" si="386"/>
        <v>0</v>
      </c>
      <c r="AA55" s="479">
        <f t="shared" si="386"/>
        <v>0</v>
      </c>
      <c r="AB55" s="479">
        <f t="shared" si="386"/>
        <v>0</v>
      </c>
      <c r="AC55" s="479">
        <f t="shared" si="386"/>
        <v>0</v>
      </c>
      <c r="AD55" s="479">
        <f t="shared" si="386"/>
        <v>0</v>
      </c>
      <c r="AE55" s="479">
        <f t="shared" si="386"/>
        <v>0</v>
      </c>
      <c r="AF55" s="479">
        <f t="shared" si="386"/>
        <v>0</v>
      </c>
      <c r="AG55" s="479">
        <f t="shared" si="386"/>
        <v>0</v>
      </c>
      <c r="AH55" s="479">
        <f t="shared" si="386"/>
        <v>0</v>
      </c>
      <c r="AI55" s="479">
        <f t="shared" si="386"/>
        <v>0</v>
      </c>
      <c r="AJ55" s="479">
        <f t="shared" si="386"/>
        <v>0</v>
      </c>
      <c r="AK55" s="479">
        <f t="shared" si="386"/>
        <v>0</v>
      </c>
      <c r="AL55" s="479">
        <f t="shared" si="386"/>
        <v>0</v>
      </c>
      <c r="AM55" s="479">
        <f t="shared" si="386"/>
        <v>0</v>
      </c>
      <c r="AN55" s="479">
        <f t="shared" si="386"/>
        <v>0</v>
      </c>
      <c r="AO55" s="479">
        <f t="shared" si="386"/>
        <v>0</v>
      </c>
      <c r="AP55" s="479">
        <f t="shared" si="386"/>
        <v>0</v>
      </c>
      <c r="AQ55" s="479">
        <f t="shared" si="386"/>
        <v>0</v>
      </c>
      <c r="AR55" s="479">
        <f t="shared" si="386"/>
        <v>0</v>
      </c>
      <c r="AS55" s="479">
        <f t="shared" si="386"/>
        <v>0</v>
      </c>
      <c r="AT55" s="479">
        <f t="shared" si="386"/>
        <v>0</v>
      </c>
      <c r="AU55" s="479">
        <f t="shared" si="386"/>
        <v>0</v>
      </c>
      <c r="AV55" s="479">
        <f t="shared" si="386"/>
        <v>0</v>
      </c>
      <c r="AW55" s="479">
        <f t="shared" si="386"/>
        <v>0</v>
      </c>
      <c r="AX55" s="479">
        <f t="shared" si="386"/>
        <v>0</v>
      </c>
      <c r="AY55" s="479">
        <f t="shared" si="386"/>
        <v>0</v>
      </c>
      <c r="AZ55" s="479">
        <f t="shared" si="386"/>
        <v>0</v>
      </c>
      <c r="BA55" s="479">
        <f t="shared" si="386"/>
        <v>0</v>
      </c>
      <c r="BB55" s="479">
        <f t="shared" si="386"/>
        <v>0</v>
      </c>
      <c r="BC55" s="479">
        <f t="shared" si="386"/>
        <v>0</v>
      </c>
      <c r="BD55" s="479">
        <f t="shared" si="386"/>
        <v>0</v>
      </c>
      <c r="BE55" s="479">
        <f t="shared" si="386"/>
        <v>0</v>
      </c>
      <c r="BF55" s="479">
        <f t="shared" si="386"/>
        <v>0</v>
      </c>
      <c r="BG55" s="479">
        <f t="shared" si="386"/>
        <v>0</v>
      </c>
      <c r="BH55" s="479">
        <f t="shared" si="386"/>
        <v>0</v>
      </c>
      <c r="BI55" s="479">
        <f t="shared" si="386"/>
        <v>0</v>
      </c>
      <c r="BJ55" s="479">
        <f t="shared" si="386"/>
        <v>0</v>
      </c>
      <c r="BK55" s="479">
        <f t="shared" si="386"/>
        <v>0</v>
      </c>
      <c r="BL55" s="479">
        <f t="shared" si="386"/>
        <v>0</v>
      </c>
      <c r="BM55" s="479">
        <f t="shared" si="386"/>
        <v>0</v>
      </c>
      <c r="BN55" s="479">
        <f t="shared" si="386"/>
        <v>0</v>
      </c>
      <c r="BO55" s="479">
        <f t="shared" si="386"/>
        <v>0</v>
      </c>
      <c r="BP55" s="479">
        <f t="shared" si="386"/>
        <v>0</v>
      </c>
      <c r="BQ55" s="479">
        <f t="shared" si="386"/>
        <v>0</v>
      </c>
      <c r="BR55" s="479">
        <f t="shared" si="386"/>
        <v>0</v>
      </c>
      <c r="BS55" s="479">
        <f t="shared" si="386"/>
        <v>0</v>
      </c>
      <c r="BT55" s="479">
        <f t="shared" si="386"/>
        <v>0</v>
      </c>
      <c r="BU55" s="479">
        <f t="shared" ref="J55:BU56" si="387">-IF(BU$7&gt;=$E55,IF(BU$7&lt;=$F55,$D55/$G55,0),0)</f>
        <v>0</v>
      </c>
      <c r="BV55" s="479">
        <f t="shared" ref="BV55:EF55" si="388">-IF(BV$7&gt;=$E55,IF(BV$7&lt;=$F55,$D55/$G55,0),0)</f>
        <v>0</v>
      </c>
      <c r="BW55" s="479">
        <f t="shared" si="388"/>
        <v>0</v>
      </c>
      <c r="BX55" s="479">
        <f t="shared" si="388"/>
        <v>0</v>
      </c>
      <c r="BY55" s="479">
        <f t="shared" si="388"/>
        <v>0</v>
      </c>
      <c r="BZ55" s="479">
        <f t="shared" si="388"/>
        <v>0</v>
      </c>
      <c r="CA55" s="479">
        <f t="shared" si="388"/>
        <v>0</v>
      </c>
      <c r="CB55" s="479">
        <f t="shared" si="388"/>
        <v>0</v>
      </c>
      <c r="CC55" s="479">
        <f t="shared" si="388"/>
        <v>0</v>
      </c>
      <c r="CD55" s="479">
        <f t="shared" si="388"/>
        <v>0</v>
      </c>
      <c r="CE55" s="479">
        <f t="shared" si="388"/>
        <v>0</v>
      </c>
      <c r="CF55" s="479">
        <f t="shared" si="388"/>
        <v>0</v>
      </c>
      <c r="CG55" s="479">
        <f t="shared" si="388"/>
        <v>0</v>
      </c>
      <c r="CH55" s="479">
        <f t="shared" si="388"/>
        <v>0</v>
      </c>
      <c r="CI55" s="479">
        <f t="shared" si="388"/>
        <v>0</v>
      </c>
      <c r="CJ55" s="479">
        <f t="shared" si="388"/>
        <v>0</v>
      </c>
      <c r="CK55" s="479">
        <f t="shared" si="388"/>
        <v>0</v>
      </c>
      <c r="CL55" s="479">
        <f t="shared" si="388"/>
        <v>0</v>
      </c>
      <c r="CM55" s="479">
        <f t="shared" si="388"/>
        <v>0</v>
      </c>
      <c r="CN55" s="479">
        <f t="shared" si="388"/>
        <v>0</v>
      </c>
      <c r="CO55" s="479">
        <f t="shared" si="388"/>
        <v>0</v>
      </c>
      <c r="CP55" s="479">
        <f t="shared" si="388"/>
        <v>0</v>
      </c>
      <c r="CQ55" s="479">
        <f t="shared" si="388"/>
        <v>0</v>
      </c>
      <c r="CR55" s="479">
        <f t="shared" si="388"/>
        <v>0</v>
      </c>
      <c r="CS55" s="479">
        <f t="shared" si="388"/>
        <v>0</v>
      </c>
      <c r="CT55" s="479">
        <f t="shared" si="388"/>
        <v>0</v>
      </c>
      <c r="CU55" s="479">
        <f t="shared" si="388"/>
        <v>0</v>
      </c>
      <c r="CV55" s="479">
        <f t="shared" si="388"/>
        <v>0</v>
      </c>
      <c r="CW55" s="479">
        <f t="shared" si="388"/>
        <v>0</v>
      </c>
      <c r="CX55" s="479">
        <f t="shared" si="388"/>
        <v>0</v>
      </c>
      <c r="CY55" s="479">
        <f t="shared" si="388"/>
        <v>0</v>
      </c>
      <c r="CZ55" s="479">
        <f t="shared" si="388"/>
        <v>0</v>
      </c>
      <c r="DA55" s="479">
        <f t="shared" si="388"/>
        <v>0</v>
      </c>
      <c r="DB55" s="479">
        <f t="shared" si="388"/>
        <v>0</v>
      </c>
      <c r="DC55" s="479">
        <f t="shared" si="388"/>
        <v>0</v>
      </c>
      <c r="DD55" s="479">
        <f t="shared" si="388"/>
        <v>0</v>
      </c>
      <c r="DE55" s="479">
        <f t="shared" si="388"/>
        <v>0</v>
      </c>
      <c r="DF55" s="479">
        <f t="shared" si="388"/>
        <v>0</v>
      </c>
      <c r="DG55" s="479">
        <f t="shared" si="388"/>
        <v>0</v>
      </c>
      <c r="DH55" s="479">
        <f t="shared" si="388"/>
        <v>0</v>
      </c>
      <c r="DI55" s="479">
        <f t="shared" si="388"/>
        <v>0</v>
      </c>
      <c r="DJ55" s="479">
        <f t="shared" si="388"/>
        <v>0</v>
      </c>
      <c r="DK55" s="479">
        <f t="shared" si="388"/>
        <v>0</v>
      </c>
      <c r="DL55" s="479">
        <f t="shared" si="388"/>
        <v>0</v>
      </c>
      <c r="DM55" s="479">
        <f t="shared" si="388"/>
        <v>0</v>
      </c>
      <c r="DN55" s="479">
        <f t="shared" si="388"/>
        <v>0</v>
      </c>
      <c r="DO55" s="479">
        <f t="shared" si="388"/>
        <v>0</v>
      </c>
      <c r="DP55" s="479">
        <f t="shared" si="388"/>
        <v>0</v>
      </c>
      <c r="DQ55" s="479">
        <f t="shared" si="388"/>
        <v>0</v>
      </c>
      <c r="DR55" s="479">
        <f t="shared" si="388"/>
        <v>0</v>
      </c>
      <c r="DS55" s="479">
        <f t="shared" si="388"/>
        <v>0</v>
      </c>
      <c r="DT55" s="479">
        <f t="shared" si="388"/>
        <v>0</v>
      </c>
      <c r="DU55" s="479">
        <f t="shared" si="388"/>
        <v>0</v>
      </c>
      <c r="DV55" s="479">
        <f t="shared" si="388"/>
        <v>0</v>
      </c>
      <c r="DW55" s="479">
        <f t="shared" si="388"/>
        <v>0</v>
      </c>
      <c r="DX55" s="479">
        <f t="shared" si="388"/>
        <v>0</v>
      </c>
      <c r="DY55" s="479">
        <f t="shared" si="388"/>
        <v>0</v>
      </c>
      <c r="DZ55" s="479">
        <f t="shared" si="388"/>
        <v>0</v>
      </c>
      <c r="EA55" s="479">
        <f t="shared" si="388"/>
        <v>0</v>
      </c>
      <c r="EB55" s="479">
        <f t="shared" si="388"/>
        <v>0</v>
      </c>
      <c r="EC55" s="479">
        <f t="shared" si="388"/>
        <v>0</v>
      </c>
      <c r="ED55" s="479">
        <f t="shared" si="388"/>
        <v>0</v>
      </c>
      <c r="EE55" s="479">
        <f t="shared" si="388"/>
        <v>0</v>
      </c>
      <c r="EF55" s="479">
        <f t="shared" si="388"/>
        <v>0</v>
      </c>
      <c r="EG55" s="479">
        <f t="shared" ref="BV55:EG56" si="389">-IF(EG$7&gt;=$E55,IF(EG$7&lt;=$F55,$D55/$G55,0),0)</f>
        <v>0</v>
      </c>
      <c r="EH55" s="479">
        <f t="shared" ref="EH55:GR55" si="390">-IF(EH$7&gt;=$E55,IF(EH$7&lt;=$F55,$D55/$G55,0),0)</f>
        <v>0</v>
      </c>
      <c r="EI55" s="479">
        <f t="shared" si="390"/>
        <v>0</v>
      </c>
      <c r="EJ55" s="479">
        <f t="shared" si="390"/>
        <v>0</v>
      </c>
      <c r="EK55" s="479">
        <f t="shared" si="390"/>
        <v>0</v>
      </c>
      <c r="EL55" s="479">
        <f t="shared" si="390"/>
        <v>0</v>
      </c>
      <c r="EM55" s="479">
        <f t="shared" si="390"/>
        <v>0</v>
      </c>
      <c r="EN55" s="479">
        <f t="shared" si="390"/>
        <v>0</v>
      </c>
      <c r="EO55" s="479">
        <f t="shared" si="390"/>
        <v>0</v>
      </c>
      <c r="EP55" s="479">
        <f t="shared" si="390"/>
        <v>0</v>
      </c>
      <c r="EQ55" s="479">
        <f t="shared" si="390"/>
        <v>0</v>
      </c>
      <c r="ER55" s="479">
        <f t="shared" si="390"/>
        <v>0</v>
      </c>
      <c r="ES55" s="479">
        <f t="shared" si="390"/>
        <v>0</v>
      </c>
      <c r="ET55" s="479">
        <f t="shared" si="390"/>
        <v>0</v>
      </c>
      <c r="EU55" s="479">
        <f t="shared" si="390"/>
        <v>0</v>
      </c>
      <c r="EV55" s="479">
        <f t="shared" si="390"/>
        <v>0</v>
      </c>
      <c r="EW55" s="479">
        <f t="shared" si="390"/>
        <v>0</v>
      </c>
      <c r="EX55" s="479">
        <f t="shared" si="390"/>
        <v>0</v>
      </c>
      <c r="EY55" s="479">
        <f t="shared" si="390"/>
        <v>0</v>
      </c>
      <c r="EZ55" s="479">
        <f t="shared" si="390"/>
        <v>0</v>
      </c>
      <c r="FA55" s="479">
        <f t="shared" si="390"/>
        <v>0</v>
      </c>
      <c r="FB55" s="479">
        <f t="shared" si="390"/>
        <v>0</v>
      </c>
      <c r="FC55" s="479">
        <f t="shared" si="390"/>
        <v>0</v>
      </c>
      <c r="FD55" s="479">
        <f t="shared" si="390"/>
        <v>0</v>
      </c>
      <c r="FE55" s="479">
        <f t="shared" si="390"/>
        <v>0</v>
      </c>
      <c r="FF55" s="479">
        <f t="shared" si="390"/>
        <v>0</v>
      </c>
      <c r="FG55" s="479">
        <f t="shared" si="390"/>
        <v>0</v>
      </c>
      <c r="FH55" s="479">
        <f t="shared" si="390"/>
        <v>0</v>
      </c>
      <c r="FI55" s="479">
        <f t="shared" si="390"/>
        <v>0</v>
      </c>
      <c r="FJ55" s="479">
        <f t="shared" si="390"/>
        <v>0</v>
      </c>
      <c r="FK55" s="479">
        <f t="shared" si="390"/>
        <v>0</v>
      </c>
      <c r="FL55" s="479">
        <f t="shared" si="390"/>
        <v>0</v>
      </c>
      <c r="FM55" s="479">
        <f t="shared" si="390"/>
        <v>0</v>
      </c>
      <c r="FN55" s="479">
        <f t="shared" si="390"/>
        <v>0</v>
      </c>
      <c r="FO55" s="479">
        <f t="shared" si="390"/>
        <v>0</v>
      </c>
      <c r="FP55" s="479">
        <f t="shared" si="390"/>
        <v>0</v>
      </c>
      <c r="FQ55" s="479">
        <f t="shared" si="390"/>
        <v>0</v>
      </c>
      <c r="FR55" s="479">
        <f t="shared" si="390"/>
        <v>0</v>
      </c>
      <c r="FS55" s="479">
        <f t="shared" si="390"/>
        <v>0</v>
      </c>
      <c r="FT55" s="479">
        <f t="shared" si="390"/>
        <v>0</v>
      </c>
      <c r="FU55" s="479">
        <f t="shared" si="390"/>
        <v>0</v>
      </c>
      <c r="FV55" s="479">
        <f t="shared" si="390"/>
        <v>0</v>
      </c>
      <c r="FW55" s="479">
        <f t="shared" si="390"/>
        <v>0</v>
      </c>
      <c r="FX55" s="479">
        <f t="shared" si="390"/>
        <v>0</v>
      </c>
      <c r="FY55" s="479">
        <f t="shared" si="390"/>
        <v>0</v>
      </c>
      <c r="FZ55" s="479">
        <f t="shared" si="390"/>
        <v>0</v>
      </c>
      <c r="GA55" s="479">
        <f t="shared" si="390"/>
        <v>0</v>
      </c>
      <c r="GB55" s="479">
        <f t="shared" si="390"/>
        <v>0</v>
      </c>
      <c r="GC55" s="479">
        <f t="shared" si="390"/>
        <v>0</v>
      </c>
      <c r="GD55" s="479">
        <f t="shared" si="390"/>
        <v>0</v>
      </c>
      <c r="GE55" s="479">
        <f t="shared" si="390"/>
        <v>0</v>
      </c>
      <c r="GF55" s="479">
        <f t="shared" si="390"/>
        <v>0</v>
      </c>
      <c r="GG55" s="479">
        <f t="shared" si="390"/>
        <v>0</v>
      </c>
      <c r="GH55" s="479">
        <f t="shared" si="390"/>
        <v>0</v>
      </c>
      <c r="GI55" s="479">
        <f t="shared" si="390"/>
        <v>0</v>
      </c>
      <c r="GJ55" s="479">
        <f t="shared" si="390"/>
        <v>0</v>
      </c>
      <c r="GK55" s="479">
        <f t="shared" si="390"/>
        <v>0</v>
      </c>
      <c r="GL55" s="479">
        <f t="shared" si="390"/>
        <v>0</v>
      </c>
      <c r="GM55" s="479">
        <f t="shared" si="390"/>
        <v>0</v>
      </c>
      <c r="GN55" s="479">
        <f t="shared" si="390"/>
        <v>0</v>
      </c>
      <c r="GO55" s="479">
        <f t="shared" si="390"/>
        <v>0</v>
      </c>
      <c r="GP55" s="479">
        <f t="shared" si="390"/>
        <v>0</v>
      </c>
      <c r="GQ55" s="479">
        <f t="shared" si="390"/>
        <v>0</v>
      </c>
      <c r="GR55" s="479">
        <f t="shared" si="390"/>
        <v>0</v>
      </c>
      <c r="GS55" s="479">
        <f t="shared" ref="EH55:GS56" si="391">-IF(GS$7&gt;=$E55,IF(GS$7&lt;=$F55,$D55/$G55,0),0)</f>
        <v>0</v>
      </c>
      <c r="GT55" s="479">
        <f t="shared" ref="GT55:JD55" si="392">-IF(GT$7&gt;=$E55,IF(GT$7&lt;=$F55,$D55/$G55,0),0)</f>
        <v>0</v>
      </c>
      <c r="GU55" s="479">
        <f t="shared" si="392"/>
        <v>0</v>
      </c>
      <c r="GV55" s="479">
        <f t="shared" si="392"/>
        <v>0</v>
      </c>
      <c r="GW55" s="479">
        <f t="shared" si="392"/>
        <v>0</v>
      </c>
      <c r="GX55" s="479">
        <f t="shared" si="392"/>
        <v>0</v>
      </c>
      <c r="GY55" s="479">
        <f t="shared" si="392"/>
        <v>0</v>
      </c>
      <c r="GZ55" s="479">
        <f t="shared" si="392"/>
        <v>0</v>
      </c>
      <c r="HA55" s="479">
        <f t="shared" si="392"/>
        <v>0</v>
      </c>
      <c r="HB55" s="479">
        <f t="shared" si="392"/>
        <v>0</v>
      </c>
      <c r="HC55" s="479">
        <f t="shared" si="392"/>
        <v>0</v>
      </c>
      <c r="HD55" s="479">
        <f t="shared" si="392"/>
        <v>0</v>
      </c>
      <c r="HE55" s="479">
        <f t="shared" si="392"/>
        <v>0</v>
      </c>
      <c r="HF55" s="479">
        <f t="shared" si="392"/>
        <v>0</v>
      </c>
      <c r="HG55" s="479">
        <f t="shared" si="392"/>
        <v>0</v>
      </c>
      <c r="HH55" s="479">
        <f t="shared" si="392"/>
        <v>0</v>
      </c>
      <c r="HI55" s="479">
        <f t="shared" si="392"/>
        <v>0</v>
      </c>
      <c r="HJ55" s="479">
        <f t="shared" si="392"/>
        <v>0</v>
      </c>
      <c r="HK55" s="479">
        <f t="shared" si="392"/>
        <v>0</v>
      </c>
      <c r="HL55" s="479">
        <f t="shared" si="392"/>
        <v>0</v>
      </c>
      <c r="HM55" s="479">
        <f t="shared" si="392"/>
        <v>0</v>
      </c>
      <c r="HN55" s="479">
        <f t="shared" si="392"/>
        <v>0</v>
      </c>
      <c r="HO55" s="479">
        <f t="shared" si="392"/>
        <v>0</v>
      </c>
      <c r="HP55" s="479">
        <f t="shared" si="392"/>
        <v>0</v>
      </c>
      <c r="HQ55" s="479">
        <f t="shared" si="392"/>
        <v>0</v>
      </c>
      <c r="HR55" s="479">
        <f t="shared" si="392"/>
        <v>0</v>
      </c>
      <c r="HS55" s="479">
        <f t="shared" si="392"/>
        <v>0</v>
      </c>
      <c r="HT55" s="479">
        <f t="shared" si="392"/>
        <v>0</v>
      </c>
      <c r="HU55" s="479">
        <f t="shared" si="392"/>
        <v>0</v>
      </c>
      <c r="HV55" s="479">
        <f t="shared" si="392"/>
        <v>0</v>
      </c>
      <c r="HW55" s="479">
        <f t="shared" si="392"/>
        <v>0</v>
      </c>
      <c r="HX55" s="479">
        <f t="shared" si="392"/>
        <v>0</v>
      </c>
      <c r="HY55" s="479">
        <f t="shared" si="392"/>
        <v>0</v>
      </c>
      <c r="HZ55" s="479">
        <f t="shared" si="392"/>
        <v>0</v>
      </c>
      <c r="IA55" s="479">
        <f t="shared" si="392"/>
        <v>0</v>
      </c>
      <c r="IB55" s="479">
        <f t="shared" si="392"/>
        <v>0</v>
      </c>
      <c r="IC55" s="479">
        <f t="shared" si="392"/>
        <v>0</v>
      </c>
      <c r="ID55" s="479">
        <f t="shared" si="392"/>
        <v>0</v>
      </c>
      <c r="IE55" s="479">
        <f t="shared" si="392"/>
        <v>0</v>
      </c>
      <c r="IF55" s="479">
        <f t="shared" si="392"/>
        <v>0</v>
      </c>
      <c r="IG55" s="479">
        <f t="shared" si="392"/>
        <v>0</v>
      </c>
      <c r="IH55" s="479">
        <f t="shared" si="392"/>
        <v>0</v>
      </c>
      <c r="II55" s="479">
        <f t="shared" si="392"/>
        <v>0</v>
      </c>
      <c r="IJ55" s="479">
        <f t="shared" si="392"/>
        <v>0</v>
      </c>
      <c r="IK55" s="479">
        <f t="shared" si="392"/>
        <v>0</v>
      </c>
      <c r="IL55" s="479">
        <f t="shared" si="392"/>
        <v>0</v>
      </c>
      <c r="IM55" s="479">
        <f t="shared" si="392"/>
        <v>0</v>
      </c>
      <c r="IN55" s="479">
        <f t="shared" si="392"/>
        <v>0</v>
      </c>
      <c r="IO55" s="479">
        <f t="shared" si="392"/>
        <v>0</v>
      </c>
      <c r="IP55" s="479">
        <f t="shared" si="392"/>
        <v>0</v>
      </c>
      <c r="IQ55" s="479">
        <f t="shared" si="392"/>
        <v>0</v>
      </c>
      <c r="IR55" s="479">
        <f t="shared" si="392"/>
        <v>0</v>
      </c>
      <c r="IS55" s="479">
        <f t="shared" si="392"/>
        <v>0</v>
      </c>
      <c r="IT55" s="479">
        <f t="shared" si="392"/>
        <v>0</v>
      </c>
      <c r="IU55" s="479">
        <f t="shared" si="392"/>
        <v>0</v>
      </c>
      <c r="IV55" s="479">
        <f t="shared" si="392"/>
        <v>0</v>
      </c>
      <c r="IW55" s="479">
        <f t="shared" si="392"/>
        <v>0</v>
      </c>
      <c r="IX55" s="479">
        <f t="shared" si="392"/>
        <v>0</v>
      </c>
      <c r="IY55" s="479">
        <f t="shared" si="392"/>
        <v>0</v>
      </c>
      <c r="IZ55" s="479">
        <f t="shared" si="392"/>
        <v>0</v>
      </c>
      <c r="JA55" s="479">
        <f t="shared" si="392"/>
        <v>0</v>
      </c>
      <c r="JB55" s="479">
        <f t="shared" si="392"/>
        <v>0</v>
      </c>
      <c r="JC55" s="479">
        <f t="shared" si="392"/>
        <v>0</v>
      </c>
      <c r="JD55" s="479">
        <f t="shared" si="392"/>
        <v>0</v>
      </c>
      <c r="JE55" s="479">
        <f t="shared" ref="GT55:JE56" si="393">-IF(JE$7&gt;=$E55,IF(JE$7&lt;=$F55,$D55/$G55,0),0)</f>
        <v>0</v>
      </c>
      <c r="JF55" s="479">
        <f t="shared" ref="JF55:LP55" si="394">-IF(JF$7&gt;=$E55,IF(JF$7&lt;=$F55,$D55/$G55,0),0)</f>
        <v>0</v>
      </c>
      <c r="JG55" s="479">
        <f t="shared" si="394"/>
        <v>0</v>
      </c>
      <c r="JH55" s="479">
        <f t="shared" si="394"/>
        <v>0</v>
      </c>
      <c r="JI55" s="479">
        <f t="shared" si="394"/>
        <v>0</v>
      </c>
      <c r="JJ55" s="479">
        <f t="shared" si="394"/>
        <v>0</v>
      </c>
      <c r="JK55" s="479">
        <f t="shared" si="394"/>
        <v>0</v>
      </c>
      <c r="JL55" s="479">
        <f t="shared" si="394"/>
        <v>0</v>
      </c>
      <c r="JM55" s="479">
        <f t="shared" si="394"/>
        <v>0</v>
      </c>
      <c r="JN55" s="479">
        <f t="shared" si="394"/>
        <v>0</v>
      </c>
      <c r="JO55" s="479">
        <f t="shared" si="394"/>
        <v>0</v>
      </c>
      <c r="JP55" s="479">
        <f t="shared" si="394"/>
        <v>0</v>
      </c>
      <c r="JQ55" s="479">
        <f t="shared" si="394"/>
        <v>0</v>
      </c>
      <c r="JR55" s="479">
        <f t="shared" si="394"/>
        <v>0</v>
      </c>
      <c r="JS55" s="479">
        <f t="shared" si="394"/>
        <v>0</v>
      </c>
      <c r="JT55" s="479">
        <f t="shared" si="394"/>
        <v>0</v>
      </c>
      <c r="JU55" s="479">
        <f t="shared" si="394"/>
        <v>0</v>
      </c>
      <c r="JV55" s="479">
        <f t="shared" si="394"/>
        <v>0</v>
      </c>
      <c r="JW55" s="479">
        <f t="shared" si="394"/>
        <v>0</v>
      </c>
      <c r="JX55" s="479">
        <f t="shared" si="394"/>
        <v>0</v>
      </c>
      <c r="JY55" s="479">
        <f t="shared" si="394"/>
        <v>0</v>
      </c>
      <c r="JZ55" s="479">
        <f t="shared" si="394"/>
        <v>0</v>
      </c>
      <c r="KA55" s="479">
        <f t="shared" si="394"/>
        <v>0</v>
      </c>
      <c r="KB55" s="479">
        <f t="shared" si="394"/>
        <v>0</v>
      </c>
      <c r="KC55" s="479">
        <f t="shared" si="394"/>
        <v>0</v>
      </c>
      <c r="KD55" s="479">
        <f t="shared" si="394"/>
        <v>0</v>
      </c>
      <c r="KE55" s="479">
        <f t="shared" si="394"/>
        <v>0</v>
      </c>
      <c r="KF55" s="479">
        <f t="shared" si="394"/>
        <v>0</v>
      </c>
      <c r="KG55" s="479">
        <f t="shared" si="394"/>
        <v>0</v>
      </c>
      <c r="KH55" s="479">
        <f t="shared" si="394"/>
        <v>0</v>
      </c>
      <c r="KI55" s="479">
        <f t="shared" si="394"/>
        <v>0</v>
      </c>
      <c r="KJ55" s="479">
        <f t="shared" si="394"/>
        <v>0</v>
      </c>
      <c r="KK55" s="479">
        <f t="shared" si="394"/>
        <v>0</v>
      </c>
      <c r="KL55" s="479">
        <f t="shared" si="394"/>
        <v>0</v>
      </c>
      <c r="KM55" s="479">
        <f t="shared" si="394"/>
        <v>0</v>
      </c>
      <c r="KN55" s="479">
        <f t="shared" si="394"/>
        <v>0</v>
      </c>
      <c r="KO55" s="479">
        <f t="shared" si="394"/>
        <v>0</v>
      </c>
      <c r="KP55" s="479">
        <f t="shared" si="394"/>
        <v>0</v>
      </c>
      <c r="KQ55" s="479">
        <f t="shared" si="394"/>
        <v>0</v>
      </c>
      <c r="KR55" s="479">
        <f t="shared" si="394"/>
        <v>0</v>
      </c>
      <c r="KS55" s="479">
        <f t="shared" si="394"/>
        <v>0</v>
      </c>
      <c r="KT55" s="479">
        <f t="shared" si="394"/>
        <v>0</v>
      </c>
      <c r="KU55" s="479">
        <f t="shared" si="394"/>
        <v>0</v>
      </c>
      <c r="KV55" s="479">
        <f t="shared" si="394"/>
        <v>0</v>
      </c>
      <c r="KW55" s="479">
        <f t="shared" si="394"/>
        <v>0</v>
      </c>
      <c r="KX55" s="479">
        <f t="shared" si="394"/>
        <v>0</v>
      </c>
      <c r="KY55" s="479">
        <f t="shared" si="394"/>
        <v>0</v>
      </c>
      <c r="KZ55" s="479">
        <f t="shared" si="394"/>
        <v>0</v>
      </c>
      <c r="LA55" s="479">
        <f t="shared" si="394"/>
        <v>0</v>
      </c>
      <c r="LB55" s="479">
        <f t="shared" si="394"/>
        <v>0</v>
      </c>
      <c r="LC55" s="479">
        <f t="shared" si="394"/>
        <v>0</v>
      </c>
      <c r="LD55" s="479">
        <f t="shared" si="394"/>
        <v>0</v>
      </c>
      <c r="LE55" s="479">
        <f t="shared" si="394"/>
        <v>0</v>
      </c>
      <c r="LF55" s="479">
        <f t="shared" si="394"/>
        <v>0</v>
      </c>
      <c r="LG55" s="479">
        <f t="shared" si="394"/>
        <v>0</v>
      </c>
      <c r="LH55" s="479">
        <f t="shared" si="394"/>
        <v>0</v>
      </c>
      <c r="LI55" s="479">
        <f t="shared" si="394"/>
        <v>0</v>
      </c>
      <c r="LJ55" s="479">
        <f t="shared" si="394"/>
        <v>0</v>
      </c>
      <c r="LK55" s="479">
        <f t="shared" si="394"/>
        <v>0</v>
      </c>
      <c r="LL55" s="479">
        <f t="shared" si="394"/>
        <v>0</v>
      </c>
      <c r="LM55" s="479">
        <f t="shared" si="394"/>
        <v>0</v>
      </c>
      <c r="LN55" s="479">
        <f t="shared" si="394"/>
        <v>0</v>
      </c>
      <c r="LO55" s="479">
        <f t="shared" si="394"/>
        <v>0</v>
      </c>
      <c r="LP55" s="479">
        <f t="shared" si="394"/>
        <v>0</v>
      </c>
      <c r="LQ55" s="479">
        <f t="shared" ref="JF55:LQ56" si="395">-IF(LQ$7&gt;=$E55,IF(LQ$7&lt;=$F55,$D55/$G55,0),0)</f>
        <v>0</v>
      </c>
      <c r="LR55" s="479">
        <f t="shared" ref="LR55:OB55" si="396">-IF(LR$7&gt;=$E55,IF(LR$7&lt;=$F55,$D55/$G55,0),0)</f>
        <v>0</v>
      </c>
      <c r="LS55" s="479">
        <f t="shared" si="396"/>
        <v>0</v>
      </c>
      <c r="LT55" s="479">
        <f t="shared" si="396"/>
        <v>0</v>
      </c>
      <c r="LU55" s="479">
        <f t="shared" si="396"/>
        <v>0</v>
      </c>
      <c r="LV55" s="479">
        <f t="shared" si="396"/>
        <v>0</v>
      </c>
      <c r="LW55" s="479">
        <f t="shared" si="396"/>
        <v>0</v>
      </c>
      <c r="LX55" s="479">
        <f t="shared" si="396"/>
        <v>0</v>
      </c>
      <c r="LY55" s="479">
        <f t="shared" si="396"/>
        <v>0</v>
      </c>
      <c r="LZ55" s="479">
        <f t="shared" si="396"/>
        <v>0</v>
      </c>
      <c r="MA55" s="479">
        <f t="shared" si="396"/>
        <v>0</v>
      </c>
      <c r="MB55" s="479">
        <f t="shared" si="396"/>
        <v>0</v>
      </c>
      <c r="MC55" s="479">
        <f t="shared" si="396"/>
        <v>0</v>
      </c>
      <c r="MD55" s="479">
        <f t="shared" si="396"/>
        <v>0</v>
      </c>
      <c r="ME55" s="479">
        <f t="shared" si="396"/>
        <v>0</v>
      </c>
      <c r="MF55" s="479">
        <f t="shared" si="396"/>
        <v>0</v>
      </c>
      <c r="MG55" s="479">
        <f t="shared" si="396"/>
        <v>0</v>
      </c>
      <c r="MH55" s="479">
        <f t="shared" si="396"/>
        <v>0</v>
      </c>
      <c r="MI55" s="479">
        <f t="shared" si="396"/>
        <v>0</v>
      </c>
      <c r="MJ55" s="479">
        <f t="shared" si="396"/>
        <v>0</v>
      </c>
      <c r="MK55" s="479">
        <f t="shared" si="396"/>
        <v>0</v>
      </c>
      <c r="ML55" s="479">
        <f t="shared" si="396"/>
        <v>0</v>
      </c>
      <c r="MM55" s="479">
        <f t="shared" si="396"/>
        <v>0</v>
      </c>
      <c r="MN55" s="479">
        <f t="shared" si="396"/>
        <v>0</v>
      </c>
      <c r="MO55" s="479">
        <f t="shared" si="396"/>
        <v>0</v>
      </c>
      <c r="MP55" s="479">
        <f t="shared" si="396"/>
        <v>0</v>
      </c>
      <c r="MQ55" s="479">
        <f t="shared" si="396"/>
        <v>0</v>
      </c>
      <c r="MR55" s="479">
        <f t="shared" si="396"/>
        <v>0</v>
      </c>
      <c r="MS55" s="479">
        <f t="shared" si="396"/>
        <v>0</v>
      </c>
      <c r="MT55" s="479">
        <f t="shared" si="396"/>
        <v>0</v>
      </c>
      <c r="MU55" s="479">
        <f t="shared" si="396"/>
        <v>0</v>
      </c>
      <c r="MV55" s="479">
        <f t="shared" si="396"/>
        <v>0</v>
      </c>
      <c r="MW55" s="479">
        <f t="shared" si="396"/>
        <v>0</v>
      </c>
      <c r="MX55" s="479">
        <f t="shared" si="396"/>
        <v>0</v>
      </c>
      <c r="MY55" s="479">
        <f t="shared" si="396"/>
        <v>0</v>
      </c>
      <c r="MZ55" s="479">
        <f t="shared" si="396"/>
        <v>0</v>
      </c>
      <c r="NA55" s="479">
        <f t="shared" si="396"/>
        <v>0</v>
      </c>
      <c r="NB55" s="479">
        <f t="shared" si="396"/>
        <v>0</v>
      </c>
      <c r="NC55" s="479">
        <f t="shared" si="396"/>
        <v>0</v>
      </c>
      <c r="ND55" s="479">
        <f t="shared" si="396"/>
        <v>0</v>
      </c>
      <c r="NE55" s="479">
        <f t="shared" si="396"/>
        <v>0</v>
      </c>
      <c r="NF55" s="479">
        <f t="shared" si="396"/>
        <v>0</v>
      </c>
      <c r="NG55" s="479">
        <f t="shared" si="396"/>
        <v>0</v>
      </c>
      <c r="NH55" s="479">
        <f t="shared" si="396"/>
        <v>0</v>
      </c>
      <c r="NI55" s="479">
        <f t="shared" si="396"/>
        <v>0</v>
      </c>
      <c r="NJ55" s="479">
        <f t="shared" si="396"/>
        <v>0</v>
      </c>
      <c r="NK55" s="479">
        <f t="shared" si="396"/>
        <v>0</v>
      </c>
      <c r="NL55" s="479">
        <f t="shared" si="396"/>
        <v>0</v>
      </c>
      <c r="NM55" s="479">
        <f t="shared" si="396"/>
        <v>0</v>
      </c>
      <c r="NN55" s="479">
        <f t="shared" si="396"/>
        <v>0</v>
      </c>
      <c r="NO55" s="479">
        <f t="shared" si="396"/>
        <v>0</v>
      </c>
      <c r="NP55" s="479">
        <f t="shared" si="396"/>
        <v>0</v>
      </c>
      <c r="NQ55" s="479">
        <f t="shared" si="396"/>
        <v>0</v>
      </c>
      <c r="NR55" s="479">
        <f t="shared" si="396"/>
        <v>0</v>
      </c>
      <c r="NS55" s="479">
        <f t="shared" si="396"/>
        <v>0</v>
      </c>
      <c r="NT55" s="479">
        <f t="shared" si="396"/>
        <v>0</v>
      </c>
      <c r="NU55" s="479">
        <f t="shared" si="396"/>
        <v>0</v>
      </c>
      <c r="NV55" s="479">
        <f t="shared" si="396"/>
        <v>0</v>
      </c>
      <c r="NW55" s="479">
        <f t="shared" si="396"/>
        <v>0</v>
      </c>
      <c r="NX55" s="479">
        <f t="shared" si="396"/>
        <v>0</v>
      </c>
      <c r="NY55" s="479">
        <f t="shared" si="396"/>
        <v>0</v>
      </c>
      <c r="NZ55" s="479">
        <f t="shared" si="396"/>
        <v>0</v>
      </c>
      <c r="OA55" s="479">
        <f t="shared" si="396"/>
        <v>0</v>
      </c>
      <c r="OB55" s="479">
        <f t="shared" si="396"/>
        <v>0</v>
      </c>
      <c r="OC55" s="479">
        <f t="shared" ref="LR55:OC56" si="397">-IF(OC$7&gt;=$E55,IF(OC$7&lt;=$F55,$D55/$G55,0),0)</f>
        <v>0</v>
      </c>
      <c r="OD55" s="479">
        <f t="shared" ref="OD55:OO56" si="398">-IF(OD$7&gt;=$E55,IF(OD$7&lt;=$F55,$D55/$G55,0),0)</f>
        <v>0</v>
      </c>
      <c r="OE55" s="479">
        <f t="shared" si="398"/>
        <v>0</v>
      </c>
      <c r="OF55" s="479">
        <f t="shared" si="398"/>
        <v>0</v>
      </c>
      <c r="OG55" s="479">
        <f t="shared" si="398"/>
        <v>0</v>
      </c>
      <c r="OH55" s="479">
        <f t="shared" si="398"/>
        <v>0</v>
      </c>
      <c r="OI55" s="479">
        <f t="shared" si="398"/>
        <v>0</v>
      </c>
      <c r="OJ55" s="479">
        <f t="shared" si="398"/>
        <v>0</v>
      </c>
      <c r="OK55" s="479">
        <f t="shared" si="398"/>
        <v>0</v>
      </c>
      <c r="OL55" s="479">
        <f t="shared" si="398"/>
        <v>0</v>
      </c>
      <c r="OM55" s="479">
        <f t="shared" si="398"/>
        <v>0</v>
      </c>
      <c r="ON55" s="479">
        <f t="shared" si="398"/>
        <v>0</v>
      </c>
      <c r="OO55" s="479">
        <f t="shared" si="398"/>
        <v>0</v>
      </c>
    </row>
    <row r="56" spans="2:405">
      <c r="B56" s="97" t="s">
        <v>159</v>
      </c>
      <c r="C56" s="97"/>
      <c r="D56" s="500">
        <f>Assumptions!C126</f>
        <v>5029463.6995334961</v>
      </c>
      <c r="E56" s="507">
        <f>Assumptions!$C$8</f>
        <v>46204</v>
      </c>
      <c r="F56" s="507">
        <f>EOMONTH(E56,Assumptions!$C$9-1)</f>
        <v>46387</v>
      </c>
      <c r="G56" s="97">
        <f t="shared" si="378"/>
        <v>6</v>
      </c>
      <c r="H56" s="97"/>
      <c r="I56" s="97"/>
      <c r="J56" s="479">
        <f t="shared" si="387"/>
        <v>-838243.9499222493</v>
      </c>
      <c r="K56" s="479">
        <f t="shared" si="387"/>
        <v>-838243.9499222493</v>
      </c>
      <c r="L56" s="479">
        <f t="shared" si="387"/>
        <v>-838243.9499222493</v>
      </c>
      <c r="M56" s="479">
        <f t="shared" si="387"/>
        <v>-838243.9499222493</v>
      </c>
      <c r="N56" s="479">
        <f t="shared" si="387"/>
        <v>-838243.9499222493</v>
      </c>
      <c r="O56" s="479">
        <f t="shared" si="387"/>
        <v>-838243.9499222493</v>
      </c>
      <c r="P56" s="479">
        <f t="shared" si="387"/>
        <v>0</v>
      </c>
      <c r="Q56" s="479">
        <f t="shared" si="387"/>
        <v>0</v>
      </c>
      <c r="R56" s="479">
        <f t="shared" si="387"/>
        <v>0</v>
      </c>
      <c r="S56" s="479">
        <f t="shared" si="387"/>
        <v>0</v>
      </c>
      <c r="T56" s="479">
        <f t="shared" si="387"/>
        <v>0</v>
      </c>
      <c r="U56" s="479">
        <f t="shared" si="387"/>
        <v>0</v>
      </c>
      <c r="V56" s="479">
        <f t="shared" si="387"/>
        <v>0</v>
      </c>
      <c r="W56" s="479">
        <f t="shared" si="387"/>
        <v>0</v>
      </c>
      <c r="X56" s="479">
        <f t="shared" si="387"/>
        <v>0</v>
      </c>
      <c r="Y56" s="479">
        <f t="shared" si="387"/>
        <v>0</v>
      </c>
      <c r="Z56" s="479">
        <f t="shared" si="387"/>
        <v>0</v>
      </c>
      <c r="AA56" s="479">
        <f t="shared" si="387"/>
        <v>0</v>
      </c>
      <c r="AB56" s="479">
        <f t="shared" si="387"/>
        <v>0</v>
      </c>
      <c r="AC56" s="479">
        <f t="shared" si="387"/>
        <v>0</v>
      </c>
      <c r="AD56" s="479">
        <f t="shared" si="387"/>
        <v>0</v>
      </c>
      <c r="AE56" s="479">
        <f t="shared" si="387"/>
        <v>0</v>
      </c>
      <c r="AF56" s="479">
        <f t="shared" si="387"/>
        <v>0</v>
      </c>
      <c r="AG56" s="479">
        <f t="shared" si="387"/>
        <v>0</v>
      </c>
      <c r="AH56" s="479">
        <f t="shared" si="387"/>
        <v>0</v>
      </c>
      <c r="AI56" s="479">
        <f t="shared" si="387"/>
        <v>0</v>
      </c>
      <c r="AJ56" s="479">
        <f t="shared" si="387"/>
        <v>0</v>
      </c>
      <c r="AK56" s="479">
        <f t="shared" si="387"/>
        <v>0</v>
      </c>
      <c r="AL56" s="479">
        <f t="shared" si="387"/>
        <v>0</v>
      </c>
      <c r="AM56" s="479">
        <f t="shared" si="387"/>
        <v>0</v>
      </c>
      <c r="AN56" s="479">
        <f t="shared" si="387"/>
        <v>0</v>
      </c>
      <c r="AO56" s="479">
        <f t="shared" si="387"/>
        <v>0</v>
      </c>
      <c r="AP56" s="479">
        <f t="shared" si="387"/>
        <v>0</v>
      </c>
      <c r="AQ56" s="479">
        <f t="shared" si="387"/>
        <v>0</v>
      </c>
      <c r="AR56" s="479">
        <f t="shared" si="387"/>
        <v>0</v>
      </c>
      <c r="AS56" s="479">
        <f t="shared" si="387"/>
        <v>0</v>
      </c>
      <c r="AT56" s="479">
        <f t="shared" si="387"/>
        <v>0</v>
      </c>
      <c r="AU56" s="479">
        <f t="shared" si="387"/>
        <v>0</v>
      </c>
      <c r="AV56" s="479">
        <f t="shared" si="387"/>
        <v>0</v>
      </c>
      <c r="AW56" s="479">
        <f t="shared" si="387"/>
        <v>0</v>
      </c>
      <c r="AX56" s="479">
        <f t="shared" si="387"/>
        <v>0</v>
      </c>
      <c r="AY56" s="479">
        <f t="shared" si="387"/>
        <v>0</v>
      </c>
      <c r="AZ56" s="479">
        <f t="shared" si="387"/>
        <v>0</v>
      </c>
      <c r="BA56" s="479">
        <f t="shared" si="387"/>
        <v>0</v>
      </c>
      <c r="BB56" s="479">
        <f t="shared" si="387"/>
        <v>0</v>
      </c>
      <c r="BC56" s="479">
        <f t="shared" si="387"/>
        <v>0</v>
      </c>
      <c r="BD56" s="479">
        <f t="shared" si="387"/>
        <v>0</v>
      </c>
      <c r="BE56" s="479">
        <f t="shared" si="387"/>
        <v>0</v>
      </c>
      <c r="BF56" s="479">
        <f t="shared" si="387"/>
        <v>0</v>
      </c>
      <c r="BG56" s="479">
        <f t="shared" si="387"/>
        <v>0</v>
      </c>
      <c r="BH56" s="479">
        <f t="shared" si="387"/>
        <v>0</v>
      </c>
      <c r="BI56" s="479">
        <f t="shared" si="387"/>
        <v>0</v>
      </c>
      <c r="BJ56" s="479">
        <f t="shared" si="387"/>
        <v>0</v>
      </c>
      <c r="BK56" s="479">
        <f t="shared" si="387"/>
        <v>0</v>
      </c>
      <c r="BL56" s="479">
        <f t="shared" si="387"/>
        <v>0</v>
      </c>
      <c r="BM56" s="479">
        <f t="shared" si="387"/>
        <v>0</v>
      </c>
      <c r="BN56" s="479">
        <f t="shared" si="387"/>
        <v>0</v>
      </c>
      <c r="BO56" s="479">
        <f t="shared" si="387"/>
        <v>0</v>
      </c>
      <c r="BP56" s="479">
        <f t="shared" si="387"/>
        <v>0</v>
      </c>
      <c r="BQ56" s="479">
        <f t="shared" si="387"/>
        <v>0</v>
      </c>
      <c r="BR56" s="479">
        <f t="shared" si="387"/>
        <v>0</v>
      </c>
      <c r="BS56" s="479">
        <f t="shared" si="387"/>
        <v>0</v>
      </c>
      <c r="BT56" s="479">
        <f t="shared" si="387"/>
        <v>0</v>
      </c>
      <c r="BU56" s="479">
        <f t="shared" si="387"/>
        <v>0</v>
      </c>
      <c r="BV56" s="479">
        <f t="shared" si="389"/>
        <v>0</v>
      </c>
      <c r="BW56" s="479">
        <f t="shared" si="389"/>
        <v>0</v>
      </c>
      <c r="BX56" s="479">
        <f t="shared" si="389"/>
        <v>0</v>
      </c>
      <c r="BY56" s="479">
        <f t="shared" si="389"/>
        <v>0</v>
      </c>
      <c r="BZ56" s="479">
        <f t="shared" si="389"/>
        <v>0</v>
      </c>
      <c r="CA56" s="479">
        <f t="shared" si="389"/>
        <v>0</v>
      </c>
      <c r="CB56" s="479">
        <f t="shared" si="389"/>
        <v>0</v>
      </c>
      <c r="CC56" s="479">
        <f t="shared" si="389"/>
        <v>0</v>
      </c>
      <c r="CD56" s="479">
        <f t="shared" si="389"/>
        <v>0</v>
      </c>
      <c r="CE56" s="479">
        <f t="shared" si="389"/>
        <v>0</v>
      </c>
      <c r="CF56" s="479">
        <f t="shared" si="389"/>
        <v>0</v>
      </c>
      <c r="CG56" s="479">
        <f t="shared" si="389"/>
        <v>0</v>
      </c>
      <c r="CH56" s="479">
        <f t="shared" si="389"/>
        <v>0</v>
      </c>
      <c r="CI56" s="479">
        <f t="shared" si="389"/>
        <v>0</v>
      </c>
      <c r="CJ56" s="479">
        <f t="shared" si="389"/>
        <v>0</v>
      </c>
      <c r="CK56" s="479">
        <f t="shared" si="389"/>
        <v>0</v>
      </c>
      <c r="CL56" s="479">
        <f t="shared" si="389"/>
        <v>0</v>
      </c>
      <c r="CM56" s="479">
        <f t="shared" si="389"/>
        <v>0</v>
      </c>
      <c r="CN56" s="479">
        <f t="shared" si="389"/>
        <v>0</v>
      </c>
      <c r="CO56" s="479">
        <f t="shared" si="389"/>
        <v>0</v>
      </c>
      <c r="CP56" s="479">
        <f t="shared" si="389"/>
        <v>0</v>
      </c>
      <c r="CQ56" s="479">
        <f t="shared" si="389"/>
        <v>0</v>
      </c>
      <c r="CR56" s="479">
        <f t="shared" si="389"/>
        <v>0</v>
      </c>
      <c r="CS56" s="479">
        <f t="shared" si="389"/>
        <v>0</v>
      </c>
      <c r="CT56" s="479">
        <f t="shared" si="389"/>
        <v>0</v>
      </c>
      <c r="CU56" s="479">
        <f t="shared" si="389"/>
        <v>0</v>
      </c>
      <c r="CV56" s="479">
        <f t="shared" si="389"/>
        <v>0</v>
      </c>
      <c r="CW56" s="479">
        <f t="shared" si="389"/>
        <v>0</v>
      </c>
      <c r="CX56" s="479">
        <f t="shared" si="389"/>
        <v>0</v>
      </c>
      <c r="CY56" s="479">
        <f t="shared" si="389"/>
        <v>0</v>
      </c>
      <c r="CZ56" s="479">
        <f t="shared" si="389"/>
        <v>0</v>
      </c>
      <c r="DA56" s="479">
        <f t="shared" si="389"/>
        <v>0</v>
      </c>
      <c r="DB56" s="479">
        <f t="shared" si="389"/>
        <v>0</v>
      </c>
      <c r="DC56" s="479">
        <f t="shared" si="389"/>
        <v>0</v>
      </c>
      <c r="DD56" s="479">
        <f t="shared" si="389"/>
        <v>0</v>
      </c>
      <c r="DE56" s="479">
        <f t="shared" si="389"/>
        <v>0</v>
      </c>
      <c r="DF56" s="479">
        <f t="shared" si="389"/>
        <v>0</v>
      </c>
      <c r="DG56" s="479">
        <f t="shared" si="389"/>
        <v>0</v>
      </c>
      <c r="DH56" s="479">
        <f t="shared" si="389"/>
        <v>0</v>
      </c>
      <c r="DI56" s="479">
        <f t="shared" si="389"/>
        <v>0</v>
      </c>
      <c r="DJ56" s="479">
        <f t="shared" si="389"/>
        <v>0</v>
      </c>
      <c r="DK56" s="479">
        <f t="shared" si="389"/>
        <v>0</v>
      </c>
      <c r="DL56" s="479">
        <f t="shared" si="389"/>
        <v>0</v>
      </c>
      <c r="DM56" s="479">
        <f t="shared" si="389"/>
        <v>0</v>
      </c>
      <c r="DN56" s="479">
        <f t="shared" si="389"/>
        <v>0</v>
      </c>
      <c r="DO56" s="479">
        <f t="shared" si="389"/>
        <v>0</v>
      </c>
      <c r="DP56" s="479">
        <f t="shared" si="389"/>
        <v>0</v>
      </c>
      <c r="DQ56" s="479">
        <f t="shared" si="389"/>
        <v>0</v>
      </c>
      <c r="DR56" s="479">
        <f t="shared" si="389"/>
        <v>0</v>
      </c>
      <c r="DS56" s="479">
        <f t="shared" si="389"/>
        <v>0</v>
      </c>
      <c r="DT56" s="479">
        <f t="shared" si="389"/>
        <v>0</v>
      </c>
      <c r="DU56" s="479">
        <f t="shared" si="389"/>
        <v>0</v>
      </c>
      <c r="DV56" s="479">
        <f t="shared" si="389"/>
        <v>0</v>
      </c>
      <c r="DW56" s="479">
        <f t="shared" si="389"/>
        <v>0</v>
      </c>
      <c r="DX56" s="479">
        <f t="shared" si="389"/>
        <v>0</v>
      </c>
      <c r="DY56" s="479">
        <f t="shared" si="389"/>
        <v>0</v>
      </c>
      <c r="DZ56" s="479">
        <f t="shared" si="389"/>
        <v>0</v>
      </c>
      <c r="EA56" s="479">
        <f t="shared" si="389"/>
        <v>0</v>
      </c>
      <c r="EB56" s="479">
        <f t="shared" si="389"/>
        <v>0</v>
      </c>
      <c r="EC56" s="479">
        <f t="shared" si="389"/>
        <v>0</v>
      </c>
      <c r="ED56" s="479">
        <f t="shared" si="389"/>
        <v>0</v>
      </c>
      <c r="EE56" s="479">
        <f t="shared" si="389"/>
        <v>0</v>
      </c>
      <c r="EF56" s="479">
        <f t="shared" si="389"/>
        <v>0</v>
      </c>
      <c r="EG56" s="479">
        <f t="shared" si="389"/>
        <v>0</v>
      </c>
      <c r="EH56" s="479">
        <f t="shared" si="391"/>
        <v>0</v>
      </c>
      <c r="EI56" s="479">
        <f t="shared" si="391"/>
        <v>0</v>
      </c>
      <c r="EJ56" s="479">
        <f t="shared" si="391"/>
        <v>0</v>
      </c>
      <c r="EK56" s="479">
        <f t="shared" si="391"/>
        <v>0</v>
      </c>
      <c r="EL56" s="479">
        <f t="shared" si="391"/>
        <v>0</v>
      </c>
      <c r="EM56" s="479">
        <f t="shared" si="391"/>
        <v>0</v>
      </c>
      <c r="EN56" s="479">
        <f t="shared" si="391"/>
        <v>0</v>
      </c>
      <c r="EO56" s="479">
        <f t="shared" si="391"/>
        <v>0</v>
      </c>
      <c r="EP56" s="479">
        <f t="shared" si="391"/>
        <v>0</v>
      </c>
      <c r="EQ56" s="479">
        <f t="shared" si="391"/>
        <v>0</v>
      </c>
      <c r="ER56" s="479">
        <f t="shared" si="391"/>
        <v>0</v>
      </c>
      <c r="ES56" s="479">
        <f t="shared" si="391"/>
        <v>0</v>
      </c>
      <c r="ET56" s="479">
        <f t="shared" si="391"/>
        <v>0</v>
      </c>
      <c r="EU56" s="479">
        <f t="shared" si="391"/>
        <v>0</v>
      </c>
      <c r="EV56" s="479">
        <f t="shared" si="391"/>
        <v>0</v>
      </c>
      <c r="EW56" s="479">
        <f t="shared" si="391"/>
        <v>0</v>
      </c>
      <c r="EX56" s="479">
        <f t="shared" si="391"/>
        <v>0</v>
      </c>
      <c r="EY56" s="479">
        <f t="shared" si="391"/>
        <v>0</v>
      </c>
      <c r="EZ56" s="479">
        <f t="shared" si="391"/>
        <v>0</v>
      </c>
      <c r="FA56" s="479">
        <f t="shared" si="391"/>
        <v>0</v>
      </c>
      <c r="FB56" s="479">
        <f t="shared" si="391"/>
        <v>0</v>
      </c>
      <c r="FC56" s="479">
        <f t="shared" si="391"/>
        <v>0</v>
      </c>
      <c r="FD56" s="479">
        <f t="shared" si="391"/>
        <v>0</v>
      </c>
      <c r="FE56" s="479">
        <f t="shared" si="391"/>
        <v>0</v>
      </c>
      <c r="FF56" s="479">
        <f t="shared" si="391"/>
        <v>0</v>
      </c>
      <c r="FG56" s="479">
        <f t="shared" si="391"/>
        <v>0</v>
      </c>
      <c r="FH56" s="479">
        <f t="shared" si="391"/>
        <v>0</v>
      </c>
      <c r="FI56" s="479">
        <f t="shared" si="391"/>
        <v>0</v>
      </c>
      <c r="FJ56" s="479">
        <f t="shared" si="391"/>
        <v>0</v>
      </c>
      <c r="FK56" s="479">
        <f t="shared" si="391"/>
        <v>0</v>
      </c>
      <c r="FL56" s="479">
        <f t="shared" si="391"/>
        <v>0</v>
      </c>
      <c r="FM56" s="479">
        <f t="shared" si="391"/>
        <v>0</v>
      </c>
      <c r="FN56" s="479">
        <f t="shared" si="391"/>
        <v>0</v>
      </c>
      <c r="FO56" s="479">
        <f t="shared" si="391"/>
        <v>0</v>
      </c>
      <c r="FP56" s="479">
        <f t="shared" si="391"/>
        <v>0</v>
      </c>
      <c r="FQ56" s="479">
        <f t="shared" si="391"/>
        <v>0</v>
      </c>
      <c r="FR56" s="479">
        <f t="shared" si="391"/>
        <v>0</v>
      </c>
      <c r="FS56" s="479">
        <f t="shared" si="391"/>
        <v>0</v>
      </c>
      <c r="FT56" s="479">
        <f t="shared" si="391"/>
        <v>0</v>
      </c>
      <c r="FU56" s="479">
        <f t="shared" si="391"/>
        <v>0</v>
      </c>
      <c r="FV56" s="479">
        <f t="shared" si="391"/>
        <v>0</v>
      </c>
      <c r="FW56" s="479">
        <f t="shared" si="391"/>
        <v>0</v>
      </c>
      <c r="FX56" s="479">
        <f t="shared" si="391"/>
        <v>0</v>
      </c>
      <c r="FY56" s="479">
        <f t="shared" si="391"/>
        <v>0</v>
      </c>
      <c r="FZ56" s="479">
        <f t="shared" si="391"/>
        <v>0</v>
      </c>
      <c r="GA56" s="479">
        <f t="shared" si="391"/>
        <v>0</v>
      </c>
      <c r="GB56" s="479">
        <f t="shared" si="391"/>
        <v>0</v>
      </c>
      <c r="GC56" s="479">
        <f t="shared" si="391"/>
        <v>0</v>
      </c>
      <c r="GD56" s="479">
        <f t="shared" si="391"/>
        <v>0</v>
      </c>
      <c r="GE56" s="479">
        <f t="shared" si="391"/>
        <v>0</v>
      </c>
      <c r="GF56" s="479">
        <f t="shared" si="391"/>
        <v>0</v>
      </c>
      <c r="GG56" s="479">
        <f t="shared" si="391"/>
        <v>0</v>
      </c>
      <c r="GH56" s="479">
        <f t="shared" si="391"/>
        <v>0</v>
      </c>
      <c r="GI56" s="479">
        <f t="shared" si="391"/>
        <v>0</v>
      </c>
      <c r="GJ56" s="479">
        <f t="shared" si="391"/>
        <v>0</v>
      </c>
      <c r="GK56" s="479">
        <f t="shared" si="391"/>
        <v>0</v>
      </c>
      <c r="GL56" s="479">
        <f t="shared" si="391"/>
        <v>0</v>
      </c>
      <c r="GM56" s="479">
        <f t="shared" si="391"/>
        <v>0</v>
      </c>
      <c r="GN56" s="479">
        <f t="shared" si="391"/>
        <v>0</v>
      </c>
      <c r="GO56" s="479">
        <f t="shared" si="391"/>
        <v>0</v>
      </c>
      <c r="GP56" s="479">
        <f t="shared" si="391"/>
        <v>0</v>
      </c>
      <c r="GQ56" s="479">
        <f t="shared" si="391"/>
        <v>0</v>
      </c>
      <c r="GR56" s="479">
        <f t="shared" si="391"/>
        <v>0</v>
      </c>
      <c r="GS56" s="479">
        <f t="shared" si="391"/>
        <v>0</v>
      </c>
      <c r="GT56" s="479">
        <f t="shared" si="393"/>
        <v>0</v>
      </c>
      <c r="GU56" s="479">
        <f t="shared" si="393"/>
        <v>0</v>
      </c>
      <c r="GV56" s="479">
        <f t="shared" si="393"/>
        <v>0</v>
      </c>
      <c r="GW56" s="479">
        <f t="shared" si="393"/>
        <v>0</v>
      </c>
      <c r="GX56" s="479">
        <f t="shared" si="393"/>
        <v>0</v>
      </c>
      <c r="GY56" s="479">
        <f t="shared" si="393"/>
        <v>0</v>
      </c>
      <c r="GZ56" s="479">
        <f t="shared" si="393"/>
        <v>0</v>
      </c>
      <c r="HA56" s="479">
        <f t="shared" si="393"/>
        <v>0</v>
      </c>
      <c r="HB56" s="479">
        <f t="shared" si="393"/>
        <v>0</v>
      </c>
      <c r="HC56" s="479">
        <f t="shared" si="393"/>
        <v>0</v>
      </c>
      <c r="HD56" s="479">
        <f t="shared" si="393"/>
        <v>0</v>
      </c>
      <c r="HE56" s="479">
        <f t="shared" si="393"/>
        <v>0</v>
      </c>
      <c r="HF56" s="479">
        <f t="shared" si="393"/>
        <v>0</v>
      </c>
      <c r="HG56" s="479">
        <f t="shared" si="393"/>
        <v>0</v>
      </c>
      <c r="HH56" s="479">
        <f t="shared" si="393"/>
        <v>0</v>
      </c>
      <c r="HI56" s="479">
        <f t="shared" si="393"/>
        <v>0</v>
      </c>
      <c r="HJ56" s="479">
        <f t="shared" si="393"/>
        <v>0</v>
      </c>
      <c r="HK56" s="479">
        <f t="shared" si="393"/>
        <v>0</v>
      </c>
      <c r="HL56" s="479">
        <f t="shared" si="393"/>
        <v>0</v>
      </c>
      <c r="HM56" s="479">
        <f t="shared" si="393"/>
        <v>0</v>
      </c>
      <c r="HN56" s="479">
        <f t="shared" si="393"/>
        <v>0</v>
      </c>
      <c r="HO56" s="479">
        <f t="shared" si="393"/>
        <v>0</v>
      </c>
      <c r="HP56" s="479">
        <f t="shared" si="393"/>
        <v>0</v>
      </c>
      <c r="HQ56" s="479">
        <f t="shared" si="393"/>
        <v>0</v>
      </c>
      <c r="HR56" s="479">
        <f t="shared" si="393"/>
        <v>0</v>
      </c>
      <c r="HS56" s="479">
        <f t="shared" si="393"/>
        <v>0</v>
      </c>
      <c r="HT56" s="479">
        <f t="shared" si="393"/>
        <v>0</v>
      </c>
      <c r="HU56" s="479">
        <f t="shared" si="393"/>
        <v>0</v>
      </c>
      <c r="HV56" s="479">
        <f t="shared" si="393"/>
        <v>0</v>
      </c>
      <c r="HW56" s="479">
        <f t="shared" si="393"/>
        <v>0</v>
      </c>
      <c r="HX56" s="479">
        <f t="shared" si="393"/>
        <v>0</v>
      </c>
      <c r="HY56" s="479">
        <f t="shared" si="393"/>
        <v>0</v>
      </c>
      <c r="HZ56" s="479">
        <f t="shared" si="393"/>
        <v>0</v>
      </c>
      <c r="IA56" s="479">
        <f t="shared" si="393"/>
        <v>0</v>
      </c>
      <c r="IB56" s="479">
        <f t="shared" si="393"/>
        <v>0</v>
      </c>
      <c r="IC56" s="479">
        <f t="shared" si="393"/>
        <v>0</v>
      </c>
      <c r="ID56" s="479">
        <f t="shared" si="393"/>
        <v>0</v>
      </c>
      <c r="IE56" s="479">
        <f t="shared" si="393"/>
        <v>0</v>
      </c>
      <c r="IF56" s="479">
        <f t="shared" si="393"/>
        <v>0</v>
      </c>
      <c r="IG56" s="479">
        <f t="shared" si="393"/>
        <v>0</v>
      </c>
      <c r="IH56" s="479">
        <f t="shared" si="393"/>
        <v>0</v>
      </c>
      <c r="II56" s="479">
        <f t="shared" si="393"/>
        <v>0</v>
      </c>
      <c r="IJ56" s="479">
        <f t="shared" si="393"/>
        <v>0</v>
      </c>
      <c r="IK56" s="479">
        <f t="shared" si="393"/>
        <v>0</v>
      </c>
      <c r="IL56" s="479">
        <f t="shared" si="393"/>
        <v>0</v>
      </c>
      <c r="IM56" s="479">
        <f t="shared" si="393"/>
        <v>0</v>
      </c>
      <c r="IN56" s="479">
        <f t="shared" si="393"/>
        <v>0</v>
      </c>
      <c r="IO56" s="479">
        <f t="shared" si="393"/>
        <v>0</v>
      </c>
      <c r="IP56" s="479">
        <f t="shared" si="393"/>
        <v>0</v>
      </c>
      <c r="IQ56" s="479">
        <f t="shared" si="393"/>
        <v>0</v>
      </c>
      <c r="IR56" s="479">
        <f t="shared" si="393"/>
        <v>0</v>
      </c>
      <c r="IS56" s="479">
        <f t="shared" si="393"/>
        <v>0</v>
      </c>
      <c r="IT56" s="479">
        <f t="shared" si="393"/>
        <v>0</v>
      </c>
      <c r="IU56" s="479">
        <f t="shared" si="393"/>
        <v>0</v>
      </c>
      <c r="IV56" s="479">
        <f t="shared" si="393"/>
        <v>0</v>
      </c>
      <c r="IW56" s="479">
        <f t="shared" si="393"/>
        <v>0</v>
      </c>
      <c r="IX56" s="479">
        <f t="shared" si="393"/>
        <v>0</v>
      </c>
      <c r="IY56" s="479">
        <f t="shared" si="393"/>
        <v>0</v>
      </c>
      <c r="IZ56" s="479">
        <f t="shared" si="393"/>
        <v>0</v>
      </c>
      <c r="JA56" s="479">
        <f t="shared" si="393"/>
        <v>0</v>
      </c>
      <c r="JB56" s="479">
        <f t="shared" si="393"/>
        <v>0</v>
      </c>
      <c r="JC56" s="479">
        <f t="shared" si="393"/>
        <v>0</v>
      </c>
      <c r="JD56" s="479">
        <f t="shared" si="393"/>
        <v>0</v>
      </c>
      <c r="JE56" s="479">
        <f t="shared" si="393"/>
        <v>0</v>
      </c>
      <c r="JF56" s="479">
        <f t="shared" si="395"/>
        <v>0</v>
      </c>
      <c r="JG56" s="479">
        <f t="shared" si="395"/>
        <v>0</v>
      </c>
      <c r="JH56" s="479">
        <f t="shared" si="395"/>
        <v>0</v>
      </c>
      <c r="JI56" s="479">
        <f t="shared" si="395"/>
        <v>0</v>
      </c>
      <c r="JJ56" s="479">
        <f t="shared" si="395"/>
        <v>0</v>
      </c>
      <c r="JK56" s="479">
        <f t="shared" si="395"/>
        <v>0</v>
      </c>
      <c r="JL56" s="479">
        <f t="shared" si="395"/>
        <v>0</v>
      </c>
      <c r="JM56" s="479">
        <f t="shared" si="395"/>
        <v>0</v>
      </c>
      <c r="JN56" s="479">
        <f t="shared" si="395"/>
        <v>0</v>
      </c>
      <c r="JO56" s="479">
        <f t="shared" si="395"/>
        <v>0</v>
      </c>
      <c r="JP56" s="479">
        <f t="shared" si="395"/>
        <v>0</v>
      </c>
      <c r="JQ56" s="479">
        <f t="shared" si="395"/>
        <v>0</v>
      </c>
      <c r="JR56" s="479">
        <f t="shared" si="395"/>
        <v>0</v>
      </c>
      <c r="JS56" s="479">
        <f t="shared" si="395"/>
        <v>0</v>
      </c>
      <c r="JT56" s="479">
        <f t="shared" si="395"/>
        <v>0</v>
      </c>
      <c r="JU56" s="479">
        <f t="shared" si="395"/>
        <v>0</v>
      </c>
      <c r="JV56" s="479">
        <f t="shared" si="395"/>
        <v>0</v>
      </c>
      <c r="JW56" s="479">
        <f t="shared" si="395"/>
        <v>0</v>
      </c>
      <c r="JX56" s="479">
        <f t="shared" si="395"/>
        <v>0</v>
      </c>
      <c r="JY56" s="479">
        <f t="shared" si="395"/>
        <v>0</v>
      </c>
      <c r="JZ56" s="479">
        <f t="shared" si="395"/>
        <v>0</v>
      </c>
      <c r="KA56" s="479">
        <f t="shared" si="395"/>
        <v>0</v>
      </c>
      <c r="KB56" s="479">
        <f t="shared" si="395"/>
        <v>0</v>
      </c>
      <c r="KC56" s="479">
        <f t="shared" si="395"/>
        <v>0</v>
      </c>
      <c r="KD56" s="479">
        <f t="shared" si="395"/>
        <v>0</v>
      </c>
      <c r="KE56" s="479">
        <f t="shared" si="395"/>
        <v>0</v>
      </c>
      <c r="KF56" s="479">
        <f t="shared" si="395"/>
        <v>0</v>
      </c>
      <c r="KG56" s="479">
        <f t="shared" si="395"/>
        <v>0</v>
      </c>
      <c r="KH56" s="479">
        <f t="shared" si="395"/>
        <v>0</v>
      </c>
      <c r="KI56" s="479">
        <f t="shared" si="395"/>
        <v>0</v>
      </c>
      <c r="KJ56" s="479">
        <f t="shared" si="395"/>
        <v>0</v>
      </c>
      <c r="KK56" s="479">
        <f t="shared" si="395"/>
        <v>0</v>
      </c>
      <c r="KL56" s="479">
        <f t="shared" si="395"/>
        <v>0</v>
      </c>
      <c r="KM56" s="479">
        <f t="shared" si="395"/>
        <v>0</v>
      </c>
      <c r="KN56" s="479">
        <f t="shared" si="395"/>
        <v>0</v>
      </c>
      <c r="KO56" s="479">
        <f t="shared" si="395"/>
        <v>0</v>
      </c>
      <c r="KP56" s="479">
        <f t="shared" si="395"/>
        <v>0</v>
      </c>
      <c r="KQ56" s="479">
        <f t="shared" si="395"/>
        <v>0</v>
      </c>
      <c r="KR56" s="479">
        <f t="shared" si="395"/>
        <v>0</v>
      </c>
      <c r="KS56" s="479">
        <f t="shared" si="395"/>
        <v>0</v>
      </c>
      <c r="KT56" s="479">
        <f t="shared" si="395"/>
        <v>0</v>
      </c>
      <c r="KU56" s="479">
        <f t="shared" si="395"/>
        <v>0</v>
      </c>
      <c r="KV56" s="479">
        <f t="shared" si="395"/>
        <v>0</v>
      </c>
      <c r="KW56" s="479">
        <f t="shared" si="395"/>
        <v>0</v>
      </c>
      <c r="KX56" s="479">
        <f t="shared" si="395"/>
        <v>0</v>
      </c>
      <c r="KY56" s="479">
        <f t="shared" si="395"/>
        <v>0</v>
      </c>
      <c r="KZ56" s="479">
        <f t="shared" si="395"/>
        <v>0</v>
      </c>
      <c r="LA56" s="479">
        <f t="shared" si="395"/>
        <v>0</v>
      </c>
      <c r="LB56" s="479">
        <f t="shared" si="395"/>
        <v>0</v>
      </c>
      <c r="LC56" s="479">
        <f t="shared" si="395"/>
        <v>0</v>
      </c>
      <c r="LD56" s="479">
        <f t="shared" si="395"/>
        <v>0</v>
      </c>
      <c r="LE56" s="479">
        <f t="shared" si="395"/>
        <v>0</v>
      </c>
      <c r="LF56" s="479">
        <f t="shared" si="395"/>
        <v>0</v>
      </c>
      <c r="LG56" s="479">
        <f t="shared" si="395"/>
        <v>0</v>
      </c>
      <c r="LH56" s="479">
        <f t="shared" si="395"/>
        <v>0</v>
      </c>
      <c r="LI56" s="479">
        <f t="shared" si="395"/>
        <v>0</v>
      </c>
      <c r="LJ56" s="479">
        <f t="shared" si="395"/>
        <v>0</v>
      </c>
      <c r="LK56" s="479">
        <f t="shared" si="395"/>
        <v>0</v>
      </c>
      <c r="LL56" s="479">
        <f t="shared" si="395"/>
        <v>0</v>
      </c>
      <c r="LM56" s="479">
        <f t="shared" si="395"/>
        <v>0</v>
      </c>
      <c r="LN56" s="479">
        <f t="shared" si="395"/>
        <v>0</v>
      </c>
      <c r="LO56" s="479">
        <f t="shared" si="395"/>
        <v>0</v>
      </c>
      <c r="LP56" s="479">
        <f t="shared" si="395"/>
        <v>0</v>
      </c>
      <c r="LQ56" s="479">
        <f t="shared" si="395"/>
        <v>0</v>
      </c>
      <c r="LR56" s="479">
        <f t="shared" si="397"/>
        <v>0</v>
      </c>
      <c r="LS56" s="479">
        <f t="shared" si="397"/>
        <v>0</v>
      </c>
      <c r="LT56" s="479">
        <f t="shared" si="397"/>
        <v>0</v>
      </c>
      <c r="LU56" s="479">
        <f t="shared" si="397"/>
        <v>0</v>
      </c>
      <c r="LV56" s="479">
        <f t="shared" si="397"/>
        <v>0</v>
      </c>
      <c r="LW56" s="479">
        <f t="shared" si="397"/>
        <v>0</v>
      </c>
      <c r="LX56" s="479">
        <f t="shared" si="397"/>
        <v>0</v>
      </c>
      <c r="LY56" s="479">
        <f t="shared" si="397"/>
        <v>0</v>
      </c>
      <c r="LZ56" s="479">
        <f t="shared" si="397"/>
        <v>0</v>
      </c>
      <c r="MA56" s="479">
        <f t="shared" si="397"/>
        <v>0</v>
      </c>
      <c r="MB56" s="479">
        <f t="shared" si="397"/>
        <v>0</v>
      </c>
      <c r="MC56" s="479">
        <f t="shared" si="397"/>
        <v>0</v>
      </c>
      <c r="MD56" s="479">
        <f t="shared" si="397"/>
        <v>0</v>
      </c>
      <c r="ME56" s="479">
        <f t="shared" si="397"/>
        <v>0</v>
      </c>
      <c r="MF56" s="479">
        <f t="shared" si="397"/>
        <v>0</v>
      </c>
      <c r="MG56" s="479">
        <f t="shared" si="397"/>
        <v>0</v>
      </c>
      <c r="MH56" s="479">
        <f t="shared" si="397"/>
        <v>0</v>
      </c>
      <c r="MI56" s="479">
        <f t="shared" si="397"/>
        <v>0</v>
      </c>
      <c r="MJ56" s="479">
        <f t="shared" si="397"/>
        <v>0</v>
      </c>
      <c r="MK56" s="479">
        <f t="shared" si="397"/>
        <v>0</v>
      </c>
      <c r="ML56" s="479">
        <f t="shared" si="397"/>
        <v>0</v>
      </c>
      <c r="MM56" s="479">
        <f t="shared" si="397"/>
        <v>0</v>
      </c>
      <c r="MN56" s="479">
        <f t="shared" si="397"/>
        <v>0</v>
      </c>
      <c r="MO56" s="479">
        <f t="shared" si="397"/>
        <v>0</v>
      </c>
      <c r="MP56" s="479">
        <f t="shared" si="397"/>
        <v>0</v>
      </c>
      <c r="MQ56" s="479">
        <f t="shared" si="397"/>
        <v>0</v>
      </c>
      <c r="MR56" s="479">
        <f t="shared" si="397"/>
        <v>0</v>
      </c>
      <c r="MS56" s="479">
        <f t="shared" si="397"/>
        <v>0</v>
      </c>
      <c r="MT56" s="479">
        <f t="shared" si="397"/>
        <v>0</v>
      </c>
      <c r="MU56" s="479">
        <f t="shared" si="397"/>
        <v>0</v>
      </c>
      <c r="MV56" s="479">
        <f t="shared" si="397"/>
        <v>0</v>
      </c>
      <c r="MW56" s="479">
        <f t="shared" si="397"/>
        <v>0</v>
      </c>
      <c r="MX56" s="479">
        <f t="shared" si="397"/>
        <v>0</v>
      </c>
      <c r="MY56" s="479">
        <f t="shared" si="397"/>
        <v>0</v>
      </c>
      <c r="MZ56" s="479">
        <f t="shared" si="397"/>
        <v>0</v>
      </c>
      <c r="NA56" s="479">
        <f t="shared" si="397"/>
        <v>0</v>
      </c>
      <c r="NB56" s="479">
        <f t="shared" si="397"/>
        <v>0</v>
      </c>
      <c r="NC56" s="479">
        <f t="shared" si="397"/>
        <v>0</v>
      </c>
      <c r="ND56" s="479">
        <f t="shared" si="397"/>
        <v>0</v>
      </c>
      <c r="NE56" s="479">
        <f t="shared" si="397"/>
        <v>0</v>
      </c>
      <c r="NF56" s="479">
        <f t="shared" si="397"/>
        <v>0</v>
      </c>
      <c r="NG56" s="479">
        <f t="shared" si="397"/>
        <v>0</v>
      </c>
      <c r="NH56" s="479">
        <f t="shared" si="397"/>
        <v>0</v>
      </c>
      <c r="NI56" s="479">
        <f t="shared" si="397"/>
        <v>0</v>
      </c>
      <c r="NJ56" s="479">
        <f t="shared" si="397"/>
        <v>0</v>
      </c>
      <c r="NK56" s="479">
        <f t="shared" si="397"/>
        <v>0</v>
      </c>
      <c r="NL56" s="479">
        <f t="shared" si="397"/>
        <v>0</v>
      </c>
      <c r="NM56" s="479">
        <f t="shared" si="397"/>
        <v>0</v>
      </c>
      <c r="NN56" s="479">
        <f t="shared" si="397"/>
        <v>0</v>
      </c>
      <c r="NO56" s="479">
        <f t="shared" si="397"/>
        <v>0</v>
      </c>
      <c r="NP56" s="479">
        <f t="shared" si="397"/>
        <v>0</v>
      </c>
      <c r="NQ56" s="479">
        <f t="shared" si="397"/>
        <v>0</v>
      </c>
      <c r="NR56" s="479">
        <f t="shared" si="397"/>
        <v>0</v>
      </c>
      <c r="NS56" s="479">
        <f t="shared" si="397"/>
        <v>0</v>
      </c>
      <c r="NT56" s="479">
        <f t="shared" si="397"/>
        <v>0</v>
      </c>
      <c r="NU56" s="479">
        <f t="shared" si="397"/>
        <v>0</v>
      </c>
      <c r="NV56" s="479">
        <f t="shared" si="397"/>
        <v>0</v>
      </c>
      <c r="NW56" s="479">
        <f t="shared" si="397"/>
        <v>0</v>
      </c>
      <c r="NX56" s="479">
        <f t="shared" si="397"/>
        <v>0</v>
      </c>
      <c r="NY56" s="479">
        <f t="shared" si="397"/>
        <v>0</v>
      </c>
      <c r="NZ56" s="479">
        <f t="shared" si="397"/>
        <v>0</v>
      </c>
      <c r="OA56" s="479">
        <f t="shared" si="397"/>
        <v>0</v>
      </c>
      <c r="OB56" s="479">
        <f t="shared" si="397"/>
        <v>0</v>
      </c>
      <c r="OC56" s="479">
        <f t="shared" si="397"/>
        <v>0</v>
      </c>
      <c r="OD56" s="479">
        <f t="shared" si="398"/>
        <v>0</v>
      </c>
      <c r="OE56" s="479">
        <f t="shared" si="398"/>
        <v>0</v>
      </c>
      <c r="OF56" s="479">
        <f t="shared" si="398"/>
        <v>0</v>
      </c>
      <c r="OG56" s="479">
        <f t="shared" si="398"/>
        <v>0</v>
      </c>
      <c r="OH56" s="479">
        <f t="shared" si="398"/>
        <v>0</v>
      </c>
      <c r="OI56" s="479">
        <f t="shared" si="398"/>
        <v>0</v>
      </c>
      <c r="OJ56" s="479">
        <f t="shared" si="398"/>
        <v>0</v>
      </c>
      <c r="OK56" s="479">
        <f t="shared" si="398"/>
        <v>0</v>
      </c>
      <c r="OL56" s="479">
        <f t="shared" si="398"/>
        <v>0</v>
      </c>
      <c r="OM56" s="479">
        <f t="shared" si="398"/>
        <v>0</v>
      </c>
      <c r="ON56" s="479">
        <f t="shared" si="398"/>
        <v>0</v>
      </c>
      <c r="OO56" s="479">
        <f t="shared" si="398"/>
        <v>0</v>
      </c>
    </row>
    <row r="57" spans="2:405">
      <c r="B57" s="97" t="str">
        <f>Assumptions!B129</f>
        <v>HFA Bond Issuance &amp; Closing Fees</v>
      </c>
      <c r="C57" s="97"/>
      <c r="D57" s="500">
        <f>Assumptions!C142</f>
        <v>5330453.9391339766</v>
      </c>
      <c r="E57" s="507">
        <f>Assumptions!$C$8</f>
        <v>46204</v>
      </c>
      <c r="F57" s="507">
        <f>EOMONTH(E57,Assumptions!$C$9-1)</f>
        <v>46387</v>
      </c>
      <c r="G57" s="97">
        <f t="shared" ref="G57" si="399">((YEAR(F57)-YEAR(E57))*12+MONTH(F57)-MONTH(E57)+1)</f>
        <v>6</v>
      </c>
      <c r="H57" s="97"/>
      <c r="I57" s="97"/>
      <c r="J57" s="479">
        <f>-IF(J$7&gt;=$E57,IF(J$7&lt;=$F57,$D57/$G57,0),0)</f>
        <v>-888408.9898556628</v>
      </c>
      <c r="K57" s="479">
        <f t="shared" ref="K57:BV57" si="400">-IF(K$7&gt;=$E57,IF(K$7&lt;=$F57,$D57/$G57,0),0)</f>
        <v>-888408.9898556628</v>
      </c>
      <c r="L57" s="479">
        <f t="shared" si="400"/>
        <v>-888408.9898556628</v>
      </c>
      <c r="M57" s="479">
        <f t="shared" si="400"/>
        <v>-888408.9898556628</v>
      </c>
      <c r="N57" s="479">
        <f t="shared" si="400"/>
        <v>-888408.9898556628</v>
      </c>
      <c r="O57" s="479">
        <f t="shared" si="400"/>
        <v>-888408.9898556628</v>
      </c>
      <c r="P57" s="479">
        <f t="shared" si="400"/>
        <v>0</v>
      </c>
      <c r="Q57" s="479">
        <f t="shared" si="400"/>
        <v>0</v>
      </c>
      <c r="R57" s="479">
        <f t="shared" si="400"/>
        <v>0</v>
      </c>
      <c r="S57" s="479">
        <f t="shared" si="400"/>
        <v>0</v>
      </c>
      <c r="T57" s="479">
        <f t="shared" si="400"/>
        <v>0</v>
      </c>
      <c r="U57" s="479">
        <f t="shared" si="400"/>
        <v>0</v>
      </c>
      <c r="V57" s="479">
        <f t="shared" si="400"/>
        <v>0</v>
      </c>
      <c r="W57" s="479">
        <f t="shared" si="400"/>
        <v>0</v>
      </c>
      <c r="X57" s="479">
        <f t="shared" si="400"/>
        <v>0</v>
      </c>
      <c r="Y57" s="479">
        <f t="shared" si="400"/>
        <v>0</v>
      </c>
      <c r="Z57" s="479">
        <f t="shared" si="400"/>
        <v>0</v>
      </c>
      <c r="AA57" s="479">
        <f t="shared" si="400"/>
        <v>0</v>
      </c>
      <c r="AB57" s="479">
        <f t="shared" si="400"/>
        <v>0</v>
      </c>
      <c r="AC57" s="479">
        <f t="shared" si="400"/>
        <v>0</v>
      </c>
      <c r="AD57" s="479">
        <f t="shared" si="400"/>
        <v>0</v>
      </c>
      <c r="AE57" s="479">
        <f t="shared" si="400"/>
        <v>0</v>
      </c>
      <c r="AF57" s="479">
        <f t="shared" si="400"/>
        <v>0</v>
      </c>
      <c r="AG57" s="479">
        <f t="shared" si="400"/>
        <v>0</v>
      </c>
      <c r="AH57" s="479">
        <f t="shared" si="400"/>
        <v>0</v>
      </c>
      <c r="AI57" s="479">
        <f t="shared" si="400"/>
        <v>0</v>
      </c>
      <c r="AJ57" s="479">
        <f t="shared" si="400"/>
        <v>0</v>
      </c>
      <c r="AK57" s="479">
        <f t="shared" si="400"/>
        <v>0</v>
      </c>
      <c r="AL57" s="479">
        <f t="shared" si="400"/>
        <v>0</v>
      </c>
      <c r="AM57" s="479">
        <f t="shared" si="400"/>
        <v>0</v>
      </c>
      <c r="AN57" s="479">
        <f t="shared" si="400"/>
        <v>0</v>
      </c>
      <c r="AO57" s="479">
        <f t="shared" si="400"/>
        <v>0</v>
      </c>
      <c r="AP57" s="479">
        <f t="shared" si="400"/>
        <v>0</v>
      </c>
      <c r="AQ57" s="479">
        <f t="shared" si="400"/>
        <v>0</v>
      </c>
      <c r="AR57" s="479">
        <f t="shared" si="400"/>
        <v>0</v>
      </c>
      <c r="AS57" s="479">
        <f t="shared" si="400"/>
        <v>0</v>
      </c>
      <c r="AT57" s="479">
        <f t="shared" si="400"/>
        <v>0</v>
      </c>
      <c r="AU57" s="479">
        <f t="shared" si="400"/>
        <v>0</v>
      </c>
      <c r="AV57" s="479">
        <f t="shared" si="400"/>
        <v>0</v>
      </c>
      <c r="AW57" s="479">
        <f t="shared" si="400"/>
        <v>0</v>
      </c>
      <c r="AX57" s="479">
        <f t="shared" si="400"/>
        <v>0</v>
      </c>
      <c r="AY57" s="479">
        <f t="shared" si="400"/>
        <v>0</v>
      </c>
      <c r="AZ57" s="479">
        <f t="shared" si="400"/>
        <v>0</v>
      </c>
      <c r="BA57" s="479">
        <f t="shared" si="400"/>
        <v>0</v>
      </c>
      <c r="BB57" s="479">
        <f t="shared" si="400"/>
        <v>0</v>
      </c>
      <c r="BC57" s="479">
        <f t="shared" si="400"/>
        <v>0</v>
      </c>
      <c r="BD57" s="479">
        <f t="shared" si="400"/>
        <v>0</v>
      </c>
      <c r="BE57" s="479">
        <f t="shared" si="400"/>
        <v>0</v>
      </c>
      <c r="BF57" s="479">
        <f t="shared" si="400"/>
        <v>0</v>
      </c>
      <c r="BG57" s="479">
        <f t="shared" si="400"/>
        <v>0</v>
      </c>
      <c r="BH57" s="479">
        <f t="shared" si="400"/>
        <v>0</v>
      </c>
      <c r="BI57" s="479">
        <f t="shared" si="400"/>
        <v>0</v>
      </c>
      <c r="BJ57" s="479">
        <f t="shared" si="400"/>
        <v>0</v>
      </c>
      <c r="BK57" s="479">
        <f t="shared" si="400"/>
        <v>0</v>
      </c>
      <c r="BL57" s="479">
        <f t="shared" si="400"/>
        <v>0</v>
      </c>
      <c r="BM57" s="479">
        <f t="shared" si="400"/>
        <v>0</v>
      </c>
      <c r="BN57" s="479">
        <f t="shared" si="400"/>
        <v>0</v>
      </c>
      <c r="BO57" s="479">
        <f t="shared" si="400"/>
        <v>0</v>
      </c>
      <c r="BP57" s="479">
        <f t="shared" si="400"/>
        <v>0</v>
      </c>
      <c r="BQ57" s="479">
        <f t="shared" si="400"/>
        <v>0</v>
      </c>
      <c r="BR57" s="479">
        <f t="shared" si="400"/>
        <v>0</v>
      </c>
      <c r="BS57" s="479">
        <f t="shared" si="400"/>
        <v>0</v>
      </c>
      <c r="BT57" s="479">
        <f t="shared" si="400"/>
        <v>0</v>
      </c>
      <c r="BU57" s="479">
        <f t="shared" si="400"/>
        <v>0</v>
      </c>
      <c r="BV57" s="479">
        <f t="shared" si="400"/>
        <v>0</v>
      </c>
      <c r="BW57" s="479">
        <f t="shared" ref="BW57:EH57" si="401">-IF(BW$7&gt;=$E57,IF(BW$7&lt;=$F57,$D57/$G57,0),0)</f>
        <v>0</v>
      </c>
      <c r="BX57" s="479">
        <f t="shared" si="401"/>
        <v>0</v>
      </c>
      <c r="BY57" s="479">
        <f t="shared" si="401"/>
        <v>0</v>
      </c>
      <c r="BZ57" s="479">
        <f t="shared" si="401"/>
        <v>0</v>
      </c>
      <c r="CA57" s="479">
        <f t="shared" si="401"/>
        <v>0</v>
      </c>
      <c r="CB57" s="479">
        <f t="shared" si="401"/>
        <v>0</v>
      </c>
      <c r="CC57" s="479">
        <f t="shared" si="401"/>
        <v>0</v>
      </c>
      <c r="CD57" s="479">
        <f t="shared" si="401"/>
        <v>0</v>
      </c>
      <c r="CE57" s="479">
        <f t="shared" si="401"/>
        <v>0</v>
      </c>
      <c r="CF57" s="479">
        <f t="shared" si="401"/>
        <v>0</v>
      </c>
      <c r="CG57" s="479">
        <f t="shared" si="401"/>
        <v>0</v>
      </c>
      <c r="CH57" s="479">
        <f t="shared" si="401"/>
        <v>0</v>
      </c>
      <c r="CI57" s="479">
        <f t="shared" si="401"/>
        <v>0</v>
      </c>
      <c r="CJ57" s="479">
        <f t="shared" si="401"/>
        <v>0</v>
      </c>
      <c r="CK57" s="479">
        <f t="shared" si="401"/>
        <v>0</v>
      </c>
      <c r="CL57" s="479">
        <f t="shared" si="401"/>
        <v>0</v>
      </c>
      <c r="CM57" s="479">
        <f t="shared" si="401"/>
        <v>0</v>
      </c>
      <c r="CN57" s="479">
        <f t="shared" si="401"/>
        <v>0</v>
      </c>
      <c r="CO57" s="479">
        <f t="shared" si="401"/>
        <v>0</v>
      </c>
      <c r="CP57" s="479">
        <f t="shared" si="401"/>
        <v>0</v>
      </c>
      <c r="CQ57" s="479">
        <f t="shared" si="401"/>
        <v>0</v>
      </c>
      <c r="CR57" s="479">
        <f t="shared" si="401"/>
        <v>0</v>
      </c>
      <c r="CS57" s="479">
        <f t="shared" si="401"/>
        <v>0</v>
      </c>
      <c r="CT57" s="479">
        <f t="shared" si="401"/>
        <v>0</v>
      </c>
      <c r="CU57" s="479">
        <f t="shared" si="401"/>
        <v>0</v>
      </c>
      <c r="CV57" s="479">
        <f t="shared" si="401"/>
        <v>0</v>
      </c>
      <c r="CW57" s="479">
        <f t="shared" si="401"/>
        <v>0</v>
      </c>
      <c r="CX57" s="479">
        <f t="shared" si="401"/>
        <v>0</v>
      </c>
      <c r="CY57" s="479">
        <f t="shared" si="401"/>
        <v>0</v>
      </c>
      <c r="CZ57" s="479">
        <f t="shared" si="401"/>
        <v>0</v>
      </c>
      <c r="DA57" s="479">
        <f t="shared" si="401"/>
        <v>0</v>
      </c>
      <c r="DB57" s="479">
        <f t="shared" si="401"/>
        <v>0</v>
      </c>
      <c r="DC57" s="479">
        <f t="shared" si="401"/>
        <v>0</v>
      </c>
      <c r="DD57" s="479">
        <f t="shared" si="401"/>
        <v>0</v>
      </c>
      <c r="DE57" s="479">
        <f t="shared" si="401"/>
        <v>0</v>
      </c>
      <c r="DF57" s="479">
        <f t="shared" si="401"/>
        <v>0</v>
      </c>
      <c r="DG57" s="479">
        <f t="shared" si="401"/>
        <v>0</v>
      </c>
      <c r="DH57" s="479">
        <f t="shared" si="401"/>
        <v>0</v>
      </c>
      <c r="DI57" s="479">
        <f t="shared" si="401"/>
        <v>0</v>
      </c>
      <c r="DJ57" s="479">
        <f t="shared" si="401"/>
        <v>0</v>
      </c>
      <c r="DK57" s="479">
        <f t="shared" si="401"/>
        <v>0</v>
      </c>
      <c r="DL57" s="479">
        <f t="shared" si="401"/>
        <v>0</v>
      </c>
      <c r="DM57" s="479">
        <f t="shared" si="401"/>
        <v>0</v>
      </c>
      <c r="DN57" s="479">
        <f t="shared" si="401"/>
        <v>0</v>
      </c>
      <c r="DO57" s="479">
        <f t="shared" si="401"/>
        <v>0</v>
      </c>
      <c r="DP57" s="479">
        <f t="shared" si="401"/>
        <v>0</v>
      </c>
      <c r="DQ57" s="479">
        <f t="shared" si="401"/>
        <v>0</v>
      </c>
      <c r="DR57" s="479">
        <f t="shared" si="401"/>
        <v>0</v>
      </c>
      <c r="DS57" s="479">
        <f t="shared" si="401"/>
        <v>0</v>
      </c>
      <c r="DT57" s="479">
        <f t="shared" si="401"/>
        <v>0</v>
      </c>
      <c r="DU57" s="479">
        <f t="shared" si="401"/>
        <v>0</v>
      </c>
      <c r="DV57" s="479">
        <f t="shared" si="401"/>
        <v>0</v>
      </c>
      <c r="DW57" s="479">
        <f t="shared" si="401"/>
        <v>0</v>
      </c>
      <c r="DX57" s="479">
        <f t="shared" si="401"/>
        <v>0</v>
      </c>
      <c r="DY57" s="479">
        <f t="shared" si="401"/>
        <v>0</v>
      </c>
      <c r="DZ57" s="479">
        <f t="shared" si="401"/>
        <v>0</v>
      </c>
      <c r="EA57" s="479">
        <f t="shared" si="401"/>
        <v>0</v>
      </c>
      <c r="EB57" s="479">
        <f t="shared" si="401"/>
        <v>0</v>
      </c>
      <c r="EC57" s="479">
        <f t="shared" si="401"/>
        <v>0</v>
      </c>
      <c r="ED57" s="479">
        <f t="shared" si="401"/>
        <v>0</v>
      </c>
      <c r="EE57" s="479">
        <f t="shared" si="401"/>
        <v>0</v>
      </c>
      <c r="EF57" s="479">
        <f t="shared" si="401"/>
        <v>0</v>
      </c>
      <c r="EG57" s="479">
        <f t="shared" si="401"/>
        <v>0</v>
      </c>
      <c r="EH57" s="479">
        <f t="shared" si="401"/>
        <v>0</v>
      </c>
      <c r="EI57" s="479">
        <f t="shared" ref="EI57:GT57" si="402">-IF(EI$7&gt;=$E57,IF(EI$7&lt;=$F57,$D57/$G57,0),0)</f>
        <v>0</v>
      </c>
      <c r="EJ57" s="479">
        <f t="shared" si="402"/>
        <v>0</v>
      </c>
      <c r="EK57" s="479">
        <f t="shared" si="402"/>
        <v>0</v>
      </c>
      <c r="EL57" s="479">
        <f t="shared" si="402"/>
        <v>0</v>
      </c>
      <c r="EM57" s="479">
        <f t="shared" si="402"/>
        <v>0</v>
      </c>
      <c r="EN57" s="479">
        <f t="shared" si="402"/>
        <v>0</v>
      </c>
      <c r="EO57" s="479">
        <f t="shared" si="402"/>
        <v>0</v>
      </c>
      <c r="EP57" s="479">
        <f t="shared" si="402"/>
        <v>0</v>
      </c>
      <c r="EQ57" s="479">
        <f t="shared" si="402"/>
        <v>0</v>
      </c>
      <c r="ER57" s="479">
        <f t="shared" si="402"/>
        <v>0</v>
      </c>
      <c r="ES57" s="479">
        <f t="shared" si="402"/>
        <v>0</v>
      </c>
      <c r="ET57" s="479">
        <f t="shared" si="402"/>
        <v>0</v>
      </c>
      <c r="EU57" s="479">
        <f t="shared" si="402"/>
        <v>0</v>
      </c>
      <c r="EV57" s="479">
        <f t="shared" si="402"/>
        <v>0</v>
      </c>
      <c r="EW57" s="479">
        <f t="shared" si="402"/>
        <v>0</v>
      </c>
      <c r="EX57" s="479">
        <f t="shared" si="402"/>
        <v>0</v>
      </c>
      <c r="EY57" s="479">
        <f t="shared" si="402"/>
        <v>0</v>
      </c>
      <c r="EZ57" s="479">
        <f t="shared" si="402"/>
        <v>0</v>
      </c>
      <c r="FA57" s="479">
        <f t="shared" si="402"/>
        <v>0</v>
      </c>
      <c r="FB57" s="479">
        <f t="shared" si="402"/>
        <v>0</v>
      </c>
      <c r="FC57" s="479">
        <f t="shared" si="402"/>
        <v>0</v>
      </c>
      <c r="FD57" s="479">
        <f t="shared" si="402"/>
        <v>0</v>
      </c>
      <c r="FE57" s="479">
        <f t="shared" si="402"/>
        <v>0</v>
      </c>
      <c r="FF57" s="479">
        <f t="shared" si="402"/>
        <v>0</v>
      </c>
      <c r="FG57" s="479">
        <f t="shared" si="402"/>
        <v>0</v>
      </c>
      <c r="FH57" s="479">
        <f t="shared" si="402"/>
        <v>0</v>
      </c>
      <c r="FI57" s="479">
        <f t="shared" si="402"/>
        <v>0</v>
      </c>
      <c r="FJ57" s="479">
        <f t="shared" si="402"/>
        <v>0</v>
      </c>
      <c r="FK57" s="479">
        <f t="shared" si="402"/>
        <v>0</v>
      </c>
      <c r="FL57" s="479">
        <f t="shared" si="402"/>
        <v>0</v>
      </c>
      <c r="FM57" s="479">
        <f t="shared" si="402"/>
        <v>0</v>
      </c>
      <c r="FN57" s="479">
        <f t="shared" si="402"/>
        <v>0</v>
      </c>
      <c r="FO57" s="479">
        <f t="shared" si="402"/>
        <v>0</v>
      </c>
      <c r="FP57" s="479">
        <f t="shared" si="402"/>
        <v>0</v>
      </c>
      <c r="FQ57" s="479">
        <f t="shared" si="402"/>
        <v>0</v>
      </c>
      <c r="FR57" s="479">
        <f t="shared" si="402"/>
        <v>0</v>
      </c>
      <c r="FS57" s="479">
        <f t="shared" si="402"/>
        <v>0</v>
      </c>
      <c r="FT57" s="479">
        <f t="shared" si="402"/>
        <v>0</v>
      </c>
      <c r="FU57" s="479">
        <f t="shared" si="402"/>
        <v>0</v>
      </c>
      <c r="FV57" s="479">
        <f t="shared" si="402"/>
        <v>0</v>
      </c>
      <c r="FW57" s="479">
        <f t="shared" si="402"/>
        <v>0</v>
      </c>
      <c r="FX57" s="479">
        <f t="shared" si="402"/>
        <v>0</v>
      </c>
      <c r="FY57" s="479">
        <f t="shared" si="402"/>
        <v>0</v>
      </c>
      <c r="FZ57" s="479">
        <f t="shared" si="402"/>
        <v>0</v>
      </c>
      <c r="GA57" s="479">
        <f t="shared" si="402"/>
        <v>0</v>
      </c>
      <c r="GB57" s="479">
        <f t="shared" si="402"/>
        <v>0</v>
      </c>
      <c r="GC57" s="479">
        <f t="shared" si="402"/>
        <v>0</v>
      </c>
      <c r="GD57" s="479">
        <f t="shared" si="402"/>
        <v>0</v>
      </c>
      <c r="GE57" s="479">
        <f t="shared" si="402"/>
        <v>0</v>
      </c>
      <c r="GF57" s="479">
        <f t="shared" si="402"/>
        <v>0</v>
      </c>
      <c r="GG57" s="479">
        <f t="shared" si="402"/>
        <v>0</v>
      </c>
      <c r="GH57" s="479">
        <f t="shared" si="402"/>
        <v>0</v>
      </c>
      <c r="GI57" s="479">
        <f t="shared" si="402"/>
        <v>0</v>
      </c>
      <c r="GJ57" s="479">
        <f t="shared" si="402"/>
        <v>0</v>
      </c>
      <c r="GK57" s="479">
        <f t="shared" si="402"/>
        <v>0</v>
      </c>
      <c r="GL57" s="479">
        <f t="shared" si="402"/>
        <v>0</v>
      </c>
      <c r="GM57" s="479">
        <f t="shared" si="402"/>
        <v>0</v>
      </c>
      <c r="GN57" s="479">
        <f t="shared" si="402"/>
        <v>0</v>
      </c>
      <c r="GO57" s="479">
        <f t="shared" si="402"/>
        <v>0</v>
      </c>
      <c r="GP57" s="479">
        <f t="shared" si="402"/>
        <v>0</v>
      </c>
      <c r="GQ57" s="479">
        <f t="shared" si="402"/>
        <v>0</v>
      </c>
      <c r="GR57" s="479">
        <f t="shared" si="402"/>
        <v>0</v>
      </c>
      <c r="GS57" s="479">
        <f t="shared" si="402"/>
        <v>0</v>
      </c>
      <c r="GT57" s="479">
        <f t="shared" si="402"/>
        <v>0</v>
      </c>
      <c r="GU57" s="479">
        <f t="shared" ref="GU57:JF57" si="403">-IF(GU$7&gt;=$E57,IF(GU$7&lt;=$F57,$D57/$G57,0),0)</f>
        <v>0</v>
      </c>
      <c r="GV57" s="479">
        <f t="shared" si="403"/>
        <v>0</v>
      </c>
      <c r="GW57" s="479">
        <f t="shared" si="403"/>
        <v>0</v>
      </c>
      <c r="GX57" s="479">
        <f t="shared" si="403"/>
        <v>0</v>
      </c>
      <c r="GY57" s="479">
        <f t="shared" si="403"/>
        <v>0</v>
      </c>
      <c r="GZ57" s="479">
        <f t="shared" si="403"/>
        <v>0</v>
      </c>
      <c r="HA57" s="479">
        <f t="shared" si="403"/>
        <v>0</v>
      </c>
      <c r="HB57" s="479">
        <f t="shared" si="403"/>
        <v>0</v>
      </c>
      <c r="HC57" s="479">
        <f t="shared" si="403"/>
        <v>0</v>
      </c>
      <c r="HD57" s="479">
        <f t="shared" si="403"/>
        <v>0</v>
      </c>
      <c r="HE57" s="479">
        <f t="shared" si="403"/>
        <v>0</v>
      </c>
      <c r="HF57" s="479">
        <f t="shared" si="403"/>
        <v>0</v>
      </c>
      <c r="HG57" s="479">
        <f t="shared" si="403"/>
        <v>0</v>
      </c>
      <c r="HH57" s="479">
        <f t="shared" si="403"/>
        <v>0</v>
      </c>
      <c r="HI57" s="479">
        <f t="shared" si="403"/>
        <v>0</v>
      </c>
      <c r="HJ57" s="479">
        <f t="shared" si="403"/>
        <v>0</v>
      </c>
      <c r="HK57" s="479">
        <f t="shared" si="403"/>
        <v>0</v>
      </c>
      <c r="HL57" s="479">
        <f t="shared" si="403"/>
        <v>0</v>
      </c>
      <c r="HM57" s="479">
        <f t="shared" si="403"/>
        <v>0</v>
      </c>
      <c r="HN57" s="479">
        <f t="shared" si="403"/>
        <v>0</v>
      </c>
      <c r="HO57" s="479">
        <f t="shared" si="403"/>
        <v>0</v>
      </c>
      <c r="HP57" s="479">
        <f t="shared" si="403"/>
        <v>0</v>
      </c>
      <c r="HQ57" s="479">
        <f t="shared" si="403"/>
        <v>0</v>
      </c>
      <c r="HR57" s="479">
        <f t="shared" si="403"/>
        <v>0</v>
      </c>
      <c r="HS57" s="479">
        <f t="shared" si="403"/>
        <v>0</v>
      </c>
      <c r="HT57" s="479">
        <f t="shared" si="403"/>
        <v>0</v>
      </c>
      <c r="HU57" s="479">
        <f t="shared" si="403"/>
        <v>0</v>
      </c>
      <c r="HV57" s="479">
        <f t="shared" si="403"/>
        <v>0</v>
      </c>
      <c r="HW57" s="479">
        <f t="shared" si="403"/>
        <v>0</v>
      </c>
      <c r="HX57" s="479">
        <f t="shared" si="403"/>
        <v>0</v>
      </c>
      <c r="HY57" s="479">
        <f t="shared" si="403"/>
        <v>0</v>
      </c>
      <c r="HZ57" s="479">
        <f t="shared" si="403"/>
        <v>0</v>
      </c>
      <c r="IA57" s="479">
        <f t="shared" si="403"/>
        <v>0</v>
      </c>
      <c r="IB57" s="479">
        <f t="shared" si="403"/>
        <v>0</v>
      </c>
      <c r="IC57" s="479">
        <f t="shared" si="403"/>
        <v>0</v>
      </c>
      <c r="ID57" s="479">
        <f t="shared" si="403"/>
        <v>0</v>
      </c>
      <c r="IE57" s="479">
        <f t="shared" si="403"/>
        <v>0</v>
      </c>
      <c r="IF57" s="479">
        <f t="shared" si="403"/>
        <v>0</v>
      </c>
      <c r="IG57" s="479">
        <f t="shared" si="403"/>
        <v>0</v>
      </c>
      <c r="IH57" s="479">
        <f t="shared" si="403"/>
        <v>0</v>
      </c>
      <c r="II57" s="479">
        <f t="shared" si="403"/>
        <v>0</v>
      </c>
      <c r="IJ57" s="479">
        <f t="shared" si="403"/>
        <v>0</v>
      </c>
      <c r="IK57" s="479">
        <f t="shared" si="403"/>
        <v>0</v>
      </c>
      <c r="IL57" s="479">
        <f t="shared" si="403"/>
        <v>0</v>
      </c>
      <c r="IM57" s="479">
        <f t="shared" si="403"/>
        <v>0</v>
      </c>
      <c r="IN57" s="479">
        <f t="shared" si="403"/>
        <v>0</v>
      </c>
      <c r="IO57" s="479">
        <f t="shared" si="403"/>
        <v>0</v>
      </c>
      <c r="IP57" s="479">
        <f t="shared" si="403"/>
        <v>0</v>
      </c>
      <c r="IQ57" s="479">
        <f t="shared" si="403"/>
        <v>0</v>
      </c>
      <c r="IR57" s="479">
        <f t="shared" si="403"/>
        <v>0</v>
      </c>
      <c r="IS57" s="479">
        <f t="shared" si="403"/>
        <v>0</v>
      </c>
      <c r="IT57" s="479">
        <f t="shared" si="403"/>
        <v>0</v>
      </c>
      <c r="IU57" s="479">
        <f t="shared" si="403"/>
        <v>0</v>
      </c>
      <c r="IV57" s="479">
        <f t="shared" si="403"/>
        <v>0</v>
      </c>
      <c r="IW57" s="479">
        <f t="shared" si="403"/>
        <v>0</v>
      </c>
      <c r="IX57" s="479">
        <f t="shared" si="403"/>
        <v>0</v>
      </c>
      <c r="IY57" s="479">
        <f t="shared" si="403"/>
        <v>0</v>
      </c>
      <c r="IZ57" s="479">
        <f t="shared" si="403"/>
        <v>0</v>
      </c>
      <c r="JA57" s="479">
        <f t="shared" si="403"/>
        <v>0</v>
      </c>
      <c r="JB57" s="479">
        <f t="shared" si="403"/>
        <v>0</v>
      </c>
      <c r="JC57" s="479">
        <f t="shared" si="403"/>
        <v>0</v>
      </c>
      <c r="JD57" s="479">
        <f t="shared" si="403"/>
        <v>0</v>
      </c>
      <c r="JE57" s="479">
        <f t="shared" si="403"/>
        <v>0</v>
      </c>
      <c r="JF57" s="479">
        <f t="shared" si="403"/>
        <v>0</v>
      </c>
      <c r="JG57" s="479">
        <f t="shared" ref="JG57:LR57" si="404">-IF(JG$7&gt;=$E57,IF(JG$7&lt;=$F57,$D57/$G57,0),0)</f>
        <v>0</v>
      </c>
      <c r="JH57" s="479">
        <f t="shared" si="404"/>
        <v>0</v>
      </c>
      <c r="JI57" s="479">
        <f t="shared" si="404"/>
        <v>0</v>
      </c>
      <c r="JJ57" s="479">
        <f t="shared" si="404"/>
        <v>0</v>
      </c>
      <c r="JK57" s="479">
        <f t="shared" si="404"/>
        <v>0</v>
      </c>
      <c r="JL57" s="479">
        <f t="shared" si="404"/>
        <v>0</v>
      </c>
      <c r="JM57" s="479">
        <f t="shared" si="404"/>
        <v>0</v>
      </c>
      <c r="JN57" s="479">
        <f t="shared" si="404"/>
        <v>0</v>
      </c>
      <c r="JO57" s="479">
        <f t="shared" si="404"/>
        <v>0</v>
      </c>
      <c r="JP57" s="479">
        <f t="shared" si="404"/>
        <v>0</v>
      </c>
      <c r="JQ57" s="479">
        <f t="shared" si="404"/>
        <v>0</v>
      </c>
      <c r="JR57" s="479">
        <f t="shared" si="404"/>
        <v>0</v>
      </c>
      <c r="JS57" s="479">
        <f t="shared" si="404"/>
        <v>0</v>
      </c>
      <c r="JT57" s="479">
        <f t="shared" si="404"/>
        <v>0</v>
      </c>
      <c r="JU57" s="479">
        <f t="shared" si="404"/>
        <v>0</v>
      </c>
      <c r="JV57" s="479">
        <f t="shared" si="404"/>
        <v>0</v>
      </c>
      <c r="JW57" s="479">
        <f t="shared" si="404"/>
        <v>0</v>
      </c>
      <c r="JX57" s="479">
        <f t="shared" si="404"/>
        <v>0</v>
      </c>
      <c r="JY57" s="479">
        <f t="shared" si="404"/>
        <v>0</v>
      </c>
      <c r="JZ57" s="479">
        <f t="shared" si="404"/>
        <v>0</v>
      </c>
      <c r="KA57" s="479">
        <f t="shared" si="404"/>
        <v>0</v>
      </c>
      <c r="KB57" s="479">
        <f t="shared" si="404"/>
        <v>0</v>
      </c>
      <c r="KC57" s="479">
        <f t="shared" si="404"/>
        <v>0</v>
      </c>
      <c r="KD57" s="479">
        <f t="shared" si="404"/>
        <v>0</v>
      </c>
      <c r="KE57" s="479">
        <f t="shared" si="404"/>
        <v>0</v>
      </c>
      <c r="KF57" s="479">
        <f t="shared" si="404"/>
        <v>0</v>
      </c>
      <c r="KG57" s="479">
        <f t="shared" si="404"/>
        <v>0</v>
      </c>
      <c r="KH57" s="479">
        <f t="shared" si="404"/>
        <v>0</v>
      </c>
      <c r="KI57" s="479">
        <f t="shared" si="404"/>
        <v>0</v>
      </c>
      <c r="KJ57" s="479">
        <f t="shared" si="404"/>
        <v>0</v>
      </c>
      <c r="KK57" s="479">
        <f t="shared" si="404"/>
        <v>0</v>
      </c>
      <c r="KL57" s="479">
        <f t="shared" si="404"/>
        <v>0</v>
      </c>
      <c r="KM57" s="479">
        <f t="shared" si="404"/>
        <v>0</v>
      </c>
      <c r="KN57" s="479">
        <f t="shared" si="404"/>
        <v>0</v>
      </c>
      <c r="KO57" s="479">
        <f t="shared" si="404"/>
        <v>0</v>
      </c>
      <c r="KP57" s="479">
        <f t="shared" si="404"/>
        <v>0</v>
      </c>
      <c r="KQ57" s="479">
        <f t="shared" si="404"/>
        <v>0</v>
      </c>
      <c r="KR57" s="479">
        <f t="shared" si="404"/>
        <v>0</v>
      </c>
      <c r="KS57" s="479">
        <f t="shared" si="404"/>
        <v>0</v>
      </c>
      <c r="KT57" s="479">
        <f t="shared" si="404"/>
        <v>0</v>
      </c>
      <c r="KU57" s="479">
        <f t="shared" si="404"/>
        <v>0</v>
      </c>
      <c r="KV57" s="479">
        <f t="shared" si="404"/>
        <v>0</v>
      </c>
      <c r="KW57" s="479">
        <f t="shared" si="404"/>
        <v>0</v>
      </c>
      <c r="KX57" s="479">
        <f t="shared" si="404"/>
        <v>0</v>
      </c>
      <c r="KY57" s="479">
        <f t="shared" si="404"/>
        <v>0</v>
      </c>
      <c r="KZ57" s="479">
        <f t="shared" si="404"/>
        <v>0</v>
      </c>
      <c r="LA57" s="479">
        <f t="shared" si="404"/>
        <v>0</v>
      </c>
      <c r="LB57" s="479">
        <f t="shared" si="404"/>
        <v>0</v>
      </c>
      <c r="LC57" s="479">
        <f t="shared" si="404"/>
        <v>0</v>
      </c>
      <c r="LD57" s="479">
        <f t="shared" si="404"/>
        <v>0</v>
      </c>
      <c r="LE57" s="479">
        <f t="shared" si="404"/>
        <v>0</v>
      </c>
      <c r="LF57" s="479">
        <f t="shared" si="404"/>
        <v>0</v>
      </c>
      <c r="LG57" s="479">
        <f t="shared" si="404"/>
        <v>0</v>
      </c>
      <c r="LH57" s="479">
        <f t="shared" si="404"/>
        <v>0</v>
      </c>
      <c r="LI57" s="479">
        <f t="shared" si="404"/>
        <v>0</v>
      </c>
      <c r="LJ57" s="479">
        <f t="shared" si="404"/>
        <v>0</v>
      </c>
      <c r="LK57" s="479">
        <f t="shared" si="404"/>
        <v>0</v>
      </c>
      <c r="LL57" s="479">
        <f t="shared" si="404"/>
        <v>0</v>
      </c>
      <c r="LM57" s="479">
        <f t="shared" si="404"/>
        <v>0</v>
      </c>
      <c r="LN57" s="479">
        <f t="shared" si="404"/>
        <v>0</v>
      </c>
      <c r="LO57" s="479">
        <f t="shared" si="404"/>
        <v>0</v>
      </c>
      <c r="LP57" s="479">
        <f t="shared" si="404"/>
        <v>0</v>
      </c>
      <c r="LQ57" s="479">
        <f t="shared" si="404"/>
        <v>0</v>
      </c>
      <c r="LR57" s="479">
        <f t="shared" si="404"/>
        <v>0</v>
      </c>
      <c r="LS57" s="479">
        <f t="shared" ref="LS57:OD57" si="405">-IF(LS$7&gt;=$E57,IF(LS$7&lt;=$F57,$D57/$G57,0),0)</f>
        <v>0</v>
      </c>
      <c r="LT57" s="479">
        <f t="shared" si="405"/>
        <v>0</v>
      </c>
      <c r="LU57" s="479">
        <f t="shared" si="405"/>
        <v>0</v>
      </c>
      <c r="LV57" s="479">
        <f t="shared" si="405"/>
        <v>0</v>
      </c>
      <c r="LW57" s="479">
        <f t="shared" si="405"/>
        <v>0</v>
      </c>
      <c r="LX57" s="479">
        <f t="shared" si="405"/>
        <v>0</v>
      </c>
      <c r="LY57" s="479">
        <f t="shared" si="405"/>
        <v>0</v>
      </c>
      <c r="LZ57" s="479">
        <f t="shared" si="405"/>
        <v>0</v>
      </c>
      <c r="MA57" s="479">
        <f t="shared" si="405"/>
        <v>0</v>
      </c>
      <c r="MB57" s="479">
        <f t="shared" si="405"/>
        <v>0</v>
      </c>
      <c r="MC57" s="479">
        <f t="shared" si="405"/>
        <v>0</v>
      </c>
      <c r="MD57" s="479">
        <f t="shared" si="405"/>
        <v>0</v>
      </c>
      <c r="ME57" s="479">
        <f t="shared" si="405"/>
        <v>0</v>
      </c>
      <c r="MF57" s="479">
        <f t="shared" si="405"/>
        <v>0</v>
      </c>
      <c r="MG57" s="479">
        <f t="shared" si="405"/>
        <v>0</v>
      </c>
      <c r="MH57" s="479">
        <f t="shared" si="405"/>
        <v>0</v>
      </c>
      <c r="MI57" s="479">
        <f t="shared" si="405"/>
        <v>0</v>
      </c>
      <c r="MJ57" s="479">
        <f t="shared" si="405"/>
        <v>0</v>
      </c>
      <c r="MK57" s="479">
        <f t="shared" si="405"/>
        <v>0</v>
      </c>
      <c r="ML57" s="479">
        <f t="shared" si="405"/>
        <v>0</v>
      </c>
      <c r="MM57" s="479">
        <f t="shared" si="405"/>
        <v>0</v>
      </c>
      <c r="MN57" s="479">
        <f t="shared" si="405"/>
        <v>0</v>
      </c>
      <c r="MO57" s="479">
        <f t="shared" si="405"/>
        <v>0</v>
      </c>
      <c r="MP57" s="479">
        <f t="shared" si="405"/>
        <v>0</v>
      </c>
      <c r="MQ57" s="479">
        <f t="shared" si="405"/>
        <v>0</v>
      </c>
      <c r="MR57" s="479">
        <f t="shared" si="405"/>
        <v>0</v>
      </c>
      <c r="MS57" s="479">
        <f t="shared" si="405"/>
        <v>0</v>
      </c>
      <c r="MT57" s="479">
        <f t="shared" si="405"/>
        <v>0</v>
      </c>
      <c r="MU57" s="479">
        <f t="shared" si="405"/>
        <v>0</v>
      </c>
      <c r="MV57" s="479">
        <f t="shared" si="405"/>
        <v>0</v>
      </c>
      <c r="MW57" s="479">
        <f t="shared" si="405"/>
        <v>0</v>
      </c>
      <c r="MX57" s="479">
        <f t="shared" si="405"/>
        <v>0</v>
      </c>
      <c r="MY57" s="479">
        <f t="shared" si="405"/>
        <v>0</v>
      </c>
      <c r="MZ57" s="479">
        <f t="shared" si="405"/>
        <v>0</v>
      </c>
      <c r="NA57" s="479">
        <f t="shared" si="405"/>
        <v>0</v>
      </c>
      <c r="NB57" s="479">
        <f t="shared" si="405"/>
        <v>0</v>
      </c>
      <c r="NC57" s="479">
        <f t="shared" si="405"/>
        <v>0</v>
      </c>
      <c r="ND57" s="479">
        <f t="shared" si="405"/>
        <v>0</v>
      </c>
      <c r="NE57" s="479">
        <f t="shared" si="405"/>
        <v>0</v>
      </c>
      <c r="NF57" s="479">
        <f t="shared" si="405"/>
        <v>0</v>
      </c>
      <c r="NG57" s="479">
        <f t="shared" si="405"/>
        <v>0</v>
      </c>
      <c r="NH57" s="479">
        <f t="shared" si="405"/>
        <v>0</v>
      </c>
      <c r="NI57" s="479">
        <f t="shared" si="405"/>
        <v>0</v>
      </c>
      <c r="NJ57" s="479">
        <f t="shared" si="405"/>
        <v>0</v>
      </c>
      <c r="NK57" s="479">
        <f t="shared" si="405"/>
        <v>0</v>
      </c>
      <c r="NL57" s="479">
        <f t="shared" si="405"/>
        <v>0</v>
      </c>
      <c r="NM57" s="479">
        <f t="shared" si="405"/>
        <v>0</v>
      </c>
      <c r="NN57" s="479">
        <f t="shared" si="405"/>
        <v>0</v>
      </c>
      <c r="NO57" s="479">
        <f t="shared" si="405"/>
        <v>0</v>
      </c>
      <c r="NP57" s="479">
        <f t="shared" si="405"/>
        <v>0</v>
      </c>
      <c r="NQ57" s="479">
        <f t="shared" si="405"/>
        <v>0</v>
      </c>
      <c r="NR57" s="479">
        <f t="shared" si="405"/>
        <v>0</v>
      </c>
      <c r="NS57" s="479">
        <f t="shared" si="405"/>
        <v>0</v>
      </c>
      <c r="NT57" s="479">
        <f t="shared" si="405"/>
        <v>0</v>
      </c>
      <c r="NU57" s="479">
        <f t="shared" si="405"/>
        <v>0</v>
      </c>
      <c r="NV57" s="479">
        <f t="shared" si="405"/>
        <v>0</v>
      </c>
      <c r="NW57" s="479">
        <f t="shared" si="405"/>
        <v>0</v>
      </c>
      <c r="NX57" s="479">
        <f t="shared" si="405"/>
        <v>0</v>
      </c>
      <c r="NY57" s="479">
        <f t="shared" si="405"/>
        <v>0</v>
      </c>
      <c r="NZ57" s="479">
        <f t="shared" si="405"/>
        <v>0</v>
      </c>
      <c r="OA57" s="479">
        <f t="shared" si="405"/>
        <v>0</v>
      </c>
      <c r="OB57" s="479">
        <f t="shared" si="405"/>
        <v>0</v>
      </c>
      <c r="OC57" s="479">
        <f t="shared" si="405"/>
        <v>0</v>
      </c>
      <c r="OD57" s="479">
        <f t="shared" si="405"/>
        <v>0</v>
      </c>
      <c r="OE57" s="479">
        <f t="shared" ref="OE57:OO57" si="406">-IF(OE$7&gt;=$E57,IF(OE$7&lt;=$F57,$D57/$G57,0),0)</f>
        <v>0</v>
      </c>
      <c r="OF57" s="479">
        <f t="shared" si="406"/>
        <v>0</v>
      </c>
      <c r="OG57" s="479">
        <f t="shared" si="406"/>
        <v>0</v>
      </c>
      <c r="OH57" s="479">
        <f t="shared" si="406"/>
        <v>0</v>
      </c>
      <c r="OI57" s="479">
        <f t="shared" si="406"/>
        <v>0</v>
      </c>
      <c r="OJ57" s="479">
        <f t="shared" si="406"/>
        <v>0</v>
      </c>
      <c r="OK57" s="479">
        <f t="shared" si="406"/>
        <v>0</v>
      </c>
      <c r="OL57" s="479">
        <f t="shared" si="406"/>
        <v>0</v>
      </c>
      <c r="OM57" s="479">
        <f t="shared" si="406"/>
        <v>0</v>
      </c>
      <c r="ON57" s="479">
        <f t="shared" si="406"/>
        <v>0</v>
      </c>
      <c r="OO57" s="479">
        <f t="shared" si="406"/>
        <v>0</v>
      </c>
    </row>
    <row r="58" spans="2:405">
      <c r="B58" s="506" t="s">
        <v>426</v>
      </c>
      <c r="C58" s="506"/>
      <c r="D58" s="505">
        <f>SUM(D53:D57)</f>
        <v>32856071.586304847</v>
      </c>
      <c r="E58" s="244"/>
      <c r="F58" s="244"/>
      <c r="G58" s="244"/>
      <c r="H58" s="244"/>
      <c r="I58" s="244"/>
      <c r="J58" s="505">
        <f t="shared" ref="J58:BU58" si="407">SUM(J53:J57)</f>
        <v>-2031468.9215678209</v>
      </c>
      <c r="K58" s="505">
        <f t="shared" si="407"/>
        <v>-2031468.9215678209</v>
      </c>
      <c r="L58" s="505">
        <f t="shared" si="407"/>
        <v>-2031468.9215678209</v>
      </c>
      <c r="M58" s="505">
        <f t="shared" si="407"/>
        <v>-2031468.9215678209</v>
      </c>
      <c r="N58" s="505">
        <f t="shared" si="407"/>
        <v>-2031468.9215678209</v>
      </c>
      <c r="O58" s="505">
        <f t="shared" si="407"/>
        <v>-2031468.9215678209</v>
      </c>
      <c r="P58" s="505">
        <f t="shared" si="407"/>
        <v>-1722271.5047414936</v>
      </c>
      <c r="Q58" s="505">
        <f t="shared" si="407"/>
        <v>-1722271.5047414936</v>
      </c>
      <c r="R58" s="505">
        <f t="shared" si="407"/>
        <v>-1722271.5047414936</v>
      </c>
      <c r="S58" s="505">
        <f t="shared" si="407"/>
        <v>-1722271.5047414936</v>
      </c>
      <c r="T58" s="505">
        <f t="shared" si="407"/>
        <v>-1722271.5047414936</v>
      </c>
      <c r="U58" s="505">
        <f t="shared" si="407"/>
        <v>-1722271.5047414936</v>
      </c>
      <c r="V58" s="505">
        <f t="shared" si="407"/>
        <v>-1722271.5047414936</v>
      </c>
      <c r="W58" s="505">
        <f t="shared" si="407"/>
        <v>-1722271.5047414936</v>
      </c>
      <c r="X58" s="505">
        <f t="shared" si="407"/>
        <v>-1722271.5047414936</v>
      </c>
      <c r="Y58" s="505">
        <f t="shared" si="407"/>
        <v>-1722271.5047414936</v>
      </c>
      <c r="Z58" s="505">
        <f t="shared" si="407"/>
        <v>-1722271.5047414936</v>
      </c>
      <c r="AA58" s="505">
        <f t="shared" si="407"/>
        <v>-1722271.5047414936</v>
      </c>
      <c r="AB58" s="505">
        <f t="shared" si="407"/>
        <v>-1722271.5047414936</v>
      </c>
      <c r="AC58" s="505">
        <f t="shared" si="407"/>
        <v>-1722271.5047414936</v>
      </c>
      <c r="AD58" s="505">
        <f t="shared" si="407"/>
        <v>-1722271.5047414936</v>
      </c>
      <c r="AE58" s="505">
        <f t="shared" si="407"/>
        <v>-1722271.5047414936</v>
      </c>
      <c r="AF58" s="505">
        <f t="shared" si="407"/>
        <v>-1722271.5047414936</v>
      </c>
      <c r="AG58" s="505">
        <f t="shared" si="407"/>
        <v>-1722271.5047414936</v>
      </c>
      <c r="AH58" s="505">
        <f t="shared" si="407"/>
        <v>-1722271.5047414936</v>
      </c>
      <c r="AI58" s="505">
        <f t="shared" si="407"/>
        <v>-1722271.5047414936</v>
      </c>
      <c r="AJ58" s="505">
        <f t="shared" si="407"/>
        <v>-1722271.5047414936</v>
      </c>
      <c r="AK58" s="505">
        <f t="shared" si="407"/>
        <v>-1722271.5047414936</v>
      </c>
      <c r="AL58" s="505">
        <f t="shared" si="407"/>
        <v>-1722271.5047414936</v>
      </c>
      <c r="AM58" s="505">
        <f t="shared" si="407"/>
        <v>-1722271.5047414936</v>
      </c>
      <c r="AN58" s="505">
        <f t="shared" si="407"/>
        <v>-1722271.5047414936</v>
      </c>
      <c r="AO58" s="505">
        <f t="shared" si="407"/>
        <v>-1722271.5047414936</v>
      </c>
      <c r="AP58" s="505">
        <f t="shared" si="407"/>
        <v>-1722271.5047414936</v>
      </c>
      <c r="AQ58" s="505">
        <f t="shared" si="407"/>
        <v>-1722271.5047414936</v>
      </c>
      <c r="AR58" s="505">
        <f t="shared" si="407"/>
        <v>-1722271.5047414936</v>
      </c>
      <c r="AS58" s="505">
        <f t="shared" si="407"/>
        <v>-1722271.5047414936</v>
      </c>
      <c r="AT58" s="505">
        <f t="shared" si="407"/>
        <v>0</v>
      </c>
      <c r="AU58" s="505">
        <f t="shared" si="407"/>
        <v>0</v>
      </c>
      <c r="AV58" s="505">
        <f t="shared" si="407"/>
        <v>0</v>
      </c>
      <c r="AW58" s="505">
        <f t="shared" si="407"/>
        <v>0</v>
      </c>
      <c r="AX58" s="505">
        <f t="shared" si="407"/>
        <v>0</v>
      </c>
      <c r="AY58" s="505">
        <f t="shared" si="407"/>
        <v>0</v>
      </c>
      <c r="AZ58" s="505">
        <f t="shared" si="407"/>
        <v>0</v>
      </c>
      <c r="BA58" s="505">
        <f t="shared" si="407"/>
        <v>0</v>
      </c>
      <c r="BB58" s="505">
        <f t="shared" si="407"/>
        <v>0</v>
      </c>
      <c r="BC58" s="505">
        <f t="shared" si="407"/>
        <v>0</v>
      </c>
      <c r="BD58" s="505">
        <f t="shared" si="407"/>
        <v>0</v>
      </c>
      <c r="BE58" s="505">
        <f t="shared" si="407"/>
        <v>0</v>
      </c>
      <c r="BF58" s="505">
        <f t="shared" si="407"/>
        <v>0</v>
      </c>
      <c r="BG58" s="505">
        <f t="shared" si="407"/>
        <v>0</v>
      </c>
      <c r="BH58" s="505">
        <f t="shared" si="407"/>
        <v>0</v>
      </c>
      <c r="BI58" s="505">
        <f t="shared" si="407"/>
        <v>0</v>
      </c>
      <c r="BJ58" s="505">
        <f t="shared" si="407"/>
        <v>0</v>
      </c>
      <c r="BK58" s="505">
        <f t="shared" si="407"/>
        <v>0</v>
      </c>
      <c r="BL58" s="505">
        <f t="shared" si="407"/>
        <v>0</v>
      </c>
      <c r="BM58" s="505">
        <f t="shared" si="407"/>
        <v>0</v>
      </c>
      <c r="BN58" s="505">
        <f t="shared" si="407"/>
        <v>0</v>
      </c>
      <c r="BO58" s="505">
        <f t="shared" si="407"/>
        <v>0</v>
      </c>
      <c r="BP58" s="505">
        <f t="shared" si="407"/>
        <v>0</v>
      </c>
      <c r="BQ58" s="505">
        <f t="shared" si="407"/>
        <v>0</v>
      </c>
      <c r="BR58" s="505">
        <f t="shared" si="407"/>
        <v>0</v>
      </c>
      <c r="BS58" s="505">
        <f t="shared" si="407"/>
        <v>0</v>
      </c>
      <c r="BT58" s="505">
        <f t="shared" si="407"/>
        <v>0</v>
      </c>
      <c r="BU58" s="505">
        <f t="shared" si="407"/>
        <v>0</v>
      </c>
      <c r="BV58" s="505">
        <f t="shared" ref="BV58:EG58" si="408">SUM(BV53:BV57)</f>
        <v>0</v>
      </c>
      <c r="BW58" s="505">
        <f t="shared" si="408"/>
        <v>0</v>
      </c>
      <c r="BX58" s="505">
        <f t="shared" si="408"/>
        <v>0</v>
      </c>
      <c r="BY58" s="505">
        <f t="shared" si="408"/>
        <v>0</v>
      </c>
      <c r="BZ58" s="505">
        <f t="shared" si="408"/>
        <v>0</v>
      </c>
      <c r="CA58" s="505">
        <f t="shared" si="408"/>
        <v>0</v>
      </c>
      <c r="CB58" s="505">
        <f t="shared" si="408"/>
        <v>0</v>
      </c>
      <c r="CC58" s="505">
        <f t="shared" si="408"/>
        <v>0</v>
      </c>
      <c r="CD58" s="505">
        <f t="shared" si="408"/>
        <v>0</v>
      </c>
      <c r="CE58" s="505">
        <f t="shared" si="408"/>
        <v>0</v>
      </c>
      <c r="CF58" s="505">
        <f t="shared" si="408"/>
        <v>0</v>
      </c>
      <c r="CG58" s="505">
        <f t="shared" si="408"/>
        <v>0</v>
      </c>
      <c r="CH58" s="505">
        <f t="shared" si="408"/>
        <v>0</v>
      </c>
      <c r="CI58" s="505">
        <f t="shared" si="408"/>
        <v>0</v>
      </c>
      <c r="CJ58" s="505">
        <f t="shared" si="408"/>
        <v>0</v>
      </c>
      <c r="CK58" s="505">
        <f t="shared" si="408"/>
        <v>0</v>
      </c>
      <c r="CL58" s="505">
        <f t="shared" si="408"/>
        <v>0</v>
      </c>
      <c r="CM58" s="505">
        <f t="shared" si="408"/>
        <v>0</v>
      </c>
      <c r="CN58" s="505">
        <f t="shared" si="408"/>
        <v>0</v>
      </c>
      <c r="CO58" s="505">
        <f t="shared" si="408"/>
        <v>0</v>
      </c>
      <c r="CP58" s="505">
        <f t="shared" si="408"/>
        <v>0</v>
      </c>
      <c r="CQ58" s="505">
        <f t="shared" si="408"/>
        <v>0</v>
      </c>
      <c r="CR58" s="505">
        <f t="shared" si="408"/>
        <v>0</v>
      </c>
      <c r="CS58" s="505">
        <f t="shared" si="408"/>
        <v>0</v>
      </c>
      <c r="CT58" s="505">
        <f t="shared" si="408"/>
        <v>0</v>
      </c>
      <c r="CU58" s="505">
        <f t="shared" si="408"/>
        <v>0</v>
      </c>
      <c r="CV58" s="505">
        <f t="shared" si="408"/>
        <v>0</v>
      </c>
      <c r="CW58" s="505">
        <f t="shared" si="408"/>
        <v>0</v>
      </c>
      <c r="CX58" s="505">
        <f t="shared" si="408"/>
        <v>0</v>
      </c>
      <c r="CY58" s="505">
        <f t="shared" si="408"/>
        <v>0</v>
      </c>
      <c r="CZ58" s="505">
        <f t="shared" si="408"/>
        <v>0</v>
      </c>
      <c r="DA58" s="505">
        <f t="shared" si="408"/>
        <v>0</v>
      </c>
      <c r="DB58" s="505">
        <f t="shared" si="408"/>
        <v>0</v>
      </c>
      <c r="DC58" s="505">
        <f t="shared" si="408"/>
        <v>0</v>
      </c>
      <c r="DD58" s="505">
        <f t="shared" si="408"/>
        <v>0</v>
      </c>
      <c r="DE58" s="505">
        <f t="shared" si="408"/>
        <v>0</v>
      </c>
      <c r="DF58" s="505">
        <f t="shared" si="408"/>
        <v>0</v>
      </c>
      <c r="DG58" s="505">
        <f t="shared" si="408"/>
        <v>0</v>
      </c>
      <c r="DH58" s="505">
        <f t="shared" si="408"/>
        <v>0</v>
      </c>
      <c r="DI58" s="505">
        <f t="shared" si="408"/>
        <v>0</v>
      </c>
      <c r="DJ58" s="505">
        <f t="shared" si="408"/>
        <v>0</v>
      </c>
      <c r="DK58" s="505">
        <f t="shared" si="408"/>
        <v>0</v>
      </c>
      <c r="DL58" s="505">
        <f t="shared" si="408"/>
        <v>0</v>
      </c>
      <c r="DM58" s="505">
        <f t="shared" si="408"/>
        <v>0</v>
      </c>
      <c r="DN58" s="505">
        <f t="shared" si="408"/>
        <v>0</v>
      </c>
      <c r="DO58" s="505">
        <f t="shared" si="408"/>
        <v>0</v>
      </c>
      <c r="DP58" s="505">
        <f t="shared" si="408"/>
        <v>0</v>
      </c>
      <c r="DQ58" s="505">
        <f t="shared" si="408"/>
        <v>0</v>
      </c>
      <c r="DR58" s="505">
        <f t="shared" si="408"/>
        <v>0</v>
      </c>
      <c r="DS58" s="505">
        <f t="shared" si="408"/>
        <v>0</v>
      </c>
      <c r="DT58" s="505">
        <f t="shared" si="408"/>
        <v>0</v>
      </c>
      <c r="DU58" s="505">
        <f t="shared" si="408"/>
        <v>0</v>
      </c>
      <c r="DV58" s="505">
        <f t="shared" si="408"/>
        <v>0</v>
      </c>
      <c r="DW58" s="505">
        <f t="shared" si="408"/>
        <v>0</v>
      </c>
      <c r="DX58" s="505">
        <f t="shared" si="408"/>
        <v>0</v>
      </c>
      <c r="DY58" s="505">
        <f t="shared" si="408"/>
        <v>0</v>
      </c>
      <c r="DZ58" s="505">
        <f t="shared" si="408"/>
        <v>0</v>
      </c>
      <c r="EA58" s="505">
        <f t="shared" si="408"/>
        <v>0</v>
      </c>
      <c r="EB58" s="505">
        <f t="shared" si="408"/>
        <v>0</v>
      </c>
      <c r="EC58" s="505">
        <f t="shared" si="408"/>
        <v>0</v>
      </c>
      <c r="ED58" s="505">
        <f t="shared" si="408"/>
        <v>0</v>
      </c>
      <c r="EE58" s="505">
        <f t="shared" si="408"/>
        <v>0</v>
      </c>
      <c r="EF58" s="505">
        <f t="shared" si="408"/>
        <v>0</v>
      </c>
      <c r="EG58" s="505">
        <f t="shared" si="408"/>
        <v>0</v>
      </c>
      <c r="EH58" s="505">
        <f t="shared" ref="EH58:GS58" si="409">SUM(EH53:EH57)</f>
        <v>0</v>
      </c>
      <c r="EI58" s="505">
        <f t="shared" si="409"/>
        <v>0</v>
      </c>
      <c r="EJ58" s="505">
        <f t="shared" si="409"/>
        <v>0</v>
      </c>
      <c r="EK58" s="505">
        <f t="shared" si="409"/>
        <v>0</v>
      </c>
      <c r="EL58" s="505">
        <f t="shared" si="409"/>
        <v>0</v>
      </c>
      <c r="EM58" s="505">
        <f t="shared" si="409"/>
        <v>0</v>
      </c>
      <c r="EN58" s="505">
        <f t="shared" si="409"/>
        <v>0</v>
      </c>
      <c r="EO58" s="505">
        <f t="shared" si="409"/>
        <v>0</v>
      </c>
      <c r="EP58" s="505">
        <f t="shared" si="409"/>
        <v>0</v>
      </c>
      <c r="EQ58" s="505">
        <f t="shared" si="409"/>
        <v>0</v>
      </c>
      <c r="ER58" s="505">
        <f t="shared" si="409"/>
        <v>0</v>
      </c>
      <c r="ES58" s="505">
        <f t="shared" si="409"/>
        <v>0</v>
      </c>
      <c r="ET58" s="505">
        <f t="shared" si="409"/>
        <v>0</v>
      </c>
      <c r="EU58" s="505">
        <f t="shared" si="409"/>
        <v>0</v>
      </c>
      <c r="EV58" s="505">
        <f t="shared" si="409"/>
        <v>0</v>
      </c>
      <c r="EW58" s="505">
        <f t="shared" si="409"/>
        <v>0</v>
      </c>
      <c r="EX58" s="505">
        <f t="shared" si="409"/>
        <v>0</v>
      </c>
      <c r="EY58" s="505">
        <f t="shared" si="409"/>
        <v>0</v>
      </c>
      <c r="EZ58" s="505">
        <f t="shared" si="409"/>
        <v>0</v>
      </c>
      <c r="FA58" s="505">
        <f t="shared" si="409"/>
        <v>0</v>
      </c>
      <c r="FB58" s="505">
        <f t="shared" si="409"/>
        <v>0</v>
      </c>
      <c r="FC58" s="505">
        <f t="shared" si="409"/>
        <v>0</v>
      </c>
      <c r="FD58" s="505">
        <f t="shared" si="409"/>
        <v>0</v>
      </c>
      <c r="FE58" s="505">
        <f t="shared" si="409"/>
        <v>0</v>
      </c>
      <c r="FF58" s="505">
        <f t="shared" si="409"/>
        <v>0</v>
      </c>
      <c r="FG58" s="505">
        <f t="shared" si="409"/>
        <v>0</v>
      </c>
      <c r="FH58" s="505">
        <f t="shared" si="409"/>
        <v>0</v>
      </c>
      <c r="FI58" s="505">
        <f t="shared" si="409"/>
        <v>0</v>
      </c>
      <c r="FJ58" s="505">
        <f t="shared" si="409"/>
        <v>0</v>
      </c>
      <c r="FK58" s="505">
        <f t="shared" si="409"/>
        <v>0</v>
      </c>
      <c r="FL58" s="505">
        <f t="shared" si="409"/>
        <v>0</v>
      </c>
      <c r="FM58" s="505">
        <f t="shared" si="409"/>
        <v>0</v>
      </c>
      <c r="FN58" s="505">
        <f t="shared" si="409"/>
        <v>0</v>
      </c>
      <c r="FO58" s="505">
        <f t="shared" si="409"/>
        <v>0</v>
      </c>
      <c r="FP58" s="505">
        <f t="shared" si="409"/>
        <v>0</v>
      </c>
      <c r="FQ58" s="505">
        <f t="shared" si="409"/>
        <v>0</v>
      </c>
      <c r="FR58" s="505">
        <f t="shared" si="409"/>
        <v>0</v>
      </c>
      <c r="FS58" s="505">
        <f t="shared" si="409"/>
        <v>0</v>
      </c>
      <c r="FT58" s="505">
        <f t="shared" si="409"/>
        <v>0</v>
      </c>
      <c r="FU58" s="505">
        <f t="shared" si="409"/>
        <v>0</v>
      </c>
      <c r="FV58" s="505">
        <f t="shared" si="409"/>
        <v>0</v>
      </c>
      <c r="FW58" s="505">
        <f t="shared" si="409"/>
        <v>0</v>
      </c>
      <c r="FX58" s="505">
        <f t="shared" si="409"/>
        <v>0</v>
      </c>
      <c r="FY58" s="505">
        <f t="shared" si="409"/>
        <v>0</v>
      </c>
      <c r="FZ58" s="505">
        <f t="shared" si="409"/>
        <v>0</v>
      </c>
      <c r="GA58" s="505">
        <f t="shared" si="409"/>
        <v>0</v>
      </c>
      <c r="GB58" s="505">
        <f t="shared" si="409"/>
        <v>0</v>
      </c>
      <c r="GC58" s="505">
        <f t="shared" si="409"/>
        <v>0</v>
      </c>
      <c r="GD58" s="505">
        <f t="shared" si="409"/>
        <v>0</v>
      </c>
      <c r="GE58" s="505">
        <f t="shared" si="409"/>
        <v>0</v>
      </c>
      <c r="GF58" s="505">
        <f t="shared" si="409"/>
        <v>0</v>
      </c>
      <c r="GG58" s="505">
        <f t="shared" si="409"/>
        <v>0</v>
      </c>
      <c r="GH58" s="505">
        <f t="shared" si="409"/>
        <v>0</v>
      </c>
      <c r="GI58" s="505">
        <f t="shared" si="409"/>
        <v>0</v>
      </c>
      <c r="GJ58" s="505">
        <f t="shared" si="409"/>
        <v>0</v>
      </c>
      <c r="GK58" s="505">
        <f t="shared" si="409"/>
        <v>0</v>
      </c>
      <c r="GL58" s="505">
        <f t="shared" si="409"/>
        <v>0</v>
      </c>
      <c r="GM58" s="505">
        <f t="shared" si="409"/>
        <v>0</v>
      </c>
      <c r="GN58" s="505">
        <f t="shared" si="409"/>
        <v>0</v>
      </c>
      <c r="GO58" s="505">
        <f t="shared" si="409"/>
        <v>0</v>
      </c>
      <c r="GP58" s="505">
        <f t="shared" si="409"/>
        <v>0</v>
      </c>
      <c r="GQ58" s="505">
        <f t="shared" si="409"/>
        <v>0</v>
      </c>
      <c r="GR58" s="505">
        <f t="shared" si="409"/>
        <v>0</v>
      </c>
      <c r="GS58" s="505">
        <f t="shared" si="409"/>
        <v>0</v>
      </c>
      <c r="GT58" s="505">
        <f t="shared" ref="GT58:JE58" si="410">SUM(GT53:GT57)</f>
        <v>0</v>
      </c>
      <c r="GU58" s="505">
        <f t="shared" si="410"/>
        <v>0</v>
      </c>
      <c r="GV58" s="505">
        <f t="shared" si="410"/>
        <v>0</v>
      </c>
      <c r="GW58" s="505">
        <f t="shared" si="410"/>
        <v>0</v>
      </c>
      <c r="GX58" s="505">
        <f t="shared" si="410"/>
        <v>0</v>
      </c>
      <c r="GY58" s="505">
        <f t="shared" si="410"/>
        <v>0</v>
      </c>
      <c r="GZ58" s="505">
        <f t="shared" si="410"/>
        <v>0</v>
      </c>
      <c r="HA58" s="505">
        <f t="shared" si="410"/>
        <v>0</v>
      </c>
      <c r="HB58" s="505">
        <f t="shared" si="410"/>
        <v>0</v>
      </c>
      <c r="HC58" s="505">
        <f t="shared" si="410"/>
        <v>0</v>
      </c>
      <c r="HD58" s="505">
        <f t="shared" si="410"/>
        <v>0</v>
      </c>
      <c r="HE58" s="505">
        <f t="shared" si="410"/>
        <v>0</v>
      </c>
      <c r="HF58" s="505">
        <f t="shared" si="410"/>
        <v>0</v>
      </c>
      <c r="HG58" s="505">
        <f t="shared" si="410"/>
        <v>0</v>
      </c>
      <c r="HH58" s="505">
        <f t="shared" si="410"/>
        <v>0</v>
      </c>
      <c r="HI58" s="505">
        <f t="shared" si="410"/>
        <v>0</v>
      </c>
      <c r="HJ58" s="505">
        <f t="shared" si="410"/>
        <v>0</v>
      </c>
      <c r="HK58" s="505">
        <f t="shared" si="410"/>
        <v>0</v>
      </c>
      <c r="HL58" s="505">
        <f t="shared" si="410"/>
        <v>0</v>
      </c>
      <c r="HM58" s="505">
        <f t="shared" si="410"/>
        <v>0</v>
      </c>
      <c r="HN58" s="505">
        <f t="shared" si="410"/>
        <v>0</v>
      </c>
      <c r="HO58" s="505">
        <f t="shared" si="410"/>
        <v>0</v>
      </c>
      <c r="HP58" s="505">
        <f t="shared" si="410"/>
        <v>0</v>
      </c>
      <c r="HQ58" s="505">
        <f t="shared" si="410"/>
        <v>0</v>
      </c>
      <c r="HR58" s="505">
        <f t="shared" si="410"/>
        <v>0</v>
      </c>
      <c r="HS58" s="505">
        <f t="shared" si="410"/>
        <v>0</v>
      </c>
      <c r="HT58" s="505">
        <f t="shared" si="410"/>
        <v>0</v>
      </c>
      <c r="HU58" s="505">
        <f t="shared" si="410"/>
        <v>0</v>
      </c>
      <c r="HV58" s="505">
        <f t="shared" si="410"/>
        <v>0</v>
      </c>
      <c r="HW58" s="505">
        <f t="shared" si="410"/>
        <v>0</v>
      </c>
      <c r="HX58" s="505">
        <f t="shared" si="410"/>
        <v>0</v>
      </c>
      <c r="HY58" s="505">
        <f t="shared" si="410"/>
        <v>0</v>
      </c>
      <c r="HZ58" s="505">
        <f t="shared" si="410"/>
        <v>0</v>
      </c>
      <c r="IA58" s="505">
        <f t="shared" si="410"/>
        <v>0</v>
      </c>
      <c r="IB58" s="505">
        <f t="shared" si="410"/>
        <v>0</v>
      </c>
      <c r="IC58" s="505">
        <f t="shared" si="410"/>
        <v>0</v>
      </c>
      <c r="ID58" s="505">
        <f t="shared" si="410"/>
        <v>0</v>
      </c>
      <c r="IE58" s="505">
        <f t="shared" si="410"/>
        <v>0</v>
      </c>
      <c r="IF58" s="505">
        <f t="shared" si="410"/>
        <v>0</v>
      </c>
      <c r="IG58" s="505">
        <f t="shared" si="410"/>
        <v>0</v>
      </c>
      <c r="IH58" s="505">
        <f t="shared" si="410"/>
        <v>0</v>
      </c>
      <c r="II58" s="505">
        <f t="shared" si="410"/>
        <v>0</v>
      </c>
      <c r="IJ58" s="505">
        <f t="shared" si="410"/>
        <v>0</v>
      </c>
      <c r="IK58" s="505">
        <f t="shared" si="410"/>
        <v>0</v>
      </c>
      <c r="IL58" s="505">
        <f t="shared" si="410"/>
        <v>0</v>
      </c>
      <c r="IM58" s="505">
        <f t="shared" si="410"/>
        <v>0</v>
      </c>
      <c r="IN58" s="505">
        <f t="shared" si="410"/>
        <v>0</v>
      </c>
      <c r="IO58" s="505">
        <f t="shared" si="410"/>
        <v>0</v>
      </c>
      <c r="IP58" s="505">
        <f t="shared" si="410"/>
        <v>0</v>
      </c>
      <c r="IQ58" s="505">
        <f t="shared" si="410"/>
        <v>0</v>
      </c>
      <c r="IR58" s="505">
        <f t="shared" si="410"/>
        <v>0</v>
      </c>
      <c r="IS58" s="505">
        <f t="shared" si="410"/>
        <v>0</v>
      </c>
      <c r="IT58" s="505">
        <f t="shared" si="410"/>
        <v>0</v>
      </c>
      <c r="IU58" s="505">
        <f t="shared" si="410"/>
        <v>0</v>
      </c>
      <c r="IV58" s="505">
        <f t="shared" si="410"/>
        <v>0</v>
      </c>
      <c r="IW58" s="505">
        <f t="shared" si="410"/>
        <v>0</v>
      </c>
      <c r="IX58" s="505">
        <f t="shared" si="410"/>
        <v>0</v>
      </c>
      <c r="IY58" s="505">
        <f t="shared" si="410"/>
        <v>0</v>
      </c>
      <c r="IZ58" s="505">
        <f t="shared" si="410"/>
        <v>0</v>
      </c>
      <c r="JA58" s="505">
        <f t="shared" si="410"/>
        <v>0</v>
      </c>
      <c r="JB58" s="505">
        <f t="shared" si="410"/>
        <v>0</v>
      </c>
      <c r="JC58" s="505">
        <f t="shared" si="410"/>
        <v>0</v>
      </c>
      <c r="JD58" s="505">
        <f t="shared" si="410"/>
        <v>0</v>
      </c>
      <c r="JE58" s="505">
        <f t="shared" si="410"/>
        <v>0</v>
      </c>
      <c r="JF58" s="505">
        <f t="shared" ref="JF58:LQ58" si="411">SUM(JF53:JF57)</f>
        <v>0</v>
      </c>
      <c r="JG58" s="505">
        <f t="shared" si="411"/>
        <v>0</v>
      </c>
      <c r="JH58" s="505">
        <f t="shared" si="411"/>
        <v>0</v>
      </c>
      <c r="JI58" s="505">
        <f t="shared" si="411"/>
        <v>0</v>
      </c>
      <c r="JJ58" s="505">
        <f t="shared" si="411"/>
        <v>0</v>
      </c>
      <c r="JK58" s="505">
        <f t="shared" si="411"/>
        <v>0</v>
      </c>
      <c r="JL58" s="505">
        <f t="shared" si="411"/>
        <v>0</v>
      </c>
      <c r="JM58" s="505">
        <f t="shared" si="411"/>
        <v>0</v>
      </c>
      <c r="JN58" s="505">
        <f t="shared" si="411"/>
        <v>0</v>
      </c>
      <c r="JO58" s="505">
        <f t="shared" si="411"/>
        <v>0</v>
      </c>
      <c r="JP58" s="505">
        <f t="shared" si="411"/>
        <v>0</v>
      </c>
      <c r="JQ58" s="505">
        <f t="shared" si="411"/>
        <v>0</v>
      </c>
      <c r="JR58" s="505">
        <f t="shared" si="411"/>
        <v>0</v>
      </c>
      <c r="JS58" s="505">
        <f t="shared" si="411"/>
        <v>0</v>
      </c>
      <c r="JT58" s="505">
        <f t="shared" si="411"/>
        <v>0</v>
      </c>
      <c r="JU58" s="505">
        <f t="shared" si="411"/>
        <v>0</v>
      </c>
      <c r="JV58" s="505">
        <f t="shared" si="411"/>
        <v>0</v>
      </c>
      <c r="JW58" s="505">
        <f t="shared" si="411"/>
        <v>0</v>
      </c>
      <c r="JX58" s="505">
        <f t="shared" si="411"/>
        <v>0</v>
      </c>
      <c r="JY58" s="505">
        <f t="shared" si="411"/>
        <v>0</v>
      </c>
      <c r="JZ58" s="505">
        <f t="shared" si="411"/>
        <v>0</v>
      </c>
      <c r="KA58" s="505">
        <f t="shared" si="411"/>
        <v>0</v>
      </c>
      <c r="KB58" s="505">
        <f t="shared" si="411"/>
        <v>0</v>
      </c>
      <c r="KC58" s="505">
        <f t="shared" si="411"/>
        <v>0</v>
      </c>
      <c r="KD58" s="505">
        <f t="shared" si="411"/>
        <v>0</v>
      </c>
      <c r="KE58" s="505">
        <f t="shared" si="411"/>
        <v>0</v>
      </c>
      <c r="KF58" s="505">
        <f t="shared" si="411"/>
        <v>0</v>
      </c>
      <c r="KG58" s="505">
        <f t="shared" si="411"/>
        <v>0</v>
      </c>
      <c r="KH58" s="505">
        <f t="shared" si="411"/>
        <v>0</v>
      </c>
      <c r="KI58" s="505">
        <f t="shared" si="411"/>
        <v>0</v>
      </c>
      <c r="KJ58" s="505">
        <f t="shared" si="411"/>
        <v>0</v>
      </c>
      <c r="KK58" s="505">
        <f t="shared" si="411"/>
        <v>0</v>
      </c>
      <c r="KL58" s="505">
        <f t="shared" si="411"/>
        <v>0</v>
      </c>
      <c r="KM58" s="505">
        <f t="shared" si="411"/>
        <v>0</v>
      </c>
      <c r="KN58" s="505">
        <f t="shared" si="411"/>
        <v>0</v>
      </c>
      <c r="KO58" s="505">
        <f t="shared" si="411"/>
        <v>0</v>
      </c>
      <c r="KP58" s="505">
        <f t="shared" si="411"/>
        <v>0</v>
      </c>
      <c r="KQ58" s="505">
        <f t="shared" si="411"/>
        <v>0</v>
      </c>
      <c r="KR58" s="505">
        <f t="shared" si="411"/>
        <v>0</v>
      </c>
      <c r="KS58" s="505">
        <f t="shared" si="411"/>
        <v>0</v>
      </c>
      <c r="KT58" s="505">
        <f t="shared" si="411"/>
        <v>0</v>
      </c>
      <c r="KU58" s="505">
        <f t="shared" si="411"/>
        <v>0</v>
      </c>
      <c r="KV58" s="505">
        <f t="shared" si="411"/>
        <v>0</v>
      </c>
      <c r="KW58" s="505">
        <f t="shared" si="411"/>
        <v>0</v>
      </c>
      <c r="KX58" s="505">
        <f t="shared" si="411"/>
        <v>0</v>
      </c>
      <c r="KY58" s="505">
        <f t="shared" si="411"/>
        <v>0</v>
      </c>
      <c r="KZ58" s="505">
        <f t="shared" si="411"/>
        <v>0</v>
      </c>
      <c r="LA58" s="505">
        <f t="shared" si="411"/>
        <v>0</v>
      </c>
      <c r="LB58" s="505">
        <f t="shared" si="411"/>
        <v>0</v>
      </c>
      <c r="LC58" s="505">
        <f t="shared" si="411"/>
        <v>0</v>
      </c>
      <c r="LD58" s="505">
        <f t="shared" si="411"/>
        <v>0</v>
      </c>
      <c r="LE58" s="505">
        <f t="shared" si="411"/>
        <v>0</v>
      </c>
      <c r="LF58" s="505">
        <f t="shared" si="411"/>
        <v>0</v>
      </c>
      <c r="LG58" s="505">
        <f t="shared" si="411"/>
        <v>0</v>
      </c>
      <c r="LH58" s="505">
        <f t="shared" si="411"/>
        <v>0</v>
      </c>
      <c r="LI58" s="505">
        <f t="shared" si="411"/>
        <v>0</v>
      </c>
      <c r="LJ58" s="505">
        <f t="shared" si="411"/>
        <v>0</v>
      </c>
      <c r="LK58" s="505">
        <f t="shared" si="411"/>
        <v>0</v>
      </c>
      <c r="LL58" s="505">
        <f t="shared" si="411"/>
        <v>0</v>
      </c>
      <c r="LM58" s="505">
        <f t="shared" si="411"/>
        <v>0</v>
      </c>
      <c r="LN58" s="505">
        <f t="shared" si="411"/>
        <v>0</v>
      </c>
      <c r="LO58" s="505">
        <f t="shared" si="411"/>
        <v>0</v>
      </c>
      <c r="LP58" s="505">
        <f t="shared" si="411"/>
        <v>0</v>
      </c>
      <c r="LQ58" s="505">
        <f t="shared" si="411"/>
        <v>0</v>
      </c>
      <c r="LR58" s="505">
        <f t="shared" ref="LR58:OC58" si="412">SUM(LR53:LR57)</f>
        <v>0</v>
      </c>
      <c r="LS58" s="505">
        <f t="shared" si="412"/>
        <v>0</v>
      </c>
      <c r="LT58" s="505">
        <f t="shared" si="412"/>
        <v>0</v>
      </c>
      <c r="LU58" s="505">
        <f t="shared" si="412"/>
        <v>0</v>
      </c>
      <c r="LV58" s="505">
        <f t="shared" si="412"/>
        <v>0</v>
      </c>
      <c r="LW58" s="505">
        <f t="shared" si="412"/>
        <v>0</v>
      </c>
      <c r="LX58" s="505">
        <f t="shared" si="412"/>
        <v>0</v>
      </c>
      <c r="LY58" s="505">
        <f t="shared" si="412"/>
        <v>0</v>
      </c>
      <c r="LZ58" s="505">
        <f t="shared" si="412"/>
        <v>0</v>
      </c>
      <c r="MA58" s="505">
        <f t="shared" si="412"/>
        <v>0</v>
      </c>
      <c r="MB58" s="505">
        <f t="shared" si="412"/>
        <v>0</v>
      </c>
      <c r="MC58" s="505">
        <f t="shared" si="412"/>
        <v>0</v>
      </c>
      <c r="MD58" s="505">
        <f t="shared" si="412"/>
        <v>0</v>
      </c>
      <c r="ME58" s="505">
        <f t="shared" si="412"/>
        <v>0</v>
      </c>
      <c r="MF58" s="505">
        <f t="shared" si="412"/>
        <v>0</v>
      </c>
      <c r="MG58" s="505">
        <f t="shared" si="412"/>
        <v>0</v>
      </c>
      <c r="MH58" s="505">
        <f t="shared" si="412"/>
        <v>0</v>
      </c>
      <c r="MI58" s="505">
        <f t="shared" si="412"/>
        <v>0</v>
      </c>
      <c r="MJ58" s="505">
        <f t="shared" si="412"/>
        <v>0</v>
      </c>
      <c r="MK58" s="505">
        <f t="shared" si="412"/>
        <v>0</v>
      </c>
      <c r="ML58" s="505">
        <f t="shared" si="412"/>
        <v>0</v>
      </c>
      <c r="MM58" s="505">
        <f t="shared" si="412"/>
        <v>0</v>
      </c>
      <c r="MN58" s="505">
        <f t="shared" si="412"/>
        <v>0</v>
      </c>
      <c r="MO58" s="505">
        <f t="shared" si="412"/>
        <v>0</v>
      </c>
      <c r="MP58" s="505">
        <f t="shared" si="412"/>
        <v>0</v>
      </c>
      <c r="MQ58" s="505">
        <f t="shared" si="412"/>
        <v>0</v>
      </c>
      <c r="MR58" s="505">
        <f t="shared" si="412"/>
        <v>0</v>
      </c>
      <c r="MS58" s="505">
        <f t="shared" si="412"/>
        <v>0</v>
      </c>
      <c r="MT58" s="505">
        <f t="shared" si="412"/>
        <v>0</v>
      </c>
      <c r="MU58" s="505">
        <f t="shared" si="412"/>
        <v>0</v>
      </c>
      <c r="MV58" s="505">
        <f t="shared" si="412"/>
        <v>0</v>
      </c>
      <c r="MW58" s="505">
        <f t="shared" si="412"/>
        <v>0</v>
      </c>
      <c r="MX58" s="505">
        <f t="shared" si="412"/>
        <v>0</v>
      </c>
      <c r="MY58" s="505">
        <f t="shared" si="412"/>
        <v>0</v>
      </c>
      <c r="MZ58" s="505">
        <f t="shared" si="412"/>
        <v>0</v>
      </c>
      <c r="NA58" s="505">
        <f t="shared" si="412"/>
        <v>0</v>
      </c>
      <c r="NB58" s="505">
        <f t="shared" si="412"/>
        <v>0</v>
      </c>
      <c r="NC58" s="505">
        <f t="shared" si="412"/>
        <v>0</v>
      </c>
      <c r="ND58" s="505">
        <f t="shared" si="412"/>
        <v>0</v>
      </c>
      <c r="NE58" s="505">
        <f t="shared" si="412"/>
        <v>0</v>
      </c>
      <c r="NF58" s="505">
        <f t="shared" si="412"/>
        <v>0</v>
      </c>
      <c r="NG58" s="505">
        <f t="shared" si="412"/>
        <v>0</v>
      </c>
      <c r="NH58" s="505">
        <f t="shared" si="412"/>
        <v>0</v>
      </c>
      <c r="NI58" s="505">
        <f t="shared" si="412"/>
        <v>0</v>
      </c>
      <c r="NJ58" s="505">
        <f t="shared" si="412"/>
        <v>0</v>
      </c>
      <c r="NK58" s="505">
        <f t="shared" si="412"/>
        <v>0</v>
      </c>
      <c r="NL58" s="505">
        <f t="shared" si="412"/>
        <v>0</v>
      </c>
      <c r="NM58" s="505">
        <f t="shared" si="412"/>
        <v>0</v>
      </c>
      <c r="NN58" s="505">
        <f t="shared" si="412"/>
        <v>0</v>
      </c>
      <c r="NO58" s="505">
        <f t="shared" si="412"/>
        <v>0</v>
      </c>
      <c r="NP58" s="505">
        <f t="shared" si="412"/>
        <v>0</v>
      </c>
      <c r="NQ58" s="505">
        <f t="shared" si="412"/>
        <v>0</v>
      </c>
      <c r="NR58" s="505">
        <f t="shared" si="412"/>
        <v>0</v>
      </c>
      <c r="NS58" s="505">
        <f t="shared" si="412"/>
        <v>0</v>
      </c>
      <c r="NT58" s="505">
        <f t="shared" si="412"/>
        <v>0</v>
      </c>
      <c r="NU58" s="505">
        <f t="shared" si="412"/>
        <v>0</v>
      </c>
      <c r="NV58" s="505">
        <f t="shared" si="412"/>
        <v>0</v>
      </c>
      <c r="NW58" s="505">
        <f t="shared" si="412"/>
        <v>0</v>
      </c>
      <c r="NX58" s="505">
        <f t="shared" si="412"/>
        <v>0</v>
      </c>
      <c r="NY58" s="505">
        <f t="shared" si="412"/>
        <v>0</v>
      </c>
      <c r="NZ58" s="505">
        <f t="shared" si="412"/>
        <v>0</v>
      </c>
      <c r="OA58" s="505">
        <f t="shared" si="412"/>
        <v>0</v>
      </c>
      <c r="OB58" s="505">
        <f t="shared" si="412"/>
        <v>0</v>
      </c>
      <c r="OC58" s="505">
        <f t="shared" si="412"/>
        <v>0</v>
      </c>
      <c r="OD58" s="505">
        <f t="shared" ref="OD58:OO58" si="413">SUM(OD53:OD57)</f>
        <v>0</v>
      </c>
      <c r="OE58" s="505">
        <f t="shared" si="413"/>
        <v>0</v>
      </c>
      <c r="OF58" s="505">
        <f t="shared" si="413"/>
        <v>0</v>
      </c>
      <c r="OG58" s="505">
        <f t="shared" si="413"/>
        <v>0</v>
      </c>
      <c r="OH58" s="505">
        <f t="shared" si="413"/>
        <v>0</v>
      </c>
      <c r="OI58" s="505">
        <f t="shared" si="413"/>
        <v>0</v>
      </c>
      <c r="OJ58" s="505">
        <f t="shared" si="413"/>
        <v>0</v>
      </c>
      <c r="OK58" s="505">
        <f t="shared" si="413"/>
        <v>0</v>
      </c>
      <c r="OL58" s="505">
        <f t="shared" si="413"/>
        <v>0</v>
      </c>
      <c r="OM58" s="505">
        <f t="shared" si="413"/>
        <v>0</v>
      </c>
      <c r="ON58" s="505">
        <f t="shared" si="413"/>
        <v>0</v>
      </c>
      <c r="OO58" s="505">
        <f t="shared" si="413"/>
        <v>0</v>
      </c>
    </row>
    <row r="59" spans="2:405">
      <c r="B59" s="477"/>
      <c r="C59" s="477"/>
      <c r="D59" s="479"/>
      <c r="E59" s="97"/>
      <c r="F59" s="97"/>
      <c r="G59" s="97"/>
      <c r="H59" s="97"/>
      <c r="I59" s="97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Y59" s="479"/>
      <c r="Z59" s="479"/>
      <c r="AA59" s="479"/>
      <c r="AB59" s="479"/>
      <c r="AC59" s="479"/>
      <c r="AD59" s="479"/>
      <c r="AE59" s="479"/>
      <c r="AF59" s="479"/>
      <c r="AG59" s="479"/>
      <c r="AH59" s="479"/>
      <c r="AI59" s="479"/>
      <c r="AJ59" s="479"/>
      <c r="AK59" s="479"/>
      <c r="AL59" s="479"/>
      <c r="AM59" s="479"/>
      <c r="AN59" s="479"/>
      <c r="AO59" s="479"/>
      <c r="AP59" s="479"/>
      <c r="AQ59" s="479"/>
      <c r="AR59" s="479"/>
      <c r="AS59" s="479"/>
      <c r="AT59" s="479"/>
      <c r="AU59" s="479"/>
      <c r="AV59" s="479"/>
      <c r="AW59" s="479"/>
      <c r="AX59" s="479"/>
      <c r="AY59" s="479"/>
      <c r="AZ59" s="479"/>
      <c r="BA59" s="479"/>
      <c r="BB59" s="479"/>
      <c r="BC59" s="479"/>
      <c r="BD59" s="479"/>
      <c r="BE59" s="479"/>
      <c r="BF59" s="479"/>
      <c r="BG59" s="479"/>
      <c r="BH59" s="479"/>
      <c r="BI59" s="479"/>
      <c r="BJ59" s="479"/>
      <c r="BK59" s="479"/>
      <c r="BL59" s="479"/>
      <c r="BM59" s="479"/>
      <c r="BN59" s="479"/>
      <c r="BO59" s="479"/>
      <c r="BP59" s="479"/>
      <c r="BQ59" s="479"/>
      <c r="BR59" s="479"/>
      <c r="BS59" s="479"/>
      <c r="BT59" s="479"/>
      <c r="BU59" s="479"/>
      <c r="BV59" s="479"/>
      <c r="BW59" s="479"/>
      <c r="BX59" s="479"/>
      <c r="BY59" s="479"/>
      <c r="BZ59" s="479"/>
      <c r="CA59" s="479"/>
      <c r="CB59" s="479"/>
      <c r="CC59" s="479"/>
      <c r="CD59" s="479"/>
      <c r="CE59" s="479"/>
      <c r="CF59" s="479"/>
      <c r="CG59" s="479"/>
      <c r="CH59" s="479"/>
      <c r="CI59" s="479"/>
      <c r="CJ59" s="479"/>
      <c r="CK59" s="479"/>
      <c r="CL59" s="479"/>
      <c r="CM59" s="479"/>
      <c r="CN59" s="479"/>
      <c r="CO59" s="479"/>
      <c r="CP59" s="479"/>
      <c r="CQ59" s="479"/>
      <c r="CR59" s="479"/>
      <c r="CS59" s="479"/>
      <c r="CT59" s="479"/>
      <c r="CU59" s="479"/>
      <c r="CV59" s="479"/>
      <c r="CW59" s="479"/>
      <c r="CX59" s="479"/>
      <c r="CY59" s="479"/>
      <c r="CZ59" s="479"/>
      <c r="DA59" s="479"/>
      <c r="DB59" s="479"/>
      <c r="DC59" s="479"/>
      <c r="DD59" s="479"/>
      <c r="DE59" s="479"/>
      <c r="DF59" s="479"/>
      <c r="DG59" s="479"/>
      <c r="DH59" s="479"/>
      <c r="DI59" s="479"/>
      <c r="DJ59" s="479"/>
      <c r="DK59" s="479"/>
      <c r="DL59" s="479"/>
      <c r="DM59" s="479"/>
      <c r="DN59" s="479"/>
      <c r="DO59" s="479"/>
      <c r="DP59" s="479"/>
      <c r="DQ59" s="479"/>
      <c r="DR59" s="479"/>
      <c r="DS59" s="479"/>
      <c r="DT59" s="479"/>
      <c r="DU59" s="479"/>
      <c r="DV59" s="479"/>
      <c r="DW59" s="479"/>
      <c r="DX59" s="479"/>
      <c r="DY59" s="479"/>
      <c r="DZ59" s="479"/>
      <c r="EA59" s="479"/>
      <c r="EB59" s="479"/>
      <c r="EC59" s="479"/>
      <c r="ED59" s="479"/>
      <c r="EE59" s="479"/>
      <c r="EF59" s="479"/>
      <c r="EG59" s="479"/>
      <c r="EH59" s="479"/>
      <c r="EI59" s="479"/>
      <c r="EJ59" s="479"/>
      <c r="EK59" s="479"/>
      <c r="EL59" s="479"/>
      <c r="EM59" s="479"/>
      <c r="EN59" s="479"/>
      <c r="EO59" s="479"/>
      <c r="EP59" s="479"/>
      <c r="EQ59" s="479"/>
      <c r="ER59" s="479"/>
      <c r="ES59" s="479"/>
      <c r="ET59" s="479"/>
      <c r="EU59" s="479"/>
      <c r="EV59" s="479"/>
      <c r="EW59" s="479"/>
      <c r="EX59" s="479"/>
      <c r="EY59" s="479"/>
      <c r="EZ59" s="479"/>
      <c r="FA59" s="479"/>
      <c r="FB59" s="479"/>
      <c r="FC59" s="479"/>
      <c r="FD59" s="479"/>
      <c r="FE59" s="479"/>
      <c r="FF59" s="479"/>
      <c r="FG59" s="479"/>
      <c r="FH59" s="479"/>
      <c r="FI59" s="479"/>
      <c r="FJ59" s="479"/>
      <c r="FK59" s="479"/>
      <c r="FL59" s="479"/>
      <c r="FM59" s="479"/>
      <c r="FN59" s="479"/>
      <c r="FO59" s="479"/>
      <c r="FP59" s="479"/>
      <c r="FQ59" s="479"/>
      <c r="FR59" s="479"/>
      <c r="FS59" s="479"/>
      <c r="FT59" s="479"/>
      <c r="FU59" s="479"/>
      <c r="FV59" s="479"/>
      <c r="FW59" s="479"/>
      <c r="FX59" s="479"/>
      <c r="FY59" s="479"/>
      <c r="FZ59" s="479"/>
      <c r="GA59" s="479"/>
      <c r="GB59" s="479"/>
      <c r="GC59" s="479"/>
      <c r="GD59" s="479"/>
      <c r="GE59" s="479"/>
      <c r="GF59" s="479"/>
      <c r="GG59" s="479"/>
      <c r="GH59" s="479"/>
      <c r="GI59" s="479"/>
      <c r="GJ59" s="479"/>
      <c r="GK59" s="479"/>
      <c r="GL59" s="479"/>
      <c r="GM59" s="479"/>
      <c r="GN59" s="479"/>
      <c r="GO59" s="479"/>
      <c r="GP59" s="479"/>
      <c r="GQ59" s="479"/>
      <c r="GR59" s="479"/>
      <c r="GS59" s="479"/>
      <c r="GT59" s="479"/>
      <c r="GU59" s="479"/>
      <c r="GV59" s="479"/>
      <c r="GW59" s="479"/>
      <c r="GX59" s="479"/>
      <c r="GY59" s="479"/>
      <c r="GZ59" s="479"/>
      <c r="HA59" s="479"/>
      <c r="HB59" s="479"/>
      <c r="HC59" s="479"/>
      <c r="HD59" s="479"/>
      <c r="HE59" s="479"/>
      <c r="HF59" s="479"/>
      <c r="HG59" s="479"/>
      <c r="HH59" s="479"/>
      <c r="HI59" s="479"/>
      <c r="HJ59" s="479"/>
      <c r="HK59" s="479"/>
      <c r="HL59" s="479"/>
      <c r="HM59" s="479"/>
      <c r="HN59" s="479"/>
      <c r="HO59" s="479"/>
      <c r="HP59" s="479"/>
      <c r="HQ59" s="479"/>
      <c r="HR59" s="479"/>
      <c r="HS59" s="479"/>
      <c r="HT59" s="479"/>
      <c r="HU59" s="479"/>
      <c r="HV59" s="479"/>
      <c r="HW59" s="479"/>
      <c r="HX59" s="479"/>
      <c r="HY59" s="479"/>
      <c r="HZ59" s="479"/>
      <c r="IA59" s="479"/>
      <c r="IB59" s="479"/>
      <c r="IC59" s="479"/>
      <c r="ID59" s="479"/>
      <c r="IE59" s="479"/>
      <c r="IF59" s="479"/>
      <c r="IG59" s="479"/>
      <c r="IH59" s="479"/>
      <c r="II59" s="479"/>
      <c r="IJ59" s="479"/>
      <c r="IK59" s="479"/>
      <c r="IL59" s="479"/>
      <c r="IM59" s="479"/>
      <c r="IN59" s="479"/>
      <c r="IO59" s="479"/>
      <c r="IP59" s="479"/>
      <c r="IQ59" s="479"/>
      <c r="IR59" s="479"/>
      <c r="IS59" s="479"/>
      <c r="IT59" s="479"/>
      <c r="IU59" s="479"/>
      <c r="IV59" s="479"/>
      <c r="IW59" s="479"/>
      <c r="IX59" s="479"/>
      <c r="IY59" s="479"/>
      <c r="IZ59" s="479"/>
      <c r="JA59" s="479"/>
      <c r="JB59" s="479"/>
      <c r="JC59" s="479"/>
      <c r="JD59" s="479"/>
      <c r="JE59" s="479"/>
      <c r="JF59" s="479"/>
      <c r="JG59" s="479"/>
      <c r="JH59" s="479"/>
      <c r="JI59" s="479"/>
      <c r="JJ59" s="479"/>
      <c r="JK59" s="479"/>
      <c r="JL59" s="479"/>
      <c r="JM59" s="479"/>
      <c r="JN59" s="479"/>
      <c r="JO59" s="479"/>
      <c r="JP59" s="479"/>
      <c r="JQ59" s="479"/>
      <c r="JR59" s="479"/>
      <c r="JS59" s="479"/>
      <c r="JT59" s="479"/>
      <c r="JU59" s="479"/>
      <c r="JV59" s="479"/>
      <c r="JW59" s="479"/>
      <c r="JX59" s="479"/>
      <c r="JY59" s="479"/>
      <c r="JZ59" s="479"/>
      <c r="KA59" s="479"/>
      <c r="KB59" s="479"/>
      <c r="KC59" s="479"/>
      <c r="KD59" s="479"/>
      <c r="KE59" s="479"/>
      <c r="KF59" s="479"/>
      <c r="KG59" s="479"/>
      <c r="KH59" s="479"/>
      <c r="KI59" s="479"/>
      <c r="KJ59" s="479"/>
      <c r="KK59" s="479"/>
      <c r="KL59" s="479"/>
      <c r="KM59" s="479"/>
      <c r="KN59" s="479"/>
      <c r="KO59" s="479"/>
      <c r="KP59" s="479"/>
      <c r="KQ59" s="479"/>
      <c r="KR59" s="479"/>
      <c r="KS59" s="479"/>
      <c r="KT59" s="479"/>
      <c r="KU59" s="479"/>
      <c r="KV59" s="479"/>
      <c r="KW59" s="479"/>
      <c r="KX59" s="479"/>
      <c r="KY59" s="479"/>
      <c r="KZ59" s="479"/>
      <c r="LA59" s="479"/>
      <c r="LB59" s="479"/>
      <c r="LC59" s="479"/>
      <c r="LD59" s="479"/>
      <c r="LE59" s="479"/>
      <c r="LF59" s="479"/>
      <c r="LG59" s="479"/>
      <c r="LH59" s="479"/>
      <c r="LI59" s="479"/>
      <c r="LJ59" s="479"/>
      <c r="LK59" s="479"/>
      <c r="LL59" s="479"/>
      <c r="LM59" s="479"/>
      <c r="LN59" s="479"/>
      <c r="LO59" s="479"/>
      <c r="LP59" s="479"/>
      <c r="LQ59" s="479"/>
      <c r="LR59" s="479"/>
      <c r="LS59" s="479"/>
      <c r="LT59" s="479"/>
      <c r="LU59" s="479"/>
      <c r="LV59" s="479"/>
      <c r="LW59" s="479"/>
      <c r="LX59" s="479"/>
      <c r="LY59" s="479"/>
      <c r="LZ59" s="479"/>
      <c r="MA59" s="479"/>
      <c r="MB59" s="479"/>
      <c r="MC59" s="479"/>
      <c r="MD59" s="479"/>
      <c r="ME59" s="479"/>
      <c r="MF59" s="479"/>
      <c r="MG59" s="479"/>
      <c r="MH59" s="479"/>
      <c r="MI59" s="479"/>
      <c r="MJ59" s="479"/>
      <c r="MK59" s="479"/>
      <c r="ML59" s="479"/>
      <c r="MM59" s="479"/>
      <c r="MN59" s="479"/>
      <c r="MO59" s="479"/>
      <c r="MP59" s="479"/>
      <c r="MQ59" s="479"/>
      <c r="MR59" s="479"/>
      <c r="MS59" s="479"/>
      <c r="MT59" s="479"/>
      <c r="MU59" s="479"/>
      <c r="MV59" s="479"/>
      <c r="MW59" s="479"/>
      <c r="MX59" s="479"/>
      <c r="MY59" s="479"/>
      <c r="MZ59" s="479"/>
      <c r="NA59" s="479"/>
      <c r="NB59" s="479"/>
      <c r="NC59" s="479"/>
      <c r="ND59" s="479"/>
      <c r="NE59" s="479"/>
      <c r="NF59" s="479"/>
      <c r="NG59" s="479"/>
      <c r="NH59" s="479"/>
      <c r="NI59" s="479"/>
      <c r="NJ59" s="479"/>
      <c r="NK59" s="479"/>
      <c r="NL59" s="479"/>
      <c r="NM59" s="479"/>
      <c r="NN59" s="479"/>
      <c r="NO59" s="479"/>
      <c r="NP59" s="479"/>
      <c r="NQ59" s="479"/>
      <c r="NR59" s="479"/>
      <c r="NS59" s="479"/>
      <c r="NT59" s="479"/>
      <c r="NU59" s="479"/>
      <c r="NV59" s="479"/>
      <c r="NW59" s="479"/>
      <c r="NX59" s="479"/>
      <c r="NY59" s="479"/>
      <c r="NZ59" s="479"/>
      <c r="OA59" s="479"/>
      <c r="OB59" s="479"/>
      <c r="OC59" s="479"/>
      <c r="OD59" s="479"/>
      <c r="OE59" s="479"/>
      <c r="OF59" s="479"/>
      <c r="OG59" s="479"/>
      <c r="OH59" s="479"/>
      <c r="OI59" s="479"/>
      <c r="OJ59" s="479"/>
      <c r="OK59" s="479"/>
      <c r="OL59" s="479"/>
      <c r="OM59" s="479"/>
      <c r="ON59" s="479"/>
      <c r="OO59" s="479"/>
    </row>
    <row r="60" spans="2:405">
      <c r="B60" s="506" t="str">
        <f>Assumptions!B146</f>
        <v>Capitalized Operating Reserve</v>
      </c>
      <c r="C60" s="506"/>
      <c r="D60" s="746">
        <f>Assumptions!C148</f>
        <v>1949898.751730311</v>
      </c>
      <c r="E60" s="747">
        <f>EOMONTH(Assumptions!C10,SUM(Assumptions!C11:C12,-1))</f>
        <v>47299</v>
      </c>
      <c r="F60" s="747">
        <f>E60</f>
        <v>47299</v>
      </c>
      <c r="G60" s="244">
        <f t="shared" ref="G60" si="414">((YEAR(F60)-YEAR(E60))*12+MONTH(F60)-MONTH(E60)+1)</f>
        <v>1</v>
      </c>
      <c r="H60" s="244"/>
      <c r="I60" s="244"/>
      <c r="J60" s="505">
        <f t="shared" ref="J60:BU60" si="415">-IF(J$7&gt;=$E60,IF(J$7&lt;=$F60,$D60/$G60,0),0)</f>
        <v>0</v>
      </c>
      <c r="K60" s="505">
        <f t="shared" si="415"/>
        <v>0</v>
      </c>
      <c r="L60" s="505">
        <f t="shared" si="415"/>
        <v>0</v>
      </c>
      <c r="M60" s="505">
        <f t="shared" si="415"/>
        <v>0</v>
      </c>
      <c r="N60" s="505">
        <f t="shared" si="415"/>
        <v>0</v>
      </c>
      <c r="O60" s="505">
        <f t="shared" si="415"/>
        <v>0</v>
      </c>
      <c r="P60" s="505">
        <f t="shared" si="415"/>
        <v>0</v>
      </c>
      <c r="Q60" s="505">
        <f t="shared" si="415"/>
        <v>0</v>
      </c>
      <c r="R60" s="505">
        <f t="shared" si="415"/>
        <v>0</v>
      </c>
      <c r="S60" s="505">
        <f t="shared" si="415"/>
        <v>0</v>
      </c>
      <c r="T60" s="505">
        <f t="shared" si="415"/>
        <v>0</v>
      </c>
      <c r="U60" s="505">
        <f t="shared" si="415"/>
        <v>0</v>
      </c>
      <c r="V60" s="505">
        <f t="shared" si="415"/>
        <v>0</v>
      </c>
      <c r="W60" s="505">
        <f t="shared" si="415"/>
        <v>0</v>
      </c>
      <c r="X60" s="505">
        <f t="shared" si="415"/>
        <v>0</v>
      </c>
      <c r="Y60" s="505">
        <f t="shared" si="415"/>
        <v>0</v>
      </c>
      <c r="Z60" s="505">
        <f t="shared" si="415"/>
        <v>0</v>
      </c>
      <c r="AA60" s="505">
        <f t="shared" si="415"/>
        <v>0</v>
      </c>
      <c r="AB60" s="505">
        <f t="shared" si="415"/>
        <v>0</v>
      </c>
      <c r="AC60" s="505">
        <f t="shared" si="415"/>
        <v>0</v>
      </c>
      <c r="AD60" s="505">
        <f t="shared" si="415"/>
        <v>0</v>
      </c>
      <c r="AE60" s="505">
        <f t="shared" si="415"/>
        <v>0</v>
      </c>
      <c r="AF60" s="505">
        <f t="shared" si="415"/>
        <v>0</v>
      </c>
      <c r="AG60" s="505">
        <f t="shared" si="415"/>
        <v>0</v>
      </c>
      <c r="AH60" s="505">
        <f t="shared" si="415"/>
        <v>0</v>
      </c>
      <c r="AI60" s="505">
        <f t="shared" si="415"/>
        <v>0</v>
      </c>
      <c r="AJ60" s="505">
        <f t="shared" si="415"/>
        <v>0</v>
      </c>
      <c r="AK60" s="505">
        <f t="shared" si="415"/>
        <v>0</v>
      </c>
      <c r="AL60" s="505">
        <f t="shared" si="415"/>
        <v>0</v>
      </c>
      <c r="AM60" s="505">
        <f t="shared" si="415"/>
        <v>0</v>
      </c>
      <c r="AN60" s="505">
        <f t="shared" si="415"/>
        <v>0</v>
      </c>
      <c r="AO60" s="505">
        <f t="shared" si="415"/>
        <v>0</v>
      </c>
      <c r="AP60" s="505">
        <f t="shared" si="415"/>
        <v>0</v>
      </c>
      <c r="AQ60" s="505">
        <f t="shared" si="415"/>
        <v>0</v>
      </c>
      <c r="AR60" s="505">
        <f t="shared" si="415"/>
        <v>0</v>
      </c>
      <c r="AS60" s="505">
        <f t="shared" si="415"/>
        <v>-1949898.751730311</v>
      </c>
      <c r="AT60" s="505">
        <f t="shared" si="415"/>
        <v>0</v>
      </c>
      <c r="AU60" s="505">
        <f t="shared" si="415"/>
        <v>0</v>
      </c>
      <c r="AV60" s="505">
        <f t="shared" si="415"/>
        <v>0</v>
      </c>
      <c r="AW60" s="505">
        <f t="shared" si="415"/>
        <v>0</v>
      </c>
      <c r="AX60" s="505">
        <f t="shared" si="415"/>
        <v>0</v>
      </c>
      <c r="AY60" s="505">
        <f t="shared" si="415"/>
        <v>0</v>
      </c>
      <c r="AZ60" s="505">
        <f t="shared" si="415"/>
        <v>0</v>
      </c>
      <c r="BA60" s="505">
        <f t="shared" si="415"/>
        <v>0</v>
      </c>
      <c r="BB60" s="505">
        <f t="shared" si="415"/>
        <v>0</v>
      </c>
      <c r="BC60" s="505">
        <f t="shared" si="415"/>
        <v>0</v>
      </c>
      <c r="BD60" s="505">
        <f t="shared" si="415"/>
        <v>0</v>
      </c>
      <c r="BE60" s="505">
        <f t="shared" si="415"/>
        <v>0</v>
      </c>
      <c r="BF60" s="505">
        <f t="shared" si="415"/>
        <v>0</v>
      </c>
      <c r="BG60" s="505">
        <f t="shared" si="415"/>
        <v>0</v>
      </c>
      <c r="BH60" s="505">
        <f t="shared" si="415"/>
        <v>0</v>
      </c>
      <c r="BI60" s="505">
        <f t="shared" si="415"/>
        <v>0</v>
      </c>
      <c r="BJ60" s="505">
        <f t="shared" si="415"/>
        <v>0</v>
      </c>
      <c r="BK60" s="505">
        <f t="shared" si="415"/>
        <v>0</v>
      </c>
      <c r="BL60" s="505">
        <f t="shared" si="415"/>
        <v>0</v>
      </c>
      <c r="BM60" s="505">
        <f t="shared" si="415"/>
        <v>0</v>
      </c>
      <c r="BN60" s="505">
        <f t="shared" si="415"/>
        <v>0</v>
      </c>
      <c r="BO60" s="505">
        <f t="shared" si="415"/>
        <v>0</v>
      </c>
      <c r="BP60" s="505">
        <f t="shared" si="415"/>
        <v>0</v>
      </c>
      <c r="BQ60" s="505">
        <f t="shared" si="415"/>
        <v>0</v>
      </c>
      <c r="BR60" s="505">
        <f t="shared" si="415"/>
        <v>0</v>
      </c>
      <c r="BS60" s="505">
        <f t="shared" si="415"/>
        <v>0</v>
      </c>
      <c r="BT60" s="505">
        <f t="shared" si="415"/>
        <v>0</v>
      </c>
      <c r="BU60" s="505">
        <f t="shared" si="415"/>
        <v>0</v>
      </c>
      <c r="BV60" s="505">
        <f t="shared" ref="BV60:EG60" si="416">-IF(BV$7&gt;=$E60,IF(BV$7&lt;=$F60,$D60/$G60,0),0)</f>
        <v>0</v>
      </c>
      <c r="BW60" s="505">
        <f t="shared" si="416"/>
        <v>0</v>
      </c>
      <c r="BX60" s="505">
        <f t="shared" si="416"/>
        <v>0</v>
      </c>
      <c r="BY60" s="505">
        <f t="shared" si="416"/>
        <v>0</v>
      </c>
      <c r="BZ60" s="505">
        <f t="shared" si="416"/>
        <v>0</v>
      </c>
      <c r="CA60" s="505">
        <f t="shared" si="416"/>
        <v>0</v>
      </c>
      <c r="CB60" s="505">
        <f t="shared" si="416"/>
        <v>0</v>
      </c>
      <c r="CC60" s="505">
        <f t="shared" si="416"/>
        <v>0</v>
      </c>
      <c r="CD60" s="505">
        <f t="shared" si="416"/>
        <v>0</v>
      </c>
      <c r="CE60" s="505">
        <f t="shared" si="416"/>
        <v>0</v>
      </c>
      <c r="CF60" s="505">
        <f t="shared" si="416"/>
        <v>0</v>
      </c>
      <c r="CG60" s="505">
        <f t="shared" si="416"/>
        <v>0</v>
      </c>
      <c r="CH60" s="505">
        <f t="shared" si="416"/>
        <v>0</v>
      </c>
      <c r="CI60" s="505">
        <f t="shared" si="416"/>
        <v>0</v>
      </c>
      <c r="CJ60" s="505">
        <f t="shared" si="416"/>
        <v>0</v>
      </c>
      <c r="CK60" s="505">
        <f t="shared" si="416"/>
        <v>0</v>
      </c>
      <c r="CL60" s="505">
        <f t="shared" si="416"/>
        <v>0</v>
      </c>
      <c r="CM60" s="505">
        <f t="shared" si="416"/>
        <v>0</v>
      </c>
      <c r="CN60" s="505">
        <f t="shared" si="416"/>
        <v>0</v>
      </c>
      <c r="CO60" s="505">
        <f t="shared" si="416"/>
        <v>0</v>
      </c>
      <c r="CP60" s="505">
        <f t="shared" si="416"/>
        <v>0</v>
      </c>
      <c r="CQ60" s="505">
        <f t="shared" si="416"/>
        <v>0</v>
      </c>
      <c r="CR60" s="505">
        <f t="shared" si="416"/>
        <v>0</v>
      </c>
      <c r="CS60" s="505">
        <f t="shared" si="416"/>
        <v>0</v>
      </c>
      <c r="CT60" s="505">
        <f t="shared" si="416"/>
        <v>0</v>
      </c>
      <c r="CU60" s="505">
        <f t="shared" si="416"/>
        <v>0</v>
      </c>
      <c r="CV60" s="505">
        <f t="shared" si="416"/>
        <v>0</v>
      </c>
      <c r="CW60" s="505">
        <f t="shared" si="416"/>
        <v>0</v>
      </c>
      <c r="CX60" s="505">
        <f t="shared" si="416"/>
        <v>0</v>
      </c>
      <c r="CY60" s="505">
        <f t="shared" si="416"/>
        <v>0</v>
      </c>
      <c r="CZ60" s="505">
        <f t="shared" si="416"/>
        <v>0</v>
      </c>
      <c r="DA60" s="505">
        <f t="shared" si="416"/>
        <v>0</v>
      </c>
      <c r="DB60" s="505">
        <f t="shared" si="416"/>
        <v>0</v>
      </c>
      <c r="DC60" s="505">
        <f t="shared" si="416"/>
        <v>0</v>
      </c>
      <c r="DD60" s="505">
        <f t="shared" si="416"/>
        <v>0</v>
      </c>
      <c r="DE60" s="505">
        <f t="shared" si="416"/>
        <v>0</v>
      </c>
      <c r="DF60" s="505">
        <f t="shared" si="416"/>
        <v>0</v>
      </c>
      <c r="DG60" s="505">
        <f t="shared" si="416"/>
        <v>0</v>
      </c>
      <c r="DH60" s="505">
        <f t="shared" si="416"/>
        <v>0</v>
      </c>
      <c r="DI60" s="505">
        <f t="shared" si="416"/>
        <v>0</v>
      </c>
      <c r="DJ60" s="505">
        <f t="shared" si="416"/>
        <v>0</v>
      </c>
      <c r="DK60" s="505">
        <f t="shared" si="416"/>
        <v>0</v>
      </c>
      <c r="DL60" s="505">
        <f t="shared" si="416"/>
        <v>0</v>
      </c>
      <c r="DM60" s="505">
        <f t="shared" si="416"/>
        <v>0</v>
      </c>
      <c r="DN60" s="505">
        <f t="shared" si="416"/>
        <v>0</v>
      </c>
      <c r="DO60" s="505">
        <f t="shared" si="416"/>
        <v>0</v>
      </c>
      <c r="DP60" s="505">
        <f t="shared" si="416"/>
        <v>0</v>
      </c>
      <c r="DQ60" s="505">
        <f t="shared" si="416"/>
        <v>0</v>
      </c>
      <c r="DR60" s="505">
        <f t="shared" si="416"/>
        <v>0</v>
      </c>
      <c r="DS60" s="505">
        <f t="shared" si="416"/>
        <v>0</v>
      </c>
      <c r="DT60" s="505">
        <f t="shared" si="416"/>
        <v>0</v>
      </c>
      <c r="DU60" s="505">
        <f t="shared" si="416"/>
        <v>0</v>
      </c>
      <c r="DV60" s="505">
        <f t="shared" si="416"/>
        <v>0</v>
      </c>
      <c r="DW60" s="505">
        <f t="shared" si="416"/>
        <v>0</v>
      </c>
      <c r="DX60" s="505">
        <f t="shared" si="416"/>
        <v>0</v>
      </c>
      <c r="DY60" s="505">
        <f t="shared" si="416"/>
        <v>0</v>
      </c>
      <c r="DZ60" s="505">
        <f t="shared" si="416"/>
        <v>0</v>
      </c>
      <c r="EA60" s="505">
        <f t="shared" si="416"/>
        <v>0</v>
      </c>
      <c r="EB60" s="505">
        <f t="shared" si="416"/>
        <v>0</v>
      </c>
      <c r="EC60" s="505">
        <f t="shared" si="416"/>
        <v>0</v>
      </c>
      <c r="ED60" s="505">
        <f t="shared" si="416"/>
        <v>0</v>
      </c>
      <c r="EE60" s="505">
        <f t="shared" si="416"/>
        <v>0</v>
      </c>
      <c r="EF60" s="505">
        <f t="shared" si="416"/>
        <v>0</v>
      </c>
      <c r="EG60" s="505">
        <f t="shared" si="416"/>
        <v>0</v>
      </c>
      <c r="EH60" s="505">
        <f t="shared" ref="EH60:GS60" si="417">-IF(EH$7&gt;=$E60,IF(EH$7&lt;=$F60,$D60/$G60,0),0)</f>
        <v>0</v>
      </c>
      <c r="EI60" s="505">
        <f t="shared" si="417"/>
        <v>0</v>
      </c>
      <c r="EJ60" s="505">
        <f t="shared" si="417"/>
        <v>0</v>
      </c>
      <c r="EK60" s="505">
        <f t="shared" si="417"/>
        <v>0</v>
      </c>
      <c r="EL60" s="505">
        <f t="shared" si="417"/>
        <v>0</v>
      </c>
      <c r="EM60" s="505">
        <f t="shared" si="417"/>
        <v>0</v>
      </c>
      <c r="EN60" s="505">
        <f t="shared" si="417"/>
        <v>0</v>
      </c>
      <c r="EO60" s="505">
        <f t="shared" si="417"/>
        <v>0</v>
      </c>
      <c r="EP60" s="505">
        <f t="shared" si="417"/>
        <v>0</v>
      </c>
      <c r="EQ60" s="505">
        <f t="shared" si="417"/>
        <v>0</v>
      </c>
      <c r="ER60" s="505">
        <f t="shared" si="417"/>
        <v>0</v>
      </c>
      <c r="ES60" s="505">
        <f t="shared" si="417"/>
        <v>0</v>
      </c>
      <c r="ET60" s="505">
        <f t="shared" si="417"/>
        <v>0</v>
      </c>
      <c r="EU60" s="505">
        <f t="shared" si="417"/>
        <v>0</v>
      </c>
      <c r="EV60" s="505">
        <f t="shared" si="417"/>
        <v>0</v>
      </c>
      <c r="EW60" s="505">
        <f t="shared" si="417"/>
        <v>0</v>
      </c>
      <c r="EX60" s="505">
        <f t="shared" si="417"/>
        <v>0</v>
      </c>
      <c r="EY60" s="505">
        <f t="shared" si="417"/>
        <v>0</v>
      </c>
      <c r="EZ60" s="505">
        <f t="shared" si="417"/>
        <v>0</v>
      </c>
      <c r="FA60" s="505">
        <f t="shared" si="417"/>
        <v>0</v>
      </c>
      <c r="FB60" s="505">
        <f t="shared" si="417"/>
        <v>0</v>
      </c>
      <c r="FC60" s="505">
        <f t="shared" si="417"/>
        <v>0</v>
      </c>
      <c r="FD60" s="505">
        <f t="shared" si="417"/>
        <v>0</v>
      </c>
      <c r="FE60" s="505">
        <f t="shared" si="417"/>
        <v>0</v>
      </c>
      <c r="FF60" s="505">
        <f t="shared" si="417"/>
        <v>0</v>
      </c>
      <c r="FG60" s="505">
        <f t="shared" si="417"/>
        <v>0</v>
      </c>
      <c r="FH60" s="505">
        <f t="shared" si="417"/>
        <v>0</v>
      </c>
      <c r="FI60" s="505">
        <f t="shared" si="417"/>
        <v>0</v>
      </c>
      <c r="FJ60" s="505">
        <f t="shared" si="417"/>
        <v>0</v>
      </c>
      <c r="FK60" s="505">
        <f t="shared" si="417"/>
        <v>0</v>
      </c>
      <c r="FL60" s="505">
        <f t="shared" si="417"/>
        <v>0</v>
      </c>
      <c r="FM60" s="505">
        <f t="shared" si="417"/>
        <v>0</v>
      </c>
      <c r="FN60" s="505">
        <f t="shared" si="417"/>
        <v>0</v>
      </c>
      <c r="FO60" s="505">
        <f t="shared" si="417"/>
        <v>0</v>
      </c>
      <c r="FP60" s="505">
        <f t="shared" si="417"/>
        <v>0</v>
      </c>
      <c r="FQ60" s="505">
        <f t="shared" si="417"/>
        <v>0</v>
      </c>
      <c r="FR60" s="505">
        <f t="shared" si="417"/>
        <v>0</v>
      </c>
      <c r="FS60" s="505">
        <f t="shared" si="417"/>
        <v>0</v>
      </c>
      <c r="FT60" s="505">
        <f t="shared" si="417"/>
        <v>0</v>
      </c>
      <c r="FU60" s="505">
        <f t="shared" si="417"/>
        <v>0</v>
      </c>
      <c r="FV60" s="505">
        <f t="shared" si="417"/>
        <v>0</v>
      </c>
      <c r="FW60" s="505">
        <f t="shared" si="417"/>
        <v>0</v>
      </c>
      <c r="FX60" s="505">
        <f t="shared" si="417"/>
        <v>0</v>
      </c>
      <c r="FY60" s="505">
        <f t="shared" si="417"/>
        <v>0</v>
      </c>
      <c r="FZ60" s="505">
        <f t="shared" si="417"/>
        <v>0</v>
      </c>
      <c r="GA60" s="505">
        <f t="shared" si="417"/>
        <v>0</v>
      </c>
      <c r="GB60" s="505">
        <f t="shared" si="417"/>
        <v>0</v>
      </c>
      <c r="GC60" s="505">
        <f t="shared" si="417"/>
        <v>0</v>
      </c>
      <c r="GD60" s="505">
        <f t="shared" si="417"/>
        <v>0</v>
      </c>
      <c r="GE60" s="505">
        <f t="shared" si="417"/>
        <v>0</v>
      </c>
      <c r="GF60" s="505">
        <f t="shared" si="417"/>
        <v>0</v>
      </c>
      <c r="GG60" s="505">
        <f t="shared" si="417"/>
        <v>0</v>
      </c>
      <c r="GH60" s="505">
        <f t="shared" si="417"/>
        <v>0</v>
      </c>
      <c r="GI60" s="505">
        <f t="shared" si="417"/>
        <v>0</v>
      </c>
      <c r="GJ60" s="505">
        <f t="shared" si="417"/>
        <v>0</v>
      </c>
      <c r="GK60" s="505">
        <f t="shared" si="417"/>
        <v>0</v>
      </c>
      <c r="GL60" s="505">
        <f t="shared" si="417"/>
        <v>0</v>
      </c>
      <c r="GM60" s="505">
        <f t="shared" si="417"/>
        <v>0</v>
      </c>
      <c r="GN60" s="505">
        <f t="shared" si="417"/>
        <v>0</v>
      </c>
      <c r="GO60" s="505">
        <f t="shared" si="417"/>
        <v>0</v>
      </c>
      <c r="GP60" s="505">
        <f t="shared" si="417"/>
        <v>0</v>
      </c>
      <c r="GQ60" s="505">
        <f t="shared" si="417"/>
        <v>0</v>
      </c>
      <c r="GR60" s="505">
        <f t="shared" si="417"/>
        <v>0</v>
      </c>
      <c r="GS60" s="505">
        <f t="shared" si="417"/>
        <v>0</v>
      </c>
      <c r="GT60" s="505">
        <f t="shared" ref="GT60:JE60" si="418">-IF(GT$7&gt;=$E60,IF(GT$7&lt;=$F60,$D60/$G60,0),0)</f>
        <v>0</v>
      </c>
      <c r="GU60" s="505">
        <f t="shared" si="418"/>
        <v>0</v>
      </c>
      <c r="GV60" s="505">
        <f t="shared" si="418"/>
        <v>0</v>
      </c>
      <c r="GW60" s="505">
        <f t="shared" si="418"/>
        <v>0</v>
      </c>
      <c r="GX60" s="505">
        <f t="shared" si="418"/>
        <v>0</v>
      </c>
      <c r="GY60" s="505">
        <f t="shared" si="418"/>
        <v>0</v>
      </c>
      <c r="GZ60" s="505">
        <f t="shared" si="418"/>
        <v>0</v>
      </c>
      <c r="HA60" s="505">
        <f t="shared" si="418"/>
        <v>0</v>
      </c>
      <c r="HB60" s="505">
        <f t="shared" si="418"/>
        <v>0</v>
      </c>
      <c r="HC60" s="505">
        <f t="shared" si="418"/>
        <v>0</v>
      </c>
      <c r="HD60" s="505">
        <f t="shared" si="418"/>
        <v>0</v>
      </c>
      <c r="HE60" s="505">
        <f t="shared" si="418"/>
        <v>0</v>
      </c>
      <c r="HF60" s="505">
        <f t="shared" si="418"/>
        <v>0</v>
      </c>
      <c r="HG60" s="505">
        <f t="shared" si="418"/>
        <v>0</v>
      </c>
      <c r="HH60" s="505">
        <f t="shared" si="418"/>
        <v>0</v>
      </c>
      <c r="HI60" s="505">
        <f t="shared" si="418"/>
        <v>0</v>
      </c>
      <c r="HJ60" s="505">
        <f t="shared" si="418"/>
        <v>0</v>
      </c>
      <c r="HK60" s="505">
        <f t="shared" si="418"/>
        <v>0</v>
      </c>
      <c r="HL60" s="505">
        <f t="shared" si="418"/>
        <v>0</v>
      </c>
      <c r="HM60" s="505">
        <f t="shared" si="418"/>
        <v>0</v>
      </c>
      <c r="HN60" s="505">
        <f t="shared" si="418"/>
        <v>0</v>
      </c>
      <c r="HO60" s="505">
        <f t="shared" si="418"/>
        <v>0</v>
      </c>
      <c r="HP60" s="505">
        <f t="shared" si="418"/>
        <v>0</v>
      </c>
      <c r="HQ60" s="505">
        <f t="shared" si="418"/>
        <v>0</v>
      </c>
      <c r="HR60" s="505">
        <f t="shared" si="418"/>
        <v>0</v>
      </c>
      <c r="HS60" s="505">
        <f t="shared" si="418"/>
        <v>0</v>
      </c>
      <c r="HT60" s="505">
        <f t="shared" si="418"/>
        <v>0</v>
      </c>
      <c r="HU60" s="505">
        <f t="shared" si="418"/>
        <v>0</v>
      </c>
      <c r="HV60" s="505">
        <f t="shared" si="418"/>
        <v>0</v>
      </c>
      <c r="HW60" s="505">
        <f t="shared" si="418"/>
        <v>0</v>
      </c>
      <c r="HX60" s="505">
        <f t="shared" si="418"/>
        <v>0</v>
      </c>
      <c r="HY60" s="505">
        <f t="shared" si="418"/>
        <v>0</v>
      </c>
      <c r="HZ60" s="505">
        <f t="shared" si="418"/>
        <v>0</v>
      </c>
      <c r="IA60" s="505">
        <f t="shared" si="418"/>
        <v>0</v>
      </c>
      <c r="IB60" s="505">
        <f t="shared" si="418"/>
        <v>0</v>
      </c>
      <c r="IC60" s="505">
        <f t="shared" si="418"/>
        <v>0</v>
      </c>
      <c r="ID60" s="505">
        <f t="shared" si="418"/>
        <v>0</v>
      </c>
      <c r="IE60" s="505">
        <f t="shared" si="418"/>
        <v>0</v>
      </c>
      <c r="IF60" s="505">
        <f t="shared" si="418"/>
        <v>0</v>
      </c>
      <c r="IG60" s="505">
        <f t="shared" si="418"/>
        <v>0</v>
      </c>
      <c r="IH60" s="505">
        <f t="shared" si="418"/>
        <v>0</v>
      </c>
      <c r="II60" s="505">
        <f t="shared" si="418"/>
        <v>0</v>
      </c>
      <c r="IJ60" s="505">
        <f t="shared" si="418"/>
        <v>0</v>
      </c>
      <c r="IK60" s="505">
        <f t="shared" si="418"/>
        <v>0</v>
      </c>
      <c r="IL60" s="505">
        <f t="shared" si="418"/>
        <v>0</v>
      </c>
      <c r="IM60" s="505">
        <f t="shared" si="418"/>
        <v>0</v>
      </c>
      <c r="IN60" s="505">
        <f t="shared" si="418"/>
        <v>0</v>
      </c>
      <c r="IO60" s="505">
        <f t="shared" si="418"/>
        <v>0</v>
      </c>
      <c r="IP60" s="505">
        <f t="shared" si="418"/>
        <v>0</v>
      </c>
      <c r="IQ60" s="505">
        <f t="shared" si="418"/>
        <v>0</v>
      </c>
      <c r="IR60" s="505">
        <f t="shared" si="418"/>
        <v>0</v>
      </c>
      <c r="IS60" s="505">
        <f t="shared" si="418"/>
        <v>0</v>
      </c>
      <c r="IT60" s="505">
        <f t="shared" si="418"/>
        <v>0</v>
      </c>
      <c r="IU60" s="505">
        <f t="shared" si="418"/>
        <v>0</v>
      </c>
      <c r="IV60" s="505">
        <f t="shared" si="418"/>
        <v>0</v>
      </c>
      <c r="IW60" s="505">
        <f t="shared" si="418"/>
        <v>0</v>
      </c>
      <c r="IX60" s="505">
        <f t="shared" si="418"/>
        <v>0</v>
      </c>
      <c r="IY60" s="505">
        <f t="shared" si="418"/>
        <v>0</v>
      </c>
      <c r="IZ60" s="505">
        <f t="shared" si="418"/>
        <v>0</v>
      </c>
      <c r="JA60" s="505">
        <f t="shared" si="418"/>
        <v>0</v>
      </c>
      <c r="JB60" s="505">
        <f t="shared" si="418"/>
        <v>0</v>
      </c>
      <c r="JC60" s="505">
        <f t="shared" si="418"/>
        <v>0</v>
      </c>
      <c r="JD60" s="505">
        <f t="shared" si="418"/>
        <v>0</v>
      </c>
      <c r="JE60" s="505">
        <f t="shared" si="418"/>
        <v>0</v>
      </c>
      <c r="JF60" s="505">
        <f t="shared" ref="JF60:LQ60" si="419">-IF(JF$7&gt;=$E60,IF(JF$7&lt;=$F60,$D60/$G60,0),0)</f>
        <v>0</v>
      </c>
      <c r="JG60" s="505">
        <f t="shared" si="419"/>
        <v>0</v>
      </c>
      <c r="JH60" s="505">
        <f t="shared" si="419"/>
        <v>0</v>
      </c>
      <c r="JI60" s="505">
        <f t="shared" si="419"/>
        <v>0</v>
      </c>
      <c r="JJ60" s="505">
        <f t="shared" si="419"/>
        <v>0</v>
      </c>
      <c r="JK60" s="505">
        <f t="shared" si="419"/>
        <v>0</v>
      </c>
      <c r="JL60" s="505">
        <f t="shared" si="419"/>
        <v>0</v>
      </c>
      <c r="JM60" s="505">
        <f t="shared" si="419"/>
        <v>0</v>
      </c>
      <c r="JN60" s="505">
        <f t="shared" si="419"/>
        <v>0</v>
      </c>
      <c r="JO60" s="505">
        <f t="shared" si="419"/>
        <v>0</v>
      </c>
      <c r="JP60" s="505">
        <f t="shared" si="419"/>
        <v>0</v>
      </c>
      <c r="JQ60" s="505">
        <f t="shared" si="419"/>
        <v>0</v>
      </c>
      <c r="JR60" s="505">
        <f t="shared" si="419"/>
        <v>0</v>
      </c>
      <c r="JS60" s="505">
        <f t="shared" si="419"/>
        <v>0</v>
      </c>
      <c r="JT60" s="505">
        <f t="shared" si="419"/>
        <v>0</v>
      </c>
      <c r="JU60" s="505">
        <f t="shared" si="419"/>
        <v>0</v>
      </c>
      <c r="JV60" s="505">
        <f t="shared" si="419"/>
        <v>0</v>
      </c>
      <c r="JW60" s="505">
        <f t="shared" si="419"/>
        <v>0</v>
      </c>
      <c r="JX60" s="505">
        <f t="shared" si="419"/>
        <v>0</v>
      </c>
      <c r="JY60" s="505">
        <f t="shared" si="419"/>
        <v>0</v>
      </c>
      <c r="JZ60" s="505">
        <f t="shared" si="419"/>
        <v>0</v>
      </c>
      <c r="KA60" s="505">
        <f t="shared" si="419"/>
        <v>0</v>
      </c>
      <c r="KB60" s="505">
        <f t="shared" si="419"/>
        <v>0</v>
      </c>
      <c r="KC60" s="505">
        <f t="shared" si="419"/>
        <v>0</v>
      </c>
      <c r="KD60" s="505">
        <f t="shared" si="419"/>
        <v>0</v>
      </c>
      <c r="KE60" s="505">
        <f t="shared" si="419"/>
        <v>0</v>
      </c>
      <c r="KF60" s="505">
        <f t="shared" si="419"/>
        <v>0</v>
      </c>
      <c r="KG60" s="505">
        <f t="shared" si="419"/>
        <v>0</v>
      </c>
      <c r="KH60" s="505">
        <f t="shared" si="419"/>
        <v>0</v>
      </c>
      <c r="KI60" s="505">
        <f t="shared" si="419"/>
        <v>0</v>
      </c>
      <c r="KJ60" s="505">
        <f t="shared" si="419"/>
        <v>0</v>
      </c>
      <c r="KK60" s="505">
        <f t="shared" si="419"/>
        <v>0</v>
      </c>
      <c r="KL60" s="505">
        <f t="shared" si="419"/>
        <v>0</v>
      </c>
      <c r="KM60" s="505">
        <f t="shared" si="419"/>
        <v>0</v>
      </c>
      <c r="KN60" s="505">
        <f t="shared" si="419"/>
        <v>0</v>
      </c>
      <c r="KO60" s="505">
        <f t="shared" si="419"/>
        <v>0</v>
      </c>
      <c r="KP60" s="505">
        <f t="shared" si="419"/>
        <v>0</v>
      </c>
      <c r="KQ60" s="505">
        <f t="shared" si="419"/>
        <v>0</v>
      </c>
      <c r="KR60" s="505">
        <f t="shared" si="419"/>
        <v>0</v>
      </c>
      <c r="KS60" s="505">
        <f t="shared" si="419"/>
        <v>0</v>
      </c>
      <c r="KT60" s="505">
        <f t="shared" si="419"/>
        <v>0</v>
      </c>
      <c r="KU60" s="505">
        <f t="shared" si="419"/>
        <v>0</v>
      </c>
      <c r="KV60" s="505">
        <f t="shared" si="419"/>
        <v>0</v>
      </c>
      <c r="KW60" s="505">
        <f t="shared" si="419"/>
        <v>0</v>
      </c>
      <c r="KX60" s="505">
        <f t="shared" si="419"/>
        <v>0</v>
      </c>
      <c r="KY60" s="505">
        <f t="shared" si="419"/>
        <v>0</v>
      </c>
      <c r="KZ60" s="505">
        <f t="shared" si="419"/>
        <v>0</v>
      </c>
      <c r="LA60" s="505">
        <f t="shared" si="419"/>
        <v>0</v>
      </c>
      <c r="LB60" s="505">
        <f t="shared" si="419"/>
        <v>0</v>
      </c>
      <c r="LC60" s="505">
        <f t="shared" si="419"/>
        <v>0</v>
      </c>
      <c r="LD60" s="505">
        <f t="shared" si="419"/>
        <v>0</v>
      </c>
      <c r="LE60" s="505">
        <f t="shared" si="419"/>
        <v>0</v>
      </c>
      <c r="LF60" s="505">
        <f t="shared" si="419"/>
        <v>0</v>
      </c>
      <c r="LG60" s="505">
        <f t="shared" si="419"/>
        <v>0</v>
      </c>
      <c r="LH60" s="505">
        <f t="shared" si="419"/>
        <v>0</v>
      </c>
      <c r="LI60" s="505">
        <f t="shared" si="419"/>
        <v>0</v>
      </c>
      <c r="LJ60" s="505">
        <f t="shared" si="419"/>
        <v>0</v>
      </c>
      <c r="LK60" s="505">
        <f t="shared" si="419"/>
        <v>0</v>
      </c>
      <c r="LL60" s="505">
        <f t="shared" si="419"/>
        <v>0</v>
      </c>
      <c r="LM60" s="505">
        <f t="shared" si="419"/>
        <v>0</v>
      </c>
      <c r="LN60" s="505">
        <f t="shared" si="419"/>
        <v>0</v>
      </c>
      <c r="LO60" s="505">
        <f t="shared" si="419"/>
        <v>0</v>
      </c>
      <c r="LP60" s="505">
        <f t="shared" si="419"/>
        <v>0</v>
      </c>
      <c r="LQ60" s="505">
        <f t="shared" si="419"/>
        <v>0</v>
      </c>
      <c r="LR60" s="505">
        <f t="shared" ref="LR60:OC60" si="420">-IF(LR$7&gt;=$E60,IF(LR$7&lt;=$F60,$D60/$G60,0),0)</f>
        <v>0</v>
      </c>
      <c r="LS60" s="505">
        <f t="shared" si="420"/>
        <v>0</v>
      </c>
      <c r="LT60" s="505">
        <f t="shared" si="420"/>
        <v>0</v>
      </c>
      <c r="LU60" s="505">
        <f t="shared" si="420"/>
        <v>0</v>
      </c>
      <c r="LV60" s="505">
        <f t="shared" si="420"/>
        <v>0</v>
      </c>
      <c r="LW60" s="505">
        <f t="shared" si="420"/>
        <v>0</v>
      </c>
      <c r="LX60" s="505">
        <f t="shared" si="420"/>
        <v>0</v>
      </c>
      <c r="LY60" s="505">
        <f t="shared" si="420"/>
        <v>0</v>
      </c>
      <c r="LZ60" s="505">
        <f t="shared" si="420"/>
        <v>0</v>
      </c>
      <c r="MA60" s="505">
        <f t="shared" si="420"/>
        <v>0</v>
      </c>
      <c r="MB60" s="505">
        <f t="shared" si="420"/>
        <v>0</v>
      </c>
      <c r="MC60" s="505">
        <f t="shared" si="420"/>
        <v>0</v>
      </c>
      <c r="MD60" s="505">
        <f t="shared" si="420"/>
        <v>0</v>
      </c>
      <c r="ME60" s="505">
        <f t="shared" si="420"/>
        <v>0</v>
      </c>
      <c r="MF60" s="505">
        <f t="shared" si="420"/>
        <v>0</v>
      </c>
      <c r="MG60" s="505">
        <f t="shared" si="420"/>
        <v>0</v>
      </c>
      <c r="MH60" s="505">
        <f t="shared" si="420"/>
        <v>0</v>
      </c>
      <c r="MI60" s="505">
        <f t="shared" si="420"/>
        <v>0</v>
      </c>
      <c r="MJ60" s="505">
        <f t="shared" si="420"/>
        <v>0</v>
      </c>
      <c r="MK60" s="505">
        <f t="shared" si="420"/>
        <v>0</v>
      </c>
      <c r="ML60" s="505">
        <f t="shared" si="420"/>
        <v>0</v>
      </c>
      <c r="MM60" s="505">
        <f t="shared" si="420"/>
        <v>0</v>
      </c>
      <c r="MN60" s="505">
        <f t="shared" si="420"/>
        <v>0</v>
      </c>
      <c r="MO60" s="505">
        <f t="shared" si="420"/>
        <v>0</v>
      </c>
      <c r="MP60" s="505">
        <f t="shared" si="420"/>
        <v>0</v>
      </c>
      <c r="MQ60" s="505">
        <f t="shared" si="420"/>
        <v>0</v>
      </c>
      <c r="MR60" s="505">
        <f t="shared" si="420"/>
        <v>0</v>
      </c>
      <c r="MS60" s="505">
        <f t="shared" si="420"/>
        <v>0</v>
      </c>
      <c r="MT60" s="505">
        <f t="shared" si="420"/>
        <v>0</v>
      </c>
      <c r="MU60" s="505">
        <f t="shared" si="420"/>
        <v>0</v>
      </c>
      <c r="MV60" s="505">
        <f t="shared" si="420"/>
        <v>0</v>
      </c>
      <c r="MW60" s="505">
        <f t="shared" si="420"/>
        <v>0</v>
      </c>
      <c r="MX60" s="505">
        <f t="shared" si="420"/>
        <v>0</v>
      </c>
      <c r="MY60" s="505">
        <f t="shared" si="420"/>
        <v>0</v>
      </c>
      <c r="MZ60" s="505">
        <f t="shared" si="420"/>
        <v>0</v>
      </c>
      <c r="NA60" s="505">
        <f t="shared" si="420"/>
        <v>0</v>
      </c>
      <c r="NB60" s="505">
        <f t="shared" si="420"/>
        <v>0</v>
      </c>
      <c r="NC60" s="505">
        <f t="shared" si="420"/>
        <v>0</v>
      </c>
      <c r="ND60" s="505">
        <f t="shared" si="420"/>
        <v>0</v>
      </c>
      <c r="NE60" s="505">
        <f t="shared" si="420"/>
        <v>0</v>
      </c>
      <c r="NF60" s="505">
        <f t="shared" si="420"/>
        <v>0</v>
      </c>
      <c r="NG60" s="505">
        <f t="shared" si="420"/>
        <v>0</v>
      </c>
      <c r="NH60" s="505">
        <f t="shared" si="420"/>
        <v>0</v>
      </c>
      <c r="NI60" s="505">
        <f t="shared" si="420"/>
        <v>0</v>
      </c>
      <c r="NJ60" s="505">
        <f t="shared" si="420"/>
        <v>0</v>
      </c>
      <c r="NK60" s="505">
        <f t="shared" si="420"/>
        <v>0</v>
      </c>
      <c r="NL60" s="505">
        <f t="shared" si="420"/>
        <v>0</v>
      </c>
      <c r="NM60" s="505">
        <f t="shared" si="420"/>
        <v>0</v>
      </c>
      <c r="NN60" s="505">
        <f t="shared" si="420"/>
        <v>0</v>
      </c>
      <c r="NO60" s="505">
        <f t="shared" si="420"/>
        <v>0</v>
      </c>
      <c r="NP60" s="505">
        <f t="shared" si="420"/>
        <v>0</v>
      </c>
      <c r="NQ60" s="505">
        <f t="shared" si="420"/>
        <v>0</v>
      </c>
      <c r="NR60" s="505">
        <f t="shared" si="420"/>
        <v>0</v>
      </c>
      <c r="NS60" s="505">
        <f t="shared" si="420"/>
        <v>0</v>
      </c>
      <c r="NT60" s="505">
        <f t="shared" si="420"/>
        <v>0</v>
      </c>
      <c r="NU60" s="505">
        <f t="shared" si="420"/>
        <v>0</v>
      </c>
      <c r="NV60" s="505">
        <f t="shared" si="420"/>
        <v>0</v>
      </c>
      <c r="NW60" s="505">
        <f t="shared" si="420"/>
        <v>0</v>
      </c>
      <c r="NX60" s="505">
        <f t="shared" si="420"/>
        <v>0</v>
      </c>
      <c r="NY60" s="505">
        <f t="shared" si="420"/>
        <v>0</v>
      </c>
      <c r="NZ60" s="505">
        <f t="shared" si="420"/>
        <v>0</v>
      </c>
      <c r="OA60" s="505">
        <f t="shared" si="420"/>
        <v>0</v>
      </c>
      <c r="OB60" s="505">
        <f t="shared" si="420"/>
        <v>0</v>
      </c>
      <c r="OC60" s="505">
        <f t="shared" si="420"/>
        <v>0</v>
      </c>
      <c r="OD60" s="505">
        <f t="shared" ref="OD60:OO60" si="421">-IF(OD$7&gt;=$E60,IF(OD$7&lt;=$F60,$D60/$G60,0),0)</f>
        <v>0</v>
      </c>
      <c r="OE60" s="505">
        <f t="shared" si="421"/>
        <v>0</v>
      </c>
      <c r="OF60" s="505">
        <f t="shared" si="421"/>
        <v>0</v>
      </c>
      <c r="OG60" s="505">
        <f t="shared" si="421"/>
        <v>0</v>
      </c>
      <c r="OH60" s="505">
        <f t="shared" si="421"/>
        <v>0</v>
      </c>
      <c r="OI60" s="505">
        <f t="shared" si="421"/>
        <v>0</v>
      </c>
      <c r="OJ60" s="505">
        <f t="shared" si="421"/>
        <v>0</v>
      </c>
      <c r="OK60" s="505">
        <f t="shared" si="421"/>
        <v>0</v>
      </c>
      <c r="OL60" s="505">
        <f t="shared" si="421"/>
        <v>0</v>
      </c>
      <c r="OM60" s="505">
        <f t="shared" si="421"/>
        <v>0</v>
      </c>
      <c r="ON60" s="505">
        <f t="shared" si="421"/>
        <v>0</v>
      </c>
      <c r="OO60" s="505">
        <f t="shared" si="421"/>
        <v>0</v>
      </c>
    </row>
    <row r="61" spans="2:405"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</row>
    <row r="62" spans="2:405" ht="14.25" thickBot="1">
      <c r="B62" s="515" t="s">
        <v>429</v>
      </c>
      <c r="C62" s="515"/>
      <c r="D62" s="519"/>
      <c r="E62" s="519"/>
      <c r="F62" s="519"/>
      <c r="G62" s="745"/>
      <c r="H62" s="519"/>
      <c r="I62" s="520">
        <f>SUM(J62:OO62)</f>
        <v>-279782338.24671686</v>
      </c>
      <c r="J62" s="520">
        <f>SUM(J58,J14,J50,J60)</f>
        <v>-3315316.5587902665</v>
      </c>
      <c r="K62" s="520">
        <f t="shared" ref="K62:BV62" si="422">SUM(K58,K14,K50,K60)</f>
        <v>-3315315.5587902665</v>
      </c>
      <c r="L62" s="520">
        <f t="shared" si="422"/>
        <v>-3315315.5587902665</v>
      </c>
      <c r="M62" s="520">
        <f t="shared" si="422"/>
        <v>-3315315.5587902665</v>
      </c>
      <c r="N62" s="520">
        <f t="shared" si="422"/>
        <v>-3315315.5587902665</v>
      </c>
      <c r="O62" s="520">
        <f t="shared" si="422"/>
        <v>-3315315.5587902665</v>
      </c>
      <c r="P62" s="520">
        <f t="shared" si="422"/>
        <v>-10316954.838074826</v>
      </c>
      <c r="Q62" s="520">
        <f t="shared" si="422"/>
        <v>-10316954.838074826</v>
      </c>
      <c r="R62" s="520">
        <f t="shared" si="422"/>
        <v>-10316954.838074826</v>
      </c>
      <c r="S62" s="520">
        <f t="shared" si="422"/>
        <v>-10316954.838074826</v>
      </c>
      <c r="T62" s="520">
        <f t="shared" si="422"/>
        <v>-10316954.838074826</v>
      </c>
      <c r="U62" s="520">
        <f t="shared" si="422"/>
        <v>-10316954.838074826</v>
      </c>
      <c r="V62" s="520">
        <f t="shared" si="422"/>
        <v>-10316954.838074826</v>
      </c>
      <c r="W62" s="520">
        <f t="shared" si="422"/>
        <v>-10316954.838074826</v>
      </c>
      <c r="X62" s="520">
        <f t="shared" si="422"/>
        <v>-10316954.838074826</v>
      </c>
      <c r="Y62" s="520">
        <f t="shared" si="422"/>
        <v>-10316954.838074826</v>
      </c>
      <c r="Z62" s="520">
        <f t="shared" si="422"/>
        <v>-10316954.838074826</v>
      </c>
      <c r="AA62" s="520">
        <f t="shared" si="422"/>
        <v>-10316954.838074826</v>
      </c>
      <c r="AB62" s="520">
        <f t="shared" si="422"/>
        <v>-10316954.838074826</v>
      </c>
      <c r="AC62" s="520">
        <f t="shared" si="422"/>
        <v>-10316954.838074826</v>
      </c>
      <c r="AD62" s="520">
        <f t="shared" si="422"/>
        <v>-10316954.838074826</v>
      </c>
      <c r="AE62" s="520">
        <f t="shared" si="422"/>
        <v>-10316954.838074826</v>
      </c>
      <c r="AF62" s="520">
        <f t="shared" si="422"/>
        <v>-10316954.838074826</v>
      </c>
      <c r="AG62" s="520">
        <f t="shared" si="422"/>
        <v>-10316954.838074826</v>
      </c>
      <c r="AH62" s="520">
        <f t="shared" si="422"/>
        <v>-10316954.838074826</v>
      </c>
      <c r="AI62" s="520">
        <f t="shared" si="422"/>
        <v>-10316954.838074826</v>
      </c>
      <c r="AJ62" s="520">
        <f t="shared" si="422"/>
        <v>-10316954.838074826</v>
      </c>
      <c r="AK62" s="520">
        <f t="shared" si="422"/>
        <v>-10316954.838074826</v>
      </c>
      <c r="AL62" s="520">
        <f t="shared" si="422"/>
        <v>-10316954.838074826</v>
      </c>
      <c r="AM62" s="520">
        <f t="shared" si="422"/>
        <v>-10316954.838074826</v>
      </c>
      <c r="AN62" s="520">
        <f t="shared" si="422"/>
        <v>-1722271.5047414936</v>
      </c>
      <c r="AO62" s="520">
        <f t="shared" si="422"/>
        <v>-1722271.5047414936</v>
      </c>
      <c r="AP62" s="520">
        <f t="shared" si="422"/>
        <v>-1722271.5047414936</v>
      </c>
      <c r="AQ62" s="520">
        <f t="shared" si="422"/>
        <v>-1722271.5047414936</v>
      </c>
      <c r="AR62" s="520">
        <f t="shared" si="422"/>
        <v>-1722271.5047414936</v>
      </c>
      <c r="AS62" s="520">
        <f t="shared" si="422"/>
        <v>-3672170.2564718043</v>
      </c>
      <c r="AT62" s="520">
        <f t="shared" si="422"/>
        <v>0</v>
      </c>
      <c r="AU62" s="520">
        <f t="shared" si="422"/>
        <v>0</v>
      </c>
      <c r="AV62" s="520">
        <f t="shared" si="422"/>
        <v>0</v>
      </c>
      <c r="AW62" s="520">
        <f t="shared" si="422"/>
        <v>0</v>
      </c>
      <c r="AX62" s="520">
        <f t="shared" si="422"/>
        <v>0</v>
      </c>
      <c r="AY62" s="520">
        <f t="shared" si="422"/>
        <v>0</v>
      </c>
      <c r="AZ62" s="520">
        <f t="shared" si="422"/>
        <v>0</v>
      </c>
      <c r="BA62" s="520">
        <f t="shared" si="422"/>
        <v>0</v>
      </c>
      <c r="BB62" s="520">
        <f t="shared" si="422"/>
        <v>0</v>
      </c>
      <c r="BC62" s="520">
        <f t="shared" si="422"/>
        <v>0</v>
      </c>
      <c r="BD62" s="520">
        <f t="shared" si="422"/>
        <v>0</v>
      </c>
      <c r="BE62" s="520">
        <f t="shared" si="422"/>
        <v>0</v>
      </c>
      <c r="BF62" s="520">
        <f t="shared" si="422"/>
        <v>0</v>
      </c>
      <c r="BG62" s="520">
        <f t="shared" si="422"/>
        <v>0</v>
      </c>
      <c r="BH62" s="520">
        <f t="shared" si="422"/>
        <v>0</v>
      </c>
      <c r="BI62" s="520">
        <f t="shared" si="422"/>
        <v>0</v>
      </c>
      <c r="BJ62" s="520">
        <f t="shared" si="422"/>
        <v>0</v>
      </c>
      <c r="BK62" s="520">
        <f t="shared" si="422"/>
        <v>0</v>
      </c>
      <c r="BL62" s="520">
        <f t="shared" si="422"/>
        <v>0</v>
      </c>
      <c r="BM62" s="520">
        <f t="shared" si="422"/>
        <v>0</v>
      </c>
      <c r="BN62" s="520">
        <f t="shared" si="422"/>
        <v>0</v>
      </c>
      <c r="BO62" s="520">
        <f t="shared" si="422"/>
        <v>0</v>
      </c>
      <c r="BP62" s="520">
        <f t="shared" si="422"/>
        <v>0</v>
      </c>
      <c r="BQ62" s="520">
        <f t="shared" si="422"/>
        <v>0</v>
      </c>
      <c r="BR62" s="520">
        <f t="shared" si="422"/>
        <v>0</v>
      </c>
      <c r="BS62" s="520">
        <f t="shared" si="422"/>
        <v>0</v>
      </c>
      <c r="BT62" s="520">
        <f t="shared" si="422"/>
        <v>0</v>
      </c>
      <c r="BU62" s="520">
        <f t="shared" si="422"/>
        <v>0</v>
      </c>
      <c r="BV62" s="520">
        <f t="shared" si="422"/>
        <v>0</v>
      </c>
      <c r="BW62" s="520">
        <f t="shared" ref="BW62:EH62" si="423">SUM(BW58,BW14,BW50,BW60)</f>
        <v>0</v>
      </c>
      <c r="BX62" s="520">
        <f t="shared" si="423"/>
        <v>0</v>
      </c>
      <c r="BY62" s="520">
        <f t="shared" si="423"/>
        <v>0</v>
      </c>
      <c r="BZ62" s="520">
        <f t="shared" si="423"/>
        <v>0</v>
      </c>
      <c r="CA62" s="520">
        <f t="shared" si="423"/>
        <v>0</v>
      </c>
      <c r="CB62" s="520">
        <f t="shared" si="423"/>
        <v>0</v>
      </c>
      <c r="CC62" s="520">
        <f t="shared" si="423"/>
        <v>0</v>
      </c>
      <c r="CD62" s="520">
        <f t="shared" si="423"/>
        <v>0</v>
      </c>
      <c r="CE62" s="520">
        <f t="shared" si="423"/>
        <v>0</v>
      </c>
      <c r="CF62" s="520">
        <f t="shared" si="423"/>
        <v>0</v>
      </c>
      <c r="CG62" s="520">
        <f t="shared" si="423"/>
        <v>0</v>
      </c>
      <c r="CH62" s="520">
        <f t="shared" si="423"/>
        <v>0</v>
      </c>
      <c r="CI62" s="520">
        <f t="shared" si="423"/>
        <v>0</v>
      </c>
      <c r="CJ62" s="520">
        <f t="shared" si="423"/>
        <v>0</v>
      </c>
      <c r="CK62" s="520">
        <f t="shared" si="423"/>
        <v>0</v>
      </c>
      <c r="CL62" s="520">
        <f t="shared" si="423"/>
        <v>0</v>
      </c>
      <c r="CM62" s="520">
        <f t="shared" si="423"/>
        <v>0</v>
      </c>
      <c r="CN62" s="520">
        <f t="shared" si="423"/>
        <v>0</v>
      </c>
      <c r="CO62" s="520">
        <f t="shared" si="423"/>
        <v>0</v>
      </c>
      <c r="CP62" s="520">
        <f t="shared" si="423"/>
        <v>0</v>
      </c>
      <c r="CQ62" s="520">
        <f t="shared" si="423"/>
        <v>0</v>
      </c>
      <c r="CR62" s="520">
        <f t="shared" si="423"/>
        <v>0</v>
      </c>
      <c r="CS62" s="520">
        <f t="shared" si="423"/>
        <v>0</v>
      </c>
      <c r="CT62" s="520">
        <f t="shared" si="423"/>
        <v>0</v>
      </c>
      <c r="CU62" s="520">
        <f t="shared" si="423"/>
        <v>0</v>
      </c>
      <c r="CV62" s="520">
        <f t="shared" si="423"/>
        <v>0</v>
      </c>
      <c r="CW62" s="520">
        <f t="shared" si="423"/>
        <v>0</v>
      </c>
      <c r="CX62" s="520">
        <f t="shared" si="423"/>
        <v>0</v>
      </c>
      <c r="CY62" s="520">
        <f t="shared" si="423"/>
        <v>0</v>
      </c>
      <c r="CZ62" s="520">
        <f t="shared" si="423"/>
        <v>0</v>
      </c>
      <c r="DA62" s="520">
        <f t="shared" si="423"/>
        <v>0</v>
      </c>
      <c r="DB62" s="520">
        <f t="shared" si="423"/>
        <v>0</v>
      </c>
      <c r="DC62" s="520">
        <f t="shared" si="423"/>
        <v>0</v>
      </c>
      <c r="DD62" s="520">
        <f t="shared" si="423"/>
        <v>0</v>
      </c>
      <c r="DE62" s="520">
        <f t="shared" si="423"/>
        <v>0</v>
      </c>
      <c r="DF62" s="520">
        <f t="shared" si="423"/>
        <v>0</v>
      </c>
      <c r="DG62" s="520">
        <f t="shared" si="423"/>
        <v>0</v>
      </c>
      <c r="DH62" s="520">
        <f t="shared" si="423"/>
        <v>0</v>
      </c>
      <c r="DI62" s="520">
        <f t="shared" si="423"/>
        <v>0</v>
      </c>
      <c r="DJ62" s="520">
        <f t="shared" si="423"/>
        <v>0</v>
      </c>
      <c r="DK62" s="520">
        <f t="shared" si="423"/>
        <v>0</v>
      </c>
      <c r="DL62" s="520">
        <f t="shared" si="423"/>
        <v>0</v>
      </c>
      <c r="DM62" s="520">
        <f t="shared" si="423"/>
        <v>0</v>
      </c>
      <c r="DN62" s="520">
        <f t="shared" si="423"/>
        <v>0</v>
      </c>
      <c r="DO62" s="520">
        <f t="shared" si="423"/>
        <v>0</v>
      </c>
      <c r="DP62" s="520">
        <f t="shared" si="423"/>
        <v>0</v>
      </c>
      <c r="DQ62" s="520">
        <f t="shared" si="423"/>
        <v>0</v>
      </c>
      <c r="DR62" s="520">
        <f t="shared" si="423"/>
        <v>0</v>
      </c>
      <c r="DS62" s="520">
        <f t="shared" si="423"/>
        <v>0</v>
      </c>
      <c r="DT62" s="520">
        <f t="shared" si="423"/>
        <v>0</v>
      </c>
      <c r="DU62" s="520">
        <f t="shared" si="423"/>
        <v>0</v>
      </c>
      <c r="DV62" s="520">
        <f t="shared" si="423"/>
        <v>0</v>
      </c>
      <c r="DW62" s="520">
        <f t="shared" si="423"/>
        <v>0</v>
      </c>
      <c r="DX62" s="520">
        <f t="shared" si="423"/>
        <v>0</v>
      </c>
      <c r="DY62" s="520">
        <f t="shared" si="423"/>
        <v>0</v>
      </c>
      <c r="DZ62" s="520">
        <f t="shared" si="423"/>
        <v>0</v>
      </c>
      <c r="EA62" s="520">
        <f t="shared" si="423"/>
        <v>0</v>
      </c>
      <c r="EB62" s="520">
        <f t="shared" si="423"/>
        <v>0</v>
      </c>
      <c r="EC62" s="520">
        <f t="shared" si="423"/>
        <v>0</v>
      </c>
      <c r="ED62" s="520">
        <f t="shared" si="423"/>
        <v>0</v>
      </c>
      <c r="EE62" s="520">
        <f t="shared" si="423"/>
        <v>0</v>
      </c>
      <c r="EF62" s="520">
        <f t="shared" si="423"/>
        <v>0</v>
      </c>
      <c r="EG62" s="520">
        <f t="shared" si="423"/>
        <v>0</v>
      </c>
      <c r="EH62" s="520">
        <f t="shared" si="423"/>
        <v>0</v>
      </c>
      <c r="EI62" s="520">
        <f t="shared" ref="EI62:GT62" si="424">SUM(EI58,EI14,EI50,EI60)</f>
        <v>0</v>
      </c>
      <c r="EJ62" s="520">
        <f t="shared" si="424"/>
        <v>0</v>
      </c>
      <c r="EK62" s="520">
        <f t="shared" si="424"/>
        <v>0</v>
      </c>
      <c r="EL62" s="520">
        <f t="shared" si="424"/>
        <v>0</v>
      </c>
      <c r="EM62" s="520">
        <f t="shared" si="424"/>
        <v>0</v>
      </c>
      <c r="EN62" s="520">
        <f t="shared" si="424"/>
        <v>0</v>
      </c>
      <c r="EO62" s="520">
        <f t="shared" si="424"/>
        <v>0</v>
      </c>
      <c r="EP62" s="520">
        <f t="shared" si="424"/>
        <v>0</v>
      </c>
      <c r="EQ62" s="520">
        <f t="shared" si="424"/>
        <v>0</v>
      </c>
      <c r="ER62" s="520">
        <f t="shared" si="424"/>
        <v>0</v>
      </c>
      <c r="ES62" s="520">
        <f t="shared" si="424"/>
        <v>0</v>
      </c>
      <c r="ET62" s="520">
        <f t="shared" si="424"/>
        <v>0</v>
      </c>
      <c r="EU62" s="520">
        <f t="shared" si="424"/>
        <v>0</v>
      </c>
      <c r="EV62" s="520">
        <f t="shared" si="424"/>
        <v>0</v>
      </c>
      <c r="EW62" s="520">
        <f t="shared" si="424"/>
        <v>0</v>
      </c>
      <c r="EX62" s="520">
        <f t="shared" si="424"/>
        <v>0</v>
      </c>
      <c r="EY62" s="520">
        <f t="shared" si="424"/>
        <v>0</v>
      </c>
      <c r="EZ62" s="520">
        <f t="shared" si="424"/>
        <v>0</v>
      </c>
      <c r="FA62" s="520">
        <f t="shared" si="424"/>
        <v>0</v>
      </c>
      <c r="FB62" s="520">
        <f t="shared" si="424"/>
        <v>0</v>
      </c>
      <c r="FC62" s="520">
        <f t="shared" si="424"/>
        <v>0</v>
      </c>
      <c r="FD62" s="520">
        <f t="shared" si="424"/>
        <v>0</v>
      </c>
      <c r="FE62" s="520">
        <f t="shared" si="424"/>
        <v>0</v>
      </c>
      <c r="FF62" s="520">
        <f t="shared" si="424"/>
        <v>0</v>
      </c>
      <c r="FG62" s="520">
        <f t="shared" si="424"/>
        <v>0</v>
      </c>
      <c r="FH62" s="520">
        <f t="shared" si="424"/>
        <v>0</v>
      </c>
      <c r="FI62" s="520">
        <f t="shared" si="424"/>
        <v>0</v>
      </c>
      <c r="FJ62" s="520">
        <f t="shared" si="424"/>
        <v>0</v>
      </c>
      <c r="FK62" s="520">
        <f t="shared" si="424"/>
        <v>0</v>
      </c>
      <c r="FL62" s="520">
        <f t="shared" si="424"/>
        <v>0</v>
      </c>
      <c r="FM62" s="520">
        <f t="shared" si="424"/>
        <v>0</v>
      </c>
      <c r="FN62" s="520">
        <f t="shared" si="424"/>
        <v>0</v>
      </c>
      <c r="FO62" s="520">
        <f t="shared" si="424"/>
        <v>0</v>
      </c>
      <c r="FP62" s="520">
        <f t="shared" si="424"/>
        <v>0</v>
      </c>
      <c r="FQ62" s="520">
        <f t="shared" si="424"/>
        <v>0</v>
      </c>
      <c r="FR62" s="520">
        <f t="shared" si="424"/>
        <v>0</v>
      </c>
      <c r="FS62" s="520">
        <f t="shared" si="424"/>
        <v>0</v>
      </c>
      <c r="FT62" s="520">
        <f t="shared" si="424"/>
        <v>0</v>
      </c>
      <c r="FU62" s="520">
        <f t="shared" si="424"/>
        <v>0</v>
      </c>
      <c r="FV62" s="520">
        <f t="shared" si="424"/>
        <v>0</v>
      </c>
      <c r="FW62" s="520">
        <f t="shared" si="424"/>
        <v>0</v>
      </c>
      <c r="FX62" s="520">
        <f t="shared" si="424"/>
        <v>0</v>
      </c>
      <c r="FY62" s="520">
        <f t="shared" si="424"/>
        <v>0</v>
      </c>
      <c r="FZ62" s="520">
        <f t="shared" si="424"/>
        <v>0</v>
      </c>
      <c r="GA62" s="520">
        <f t="shared" si="424"/>
        <v>0</v>
      </c>
      <c r="GB62" s="520">
        <f t="shared" si="424"/>
        <v>0</v>
      </c>
      <c r="GC62" s="520">
        <f t="shared" si="424"/>
        <v>0</v>
      </c>
      <c r="GD62" s="520">
        <f t="shared" si="424"/>
        <v>0</v>
      </c>
      <c r="GE62" s="520">
        <f t="shared" si="424"/>
        <v>0</v>
      </c>
      <c r="GF62" s="520">
        <f t="shared" si="424"/>
        <v>0</v>
      </c>
      <c r="GG62" s="520">
        <f t="shared" si="424"/>
        <v>0</v>
      </c>
      <c r="GH62" s="520">
        <f t="shared" si="424"/>
        <v>0</v>
      </c>
      <c r="GI62" s="520">
        <f t="shared" si="424"/>
        <v>0</v>
      </c>
      <c r="GJ62" s="520">
        <f t="shared" si="424"/>
        <v>0</v>
      </c>
      <c r="GK62" s="520">
        <f t="shared" si="424"/>
        <v>0</v>
      </c>
      <c r="GL62" s="520">
        <f t="shared" si="424"/>
        <v>0</v>
      </c>
      <c r="GM62" s="520">
        <f t="shared" si="424"/>
        <v>0</v>
      </c>
      <c r="GN62" s="520">
        <f t="shared" si="424"/>
        <v>0</v>
      </c>
      <c r="GO62" s="520">
        <f t="shared" si="424"/>
        <v>0</v>
      </c>
      <c r="GP62" s="520">
        <f t="shared" si="424"/>
        <v>0</v>
      </c>
      <c r="GQ62" s="520">
        <f t="shared" si="424"/>
        <v>0</v>
      </c>
      <c r="GR62" s="520">
        <f t="shared" si="424"/>
        <v>0</v>
      </c>
      <c r="GS62" s="520">
        <f t="shared" si="424"/>
        <v>0</v>
      </c>
      <c r="GT62" s="520">
        <f t="shared" si="424"/>
        <v>0</v>
      </c>
      <c r="GU62" s="520">
        <f t="shared" ref="GU62:JF62" si="425">SUM(GU58,GU14,GU50,GU60)</f>
        <v>0</v>
      </c>
      <c r="GV62" s="520">
        <f t="shared" si="425"/>
        <v>0</v>
      </c>
      <c r="GW62" s="520">
        <f t="shared" si="425"/>
        <v>0</v>
      </c>
      <c r="GX62" s="520">
        <f t="shared" si="425"/>
        <v>0</v>
      </c>
      <c r="GY62" s="520">
        <f t="shared" si="425"/>
        <v>0</v>
      </c>
      <c r="GZ62" s="520">
        <f t="shared" si="425"/>
        <v>0</v>
      </c>
      <c r="HA62" s="520">
        <f t="shared" si="425"/>
        <v>0</v>
      </c>
      <c r="HB62" s="520">
        <f t="shared" si="425"/>
        <v>0</v>
      </c>
      <c r="HC62" s="520">
        <f t="shared" si="425"/>
        <v>0</v>
      </c>
      <c r="HD62" s="520">
        <f t="shared" si="425"/>
        <v>0</v>
      </c>
      <c r="HE62" s="520">
        <f t="shared" si="425"/>
        <v>0</v>
      </c>
      <c r="HF62" s="520">
        <f t="shared" si="425"/>
        <v>0</v>
      </c>
      <c r="HG62" s="520">
        <f t="shared" si="425"/>
        <v>0</v>
      </c>
      <c r="HH62" s="520">
        <f t="shared" si="425"/>
        <v>0</v>
      </c>
      <c r="HI62" s="520">
        <f t="shared" si="425"/>
        <v>0</v>
      </c>
      <c r="HJ62" s="520">
        <f t="shared" si="425"/>
        <v>0</v>
      </c>
      <c r="HK62" s="520">
        <f t="shared" si="425"/>
        <v>0</v>
      </c>
      <c r="HL62" s="520">
        <f t="shared" si="425"/>
        <v>0</v>
      </c>
      <c r="HM62" s="520">
        <f t="shared" si="425"/>
        <v>0</v>
      </c>
      <c r="HN62" s="520">
        <f t="shared" si="425"/>
        <v>0</v>
      </c>
      <c r="HO62" s="520">
        <f t="shared" si="425"/>
        <v>0</v>
      </c>
      <c r="HP62" s="520">
        <f t="shared" si="425"/>
        <v>0</v>
      </c>
      <c r="HQ62" s="520">
        <f t="shared" si="425"/>
        <v>0</v>
      </c>
      <c r="HR62" s="520">
        <f t="shared" si="425"/>
        <v>0</v>
      </c>
      <c r="HS62" s="520">
        <f t="shared" si="425"/>
        <v>0</v>
      </c>
      <c r="HT62" s="520">
        <f t="shared" si="425"/>
        <v>0</v>
      </c>
      <c r="HU62" s="520">
        <f t="shared" si="425"/>
        <v>0</v>
      </c>
      <c r="HV62" s="520">
        <f t="shared" si="425"/>
        <v>0</v>
      </c>
      <c r="HW62" s="520">
        <f t="shared" si="425"/>
        <v>0</v>
      </c>
      <c r="HX62" s="520">
        <f t="shared" si="425"/>
        <v>0</v>
      </c>
      <c r="HY62" s="520">
        <f t="shared" si="425"/>
        <v>0</v>
      </c>
      <c r="HZ62" s="520">
        <f t="shared" si="425"/>
        <v>0</v>
      </c>
      <c r="IA62" s="520">
        <f t="shared" si="425"/>
        <v>0</v>
      </c>
      <c r="IB62" s="520">
        <f t="shared" si="425"/>
        <v>0</v>
      </c>
      <c r="IC62" s="520">
        <f t="shared" si="425"/>
        <v>0</v>
      </c>
      <c r="ID62" s="520">
        <f t="shared" si="425"/>
        <v>0</v>
      </c>
      <c r="IE62" s="520">
        <f t="shared" si="425"/>
        <v>0</v>
      </c>
      <c r="IF62" s="520">
        <f t="shared" si="425"/>
        <v>0</v>
      </c>
      <c r="IG62" s="520">
        <f t="shared" si="425"/>
        <v>0</v>
      </c>
      <c r="IH62" s="520">
        <f t="shared" si="425"/>
        <v>0</v>
      </c>
      <c r="II62" s="520">
        <f t="shared" si="425"/>
        <v>0</v>
      </c>
      <c r="IJ62" s="520">
        <f t="shared" si="425"/>
        <v>0</v>
      </c>
      <c r="IK62" s="520">
        <f t="shared" si="425"/>
        <v>0</v>
      </c>
      <c r="IL62" s="520">
        <f t="shared" si="425"/>
        <v>0</v>
      </c>
      <c r="IM62" s="520">
        <f t="shared" si="425"/>
        <v>0</v>
      </c>
      <c r="IN62" s="520">
        <f t="shared" si="425"/>
        <v>0</v>
      </c>
      <c r="IO62" s="520">
        <f t="shared" si="425"/>
        <v>0</v>
      </c>
      <c r="IP62" s="520">
        <f t="shared" si="425"/>
        <v>0</v>
      </c>
      <c r="IQ62" s="520">
        <f t="shared" si="425"/>
        <v>0</v>
      </c>
      <c r="IR62" s="520">
        <f t="shared" si="425"/>
        <v>0</v>
      </c>
      <c r="IS62" s="520">
        <f t="shared" si="425"/>
        <v>0</v>
      </c>
      <c r="IT62" s="520">
        <f t="shared" si="425"/>
        <v>0</v>
      </c>
      <c r="IU62" s="520">
        <f t="shared" si="425"/>
        <v>0</v>
      </c>
      <c r="IV62" s="520">
        <f t="shared" si="425"/>
        <v>0</v>
      </c>
      <c r="IW62" s="520">
        <f t="shared" si="425"/>
        <v>0</v>
      </c>
      <c r="IX62" s="520">
        <f t="shared" si="425"/>
        <v>0</v>
      </c>
      <c r="IY62" s="520">
        <f t="shared" si="425"/>
        <v>0</v>
      </c>
      <c r="IZ62" s="520">
        <f t="shared" si="425"/>
        <v>0</v>
      </c>
      <c r="JA62" s="520">
        <f t="shared" si="425"/>
        <v>0</v>
      </c>
      <c r="JB62" s="520">
        <f t="shared" si="425"/>
        <v>0</v>
      </c>
      <c r="JC62" s="520">
        <f t="shared" si="425"/>
        <v>0</v>
      </c>
      <c r="JD62" s="520">
        <f t="shared" si="425"/>
        <v>0</v>
      </c>
      <c r="JE62" s="520">
        <f t="shared" si="425"/>
        <v>0</v>
      </c>
      <c r="JF62" s="520">
        <f t="shared" si="425"/>
        <v>0</v>
      </c>
      <c r="JG62" s="520">
        <f t="shared" ref="JG62:LR62" si="426">SUM(JG58,JG14,JG50,JG60)</f>
        <v>0</v>
      </c>
      <c r="JH62" s="520">
        <f t="shared" si="426"/>
        <v>0</v>
      </c>
      <c r="JI62" s="520">
        <f t="shared" si="426"/>
        <v>0</v>
      </c>
      <c r="JJ62" s="520">
        <f t="shared" si="426"/>
        <v>0</v>
      </c>
      <c r="JK62" s="520">
        <f t="shared" si="426"/>
        <v>0</v>
      </c>
      <c r="JL62" s="520">
        <f t="shared" si="426"/>
        <v>0</v>
      </c>
      <c r="JM62" s="520">
        <f t="shared" si="426"/>
        <v>0</v>
      </c>
      <c r="JN62" s="520">
        <f t="shared" si="426"/>
        <v>0</v>
      </c>
      <c r="JO62" s="520">
        <f t="shared" si="426"/>
        <v>0</v>
      </c>
      <c r="JP62" s="520">
        <f t="shared" si="426"/>
        <v>0</v>
      </c>
      <c r="JQ62" s="520">
        <f t="shared" si="426"/>
        <v>0</v>
      </c>
      <c r="JR62" s="520">
        <f t="shared" si="426"/>
        <v>0</v>
      </c>
      <c r="JS62" s="520">
        <f t="shared" si="426"/>
        <v>0</v>
      </c>
      <c r="JT62" s="520">
        <f t="shared" si="426"/>
        <v>0</v>
      </c>
      <c r="JU62" s="520">
        <f t="shared" si="426"/>
        <v>0</v>
      </c>
      <c r="JV62" s="520">
        <f t="shared" si="426"/>
        <v>0</v>
      </c>
      <c r="JW62" s="520">
        <f t="shared" si="426"/>
        <v>0</v>
      </c>
      <c r="JX62" s="520">
        <f t="shared" si="426"/>
        <v>0</v>
      </c>
      <c r="JY62" s="520">
        <f t="shared" si="426"/>
        <v>0</v>
      </c>
      <c r="JZ62" s="520">
        <f t="shared" si="426"/>
        <v>0</v>
      </c>
      <c r="KA62" s="520">
        <f t="shared" si="426"/>
        <v>0</v>
      </c>
      <c r="KB62" s="520">
        <f t="shared" si="426"/>
        <v>0</v>
      </c>
      <c r="KC62" s="520">
        <f t="shared" si="426"/>
        <v>0</v>
      </c>
      <c r="KD62" s="520">
        <f t="shared" si="426"/>
        <v>0</v>
      </c>
      <c r="KE62" s="520">
        <f t="shared" si="426"/>
        <v>0</v>
      </c>
      <c r="KF62" s="520">
        <f t="shared" si="426"/>
        <v>0</v>
      </c>
      <c r="KG62" s="520">
        <f t="shared" si="426"/>
        <v>0</v>
      </c>
      <c r="KH62" s="520">
        <f t="shared" si="426"/>
        <v>0</v>
      </c>
      <c r="KI62" s="520">
        <f t="shared" si="426"/>
        <v>0</v>
      </c>
      <c r="KJ62" s="520">
        <f t="shared" si="426"/>
        <v>0</v>
      </c>
      <c r="KK62" s="520">
        <f t="shared" si="426"/>
        <v>0</v>
      </c>
      <c r="KL62" s="520">
        <f t="shared" si="426"/>
        <v>0</v>
      </c>
      <c r="KM62" s="520">
        <f t="shared" si="426"/>
        <v>0</v>
      </c>
      <c r="KN62" s="520">
        <f t="shared" si="426"/>
        <v>0</v>
      </c>
      <c r="KO62" s="520">
        <f t="shared" si="426"/>
        <v>0</v>
      </c>
      <c r="KP62" s="520">
        <f t="shared" si="426"/>
        <v>0</v>
      </c>
      <c r="KQ62" s="520">
        <f t="shared" si="426"/>
        <v>0</v>
      </c>
      <c r="KR62" s="520">
        <f t="shared" si="426"/>
        <v>0</v>
      </c>
      <c r="KS62" s="520">
        <f t="shared" si="426"/>
        <v>0</v>
      </c>
      <c r="KT62" s="520">
        <f t="shared" si="426"/>
        <v>0</v>
      </c>
      <c r="KU62" s="520">
        <f t="shared" si="426"/>
        <v>0</v>
      </c>
      <c r="KV62" s="520">
        <f t="shared" si="426"/>
        <v>0</v>
      </c>
      <c r="KW62" s="520">
        <f t="shared" si="426"/>
        <v>0</v>
      </c>
      <c r="KX62" s="520">
        <f t="shared" si="426"/>
        <v>0</v>
      </c>
      <c r="KY62" s="520">
        <f t="shared" si="426"/>
        <v>0</v>
      </c>
      <c r="KZ62" s="520">
        <f t="shared" si="426"/>
        <v>0</v>
      </c>
      <c r="LA62" s="520">
        <f t="shared" si="426"/>
        <v>0</v>
      </c>
      <c r="LB62" s="520">
        <f t="shared" si="426"/>
        <v>0</v>
      </c>
      <c r="LC62" s="520">
        <f t="shared" si="426"/>
        <v>0</v>
      </c>
      <c r="LD62" s="520">
        <f t="shared" si="426"/>
        <v>0</v>
      </c>
      <c r="LE62" s="520">
        <f t="shared" si="426"/>
        <v>0</v>
      </c>
      <c r="LF62" s="520">
        <f t="shared" si="426"/>
        <v>0</v>
      </c>
      <c r="LG62" s="520">
        <f t="shared" si="426"/>
        <v>0</v>
      </c>
      <c r="LH62" s="520">
        <f t="shared" si="426"/>
        <v>0</v>
      </c>
      <c r="LI62" s="520">
        <f t="shared" si="426"/>
        <v>0</v>
      </c>
      <c r="LJ62" s="520">
        <f t="shared" si="426"/>
        <v>0</v>
      </c>
      <c r="LK62" s="520">
        <f t="shared" si="426"/>
        <v>0</v>
      </c>
      <c r="LL62" s="520">
        <f t="shared" si="426"/>
        <v>0</v>
      </c>
      <c r="LM62" s="520">
        <f t="shared" si="426"/>
        <v>0</v>
      </c>
      <c r="LN62" s="520">
        <f t="shared" si="426"/>
        <v>0</v>
      </c>
      <c r="LO62" s="520">
        <f t="shared" si="426"/>
        <v>0</v>
      </c>
      <c r="LP62" s="520">
        <f t="shared" si="426"/>
        <v>0</v>
      </c>
      <c r="LQ62" s="520">
        <f t="shared" si="426"/>
        <v>0</v>
      </c>
      <c r="LR62" s="520">
        <f t="shared" si="426"/>
        <v>0</v>
      </c>
      <c r="LS62" s="520">
        <f t="shared" ref="LS62:OD62" si="427">SUM(LS58,LS14,LS50,LS60)</f>
        <v>0</v>
      </c>
      <c r="LT62" s="520">
        <f t="shared" si="427"/>
        <v>0</v>
      </c>
      <c r="LU62" s="520">
        <f t="shared" si="427"/>
        <v>0</v>
      </c>
      <c r="LV62" s="520">
        <f t="shared" si="427"/>
        <v>0</v>
      </c>
      <c r="LW62" s="520">
        <f t="shared" si="427"/>
        <v>0</v>
      </c>
      <c r="LX62" s="520">
        <f t="shared" si="427"/>
        <v>0</v>
      </c>
      <c r="LY62" s="520">
        <f t="shared" si="427"/>
        <v>0</v>
      </c>
      <c r="LZ62" s="520">
        <f t="shared" si="427"/>
        <v>0</v>
      </c>
      <c r="MA62" s="520">
        <f t="shared" si="427"/>
        <v>0</v>
      </c>
      <c r="MB62" s="520">
        <f t="shared" si="427"/>
        <v>0</v>
      </c>
      <c r="MC62" s="520">
        <f t="shared" si="427"/>
        <v>0</v>
      </c>
      <c r="MD62" s="520">
        <f t="shared" si="427"/>
        <v>0</v>
      </c>
      <c r="ME62" s="520">
        <f t="shared" si="427"/>
        <v>0</v>
      </c>
      <c r="MF62" s="520">
        <f t="shared" si="427"/>
        <v>0</v>
      </c>
      <c r="MG62" s="520">
        <f t="shared" si="427"/>
        <v>0</v>
      </c>
      <c r="MH62" s="520">
        <f t="shared" si="427"/>
        <v>0</v>
      </c>
      <c r="MI62" s="520">
        <f t="shared" si="427"/>
        <v>0</v>
      </c>
      <c r="MJ62" s="520">
        <f t="shared" si="427"/>
        <v>0</v>
      </c>
      <c r="MK62" s="520">
        <f t="shared" si="427"/>
        <v>0</v>
      </c>
      <c r="ML62" s="520">
        <f t="shared" si="427"/>
        <v>0</v>
      </c>
      <c r="MM62" s="520">
        <f t="shared" si="427"/>
        <v>0</v>
      </c>
      <c r="MN62" s="520">
        <f t="shared" si="427"/>
        <v>0</v>
      </c>
      <c r="MO62" s="520">
        <f t="shared" si="427"/>
        <v>0</v>
      </c>
      <c r="MP62" s="520">
        <f t="shared" si="427"/>
        <v>0</v>
      </c>
      <c r="MQ62" s="520">
        <f t="shared" si="427"/>
        <v>0</v>
      </c>
      <c r="MR62" s="520">
        <f t="shared" si="427"/>
        <v>0</v>
      </c>
      <c r="MS62" s="520">
        <f t="shared" si="427"/>
        <v>0</v>
      </c>
      <c r="MT62" s="520">
        <f t="shared" si="427"/>
        <v>0</v>
      </c>
      <c r="MU62" s="520">
        <f t="shared" si="427"/>
        <v>0</v>
      </c>
      <c r="MV62" s="520">
        <f t="shared" si="427"/>
        <v>0</v>
      </c>
      <c r="MW62" s="520">
        <f t="shared" si="427"/>
        <v>0</v>
      </c>
      <c r="MX62" s="520">
        <f t="shared" si="427"/>
        <v>0</v>
      </c>
      <c r="MY62" s="520">
        <f t="shared" si="427"/>
        <v>0</v>
      </c>
      <c r="MZ62" s="520">
        <f t="shared" si="427"/>
        <v>0</v>
      </c>
      <c r="NA62" s="520">
        <f t="shared" si="427"/>
        <v>0</v>
      </c>
      <c r="NB62" s="520">
        <f t="shared" si="427"/>
        <v>0</v>
      </c>
      <c r="NC62" s="520">
        <f t="shared" si="427"/>
        <v>0</v>
      </c>
      <c r="ND62" s="520">
        <f t="shared" si="427"/>
        <v>0</v>
      </c>
      <c r="NE62" s="520">
        <f t="shared" si="427"/>
        <v>0</v>
      </c>
      <c r="NF62" s="520">
        <f t="shared" si="427"/>
        <v>0</v>
      </c>
      <c r="NG62" s="520">
        <f t="shared" si="427"/>
        <v>0</v>
      </c>
      <c r="NH62" s="520">
        <f t="shared" si="427"/>
        <v>0</v>
      </c>
      <c r="NI62" s="520">
        <f t="shared" si="427"/>
        <v>0</v>
      </c>
      <c r="NJ62" s="520">
        <f t="shared" si="427"/>
        <v>0</v>
      </c>
      <c r="NK62" s="520">
        <f t="shared" si="427"/>
        <v>0</v>
      </c>
      <c r="NL62" s="520">
        <f t="shared" si="427"/>
        <v>0</v>
      </c>
      <c r="NM62" s="520">
        <f t="shared" si="427"/>
        <v>0</v>
      </c>
      <c r="NN62" s="520">
        <f t="shared" si="427"/>
        <v>0</v>
      </c>
      <c r="NO62" s="520">
        <f t="shared" si="427"/>
        <v>0</v>
      </c>
      <c r="NP62" s="520">
        <f t="shared" si="427"/>
        <v>0</v>
      </c>
      <c r="NQ62" s="520">
        <f t="shared" si="427"/>
        <v>0</v>
      </c>
      <c r="NR62" s="520">
        <f t="shared" si="427"/>
        <v>0</v>
      </c>
      <c r="NS62" s="520">
        <f t="shared" si="427"/>
        <v>0</v>
      </c>
      <c r="NT62" s="520">
        <f t="shared" si="427"/>
        <v>0</v>
      </c>
      <c r="NU62" s="520">
        <f t="shared" si="427"/>
        <v>0</v>
      </c>
      <c r="NV62" s="520">
        <f t="shared" si="427"/>
        <v>0</v>
      </c>
      <c r="NW62" s="520">
        <f t="shared" si="427"/>
        <v>0</v>
      </c>
      <c r="NX62" s="520">
        <f t="shared" si="427"/>
        <v>0</v>
      </c>
      <c r="NY62" s="520">
        <f t="shared" si="427"/>
        <v>0</v>
      </c>
      <c r="NZ62" s="520">
        <f t="shared" si="427"/>
        <v>0</v>
      </c>
      <c r="OA62" s="520">
        <f t="shared" si="427"/>
        <v>0</v>
      </c>
      <c r="OB62" s="520">
        <f t="shared" si="427"/>
        <v>0</v>
      </c>
      <c r="OC62" s="520">
        <f t="shared" si="427"/>
        <v>0</v>
      </c>
      <c r="OD62" s="520">
        <f t="shared" si="427"/>
        <v>0</v>
      </c>
      <c r="OE62" s="520">
        <f t="shared" ref="OE62:OO62" si="428">SUM(OE58,OE14,OE50,OE60)</f>
        <v>0</v>
      </c>
      <c r="OF62" s="520">
        <f t="shared" si="428"/>
        <v>0</v>
      </c>
      <c r="OG62" s="520">
        <f t="shared" si="428"/>
        <v>0</v>
      </c>
      <c r="OH62" s="520">
        <f t="shared" si="428"/>
        <v>0</v>
      </c>
      <c r="OI62" s="520">
        <f t="shared" si="428"/>
        <v>0</v>
      </c>
      <c r="OJ62" s="520">
        <f t="shared" si="428"/>
        <v>0</v>
      </c>
      <c r="OK62" s="520">
        <f t="shared" si="428"/>
        <v>0</v>
      </c>
      <c r="OL62" s="520">
        <f t="shared" si="428"/>
        <v>0</v>
      </c>
      <c r="OM62" s="520">
        <f t="shared" si="428"/>
        <v>0</v>
      </c>
      <c r="ON62" s="520">
        <f t="shared" si="428"/>
        <v>0</v>
      </c>
      <c r="OO62" s="520">
        <f t="shared" si="428"/>
        <v>0</v>
      </c>
    </row>
    <row r="63" spans="2:405">
      <c r="B63" s="97"/>
      <c r="C63" s="97"/>
      <c r="D63" s="97"/>
      <c r="E63" s="97"/>
      <c r="F63" s="97"/>
      <c r="G63" s="97"/>
      <c r="H63" s="97"/>
      <c r="I63" s="785"/>
      <c r="J63" s="482"/>
      <c r="K63" s="482"/>
      <c r="L63" s="482"/>
      <c r="M63" s="482"/>
      <c r="N63" s="482"/>
      <c r="O63" s="482"/>
      <c r="P63" s="482"/>
      <c r="Q63" s="482"/>
      <c r="R63" s="482"/>
      <c r="S63" s="482"/>
      <c r="T63" s="482"/>
      <c r="U63" s="482"/>
      <c r="V63" s="482"/>
      <c r="W63" s="482"/>
      <c r="X63" s="482"/>
      <c r="Y63" s="482"/>
      <c r="Z63" s="482"/>
      <c r="AA63" s="482"/>
      <c r="AB63" s="482"/>
      <c r="AC63" s="482"/>
      <c r="AD63" s="482"/>
      <c r="AE63" s="482"/>
      <c r="AF63" s="482"/>
      <c r="AG63" s="482"/>
      <c r="AH63" s="482"/>
      <c r="AI63" s="482"/>
      <c r="AJ63" s="482"/>
      <c r="AK63" s="482"/>
      <c r="AL63" s="482"/>
      <c r="AM63" s="482"/>
      <c r="AN63" s="482"/>
      <c r="AO63" s="482"/>
      <c r="AP63" s="482"/>
      <c r="AQ63" s="482"/>
      <c r="AR63" s="482"/>
      <c r="AS63" s="482"/>
    </row>
    <row r="64" spans="2:405" s="514" customFormat="1">
      <c r="B64" s="514" t="s">
        <v>431</v>
      </c>
    </row>
    <row r="65" spans="2:405">
      <c r="B65" s="97"/>
      <c r="C65" s="485" t="s">
        <v>435</v>
      </c>
      <c r="D65" s="97"/>
      <c r="E65" s="97"/>
      <c r="F65" s="97"/>
      <c r="G65" s="97"/>
      <c r="H65" s="97"/>
      <c r="I65" s="97"/>
      <c r="J65" s="523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BL65" s="177"/>
    </row>
    <row r="66" spans="2:405">
      <c r="B66" s="174" t="s">
        <v>400</v>
      </c>
      <c r="C66" s="174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T66" s="524"/>
      <c r="AU66" s="524"/>
      <c r="AV66" s="524"/>
      <c r="AW66" s="524"/>
      <c r="AX66" s="524"/>
      <c r="AY66" s="177"/>
      <c r="AZ66" s="524"/>
      <c r="BA66" s="524"/>
      <c r="BB66" s="524"/>
      <c r="BC66" s="524"/>
      <c r="BD66" s="524"/>
      <c r="BE66" s="524"/>
      <c r="BF66" s="524"/>
      <c r="BG66" s="524"/>
      <c r="BH66" s="524"/>
      <c r="BI66" s="524"/>
      <c r="BJ66" s="524"/>
      <c r="BK66" s="524"/>
      <c r="BL66" s="524"/>
      <c r="BM66" s="524"/>
      <c r="BN66" s="524"/>
      <c r="BO66" s="524"/>
      <c r="BP66" s="524"/>
      <c r="BQ66" s="524"/>
    </row>
    <row r="67" spans="2:405">
      <c r="B67" s="7" t="s">
        <v>28</v>
      </c>
      <c r="C67" s="472">
        <v>0.02</v>
      </c>
      <c r="D67" s="537">
        <f>Mortgage!D5</f>
        <v>7752009.2560975607</v>
      </c>
      <c r="E67" s="507">
        <f>Assumptions!$C$13</f>
        <v>47330</v>
      </c>
      <c r="F67" s="507">
        <f>EOMONTH(E67,Assumptions!$C$14-1)</f>
        <v>58256</v>
      </c>
      <c r="G67" s="97">
        <f t="shared" ref="G67:G71" si="429">((YEAR(F67)-YEAR(E67))*12+MONTH(F67)-MONTH(E67)+1)</f>
        <v>360</v>
      </c>
      <c r="H67" s="97"/>
      <c r="I67" s="97"/>
      <c r="J67" s="525">
        <f>IF(J$7&gt;=$E67,IF(J$7&lt;=$F67,(($D67*(1+$C67)^(IF(J$7&gt;=$E67,J$6-YEAR($E67),0)))/12),0),0)</f>
        <v>0</v>
      </c>
      <c r="K67" s="525">
        <f t="shared" ref="K67:BV68" si="430">IF(K$7&gt;=$E67,IF(K$7&lt;=$F67,(($D67*(1+$C67)^(IF(K$7&gt;=$E67,K$6-YEAR($E67),0)))/12),0),0)</f>
        <v>0</v>
      </c>
      <c r="L67" s="525">
        <f t="shared" si="430"/>
        <v>0</v>
      </c>
      <c r="M67" s="525">
        <f t="shared" si="430"/>
        <v>0</v>
      </c>
      <c r="N67" s="525">
        <f t="shared" si="430"/>
        <v>0</v>
      </c>
      <c r="O67" s="525">
        <f t="shared" si="430"/>
        <v>0</v>
      </c>
      <c r="P67" s="525">
        <f t="shared" si="430"/>
        <v>0</v>
      </c>
      <c r="Q67" s="525">
        <f t="shared" si="430"/>
        <v>0</v>
      </c>
      <c r="R67" s="525">
        <f t="shared" si="430"/>
        <v>0</v>
      </c>
      <c r="S67" s="525">
        <f t="shared" si="430"/>
        <v>0</v>
      </c>
      <c r="T67" s="525">
        <f t="shared" si="430"/>
        <v>0</v>
      </c>
      <c r="U67" s="525">
        <f t="shared" si="430"/>
        <v>0</v>
      </c>
      <c r="V67" s="525">
        <f t="shared" si="430"/>
        <v>0</v>
      </c>
      <c r="W67" s="525">
        <f t="shared" si="430"/>
        <v>0</v>
      </c>
      <c r="X67" s="525">
        <f t="shared" si="430"/>
        <v>0</v>
      </c>
      <c r="Y67" s="525">
        <f t="shared" si="430"/>
        <v>0</v>
      </c>
      <c r="Z67" s="525">
        <f t="shared" si="430"/>
        <v>0</v>
      </c>
      <c r="AA67" s="525">
        <f t="shared" si="430"/>
        <v>0</v>
      </c>
      <c r="AB67" s="525">
        <f t="shared" si="430"/>
        <v>0</v>
      </c>
      <c r="AC67" s="525">
        <f t="shared" si="430"/>
        <v>0</v>
      </c>
      <c r="AD67" s="525">
        <f t="shared" si="430"/>
        <v>0</v>
      </c>
      <c r="AE67" s="525">
        <f t="shared" si="430"/>
        <v>0</v>
      </c>
      <c r="AF67" s="525">
        <f t="shared" si="430"/>
        <v>0</v>
      </c>
      <c r="AG67" s="525">
        <f t="shared" si="430"/>
        <v>0</v>
      </c>
      <c r="AH67" s="525">
        <f t="shared" si="430"/>
        <v>0</v>
      </c>
      <c r="AI67" s="525">
        <f t="shared" si="430"/>
        <v>0</v>
      </c>
      <c r="AJ67" s="525">
        <f t="shared" si="430"/>
        <v>0</v>
      </c>
      <c r="AK67" s="525">
        <f t="shared" si="430"/>
        <v>0</v>
      </c>
      <c r="AL67" s="525">
        <f t="shared" si="430"/>
        <v>0</v>
      </c>
      <c r="AM67" s="525">
        <f t="shared" si="430"/>
        <v>0</v>
      </c>
      <c r="AN67" s="525">
        <f t="shared" si="430"/>
        <v>0</v>
      </c>
      <c r="AO67" s="525">
        <f t="shared" si="430"/>
        <v>0</v>
      </c>
      <c r="AP67" s="525">
        <f t="shared" si="430"/>
        <v>0</v>
      </c>
      <c r="AQ67" s="525">
        <f t="shared" si="430"/>
        <v>0</v>
      </c>
      <c r="AR67" s="525">
        <f t="shared" si="430"/>
        <v>0</v>
      </c>
      <c r="AS67" s="525">
        <f t="shared" si="430"/>
        <v>0</v>
      </c>
      <c r="AT67" s="525">
        <f t="shared" si="430"/>
        <v>646000.77134146343</v>
      </c>
      <c r="AU67" s="525">
        <f t="shared" si="430"/>
        <v>646000.77134146343</v>
      </c>
      <c r="AV67" s="525">
        <f t="shared" si="430"/>
        <v>646000.77134146343</v>
      </c>
      <c r="AW67" s="525">
        <f t="shared" si="430"/>
        <v>646000.77134146343</v>
      </c>
      <c r="AX67" s="525">
        <f t="shared" si="430"/>
        <v>646000.77134146343</v>
      </c>
      <c r="AY67" s="525">
        <f t="shared" si="430"/>
        <v>646000.77134146343</v>
      </c>
      <c r="AZ67" s="525">
        <f t="shared" si="430"/>
        <v>658920.78676829266</v>
      </c>
      <c r="BA67" s="525">
        <f t="shared" si="430"/>
        <v>658920.78676829266</v>
      </c>
      <c r="BB67" s="525">
        <f t="shared" si="430"/>
        <v>658920.78676829266</v>
      </c>
      <c r="BC67" s="525">
        <f t="shared" si="430"/>
        <v>658920.78676829266</v>
      </c>
      <c r="BD67" s="525">
        <f t="shared" si="430"/>
        <v>658920.78676829266</v>
      </c>
      <c r="BE67" s="525">
        <f t="shared" si="430"/>
        <v>658920.78676829266</v>
      </c>
      <c r="BF67" s="525">
        <f t="shared" si="430"/>
        <v>658920.78676829266</v>
      </c>
      <c r="BG67" s="525">
        <f t="shared" si="430"/>
        <v>658920.78676829266</v>
      </c>
      <c r="BH67" s="525">
        <f t="shared" si="430"/>
        <v>658920.78676829266</v>
      </c>
      <c r="BI67" s="525">
        <f t="shared" si="430"/>
        <v>658920.78676829266</v>
      </c>
      <c r="BJ67" s="525">
        <f t="shared" si="430"/>
        <v>658920.78676829266</v>
      </c>
      <c r="BK67" s="525">
        <f t="shared" si="430"/>
        <v>658920.78676829266</v>
      </c>
      <c r="BL67" s="525">
        <f t="shared" si="430"/>
        <v>672099.20250365848</v>
      </c>
      <c r="BM67" s="525">
        <f t="shared" si="430"/>
        <v>672099.20250365848</v>
      </c>
      <c r="BN67" s="525">
        <f t="shared" si="430"/>
        <v>672099.20250365848</v>
      </c>
      <c r="BO67" s="525">
        <f t="shared" si="430"/>
        <v>672099.20250365848</v>
      </c>
      <c r="BP67" s="525">
        <f t="shared" si="430"/>
        <v>672099.20250365848</v>
      </c>
      <c r="BQ67" s="525">
        <f t="shared" si="430"/>
        <v>672099.20250365848</v>
      </c>
      <c r="BR67" s="525">
        <f t="shared" si="430"/>
        <v>672099.20250365848</v>
      </c>
      <c r="BS67" s="525">
        <f t="shared" si="430"/>
        <v>672099.20250365848</v>
      </c>
      <c r="BT67" s="525">
        <f t="shared" si="430"/>
        <v>672099.20250365848</v>
      </c>
      <c r="BU67" s="525">
        <f t="shared" si="430"/>
        <v>672099.20250365848</v>
      </c>
      <c r="BV67" s="525">
        <f t="shared" si="430"/>
        <v>672099.20250365848</v>
      </c>
      <c r="BW67" s="525">
        <f t="shared" ref="BW67:EH70" si="431">IF(BW$7&gt;=$E67,IF(BW$7&lt;=$F67,(($D67*(1+$C67)^(IF(BW$7&gt;=$E67,BW$6-YEAR($E67),0)))/12),0),0)</f>
        <v>672099.20250365848</v>
      </c>
      <c r="BX67" s="525">
        <f t="shared" si="431"/>
        <v>685541.18655373168</v>
      </c>
      <c r="BY67" s="525">
        <f t="shared" si="431"/>
        <v>685541.18655373168</v>
      </c>
      <c r="BZ67" s="525">
        <f t="shared" si="431"/>
        <v>685541.18655373168</v>
      </c>
      <c r="CA67" s="525">
        <f t="shared" si="431"/>
        <v>685541.18655373168</v>
      </c>
      <c r="CB67" s="525">
        <f t="shared" si="431"/>
        <v>685541.18655373168</v>
      </c>
      <c r="CC67" s="525">
        <f t="shared" si="431"/>
        <v>685541.18655373168</v>
      </c>
      <c r="CD67" s="525">
        <f t="shared" si="431"/>
        <v>685541.18655373168</v>
      </c>
      <c r="CE67" s="525">
        <f t="shared" si="431"/>
        <v>685541.18655373168</v>
      </c>
      <c r="CF67" s="525">
        <f t="shared" si="431"/>
        <v>685541.18655373168</v>
      </c>
      <c r="CG67" s="525">
        <f t="shared" si="431"/>
        <v>685541.18655373168</v>
      </c>
      <c r="CH67" s="525">
        <f t="shared" si="431"/>
        <v>685541.18655373168</v>
      </c>
      <c r="CI67" s="525">
        <f t="shared" si="431"/>
        <v>685541.18655373168</v>
      </c>
      <c r="CJ67" s="525">
        <f t="shared" si="431"/>
        <v>699252.01028480625</v>
      </c>
      <c r="CK67" s="525">
        <f t="shared" si="431"/>
        <v>699252.01028480625</v>
      </c>
      <c r="CL67" s="525">
        <f t="shared" si="431"/>
        <v>699252.01028480625</v>
      </c>
      <c r="CM67" s="525">
        <f t="shared" si="431"/>
        <v>699252.01028480625</v>
      </c>
      <c r="CN67" s="525">
        <f t="shared" si="431"/>
        <v>699252.01028480625</v>
      </c>
      <c r="CO67" s="525">
        <f t="shared" si="431"/>
        <v>699252.01028480625</v>
      </c>
      <c r="CP67" s="525">
        <f t="shared" si="431"/>
        <v>699252.01028480625</v>
      </c>
      <c r="CQ67" s="525">
        <f t="shared" si="431"/>
        <v>699252.01028480625</v>
      </c>
      <c r="CR67" s="525">
        <f t="shared" si="431"/>
        <v>699252.01028480625</v>
      </c>
      <c r="CS67" s="525">
        <f t="shared" si="431"/>
        <v>699252.01028480625</v>
      </c>
      <c r="CT67" s="525">
        <f t="shared" si="431"/>
        <v>699252.01028480625</v>
      </c>
      <c r="CU67" s="525">
        <f t="shared" si="431"/>
        <v>699252.01028480625</v>
      </c>
      <c r="CV67" s="525">
        <f t="shared" si="431"/>
        <v>713237.05049050238</v>
      </c>
      <c r="CW67" s="525">
        <f t="shared" si="431"/>
        <v>713237.05049050238</v>
      </c>
      <c r="CX67" s="525">
        <f t="shared" si="431"/>
        <v>713237.05049050238</v>
      </c>
      <c r="CY67" s="525">
        <f t="shared" si="431"/>
        <v>713237.05049050238</v>
      </c>
      <c r="CZ67" s="525">
        <f t="shared" si="431"/>
        <v>713237.05049050238</v>
      </c>
      <c r="DA67" s="525">
        <f t="shared" si="431"/>
        <v>713237.05049050238</v>
      </c>
      <c r="DB67" s="525">
        <f t="shared" si="431"/>
        <v>713237.05049050238</v>
      </c>
      <c r="DC67" s="525">
        <f t="shared" si="431"/>
        <v>713237.05049050238</v>
      </c>
      <c r="DD67" s="525">
        <f t="shared" si="431"/>
        <v>713237.05049050238</v>
      </c>
      <c r="DE67" s="525">
        <f t="shared" si="431"/>
        <v>713237.05049050238</v>
      </c>
      <c r="DF67" s="525">
        <f t="shared" si="431"/>
        <v>713237.05049050238</v>
      </c>
      <c r="DG67" s="525">
        <f t="shared" si="431"/>
        <v>713237.05049050238</v>
      </c>
      <c r="DH67" s="525">
        <f t="shared" si="431"/>
        <v>727501.79150031263</v>
      </c>
      <c r="DI67" s="525">
        <f t="shared" si="431"/>
        <v>727501.79150031263</v>
      </c>
      <c r="DJ67" s="525">
        <f t="shared" si="431"/>
        <v>727501.79150031263</v>
      </c>
      <c r="DK67" s="525">
        <f t="shared" si="431"/>
        <v>727501.79150031263</v>
      </c>
      <c r="DL67" s="525">
        <f t="shared" si="431"/>
        <v>727501.79150031263</v>
      </c>
      <c r="DM67" s="525">
        <f t="shared" si="431"/>
        <v>727501.79150031263</v>
      </c>
      <c r="DN67" s="525">
        <f t="shared" si="431"/>
        <v>727501.79150031263</v>
      </c>
      <c r="DO67" s="525">
        <f t="shared" si="431"/>
        <v>727501.79150031263</v>
      </c>
      <c r="DP67" s="525">
        <f t="shared" si="431"/>
        <v>727501.79150031263</v>
      </c>
      <c r="DQ67" s="525">
        <f t="shared" si="431"/>
        <v>727501.79150031263</v>
      </c>
      <c r="DR67" s="525">
        <f t="shared" si="431"/>
        <v>727501.79150031263</v>
      </c>
      <c r="DS67" s="525">
        <f t="shared" si="431"/>
        <v>727501.79150031263</v>
      </c>
      <c r="DT67" s="525">
        <f t="shared" si="431"/>
        <v>742051.82733031863</v>
      </c>
      <c r="DU67" s="525">
        <f t="shared" si="431"/>
        <v>742051.82733031863</v>
      </c>
      <c r="DV67" s="525">
        <f t="shared" si="431"/>
        <v>742051.82733031863</v>
      </c>
      <c r="DW67" s="525">
        <f t="shared" si="431"/>
        <v>742051.82733031863</v>
      </c>
      <c r="DX67" s="525">
        <f t="shared" si="431"/>
        <v>742051.82733031863</v>
      </c>
      <c r="DY67" s="525">
        <f t="shared" si="431"/>
        <v>742051.82733031863</v>
      </c>
      <c r="DZ67" s="525">
        <f t="shared" si="431"/>
        <v>742051.82733031863</v>
      </c>
      <c r="EA67" s="525">
        <f t="shared" si="431"/>
        <v>742051.82733031863</v>
      </c>
      <c r="EB67" s="525">
        <f t="shared" si="431"/>
        <v>742051.82733031863</v>
      </c>
      <c r="EC67" s="525">
        <f t="shared" si="431"/>
        <v>742051.82733031863</v>
      </c>
      <c r="ED67" s="525">
        <f t="shared" si="431"/>
        <v>742051.82733031863</v>
      </c>
      <c r="EE67" s="525">
        <f t="shared" si="431"/>
        <v>742051.82733031863</v>
      </c>
      <c r="EF67" s="525">
        <f t="shared" si="431"/>
        <v>756892.86387692497</v>
      </c>
      <c r="EG67" s="525">
        <f t="shared" si="431"/>
        <v>756892.86387692497</v>
      </c>
      <c r="EH67" s="525">
        <f t="shared" si="431"/>
        <v>756892.86387692497</v>
      </c>
      <c r="EI67" s="525">
        <f t="shared" ref="EI67:GT71" si="432">IF(EI$7&gt;=$E67,IF(EI$7&lt;=$F67,(($D67*(1+$C67)^(IF(EI$7&gt;=$E67,EI$6-YEAR($E67),0)))/12),0),0)</f>
        <v>756892.86387692497</v>
      </c>
      <c r="EJ67" s="525">
        <f t="shared" si="432"/>
        <v>756892.86387692497</v>
      </c>
      <c r="EK67" s="525">
        <f t="shared" si="432"/>
        <v>756892.86387692497</v>
      </c>
      <c r="EL67" s="525">
        <f t="shared" si="432"/>
        <v>756892.86387692497</v>
      </c>
      <c r="EM67" s="525">
        <f t="shared" si="432"/>
        <v>756892.86387692497</v>
      </c>
      <c r="EN67" s="525">
        <f t="shared" si="432"/>
        <v>756892.86387692497</v>
      </c>
      <c r="EO67" s="525">
        <f t="shared" si="432"/>
        <v>756892.86387692497</v>
      </c>
      <c r="EP67" s="525">
        <f t="shared" si="432"/>
        <v>756892.86387692497</v>
      </c>
      <c r="EQ67" s="525">
        <f t="shared" si="432"/>
        <v>756892.86387692497</v>
      </c>
      <c r="ER67" s="525">
        <f t="shared" si="432"/>
        <v>772030.72115446359</v>
      </c>
      <c r="ES67" s="525">
        <f t="shared" si="432"/>
        <v>772030.72115446359</v>
      </c>
      <c r="ET67" s="525">
        <f t="shared" si="432"/>
        <v>772030.72115446359</v>
      </c>
      <c r="EU67" s="525">
        <f t="shared" si="432"/>
        <v>772030.72115446359</v>
      </c>
      <c r="EV67" s="525">
        <f t="shared" si="432"/>
        <v>772030.72115446359</v>
      </c>
      <c r="EW67" s="525">
        <f t="shared" si="432"/>
        <v>772030.72115446359</v>
      </c>
      <c r="EX67" s="525">
        <f t="shared" si="432"/>
        <v>772030.72115446359</v>
      </c>
      <c r="EY67" s="525">
        <f t="shared" si="432"/>
        <v>772030.72115446359</v>
      </c>
      <c r="EZ67" s="525">
        <f t="shared" si="432"/>
        <v>772030.72115446359</v>
      </c>
      <c r="FA67" s="525">
        <f t="shared" si="432"/>
        <v>772030.72115446359</v>
      </c>
      <c r="FB67" s="525">
        <f t="shared" si="432"/>
        <v>772030.72115446359</v>
      </c>
      <c r="FC67" s="525">
        <f t="shared" si="432"/>
        <v>772030.72115446359</v>
      </c>
      <c r="FD67" s="525">
        <f t="shared" si="432"/>
        <v>787471.33557755279</v>
      </c>
      <c r="FE67" s="525">
        <f t="shared" si="432"/>
        <v>787471.33557755279</v>
      </c>
      <c r="FF67" s="525">
        <f t="shared" si="432"/>
        <v>787471.33557755279</v>
      </c>
      <c r="FG67" s="525">
        <f t="shared" si="432"/>
        <v>787471.33557755279</v>
      </c>
      <c r="FH67" s="525">
        <f t="shared" si="432"/>
        <v>787471.33557755279</v>
      </c>
      <c r="FI67" s="525">
        <f t="shared" si="432"/>
        <v>787471.33557755279</v>
      </c>
      <c r="FJ67" s="525">
        <f t="shared" si="432"/>
        <v>787471.33557755279</v>
      </c>
      <c r="FK67" s="525">
        <f t="shared" si="432"/>
        <v>787471.33557755279</v>
      </c>
      <c r="FL67" s="525">
        <f t="shared" si="432"/>
        <v>787471.33557755279</v>
      </c>
      <c r="FM67" s="525">
        <f t="shared" si="432"/>
        <v>787471.33557755279</v>
      </c>
      <c r="FN67" s="525">
        <f t="shared" si="432"/>
        <v>787471.33557755279</v>
      </c>
      <c r="FO67" s="525">
        <f t="shared" si="432"/>
        <v>787471.33557755279</v>
      </c>
      <c r="FP67" s="525">
        <f t="shared" si="432"/>
        <v>803220.7622891037</v>
      </c>
      <c r="FQ67" s="525">
        <f t="shared" si="432"/>
        <v>803220.7622891037</v>
      </c>
      <c r="FR67" s="525">
        <f t="shared" si="432"/>
        <v>803220.7622891037</v>
      </c>
      <c r="FS67" s="525">
        <f t="shared" si="432"/>
        <v>803220.7622891037</v>
      </c>
      <c r="FT67" s="525">
        <f t="shared" si="432"/>
        <v>803220.7622891037</v>
      </c>
      <c r="FU67" s="525">
        <f t="shared" si="432"/>
        <v>803220.7622891037</v>
      </c>
      <c r="FV67" s="525">
        <f t="shared" si="432"/>
        <v>803220.7622891037</v>
      </c>
      <c r="FW67" s="525">
        <f t="shared" si="432"/>
        <v>803220.7622891037</v>
      </c>
      <c r="FX67" s="525">
        <f t="shared" si="432"/>
        <v>803220.7622891037</v>
      </c>
      <c r="FY67" s="525">
        <f t="shared" si="432"/>
        <v>803220.7622891037</v>
      </c>
      <c r="FZ67" s="525">
        <f t="shared" si="432"/>
        <v>803220.7622891037</v>
      </c>
      <c r="GA67" s="525">
        <f t="shared" si="432"/>
        <v>803220.7622891037</v>
      </c>
      <c r="GB67" s="525">
        <f t="shared" si="432"/>
        <v>819285.17753488605</v>
      </c>
      <c r="GC67" s="525">
        <f t="shared" si="432"/>
        <v>819285.17753488605</v>
      </c>
      <c r="GD67" s="525">
        <f t="shared" si="432"/>
        <v>819285.17753488605</v>
      </c>
      <c r="GE67" s="525">
        <f t="shared" si="432"/>
        <v>819285.17753488605</v>
      </c>
      <c r="GF67" s="525">
        <f t="shared" si="432"/>
        <v>819285.17753488605</v>
      </c>
      <c r="GG67" s="525">
        <f t="shared" si="432"/>
        <v>819285.17753488605</v>
      </c>
      <c r="GH67" s="525">
        <f t="shared" si="432"/>
        <v>819285.17753488605</v>
      </c>
      <c r="GI67" s="525">
        <f t="shared" si="432"/>
        <v>819285.17753488605</v>
      </c>
      <c r="GJ67" s="525">
        <f t="shared" si="432"/>
        <v>819285.17753488605</v>
      </c>
      <c r="GK67" s="525">
        <f t="shared" si="432"/>
        <v>819285.17753488605</v>
      </c>
      <c r="GL67" s="525">
        <f t="shared" si="432"/>
        <v>819285.17753488605</v>
      </c>
      <c r="GM67" s="525">
        <f t="shared" si="432"/>
        <v>819285.17753488605</v>
      </c>
      <c r="GN67" s="525">
        <f t="shared" si="432"/>
        <v>835670.88108558359</v>
      </c>
      <c r="GO67" s="525">
        <f t="shared" si="432"/>
        <v>835670.88108558359</v>
      </c>
      <c r="GP67" s="525">
        <f t="shared" si="432"/>
        <v>835670.88108558359</v>
      </c>
      <c r="GQ67" s="525">
        <f t="shared" si="432"/>
        <v>835670.88108558359</v>
      </c>
      <c r="GR67" s="525">
        <f t="shared" si="432"/>
        <v>835670.88108558359</v>
      </c>
      <c r="GS67" s="525">
        <f t="shared" si="432"/>
        <v>835670.88108558359</v>
      </c>
      <c r="GT67" s="525">
        <f t="shared" si="432"/>
        <v>835670.88108558359</v>
      </c>
      <c r="GU67" s="525">
        <f t="shared" ref="GU67:JF70" si="433">IF(GU$7&gt;=$E67,IF(GU$7&lt;=$F67,(($D67*(1+$C67)^(IF(GU$7&gt;=$E67,GU$6-YEAR($E67),0)))/12),0),0)</f>
        <v>835670.88108558359</v>
      </c>
      <c r="GV67" s="525">
        <f t="shared" si="433"/>
        <v>835670.88108558359</v>
      </c>
      <c r="GW67" s="525">
        <f t="shared" si="433"/>
        <v>835670.88108558359</v>
      </c>
      <c r="GX67" s="525">
        <f t="shared" si="433"/>
        <v>835670.88108558359</v>
      </c>
      <c r="GY67" s="525">
        <f t="shared" si="433"/>
        <v>835670.88108558359</v>
      </c>
      <c r="GZ67" s="525">
        <f t="shared" si="433"/>
        <v>852384.29870729533</v>
      </c>
      <c r="HA67" s="525">
        <f t="shared" si="433"/>
        <v>852384.29870729533</v>
      </c>
      <c r="HB67" s="525">
        <f t="shared" si="433"/>
        <v>852384.29870729533</v>
      </c>
      <c r="HC67" s="525">
        <f t="shared" si="433"/>
        <v>852384.29870729533</v>
      </c>
      <c r="HD67" s="525">
        <f t="shared" si="433"/>
        <v>852384.29870729533</v>
      </c>
      <c r="HE67" s="525">
        <f t="shared" si="433"/>
        <v>852384.29870729533</v>
      </c>
      <c r="HF67" s="525">
        <f t="shared" si="433"/>
        <v>852384.29870729533</v>
      </c>
      <c r="HG67" s="525">
        <f t="shared" si="433"/>
        <v>852384.29870729533</v>
      </c>
      <c r="HH67" s="525">
        <f t="shared" si="433"/>
        <v>852384.29870729533</v>
      </c>
      <c r="HI67" s="525">
        <f t="shared" si="433"/>
        <v>852384.29870729533</v>
      </c>
      <c r="HJ67" s="525">
        <f t="shared" si="433"/>
        <v>852384.29870729533</v>
      </c>
      <c r="HK67" s="525">
        <f t="shared" si="433"/>
        <v>852384.29870729533</v>
      </c>
      <c r="HL67" s="525">
        <f t="shared" si="433"/>
        <v>869431.9846814411</v>
      </c>
      <c r="HM67" s="525">
        <f t="shared" si="433"/>
        <v>869431.9846814411</v>
      </c>
      <c r="HN67" s="525">
        <f t="shared" si="433"/>
        <v>869431.9846814411</v>
      </c>
      <c r="HO67" s="525">
        <f t="shared" si="433"/>
        <v>869431.9846814411</v>
      </c>
      <c r="HP67" s="525">
        <f t="shared" si="433"/>
        <v>869431.9846814411</v>
      </c>
      <c r="HQ67" s="525">
        <f t="shared" si="433"/>
        <v>869431.9846814411</v>
      </c>
      <c r="HR67" s="525">
        <f t="shared" si="433"/>
        <v>869431.9846814411</v>
      </c>
      <c r="HS67" s="525">
        <f t="shared" si="433"/>
        <v>869431.9846814411</v>
      </c>
      <c r="HT67" s="525">
        <f t="shared" si="433"/>
        <v>869431.9846814411</v>
      </c>
      <c r="HU67" s="525">
        <f t="shared" si="433"/>
        <v>869431.9846814411</v>
      </c>
      <c r="HV67" s="525">
        <f t="shared" si="433"/>
        <v>869431.9846814411</v>
      </c>
      <c r="HW67" s="525">
        <f t="shared" si="433"/>
        <v>869431.9846814411</v>
      </c>
      <c r="HX67" s="525">
        <f t="shared" si="433"/>
        <v>886820.6243750701</v>
      </c>
      <c r="HY67" s="525">
        <f t="shared" si="433"/>
        <v>886820.6243750701</v>
      </c>
      <c r="HZ67" s="525">
        <f t="shared" si="433"/>
        <v>886820.6243750701</v>
      </c>
      <c r="IA67" s="525">
        <f t="shared" si="433"/>
        <v>886820.6243750701</v>
      </c>
      <c r="IB67" s="525">
        <f t="shared" si="433"/>
        <v>886820.6243750701</v>
      </c>
      <c r="IC67" s="525">
        <f t="shared" si="433"/>
        <v>886820.6243750701</v>
      </c>
      <c r="ID67" s="525">
        <f t="shared" si="433"/>
        <v>886820.6243750701</v>
      </c>
      <c r="IE67" s="525">
        <f t="shared" si="433"/>
        <v>886820.6243750701</v>
      </c>
      <c r="IF67" s="525">
        <f t="shared" si="433"/>
        <v>886820.6243750701</v>
      </c>
      <c r="IG67" s="525">
        <f t="shared" si="433"/>
        <v>886820.6243750701</v>
      </c>
      <c r="IH67" s="525">
        <f t="shared" si="433"/>
        <v>886820.6243750701</v>
      </c>
      <c r="II67" s="525">
        <f t="shared" si="433"/>
        <v>886820.6243750701</v>
      </c>
      <c r="IJ67" s="525">
        <f t="shared" si="433"/>
        <v>904557.03686257161</v>
      </c>
      <c r="IK67" s="525">
        <f t="shared" si="433"/>
        <v>904557.03686257161</v>
      </c>
      <c r="IL67" s="525">
        <f t="shared" si="433"/>
        <v>904557.03686257161</v>
      </c>
      <c r="IM67" s="525">
        <f t="shared" si="433"/>
        <v>904557.03686257161</v>
      </c>
      <c r="IN67" s="525">
        <f t="shared" si="433"/>
        <v>904557.03686257161</v>
      </c>
      <c r="IO67" s="525">
        <f t="shared" si="433"/>
        <v>904557.03686257161</v>
      </c>
      <c r="IP67" s="525">
        <f t="shared" si="433"/>
        <v>904557.03686257161</v>
      </c>
      <c r="IQ67" s="525">
        <f t="shared" si="433"/>
        <v>904557.03686257161</v>
      </c>
      <c r="IR67" s="525">
        <f t="shared" si="433"/>
        <v>904557.03686257161</v>
      </c>
      <c r="IS67" s="525">
        <f t="shared" si="433"/>
        <v>904557.03686257161</v>
      </c>
      <c r="IT67" s="525">
        <f t="shared" si="433"/>
        <v>904557.03686257161</v>
      </c>
      <c r="IU67" s="525">
        <f t="shared" si="433"/>
        <v>904557.03686257161</v>
      </c>
      <c r="IV67" s="525">
        <f t="shared" si="433"/>
        <v>922648.17759982299</v>
      </c>
      <c r="IW67" s="525">
        <f t="shared" si="433"/>
        <v>922648.17759982299</v>
      </c>
      <c r="IX67" s="525">
        <f t="shared" si="433"/>
        <v>922648.17759982299</v>
      </c>
      <c r="IY67" s="525">
        <f t="shared" si="433"/>
        <v>922648.17759982299</v>
      </c>
      <c r="IZ67" s="525">
        <f t="shared" si="433"/>
        <v>922648.17759982299</v>
      </c>
      <c r="JA67" s="525">
        <f t="shared" si="433"/>
        <v>922648.17759982299</v>
      </c>
      <c r="JB67" s="525">
        <f t="shared" si="433"/>
        <v>922648.17759982299</v>
      </c>
      <c r="JC67" s="525">
        <f t="shared" si="433"/>
        <v>922648.17759982299</v>
      </c>
      <c r="JD67" s="525">
        <f t="shared" si="433"/>
        <v>922648.17759982299</v>
      </c>
      <c r="JE67" s="525">
        <f t="shared" si="433"/>
        <v>922648.17759982299</v>
      </c>
      <c r="JF67" s="525">
        <f t="shared" si="433"/>
        <v>922648.17759982299</v>
      </c>
      <c r="JG67" s="525">
        <f t="shared" ref="JG67:LR71" si="434">IF(JG$7&gt;=$E67,IF(JG$7&lt;=$F67,(($D67*(1+$C67)^(IF(JG$7&gt;=$E67,JG$6-YEAR($E67),0)))/12),0),0)</f>
        <v>922648.17759982299</v>
      </c>
      <c r="JH67" s="525">
        <f t="shared" si="434"/>
        <v>941101.14115181926</v>
      </c>
      <c r="JI67" s="525">
        <f t="shared" si="434"/>
        <v>941101.14115181926</v>
      </c>
      <c r="JJ67" s="525">
        <f t="shared" si="434"/>
        <v>941101.14115181926</v>
      </c>
      <c r="JK67" s="525">
        <f t="shared" si="434"/>
        <v>941101.14115181926</v>
      </c>
      <c r="JL67" s="525">
        <f t="shared" si="434"/>
        <v>941101.14115181926</v>
      </c>
      <c r="JM67" s="525">
        <f t="shared" si="434"/>
        <v>941101.14115181926</v>
      </c>
      <c r="JN67" s="525">
        <f t="shared" si="434"/>
        <v>941101.14115181926</v>
      </c>
      <c r="JO67" s="525">
        <f t="shared" si="434"/>
        <v>941101.14115181926</v>
      </c>
      <c r="JP67" s="525">
        <f t="shared" si="434"/>
        <v>941101.14115181926</v>
      </c>
      <c r="JQ67" s="525">
        <f t="shared" si="434"/>
        <v>941101.14115181926</v>
      </c>
      <c r="JR67" s="525">
        <f t="shared" si="434"/>
        <v>941101.14115181926</v>
      </c>
      <c r="JS67" s="525">
        <f t="shared" si="434"/>
        <v>941101.14115181926</v>
      </c>
      <c r="JT67" s="525">
        <f t="shared" si="434"/>
        <v>959923.16397485568</v>
      </c>
      <c r="JU67" s="525">
        <f t="shared" si="434"/>
        <v>959923.16397485568</v>
      </c>
      <c r="JV67" s="525">
        <f t="shared" si="434"/>
        <v>959923.16397485568</v>
      </c>
      <c r="JW67" s="525">
        <f t="shared" si="434"/>
        <v>959923.16397485568</v>
      </c>
      <c r="JX67" s="525">
        <f t="shared" si="434"/>
        <v>959923.16397485568</v>
      </c>
      <c r="JY67" s="525">
        <f t="shared" si="434"/>
        <v>959923.16397485568</v>
      </c>
      <c r="JZ67" s="525">
        <f t="shared" si="434"/>
        <v>959923.16397485568</v>
      </c>
      <c r="KA67" s="525">
        <f t="shared" si="434"/>
        <v>959923.16397485568</v>
      </c>
      <c r="KB67" s="525">
        <f t="shared" si="434"/>
        <v>959923.16397485568</v>
      </c>
      <c r="KC67" s="525">
        <f t="shared" si="434"/>
        <v>959923.16397485568</v>
      </c>
      <c r="KD67" s="525">
        <f t="shared" si="434"/>
        <v>959923.16397485568</v>
      </c>
      <c r="KE67" s="525">
        <f t="shared" si="434"/>
        <v>959923.16397485568</v>
      </c>
      <c r="KF67" s="525">
        <f t="shared" si="434"/>
        <v>979121.62725435279</v>
      </c>
      <c r="KG67" s="525">
        <f t="shared" si="434"/>
        <v>979121.62725435279</v>
      </c>
      <c r="KH67" s="525">
        <f t="shared" si="434"/>
        <v>979121.62725435279</v>
      </c>
      <c r="KI67" s="525">
        <f t="shared" si="434"/>
        <v>979121.62725435279</v>
      </c>
      <c r="KJ67" s="525">
        <f t="shared" si="434"/>
        <v>979121.62725435279</v>
      </c>
      <c r="KK67" s="525">
        <f t="shared" si="434"/>
        <v>979121.62725435279</v>
      </c>
      <c r="KL67" s="525">
        <f t="shared" si="434"/>
        <v>979121.62725435279</v>
      </c>
      <c r="KM67" s="525">
        <f t="shared" si="434"/>
        <v>979121.62725435279</v>
      </c>
      <c r="KN67" s="525">
        <f t="shared" si="434"/>
        <v>979121.62725435279</v>
      </c>
      <c r="KO67" s="525">
        <f t="shared" si="434"/>
        <v>979121.62725435279</v>
      </c>
      <c r="KP67" s="525">
        <f t="shared" si="434"/>
        <v>979121.62725435279</v>
      </c>
      <c r="KQ67" s="525">
        <f t="shared" si="434"/>
        <v>979121.62725435279</v>
      </c>
      <c r="KR67" s="525">
        <f t="shared" si="434"/>
        <v>998704.05979943986</v>
      </c>
      <c r="KS67" s="525">
        <f t="shared" si="434"/>
        <v>998704.05979943986</v>
      </c>
      <c r="KT67" s="525">
        <f t="shared" si="434"/>
        <v>998704.05979943986</v>
      </c>
      <c r="KU67" s="525">
        <f t="shared" si="434"/>
        <v>998704.05979943986</v>
      </c>
      <c r="KV67" s="525">
        <f t="shared" si="434"/>
        <v>998704.05979943986</v>
      </c>
      <c r="KW67" s="525">
        <f t="shared" si="434"/>
        <v>998704.05979943986</v>
      </c>
      <c r="KX67" s="525">
        <f t="shared" si="434"/>
        <v>998704.05979943986</v>
      </c>
      <c r="KY67" s="525">
        <f t="shared" si="434"/>
        <v>998704.05979943986</v>
      </c>
      <c r="KZ67" s="525">
        <f t="shared" si="434"/>
        <v>998704.05979943986</v>
      </c>
      <c r="LA67" s="525">
        <f t="shared" si="434"/>
        <v>998704.05979943986</v>
      </c>
      <c r="LB67" s="525">
        <f t="shared" si="434"/>
        <v>998704.05979943986</v>
      </c>
      <c r="LC67" s="525">
        <f t="shared" si="434"/>
        <v>998704.05979943986</v>
      </c>
      <c r="LD67" s="525">
        <f t="shared" si="434"/>
        <v>1018678.1409954285</v>
      </c>
      <c r="LE67" s="525">
        <f t="shared" si="434"/>
        <v>1018678.1409954285</v>
      </c>
      <c r="LF67" s="525">
        <f t="shared" si="434"/>
        <v>1018678.1409954285</v>
      </c>
      <c r="LG67" s="525">
        <f t="shared" si="434"/>
        <v>1018678.1409954285</v>
      </c>
      <c r="LH67" s="525">
        <f t="shared" si="434"/>
        <v>1018678.1409954285</v>
      </c>
      <c r="LI67" s="525">
        <f t="shared" si="434"/>
        <v>1018678.1409954285</v>
      </c>
      <c r="LJ67" s="525">
        <f t="shared" si="434"/>
        <v>1018678.1409954285</v>
      </c>
      <c r="LK67" s="525">
        <f t="shared" si="434"/>
        <v>1018678.1409954285</v>
      </c>
      <c r="LL67" s="525">
        <f t="shared" si="434"/>
        <v>1018678.1409954285</v>
      </c>
      <c r="LM67" s="525">
        <f t="shared" si="434"/>
        <v>1018678.1409954285</v>
      </c>
      <c r="LN67" s="525">
        <f t="shared" si="434"/>
        <v>1018678.1409954285</v>
      </c>
      <c r="LO67" s="525">
        <f t="shared" si="434"/>
        <v>1018678.1409954285</v>
      </c>
      <c r="LP67" s="525">
        <f t="shared" si="434"/>
        <v>1039051.7038153372</v>
      </c>
      <c r="LQ67" s="525">
        <f t="shared" si="434"/>
        <v>1039051.7038153372</v>
      </c>
      <c r="LR67" s="525">
        <f t="shared" si="434"/>
        <v>1039051.7038153372</v>
      </c>
      <c r="LS67" s="525">
        <f t="shared" ref="LS67:OD70" si="435">IF(LS$7&gt;=$E67,IF(LS$7&lt;=$F67,(($D67*(1+$C67)^(IF(LS$7&gt;=$E67,LS$6-YEAR($E67),0)))/12),0),0)</f>
        <v>1039051.7038153372</v>
      </c>
      <c r="LT67" s="525">
        <f t="shared" si="435"/>
        <v>1039051.7038153372</v>
      </c>
      <c r="LU67" s="525">
        <f t="shared" si="435"/>
        <v>1039051.7038153372</v>
      </c>
      <c r="LV67" s="525">
        <f t="shared" si="435"/>
        <v>1039051.7038153372</v>
      </c>
      <c r="LW67" s="525">
        <f t="shared" si="435"/>
        <v>1039051.7038153372</v>
      </c>
      <c r="LX67" s="525">
        <f t="shared" si="435"/>
        <v>1039051.7038153372</v>
      </c>
      <c r="LY67" s="525">
        <f t="shared" si="435"/>
        <v>1039051.7038153372</v>
      </c>
      <c r="LZ67" s="525">
        <f t="shared" si="435"/>
        <v>1039051.7038153372</v>
      </c>
      <c r="MA67" s="525">
        <f t="shared" si="435"/>
        <v>1039051.7038153372</v>
      </c>
      <c r="MB67" s="525">
        <f t="shared" si="435"/>
        <v>1059832.737891644</v>
      </c>
      <c r="MC67" s="525">
        <f t="shared" si="435"/>
        <v>1059832.737891644</v>
      </c>
      <c r="MD67" s="525">
        <f t="shared" si="435"/>
        <v>1059832.737891644</v>
      </c>
      <c r="ME67" s="525">
        <f t="shared" si="435"/>
        <v>1059832.737891644</v>
      </c>
      <c r="MF67" s="525">
        <f t="shared" si="435"/>
        <v>1059832.737891644</v>
      </c>
      <c r="MG67" s="525">
        <f t="shared" si="435"/>
        <v>1059832.737891644</v>
      </c>
      <c r="MH67" s="525">
        <f t="shared" si="435"/>
        <v>1059832.737891644</v>
      </c>
      <c r="MI67" s="525">
        <f t="shared" si="435"/>
        <v>1059832.737891644</v>
      </c>
      <c r="MJ67" s="525">
        <f t="shared" si="435"/>
        <v>1059832.737891644</v>
      </c>
      <c r="MK67" s="525">
        <f t="shared" si="435"/>
        <v>1059832.737891644</v>
      </c>
      <c r="ML67" s="525">
        <f t="shared" si="435"/>
        <v>1059832.737891644</v>
      </c>
      <c r="MM67" s="525">
        <f t="shared" si="435"/>
        <v>1059832.737891644</v>
      </c>
      <c r="MN67" s="525">
        <f t="shared" si="435"/>
        <v>1081029.3926494769</v>
      </c>
      <c r="MO67" s="525">
        <f t="shared" si="435"/>
        <v>1081029.3926494769</v>
      </c>
      <c r="MP67" s="525">
        <f t="shared" si="435"/>
        <v>1081029.3926494769</v>
      </c>
      <c r="MQ67" s="525">
        <f t="shared" si="435"/>
        <v>1081029.3926494769</v>
      </c>
      <c r="MR67" s="525">
        <f t="shared" si="435"/>
        <v>1081029.3926494769</v>
      </c>
      <c r="MS67" s="525">
        <f t="shared" si="435"/>
        <v>1081029.3926494769</v>
      </c>
      <c r="MT67" s="525">
        <f t="shared" si="435"/>
        <v>1081029.3926494769</v>
      </c>
      <c r="MU67" s="525">
        <f t="shared" si="435"/>
        <v>1081029.3926494769</v>
      </c>
      <c r="MV67" s="525">
        <f t="shared" si="435"/>
        <v>1081029.3926494769</v>
      </c>
      <c r="MW67" s="525">
        <f t="shared" si="435"/>
        <v>1081029.3926494769</v>
      </c>
      <c r="MX67" s="525">
        <f t="shared" si="435"/>
        <v>1081029.3926494769</v>
      </c>
      <c r="MY67" s="525">
        <f t="shared" si="435"/>
        <v>1081029.3926494769</v>
      </c>
      <c r="MZ67" s="525">
        <f t="shared" si="435"/>
        <v>1102649.9805024662</v>
      </c>
      <c r="NA67" s="525">
        <f t="shared" si="435"/>
        <v>1102649.9805024662</v>
      </c>
      <c r="NB67" s="525">
        <f t="shared" si="435"/>
        <v>1102649.9805024662</v>
      </c>
      <c r="NC67" s="525">
        <f t="shared" si="435"/>
        <v>1102649.9805024662</v>
      </c>
      <c r="ND67" s="525">
        <f t="shared" si="435"/>
        <v>1102649.9805024662</v>
      </c>
      <c r="NE67" s="525">
        <f t="shared" si="435"/>
        <v>1102649.9805024662</v>
      </c>
      <c r="NF67" s="525">
        <f t="shared" si="435"/>
        <v>1102649.9805024662</v>
      </c>
      <c r="NG67" s="525">
        <f t="shared" si="435"/>
        <v>1102649.9805024662</v>
      </c>
      <c r="NH67" s="525">
        <f t="shared" si="435"/>
        <v>1102649.9805024662</v>
      </c>
      <c r="NI67" s="525">
        <f t="shared" si="435"/>
        <v>1102649.9805024662</v>
      </c>
      <c r="NJ67" s="525">
        <f t="shared" si="435"/>
        <v>1102649.9805024662</v>
      </c>
      <c r="NK67" s="525">
        <f t="shared" si="435"/>
        <v>1102649.9805024662</v>
      </c>
      <c r="NL67" s="525">
        <f t="shared" si="435"/>
        <v>1124702.9801125159</v>
      </c>
      <c r="NM67" s="525">
        <f t="shared" si="435"/>
        <v>1124702.9801125159</v>
      </c>
      <c r="NN67" s="525">
        <f t="shared" si="435"/>
        <v>1124702.9801125159</v>
      </c>
      <c r="NO67" s="525">
        <f t="shared" si="435"/>
        <v>1124702.9801125159</v>
      </c>
      <c r="NP67" s="525">
        <f t="shared" si="435"/>
        <v>1124702.9801125159</v>
      </c>
      <c r="NQ67" s="525">
        <f t="shared" si="435"/>
        <v>1124702.9801125159</v>
      </c>
      <c r="NR67" s="525">
        <f t="shared" si="435"/>
        <v>1124702.9801125159</v>
      </c>
      <c r="NS67" s="525">
        <f t="shared" si="435"/>
        <v>1124702.9801125159</v>
      </c>
      <c r="NT67" s="525">
        <f t="shared" si="435"/>
        <v>1124702.9801125159</v>
      </c>
      <c r="NU67" s="525">
        <f t="shared" si="435"/>
        <v>1124702.9801125159</v>
      </c>
      <c r="NV67" s="525">
        <f t="shared" si="435"/>
        <v>1124702.9801125159</v>
      </c>
      <c r="NW67" s="525">
        <f t="shared" si="435"/>
        <v>1124702.9801125159</v>
      </c>
      <c r="NX67" s="525">
        <f t="shared" si="435"/>
        <v>1147197.039714766</v>
      </c>
      <c r="NY67" s="525">
        <f t="shared" si="435"/>
        <v>1147197.039714766</v>
      </c>
      <c r="NZ67" s="525">
        <f t="shared" si="435"/>
        <v>1147197.039714766</v>
      </c>
      <c r="OA67" s="525">
        <f t="shared" si="435"/>
        <v>1147197.039714766</v>
      </c>
      <c r="OB67" s="525">
        <f t="shared" si="435"/>
        <v>1147197.039714766</v>
      </c>
      <c r="OC67" s="525">
        <f t="shared" si="435"/>
        <v>1147197.039714766</v>
      </c>
      <c r="OD67" s="525">
        <f t="shared" si="435"/>
        <v>1147197.039714766</v>
      </c>
      <c r="OE67" s="525">
        <f t="shared" ref="OE67:OO69" si="436">IF(OE$7&gt;=$E67,IF(OE$7&lt;=$F67,(($D67*(1+$C67)^(IF(OE$7&gt;=$E67,OE$6-YEAR($E67),0)))/12),0),0)</f>
        <v>1147197.039714766</v>
      </c>
      <c r="OF67" s="525">
        <f t="shared" si="436"/>
        <v>1147197.039714766</v>
      </c>
      <c r="OG67" s="525">
        <f t="shared" si="436"/>
        <v>1147197.039714766</v>
      </c>
      <c r="OH67" s="525">
        <f t="shared" si="436"/>
        <v>1147197.039714766</v>
      </c>
      <c r="OI67" s="525">
        <f t="shared" si="436"/>
        <v>1147197.039714766</v>
      </c>
      <c r="OJ67" s="525">
        <f t="shared" si="436"/>
        <v>1170140.9805090614</v>
      </c>
      <c r="OK67" s="525">
        <f t="shared" si="436"/>
        <v>1170140.9805090614</v>
      </c>
      <c r="OL67" s="525">
        <f t="shared" si="436"/>
        <v>1170140.9805090614</v>
      </c>
      <c r="OM67" s="525">
        <f t="shared" si="436"/>
        <v>1170140.9805090614</v>
      </c>
      <c r="ON67" s="525">
        <f t="shared" si="436"/>
        <v>1170140.9805090614</v>
      </c>
      <c r="OO67" s="525">
        <f t="shared" si="436"/>
        <v>1170140.9805090614</v>
      </c>
    </row>
    <row r="68" spans="2:405">
      <c r="B68" s="7" t="s">
        <v>16</v>
      </c>
      <c r="C68" s="472">
        <v>0.02</v>
      </c>
      <c r="D68" s="537">
        <f>Mortgage!D6</f>
        <v>45000</v>
      </c>
      <c r="E68" s="507">
        <f>Assumptions!$C$13</f>
        <v>47330</v>
      </c>
      <c r="F68" s="507">
        <f>EOMONTH(E68,Assumptions!$C$14-1)</f>
        <v>58256</v>
      </c>
      <c r="G68" s="97">
        <f t="shared" si="429"/>
        <v>360</v>
      </c>
      <c r="H68" s="97"/>
      <c r="I68" s="97"/>
      <c r="J68" s="525">
        <f t="shared" ref="J68:Y71" si="437">IF(J$7&gt;=$E68,IF(J$7&lt;=$F68,(($D68*(1+$C68)^(IF(J$7&gt;=$E68,J$6-YEAR($E68),0)))/12),0),0)</f>
        <v>0</v>
      </c>
      <c r="K68" s="525">
        <f t="shared" si="437"/>
        <v>0</v>
      </c>
      <c r="L68" s="525">
        <f t="shared" si="437"/>
        <v>0</v>
      </c>
      <c r="M68" s="525">
        <f t="shared" si="437"/>
        <v>0</v>
      </c>
      <c r="N68" s="525">
        <f t="shared" si="437"/>
        <v>0</v>
      </c>
      <c r="O68" s="525">
        <f t="shared" si="437"/>
        <v>0</v>
      </c>
      <c r="P68" s="525">
        <f t="shared" si="437"/>
        <v>0</v>
      </c>
      <c r="Q68" s="525">
        <f t="shared" si="437"/>
        <v>0</v>
      </c>
      <c r="R68" s="525">
        <f t="shared" si="437"/>
        <v>0</v>
      </c>
      <c r="S68" s="525">
        <f t="shared" si="437"/>
        <v>0</v>
      </c>
      <c r="T68" s="525">
        <f t="shared" si="437"/>
        <v>0</v>
      </c>
      <c r="U68" s="525">
        <f t="shared" si="437"/>
        <v>0</v>
      </c>
      <c r="V68" s="525">
        <f t="shared" si="437"/>
        <v>0</v>
      </c>
      <c r="W68" s="525">
        <f t="shared" si="437"/>
        <v>0</v>
      </c>
      <c r="X68" s="525">
        <f t="shared" si="437"/>
        <v>0</v>
      </c>
      <c r="Y68" s="525">
        <f t="shared" si="437"/>
        <v>0</v>
      </c>
      <c r="Z68" s="525">
        <f t="shared" si="430"/>
        <v>0</v>
      </c>
      <c r="AA68" s="525">
        <f t="shared" si="430"/>
        <v>0</v>
      </c>
      <c r="AB68" s="525">
        <f t="shared" si="430"/>
        <v>0</v>
      </c>
      <c r="AC68" s="525">
        <f t="shared" si="430"/>
        <v>0</v>
      </c>
      <c r="AD68" s="525">
        <f t="shared" si="430"/>
        <v>0</v>
      </c>
      <c r="AE68" s="525">
        <f t="shared" si="430"/>
        <v>0</v>
      </c>
      <c r="AF68" s="525">
        <f t="shared" si="430"/>
        <v>0</v>
      </c>
      <c r="AG68" s="525">
        <f t="shared" si="430"/>
        <v>0</v>
      </c>
      <c r="AH68" s="525">
        <f t="shared" si="430"/>
        <v>0</v>
      </c>
      <c r="AI68" s="525">
        <f t="shared" si="430"/>
        <v>0</v>
      </c>
      <c r="AJ68" s="525">
        <f t="shared" si="430"/>
        <v>0</v>
      </c>
      <c r="AK68" s="525">
        <f t="shared" si="430"/>
        <v>0</v>
      </c>
      <c r="AL68" s="525">
        <f t="shared" si="430"/>
        <v>0</v>
      </c>
      <c r="AM68" s="525">
        <f t="shared" si="430"/>
        <v>0</v>
      </c>
      <c r="AN68" s="525">
        <f t="shared" si="430"/>
        <v>0</v>
      </c>
      <c r="AO68" s="525">
        <f t="shared" si="430"/>
        <v>0</v>
      </c>
      <c r="AP68" s="525">
        <f t="shared" si="430"/>
        <v>0</v>
      </c>
      <c r="AQ68" s="525">
        <f t="shared" si="430"/>
        <v>0</v>
      </c>
      <c r="AR68" s="525">
        <f t="shared" si="430"/>
        <v>0</v>
      </c>
      <c r="AS68" s="525">
        <f t="shared" si="430"/>
        <v>0</v>
      </c>
      <c r="AT68" s="525">
        <f t="shared" si="430"/>
        <v>3750</v>
      </c>
      <c r="AU68" s="525">
        <f t="shared" si="430"/>
        <v>3750</v>
      </c>
      <c r="AV68" s="525">
        <f t="shared" si="430"/>
        <v>3750</v>
      </c>
      <c r="AW68" s="525">
        <f t="shared" si="430"/>
        <v>3750</v>
      </c>
      <c r="AX68" s="525">
        <f t="shared" si="430"/>
        <v>3750</v>
      </c>
      <c r="AY68" s="525">
        <f t="shared" si="430"/>
        <v>3750</v>
      </c>
      <c r="AZ68" s="525">
        <f t="shared" si="430"/>
        <v>3825</v>
      </c>
      <c r="BA68" s="525">
        <f t="shared" si="430"/>
        <v>3825</v>
      </c>
      <c r="BB68" s="525">
        <f t="shared" si="430"/>
        <v>3825</v>
      </c>
      <c r="BC68" s="525">
        <f t="shared" si="430"/>
        <v>3825</v>
      </c>
      <c r="BD68" s="525">
        <f t="shared" si="430"/>
        <v>3825</v>
      </c>
      <c r="BE68" s="525">
        <f t="shared" si="430"/>
        <v>3825</v>
      </c>
      <c r="BF68" s="525">
        <f t="shared" si="430"/>
        <v>3825</v>
      </c>
      <c r="BG68" s="525">
        <f t="shared" si="430"/>
        <v>3825</v>
      </c>
      <c r="BH68" s="525">
        <f t="shared" si="430"/>
        <v>3825</v>
      </c>
      <c r="BI68" s="525">
        <f t="shared" si="430"/>
        <v>3825</v>
      </c>
      <c r="BJ68" s="525">
        <f t="shared" si="430"/>
        <v>3825</v>
      </c>
      <c r="BK68" s="525">
        <f t="shared" si="430"/>
        <v>3825</v>
      </c>
      <c r="BL68" s="525">
        <f t="shared" si="430"/>
        <v>3901.5</v>
      </c>
      <c r="BM68" s="525">
        <f t="shared" si="430"/>
        <v>3901.5</v>
      </c>
      <c r="BN68" s="525">
        <f t="shared" si="430"/>
        <v>3901.5</v>
      </c>
      <c r="BO68" s="525">
        <f t="shared" si="430"/>
        <v>3901.5</v>
      </c>
      <c r="BP68" s="525">
        <f t="shared" si="430"/>
        <v>3901.5</v>
      </c>
      <c r="BQ68" s="525">
        <f t="shared" si="430"/>
        <v>3901.5</v>
      </c>
      <c r="BR68" s="525">
        <f t="shared" si="430"/>
        <v>3901.5</v>
      </c>
      <c r="BS68" s="525">
        <f t="shared" si="430"/>
        <v>3901.5</v>
      </c>
      <c r="BT68" s="525">
        <f t="shared" si="430"/>
        <v>3901.5</v>
      </c>
      <c r="BU68" s="525">
        <f t="shared" si="430"/>
        <v>3901.5</v>
      </c>
      <c r="BV68" s="525">
        <f t="shared" si="430"/>
        <v>3901.5</v>
      </c>
      <c r="BW68" s="525">
        <f t="shared" si="431"/>
        <v>3901.5</v>
      </c>
      <c r="BX68" s="525">
        <f t="shared" si="431"/>
        <v>3979.5299999999993</v>
      </c>
      <c r="BY68" s="525">
        <f t="shared" si="431"/>
        <v>3979.5299999999993</v>
      </c>
      <c r="BZ68" s="525">
        <f t="shared" si="431"/>
        <v>3979.5299999999993</v>
      </c>
      <c r="CA68" s="525">
        <f t="shared" si="431"/>
        <v>3979.5299999999993</v>
      </c>
      <c r="CB68" s="525">
        <f t="shared" si="431"/>
        <v>3979.5299999999993</v>
      </c>
      <c r="CC68" s="525">
        <f t="shared" si="431"/>
        <v>3979.5299999999993</v>
      </c>
      <c r="CD68" s="525">
        <f t="shared" si="431"/>
        <v>3979.5299999999993</v>
      </c>
      <c r="CE68" s="525">
        <f t="shared" si="431"/>
        <v>3979.5299999999993</v>
      </c>
      <c r="CF68" s="525">
        <f t="shared" si="431"/>
        <v>3979.5299999999993</v>
      </c>
      <c r="CG68" s="525">
        <f t="shared" si="431"/>
        <v>3979.5299999999993</v>
      </c>
      <c r="CH68" s="525">
        <f t="shared" si="431"/>
        <v>3979.5299999999993</v>
      </c>
      <c r="CI68" s="525">
        <f t="shared" si="431"/>
        <v>3979.5299999999993</v>
      </c>
      <c r="CJ68" s="525">
        <f t="shared" si="431"/>
        <v>4059.1206000000002</v>
      </c>
      <c r="CK68" s="525">
        <f t="shared" si="431"/>
        <v>4059.1206000000002</v>
      </c>
      <c r="CL68" s="525">
        <f t="shared" si="431"/>
        <v>4059.1206000000002</v>
      </c>
      <c r="CM68" s="525">
        <f t="shared" si="431"/>
        <v>4059.1206000000002</v>
      </c>
      <c r="CN68" s="525">
        <f t="shared" si="431"/>
        <v>4059.1206000000002</v>
      </c>
      <c r="CO68" s="525">
        <f t="shared" si="431"/>
        <v>4059.1206000000002</v>
      </c>
      <c r="CP68" s="525">
        <f t="shared" si="431"/>
        <v>4059.1206000000002</v>
      </c>
      <c r="CQ68" s="525">
        <f t="shared" si="431"/>
        <v>4059.1206000000002</v>
      </c>
      <c r="CR68" s="525">
        <f t="shared" si="431"/>
        <v>4059.1206000000002</v>
      </c>
      <c r="CS68" s="525">
        <f t="shared" si="431"/>
        <v>4059.1206000000002</v>
      </c>
      <c r="CT68" s="525">
        <f t="shared" si="431"/>
        <v>4059.1206000000002</v>
      </c>
      <c r="CU68" s="525">
        <f t="shared" si="431"/>
        <v>4059.1206000000002</v>
      </c>
      <c r="CV68" s="525">
        <f t="shared" si="431"/>
        <v>4140.3030120000003</v>
      </c>
      <c r="CW68" s="525">
        <f t="shared" si="431"/>
        <v>4140.3030120000003</v>
      </c>
      <c r="CX68" s="525">
        <f t="shared" si="431"/>
        <v>4140.3030120000003</v>
      </c>
      <c r="CY68" s="525">
        <f t="shared" si="431"/>
        <v>4140.3030120000003</v>
      </c>
      <c r="CZ68" s="525">
        <f t="shared" si="431"/>
        <v>4140.3030120000003</v>
      </c>
      <c r="DA68" s="525">
        <f t="shared" si="431"/>
        <v>4140.3030120000003</v>
      </c>
      <c r="DB68" s="525">
        <f t="shared" si="431"/>
        <v>4140.3030120000003</v>
      </c>
      <c r="DC68" s="525">
        <f t="shared" si="431"/>
        <v>4140.3030120000003</v>
      </c>
      <c r="DD68" s="525">
        <f t="shared" si="431"/>
        <v>4140.3030120000003</v>
      </c>
      <c r="DE68" s="525">
        <f t="shared" si="431"/>
        <v>4140.3030120000003</v>
      </c>
      <c r="DF68" s="525">
        <f t="shared" si="431"/>
        <v>4140.3030120000003</v>
      </c>
      <c r="DG68" s="525">
        <f t="shared" si="431"/>
        <v>4140.3030120000003</v>
      </c>
      <c r="DH68" s="525">
        <f t="shared" si="431"/>
        <v>4223.1090722400004</v>
      </c>
      <c r="DI68" s="525">
        <f t="shared" si="431"/>
        <v>4223.1090722400004</v>
      </c>
      <c r="DJ68" s="525">
        <f t="shared" si="431"/>
        <v>4223.1090722400004</v>
      </c>
      <c r="DK68" s="525">
        <f t="shared" si="431"/>
        <v>4223.1090722400004</v>
      </c>
      <c r="DL68" s="525">
        <f t="shared" si="431"/>
        <v>4223.1090722400004</v>
      </c>
      <c r="DM68" s="525">
        <f t="shared" si="431"/>
        <v>4223.1090722400004</v>
      </c>
      <c r="DN68" s="525">
        <f t="shared" si="431"/>
        <v>4223.1090722400004</v>
      </c>
      <c r="DO68" s="525">
        <f t="shared" si="431"/>
        <v>4223.1090722400004</v>
      </c>
      <c r="DP68" s="525">
        <f t="shared" si="431"/>
        <v>4223.1090722400004</v>
      </c>
      <c r="DQ68" s="525">
        <f t="shared" si="431"/>
        <v>4223.1090722400004</v>
      </c>
      <c r="DR68" s="525">
        <f t="shared" si="431"/>
        <v>4223.1090722400004</v>
      </c>
      <c r="DS68" s="525">
        <f t="shared" si="431"/>
        <v>4223.1090722400004</v>
      </c>
      <c r="DT68" s="525">
        <f t="shared" si="431"/>
        <v>4307.5712536847996</v>
      </c>
      <c r="DU68" s="525">
        <f t="shared" si="431"/>
        <v>4307.5712536847996</v>
      </c>
      <c r="DV68" s="525">
        <f t="shared" si="431"/>
        <v>4307.5712536847996</v>
      </c>
      <c r="DW68" s="525">
        <f t="shared" si="431"/>
        <v>4307.5712536847996</v>
      </c>
      <c r="DX68" s="525">
        <f t="shared" si="431"/>
        <v>4307.5712536847996</v>
      </c>
      <c r="DY68" s="525">
        <f t="shared" si="431"/>
        <v>4307.5712536847996</v>
      </c>
      <c r="DZ68" s="525">
        <f t="shared" si="431"/>
        <v>4307.5712536847996</v>
      </c>
      <c r="EA68" s="525">
        <f t="shared" si="431"/>
        <v>4307.5712536847996</v>
      </c>
      <c r="EB68" s="525">
        <f t="shared" si="431"/>
        <v>4307.5712536847996</v>
      </c>
      <c r="EC68" s="525">
        <f t="shared" si="431"/>
        <v>4307.5712536847996</v>
      </c>
      <c r="ED68" s="525">
        <f t="shared" si="431"/>
        <v>4307.5712536847996</v>
      </c>
      <c r="EE68" s="525">
        <f t="shared" si="431"/>
        <v>4307.5712536847996</v>
      </c>
      <c r="EF68" s="525">
        <f t="shared" si="431"/>
        <v>4393.7226787584959</v>
      </c>
      <c r="EG68" s="525">
        <f t="shared" si="431"/>
        <v>4393.7226787584959</v>
      </c>
      <c r="EH68" s="525">
        <f t="shared" si="431"/>
        <v>4393.7226787584959</v>
      </c>
      <c r="EI68" s="525">
        <f t="shared" si="432"/>
        <v>4393.7226787584959</v>
      </c>
      <c r="EJ68" s="525">
        <f t="shared" si="432"/>
        <v>4393.7226787584959</v>
      </c>
      <c r="EK68" s="525">
        <f t="shared" si="432"/>
        <v>4393.7226787584959</v>
      </c>
      <c r="EL68" s="525">
        <f t="shared" si="432"/>
        <v>4393.7226787584959</v>
      </c>
      <c r="EM68" s="525">
        <f t="shared" si="432"/>
        <v>4393.7226787584959</v>
      </c>
      <c r="EN68" s="525">
        <f t="shared" si="432"/>
        <v>4393.7226787584959</v>
      </c>
      <c r="EO68" s="525">
        <f t="shared" si="432"/>
        <v>4393.7226787584959</v>
      </c>
      <c r="EP68" s="525">
        <f t="shared" si="432"/>
        <v>4393.7226787584959</v>
      </c>
      <c r="EQ68" s="525">
        <f t="shared" si="432"/>
        <v>4393.7226787584959</v>
      </c>
      <c r="ER68" s="525">
        <f t="shared" si="432"/>
        <v>4481.5971323336662</v>
      </c>
      <c r="ES68" s="525">
        <f t="shared" si="432"/>
        <v>4481.5971323336662</v>
      </c>
      <c r="ET68" s="525">
        <f t="shared" si="432"/>
        <v>4481.5971323336662</v>
      </c>
      <c r="EU68" s="525">
        <f t="shared" si="432"/>
        <v>4481.5971323336662</v>
      </c>
      <c r="EV68" s="525">
        <f t="shared" si="432"/>
        <v>4481.5971323336662</v>
      </c>
      <c r="EW68" s="525">
        <f t="shared" si="432"/>
        <v>4481.5971323336662</v>
      </c>
      <c r="EX68" s="525">
        <f t="shared" si="432"/>
        <v>4481.5971323336662</v>
      </c>
      <c r="EY68" s="525">
        <f t="shared" si="432"/>
        <v>4481.5971323336662</v>
      </c>
      <c r="EZ68" s="525">
        <f t="shared" si="432"/>
        <v>4481.5971323336662</v>
      </c>
      <c r="FA68" s="525">
        <f t="shared" si="432"/>
        <v>4481.5971323336662</v>
      </c>
      <c r="FB68" s="525">
        <f t="shared" si="432"/>
        <v>4481.5971323336662</v>
      </c>
      <c r="FC68" s="525">
        <f t="shared" si="432"/>
        <v>4481.5971323336662</v>
      </c>
      <c r="FD68" s="525">
        <f t="shared" si="432"/>
        <v>4571.2290749803387</v>
      </c>
      <c r="FE68" s="525">
        <f t="shared" si="432"/>
        <v>4571.2290749803387</v>
      </c>
      <c r="FF68" s="525">
        <f t="shared" si="432"/>
        <v>4571.2290749803387</v>
      </c>
      <c r="FG68" s="525">
        <f t="shared" si="432"/>
        <v>4571.2290749803387</v>
      </c>
      <c r="FH68" s="525">
        <f t="shared" si="432"/>
        <v>4571.2290749803387</v>
      </c>
      <c r="FI68" s="525">
        <f t="shared" si="432"/>
        <v>4571.2290749803387</v>
      </c>
      <c r="FJ68" s="525">
        <f t="shared" si="432"/>
        <v>4571.2290749803387</v>
      </c>
      <c r="FK68" s="525">
        <f t="shared" si="432"/>
        <v>4571.2290749803387</v>
      </c>
      <c r="FL68" s="525">
        <f t="shared" si="432"/>
        <v>4571.2290749803387</v>
      </c>
      <c r="FM68" s="525">
        <f t="shared" si="432"/>
        <v>4571.2290749803387</v>
      </c>
      <c r="FN68" s="525">
        <f t="shared" si="432"/>
        <v>4571.2290749803387</v>
      </c>
      <c r="FO68" s="525">
        <f t="shared" si="432"/>
        <v>4571.2290749803387</v>
      </c>
      <c r="FP68" s="525">
        <f t="shared" si="432"/>
        <v>4662.6536564799453</v>
      </c>
      <c r="FQ68" s="525">
        <f t="shared" si="432"/>
        <v>4662.6536564799453</v>
      </c>
      <c r="FR68" s="525">
        <f t="shared" si="432"/>
        <v>4662.6536564799453</v>
      </c>
      <c r="FS68" s="525">
        <f t="shared" si="432"/>
        <v>4662.6536564799453</v>
      </c>
      <c r="FT68" s="525">
        <f t="shared" si="432"/>
        <v>4662.6536564799453</v>
      </c>
      <c r="FU68" s="525">
        <f t="shared" si="432"/>
        <v>4662.6536564799453</v>
      </c>
      <c r="FV68" s="525">
        <f t="shared" si="432"/>
        <v>4662.6536564799453</v>
      </c>
      <c r="FW68" s="525">
        <f t="shared" si="432"/>
        <v>4662.6536564799453</v>
      </c>
      <c r="FX68" s="525">
        <f t="shared" si="432"/>
        <v>4662.6536564799453</v>
      </c>
      <c r="FY68" s="525">
        <f t="shared" si="432"/>
        <v>4662.6536564799453</v>
      </c>
      <c r="FZ68" s="525">
        <f t="shared" si="432"/>
        <v>4662.6536564799453</v>
      </c>
      <c r="GA68" s="525">
        <f t="shared" si="432"/>
        <v>4662.6536564799453</v>
      </c>
      <c r="GB68" s="525">
        <f t="shared" si="432"/>
        <v>4755.9067296095445</v>
      </c>
      <c r="GC68" s="525">
        <f t="shared" si="432"/>
        <v>4755.9067296095445</v>
      </c>
      <c r="GD68" s="525">
        <f t="shared" si="432"/>
        <v>4755.9067296095445</v>
      </c>
      <c r="GE68" s="525">
        <f t="shared" si="432"/>
        <v>4755.9067296095445</v>
      </c>
      <c r="GF68" s="525">
        <f t="shared" si="432"/>
        <v>4755.9067296095445</v>
      </c>
      <c r="GG68" s="525">
        <f t="shared" si="432"/>
        <v>4755.9067296095445</v>
      </c>
      <c r="GH68" s="525">
        <f t="shared" si="432"/>
        <v>4755.9067296095445</v>
      </c>
      <c r="GI68" s="525">
        <f t="shared" si="432"/>
        <v>4755.9067296095445</v>
      </c>
      <c r="GJ68" s="525">
        <f t="shared" si="432"/>
        <v>4755.9067296095445</v>
      </c>
      <c r="GK68" s="525">
        <f t="shared" si="432"/>
        <v>4755.9067296095445</v>
      </c>
      <c r="GL68" s="525">
        <f t="shared" si="432"/>
        <v>4755.9067296095445</v>
      </c>
      <c r="GM68" s="525">
        <f t="shared" si="432"/>
        <v>4755.9067296095445</v>
      </c>
      <c r="GN68" s="525">
        <f t="shared" si="432"/>
        <v>4851.024864201735</v>
      </c>
      <c r="GO68" s="525">
        <f t="shared" si="432"/>
        <v>4851.024864201735</v>
      </c>
      <c r="GP68" s="525">
        <f t="shared" si="432"/>
        <v>4851.024864201735</v>
      </c>
      <c r="GQ68" s="525">
        <f t="shared" si="432"/>
        <v>4851.024864201735</v>
      </c>
      <c r="GR68" s="525">
        <f t="shared" si="432"/>
        <v>4851.024864201735</v>
      </c>
      <c r="GS68" s="525">
        <f t="shared" si="432"/>
        <v>4851.024864201735</v>
      </c>
      <c r="GT68" s="525">
        <f t="shared" si="432"/>
        <v>4851.024864201735</v>
      </c>
      <c r="GU68" s="525">
        <f t="shared" si="433"/>
        <v>4851.024864201735</v>
      </c>
      <c r="GV68" s="525">
        <f t="shared" si="433"/>
        <v>4851.024864201735</v>
      </c>
      <c r="GW68" s="525">
        <f t="shared" si="433"/>
        <v>4851.024864201735</v>
      </c>
      <c r="GX68" s="525">
        <f t="shared" si="433"/>
        <v>4851.024864201735</v>
      </c>
      <c r="GY68" s="525">
        <f t="shared" si="433"/>
        <v>4851.024864201735</v>
      </c>
      <c r="GZ68" s="525">
        <f t="shared" si="433"/>
        <v>4948.0453614857706</v>
      </c>
      <c r="HA68" s="525">
        <f t="shared" si="433"/>
        <v>4948.0453614857706</v>
      </c>
      <c r="HB68" s="525">
        <f t="shared" si="433"/>
        <v>4948.0453614857706</v>
      </c>
      <c r="HC68" s="525">
        <f t="shared" si="433"/>
        <v>4948.0453614857706</v>
      </c>
      <c r="HD68" s="525">
        <f t="shared" si="433"/>
        <v>4948.0453614857706</v>
      </c>
      <c r="HE68" s="525">
        <f t="shared" si="433"/>
        <v>4948.0453614857706</v>
      </c>
      <c r="HF68" s="525">
        <f t="shared" si="433"/>
        <v>4948.0453614857706</v>
      </c>
      <c r="HG68" s="525">
        <f t="shared" si="433"/>
        <v>4948.0453614857706</v>
      </c>
      <c r="HH68" s="525">
        <f t="shared" si="433"/>
        <v>4948.0453614857706</v>
      </c>
      <c r="HI68" s="525">
        <f t="shared" si="433"/>
        <v>4948.0453614857706</v>
      </c>
      <c r="HJ68" s="525">
        <f t="shared" si="433"/>
        <v>4948.0453614857706</v>
      </c>
      <c r="HK68" s="525">
        <f t="shared" si="433"/>
        <v>4948.0453614857706</v>
      </c>
      <c r="HL68" s="525">
        <f t="shared" si="433"/>
        <v>5047.006268715485</v>
      </c>
      <c r="HM68" s="525">
        <f t="shared" si="433"/>
        <v>5047.006268715485</v>
      </c>
      <c r="HN68" s="525">
        <f t="shared" si="433"/>
        <v>5047.006268715485</v>
      </c>
      <c r="HO68" s="525">
        <f t="shared" si="433"/>
        <v>5047.006268715485</v>
      </c>
      <c r="HP68" s="525">
        <f t="shared" si="433"/>
        <v>5047.006268715485</v>
      </c>
      <c r="HQ68" s="525">
        <f t="shared" si="433"/>
        <v>5047.006268715485</v>
      </c>
      <c r="HR68" s="525">
        <f t="shared" si="433"/>
        <v>5047.006268715485</v>
      </c>
      <c r="HS68" s="525">
        <f t="shared" si="433"/>
        <v>5047.006268715485</v>
      </c>
      <c r="HT68" s="525">
        <f t="shared" si="433"/>
        <v>5047.006268715485</v>
      </c>
      <c r="HU68" s="525">
        <f t="shared" si="433"/>
        <v>5047.006268715485</v>
      </c>
      <c r="HV68" s="525">
        <f t="shared" si="433"/>
        <v>5047.006268715485</v>
      </c>
      <c r="HW68" s="525">
        <f t="shared" si="433"/>
        <v>5047.006268715485</v>
      </c>
      <c r="HX68" s="525">
        <f t="shared" si="433"/>
        <v>5147.9463940897949</v>
      </c>
      <c r="HY68" s="525">
        <f t="shared" si="433"/>
        <v>5147.9463940897949</v>
      </c>
      <c r="HZ68" s="525">
        <f t="shared" si="433"/>
        <v>5147.9463940897949</v>
      </c>
      <c r="IA68" s="525">
        <f t="shared" si="433"/>
        <v>5147.9463940897949</v>
      </c>
      <c r="IB68" s="525">
        <f t="shared" si="433"/>
        <v>5147.9463940897949</v>
      </c>
      <c r="IC68" s="525">
        <f t="shared" si="433"/>
        <v>5147.9463940897949</v>
      </c>
      <c r="ID68" s="525">
        <f t="shared" si="433"/>
        <v>5147.9463940897949</v>
      </c>
      <c r="IE68" s="525">
        <f t="shared" si="433"/>
        <v>5147.9463940897949</v>
      </c>
      <c r="IF68" s="525">
        <f t="shared" si="433"/>
        <v>5147.9463940897949</v>
      </c>
      <c r="IG68" s="525">
        <f t="shared" si="433"/>
        <v>5147.9463940897949</v>
      </c>
      <c r="IH68" s="525">
        <f t="shared" si="433"/>
        <v>5147.9463940897949</v>
      </c>
      <c r="II68" s="525">
        <f t="shared" si="433"/>
        <v>5147.9463940897949</v>
      </c>
      <c r="IJ68" s="525">
        <f t="shared" si="433"/>
        <v>5250.9053219715915</v>
      </c>
      <c r="IK68" s="525">
        <f t="shared" si="433"/>
        <v>5250.9053219715915</v>
      </c>
      <c r="IL68" s="525">
        <f t="shared" si="433"/>
        <v>5250.9053219715915</v>
      </c>
      <c r="IM68" s="525">
        <f t="shared" si="433"/>
        <v>5250.9053219715915</v>
      </c>
      <c r="IN68" s="525">
        <f t="shared" si="433"/>
        <v>5250.9053219715915</v>
      </c>
      <c r="IO68" s="525">
        <f t="shared" si="433"/>
        <v>5250.9053219715915</v>
      </c>
      <c r="IP68" s="525">
        <f t="shared" si="433"/>
        <v>5250.9053219715915</v>
      </c>
      <c r="IQ68" s="525">
        <f t="shared" si="433"/>
        <v>5250.9053219715915</v>
      </c>
      <c r="IR68" s="525">
        <f t="shared" si="433"/>
        <v>5250.9053219715915</v>
      </c>
      <c r="IS68" s="525">
        <f t="shared" si="433"/>
        <v>5250.9053219715915</v>
      </c>
      <c r="IT68" s="525">
        <f t="shared" si="433"/>
        <v>5250.9053219715915</v>
      </c>
      <c r="IU68" s="525">
        <f t="shared" si="433"/>
        <v>5250.9053219715915</v>
      </c>
      <c r="IV68" s="525">
        <f t="shared" si="433"/>
        <v>5355.9234284110225</v>
      </c>
      <c r="IW68" s="525">
        <f t="shared" si="433"/>
        <v>5355.9234284110225</v>
      </c>
      <c r="IX68" s="525">
        <f t="shared" si="433"/>
        <v>5355.9234284110225</v>
      </c>
      <c r="IY68" s="525">
        <f t="shared" si="433"/>
        <v>5355.9234284110225</v>
      </c>
      <c r="IZ68" s="525">
        <f t="shared" si="433"/>
        <v>5355.9234284110225</v>
      </c>
      <c r="JA68" s="525">
        <f t="shared" si="433"/>
        <v>5355.9234284110225</v>
      </c>
      <c r="JB68" s="525">
        <f t="shared" si="433"/>
        <v>5355.9234284110225</v>
      </c>
      <c r="JC68" s="525">
        <f t="shared" si="433"/>
        <v>5355.9234284110225</v>
      </c>
      <c r="JD68" s="525">
        <f t="shared" si="433"/>
        <v>5355.9234284110225</v>
      </c>
      <c r="JE68" s="525">
        <f t="shared" si="433"/>
        <v>5355.9234284110225</v>
      </c>
      <c r="JF68" s="525">
        <f t="shared" si="433"/>
        <v>5355.9234284110225</v>
      </c>
      <c r="JG68" s="525">
        <f t="shared" si="434"/>
        <v>5355.9234284110225</v>
      </c>
      <c r="JH68" s="525">
        <f t="shared" si="434"/>
        <v>5463.0418969792436</v>
      </c>
      <c r="JI68" s="525">
        <f t="shared" si="434"/>
        <v>5463.0418969792436</v>
      </c>
      <c r="JJ68" s="525">
        <f t="shared" si="434"/>
        <v>5463.0418969792436</v>
      </c>
      <c r="JK68" s="525">
        <f t="shared" si="434"/>
        <v>5463.0418969792436</v>
      </c>
      <c r="JL68" s="525">
        <f t="shared" si="434"/>
        <v>5463.0418969792436</v>
      </c>
      <c r="JM68" s="525">
        <f t="shared" si="434"/>
        <v>5463.0418969792436</v>
      </c>
      <c r="JN68" s="525">
        <f t="shared" si="434"/>
        <v>5463.0418969792436</v>
      </c>
      <c r="JO68" s="525">
        <f t="shared" si="434"/>
        <v>5463.0418969792436</v>
      </c>
      <c r="JP68" s="525">
        <f t="shared" si="434"/>
        <v>5463.0418969792436</v>
      </c>
      <c r="JQ68" s="525">
        <f t="shared" si="434"/>
        <v>5463.0418969792436</v>
      </c>
      <c r="JR68" s="525">
        <f t="shared" si="434"/>
        <v>5463.0418969792436</v>
      </c>
      <c r="JS68" s="525">
        <f t="shared" si="434"/>
        <v>5463.0418969792436</v>
      </c>
      <c r="JT68" s="525">
        <f t="shared" si="434"/>
        <v>5572.3027349188278</v>
      </c>
      <c r="JU68" s="525">
        <f t="shared" si="434"/>
        <v>5572.3027349188278</v>
      </c>
      <c r="JV68" s="525">
        <f t="shared" si="434"/>
        <v>5572.3027349188278</v>
      </c>
      <c r="JW68" s="525">
        <f t="shared" si="434"/>
        <v>5572.3027349188278</v>
      </c>
      <c r="JX68" s="525">
        <f t="shared" si="434"/>
        <v>5572.3027349188278</v>
      </c>
      <c r="JY68" s="525">
        <f t="shared" si="434"/>
        <v>5572.3027349188278</v>
      </c>
      <c r="JZ68" s="525">
        <f t="shared" si="434"/>
        <v>5572.3027349188278</v>
      </c>
      <c r="KA68" s="525">
        <f t="shared" si="434"/>
        <v>5572.3027349188278</v>
      </c>
      <c r="KB68" s="525">
        <f t="shared" si="434"/>
        <v>5572.3027349188278</v>
      </c>
      <c r="KC68" s="525">
        <f t="shared" si="434"/>
        <v>5572.3027349188278</v>
      </c>
      <c r="KD68" s="525">
        <f t="shared" si="434"/>
        <v>5572.3027349188278</v>
      </c>
      <c r="KE68" s="525">
        <f t="shared" si="434"/>
        <v>5572.3027349188278</v>
      </c>
      <c r="KF68" s="525">
        <f t="shared" si="434"/>
        <v>5683.7487896172051</v>
      </c>
      <c r="KG68" s="525">
        <f t="shared" si="434"/>
        <v>5683.7487896172051</v>
      </c>
      <c r="KH68" s="525">
        <f t="shared" si="434"/>
        <v>5683.7487896172051</v>
      </c>
      <c r="KI68" s="525">
        <f t="shared" si="434"/>
        <v>5683.7487896172051</v>
      </c>
      <c r="KJ68" s="525">
        <f t="shared" si="434"/>
        <v>5683.7487896172051</v>
      </c>
      <c r="KK68" s="525">
        <f t="shared" si="434"/>
        <v>5683.7487896172051</v>
      </c>
      <c r="KL68" s="525">
        <f t="shared" si="434"/>
        <v>5683.7487896172051</v>
      </c>
      <c r="KM68" s="525">
        <f t="shared" si="434"/>
        <v>5683.7487896172051</v>
      </c>
      <c r="KN68" s="525">
        <f t="shared" si="434"/>
        <v>5683.7487896172051</v>
      </c>
      <c r="KO68" s="525">
        <f t="shared" si="434"/>
        <v>5683.7487896172051</v>
      </c>
      <c r="KP68" s="525">
        <f t="shared" si="434"/>
        <v>5683.7487896172051</v>
      </c>
      <c r="KQ68" s="525">
        <f t="shared" si="434"/>
        <v>5683.7487896172051</v>
      </c>
      <c r="KR68" s="525">
        <f t="shared" si="434"/>
        <v>5797.4237654095487</v>
      </c>
      <c r="KS68" s="525">
        <f t="shared" si="434"/>
        <v>5797.4237654095487</v>
      </c>
      <c r="KT68" s="525">
        <f t="shared" si="434"/>
        <v>5797.4237654095487</v>
      </c>
      <c r="KU68" s="525">
        <f t="shared" si="434"/>
        <v>5797.4237654095487</v>
      </c>
      <c r="KV68" s="525">
        <f t="shared" si="434"/>
        <v>5797.4237654095487</v>
      </c>
      <c r="KW68" s="525">
        <f t="shared" si="434"/>
        <v>5797.4237654095487</v>
      </c>
      <c r="KX68" s="525">
        <f t="shared" si="434"/>
        <v>5797.4237654095487</v>
      </c>
      <c r="KY68" s="525">
        <f t="shared" si="434"/>
        <v>5797.4237654095487</v>
      </c>
      <c r="KZ68" s="525">
        <f t="shared" si="434"/>
        <v>5797.4237654095487</v>
      </c>
      <c r="LA68" s="525">
        <f t="shared" si="434"/>
        <v>5797.4237654095487</v>
      </c>
      <c r="LB68" s="525">
        <f t="shared" si="434"/>
        <v>5797.4237654095487</v>
      </c>
      <c r="LC68" s="525">
        <f t="shared" si="434"/>
        <v>5797.4237654095487</v>
      </c>
      <c r="LD68" s="525">
        <f t="shared" si="434"/>
        <v>5913.3722407177384</v>
      </c>
      <c r="LE68" s="525">
        <f t="shared" si="434"/>
        <v>5913.3722407177384</v>
      </c>
      <c r="LF68" s="525">
        <f t="shared" si="434"/>
        <v>5913.3722407177384</v>
      </c>
      <c r="LG68" s="525">
        <f t="shared" si="434"/>
        <v>5913.3722407177384</v>
      </c>
      <c r="LH68" s="525">
        <f t="shared" si="434"/>
        <v>5913.3722407177384</v>
      </c>
      <c r="LI68" s="525">
        <f t="shared" si="434"/>
        <v>5913.3722407177384</v>
      </c>
      <c r="LJ68" s="525">
        <f t="shared" si="434"/>
        <v>5913.3722407177384</v>
      </c>
      <c r="LK68" s="525">
        <f t="shared" si="434"/>
        <v>5913.3722407177384</v>
      </c>
      <c r="LL68" s="525">
        <f t="shared" si="434"/>
        <v>5913.3722407177384</v>
      </c>
      <c r="LM68" s="525">
        <f t="shared" si="434"/>
        <v>5913.3722407177384</v>
      </c>
      <c r="LN68" s="525">
        <f t="shared" si="434"/>
        <v>5913.3722407177384</v>
      </c>
      <c r="LO68" s="525">
        <f t="shared" si="434"/>
        <v>5913.3722407177384</v>
      </c>
      <c r="LP68" s="525">
        <f t="shared" si="434"/>
        <v>6031.6396855320936</v>
      </c>
      <c r="LQ68" s="525">
        <f t="shared" si="434"/>
        <v>6031.6396855320936</v>
      </c>
      <c r="LR68" s="525">
        <f t="shared" si="434"/>
        <v>6031.6396855320936</v>
      </c>
      <c r="LS68" s="525">
        <f t="shared" si="435"/>
        <v>6031.6396855320936</v>
      </c>
      <c r="LT68" s="525">
        <f t="shared" si="435"/>
        <v>6031.6396855320936</v>
      </c>
      <c r="LU68" s="525">
        <f t="shared" si="435"/>
        <v>6031.6396855320936</v>
      </c>
      <c r="LV68" s="525">
        <f t="shared" si="435"/>
        <v>6031.6396855320936</v>
      </c>
      <c r="LW68" s="525">
        <f t="shared" si="435"/>
        <v>6031.6396855320936</v>
      </c>
      <c r="LX68" s="525">
        <f t="shared" si="435"/>
        <v>6031.6396855320936</v>
      </c>
      <c r="LY68" s="525">
        <f t="shared" si="435"/>
        <v>6031.6396855320936</v>
      </c>
      <c r="LZ68" s="525">
        <f t="shared" si="435"/>
        <v>6031.6396855320936</v>
      </c>
      <c r="MA68" s="525">
        <f t="shared" si="435"/>
        <v>6031.6396855320936</v>
      </c>
      <c r="MB68" s="525">
        <f t="shared" si="435"/>
        <v>6152.2724792427362</v>
      </c>
      <c r="MC68" s="525">
        <f t="shared" si="435"/>
        <v>6152.2724792427362</v>
      </c>
      <c r="MD68" s="525">
        <f t="shared" si="435"/>
        <v>6152.2724792427362</v>
      </c>
      <c r="ME68" s="525">
        <f t="shared" si="435"/>
        <v>6152.2724792427362</v>
      </c>
      <c r="MF68" s="525">
        <f t="shared" si="435"/>
        <v>6152.2724792427362</v>
      </c>
      <c r="MG68" s="525">
        <f t="shared" si="435"/>
        <v>6152.2724792427362</v>
      </c>
      <c r="MH68" s="525">
        <f t="shared" si="435"/>
        <v>6152.2724792427362</v>
      </c>
      <c r="MI68" s="525">
        <f t="shared" si="435"/>
        <v>6152.2724792427362</v>
      </c>
      <c r="MJ68" s="525">
        <f t="shared" si="435"/>
        <v>6152.2724792427362</v>
      </c>
      <c r="MK68" s="525">
        <f t="shared" si="435"/>
        <v>6152.2724792427362</v>
      </c>
      <c r="ML68" s="525">
        <f t="shared" si="435"/>
        <v>6152.2724792427362</v>
      </c>
      <c r="MM68" s="525">
        <f t="shared" si="435"/>
        <v>6152.2724792427362</v>
      </c>
      <c r="MN68" s="525">
        <f t="shared" si="435"/>
        <v>6275.3179288275905</v>
      </c>
      <c r="MO68" s="525">
        <f t="shared" si="435"/>
        <v>6275.3179288275905</v>
      </c>
      <c r="MP68" s="525">
        <f t="shared" si="435"/>
        <v>6275.3179288275905</v>
      </c>
      <c r="MQ68" s="525">
        <f t="shared" si="435"/>
        <v>6275.3179288275905</v>
      </c>
      <c r="MR68" s="525">
        <f t="shared" si="435"/>
        <v>6275.3179288275905</v>
      </c>
      <c r="MS68" s="525">
        <f t="shared" si="435"/>
        <v>6275.3179288275905</v>
      </c>
      <c r="MT68" s="525">
        <f t="shared" si="435"/>
        <v>6275.3179288275905</v>
      </c>
      <c r="MU68" s="525">
        <f t="shared" si="435"/>
        <v>6275.3179288275905</v>
      </c>
      <c r="MV68" s="525">
        <f t="shared" si="435"/>
        <v>6275.3179288275905</v>
      </c>
      <c r="MW68" s="525">
        <f t="shared" si="435"/>
        <v>6275.3179288275905</v>
      </c>
      <c r="MX68" s="525">
        <f t="shared" si="435"/>
        <v>6275.3179288275905</v>
      </c>
      <c r="MY68" s="525">
        <f t="shared" si="435"/>
        <v>6275.3179288275905</v>
      </c>
      <c r="MZ68" s="525">
        <f t="shared" si="435"/>
        <v>6400.8242874041416</v>
      </c>
      <c r="NA68" s="525">
        <f t="shared" si="435"/>
        <v>6400.8242874041416</v>
      </c>
      <c r="NB68" s="525">
        <f t="shared" si="435"/>
        <v>6400.8242874041416</v>
      </c>
      <c r="NC68" s="525">
        <f t="shared" si="435"/>
        <v>6400.8242874041416</v>
      </c>
      <c r="ND68" s="525">
        <f t="shared" si="435"/>
        <v>6400.8242874041416</v>
      </c>
      <c r="NE68" s="525">
        <f t="shared" si="435"/>
        <v>6400.8242874041416</v>
      </c>
      <c r="NF68" s="525">
        <f t="shared" si="435"/>
        <v>6400.8242874041416</v>
      </c>
      <c r="NG68" s="525">
        <f t="shared" si="435"/>
        <v>6400.8242874041416</v>
      </c>
      <c r="NH68" s="525">
        <f t="shared" si="435"/>
        <v>6400.8242874041416</v>
      </c>
      <c r="NI68" s="525">
        <f t="shared" si="435"/>
        <v>6400.8242874041416</v>
      </c>
      <c r="NJ68" s="525">
        <f t="shared" si="435"/>
        <v>6400.8242874041416</v>
      </c>
      <c r="NK68" s="525">
        <f t="shared" si="435"/>
        <v>6400.8242874041416</v>
      </c>
      <c r="NL68" s="525">
        <f t="shared" si="435"/>
        <v>6528.8407731522266</v>
      </c>
      <c r="NM68" s="525">
        <f t="shared" si="435"/>
        <v>6528.8407731522266</v>
      </c>
      <c r="NN68" s="525">
        <f t="shared" si="435"/>
        <v>6528.8407731522266</v>
      </c>
      <c r="NO68" s="525">
        <f t="shared" si="435"/>
        <v>6528.8407731522266</v>
      </c>
      <c r="NP68" s="525">
        <f t="shared" si="435"/>
        <v>6528.8407731522266</v>
      </c>
      <c r="NQ68" s="525">
        <f t="shared" si="435"/>
        <v>6528.8407731522266</v>
      </c>
      <c r="NR68" s="525">
        <f t="shared" si="435"/>
        <v>6528.8407731522266</v>
      </c>
      <c r="NS68" s="525">
        <f t="shared" si="435"/>
        <v>6528.8407731522266</v>
      </c>
      <c r="NT68" s="525">
        <f t="shared" si="435"/>
        <v>6528.8407731522266</v>
      </c>
      <c r="NU68" s="525">
        <f t="shared" si="435"/>
        <v>6528.8407731522266</v>
      </c>
      <c r="NV68" s="525">
        <f t="shared" si="435"/>
        <v>6528.8407731522266</v>
      </c>
      <c r="NW68" s="525">
        <f t="shared" si="435"/>
        <v>6528.8407731522266</v>
      </c>
      <c r="NX68" s="525">
        <f t="shared" si="435"/>
        <v>6659.4175886152698</v>
      </c>
      <c r="NY68" s="525">
        <f t="shared" si="435"/>
        <v>6659.4175886152698</v>
      </c>
      <c r="NZ68" s="525">
        <f t="shared" si="435"/>
        <v>6659.4175886152698</v>
      </c>
      <c r="OA68" s="525">
        <f t="shared" si="435"/>
        <v>6659.4175886152698</v>
      </c>
      <c r="OB68" s="525">
        <f t="shared" si="435"/>
        <v>6659.4175886152698</v>
      </c>
      <c r="OC68" s="525">
        <f t="shared" si="435"/>
        <v>6659.4175886152698</v>
      </c>
      <c r="OD68" s="525">
        <f t="shared" si="435"/>
        <v>6659.4175886152698</v>
      </c>
      <c r="OE68" s="525">
        <f t="shared" si="436"/>
        <v>6659.4175886152698</v>
      </c>
      <c r="OF68" s="525">
        <f t="shared" si="436"/>
        <v>6659.4175886152698</v>
      </c>
      <c r="OG68" s="525">
        <f t="shared" si="436"/>
        <v>6659.4175886152698</v>
      </c>
      <c r="OH68" s="525">
        <f t="shared" si="436"/>
        <v>6659.4175886152698</v>
      </c>
      <c r="OI68" s="525">
        <f t="shared" si="436"/>
        <v>6659.4175886152698</v>
      </c>
      <c r="OJ68" s="525">
        <f t="shared" si="436"/>
        <v>6792.6059403875761</v>
      </c>
      <c r="OK68" s="525">
        <f t="shared" si="436"/>
        <v>6792.6059403875761</v>
      </c>
      <c r="OL68" s="525">
        <f t="shared" si="436"/>
        <v>6792.6059403875761</v>
      </c>
      <c r="OM68" s="525">
        <f t="shared" si="436"/>
        <v>6792.6059403875761</v>
      </c>
      <c r="ON68" s="525">
        <f t="shared" si="436"/>
        <v>6792.6059403875761</v>
      </c>
      <c r="OO68" s="525">
        <f t="shared" si="436"/>
        <v>6792.6059403875761</v>
      </c>
    </row>
    <row r="69" spans="2:405">
      <c r="B69" s="7" t="s">
        <v>68</v>
      </c>
      <c r="C69" s="472">
        <v>0.02</v>
      </c>
      <c r="D69" s="537">
        <f>Mortgage!D7</f>
        <v>0</v>
      </c>
      <c r="E69" s="507">
        <f>Assumptions!$C$13</f>
        <v>47330</v>
      </c>
      <c r="F69" s="507">
        <f>EOMONTH(E69,Assumptions!$C$14-1)</f>
        <v>58256</v>
      </c>
      <c r="G69" s="97">
        <f t="shared" si="429"/>
        <v>360</v>
      </c>
      <c r="H69" s="97"/>
      <c r="I69" s="97"/>
      <c r="J69" s="525">
        <f t="shared" si="437"/>
        <v>0</v>
      </c>
      <c r="K69" s="525">
        <f t="shared" ref="K69:BV71" si="438">IF(K$7&gt;=$E69,IF(K$7&lt;=$F69,(($D69*(1+$C69)^(IF(K$7&gt;=$E69,K$6-YEAR($E69),0)))/12),0),0)</f>
        <v>0</v>
      </c>
      <c r="L69" s="525">
        <f t="shared" si="438"/>
        <v>0</v>
      </c>
      <c r="M69" s="525">
        <f t="shared" si="438"/>
        <v>0</v>
      </c>
      <c r="N69" s="525">
        <f t="shared" si="438"/>
        <v>0</v>
      </c>
      <c r="O69" s="525">
        <f t="shared" si="438"/>
        <v>0</v>
      </c>
      <c r="P69" s="525">
        <f t="shared" si="438"/>
        <v>0</v>
      </c>
      <c r="Q69" s="525">
        <f t="shared" si="438"/>
        <v>0</v>
      </c>
      <c r="R69" s="525">
        <f t="shared" si="438"/>
        <v>0</v>
      </c>
      <c r="S69" s="525">
        <f t="shared" si="438"/>
        <v>0</v>
      </c>
      <c r="T69" s="525">
        <f t="shared" si="438"/>
        <v>0</v>
      </c>
      <c r="U69" s="525">
        <f t="shared" si="438"/>
        <v>0</v>
      </c>
      <c r="V69" s="525">
        <f t="shared" si="438"/>
        <v>0</v>
      </c>
      <c r="W69" s="525">
        <f t="shared" si="438"/>
        <v>0</v>
      </c>
      <c r="X69" s="525">
        <f t="shared" si="438"/>
        <v>0</v>
      </c>
      <c r="Y69" s="525">
        <f t="shared" si="438"/>
        <v>0</v>
      </c>
      <c r="Z69" s="525">
        <f t="shared" si="438"/>
        <v>0</v>
      </c>
      <c r="AA69" s="525">
        <f t="shared" si="438"/>
        <v>0</v>
      </c>
      <c r="AB69" s="525">
        <f t="shared" si="438"/>
        <v>0</v>
      </c>
      <c r="AC69" s="525">
        <f t="shared" si="438"/>
        <v>0</v>
      </c>
      <c r="AD69" s="525">
        <f t="shared" si="438"/>
        <v>0</v>
      </c>
      <c r="AE69" s="525">
        <f t="shared" si="438"/>
        <v>0</v>
      </c>
      <c r="AF69" s="525">
        <f t="shared" si="438"/>
        <v>0</v>
      </c>
      <c r="AG69" s="525">
        <f t="shared" si="438"/>
        <v>0</v>
      </c>
      <c r="AH69" s="525">
        <f t="shared" si="438"/>
        <v>0</v>
      </c>
      <c r="AI69" s="525">
        <f t="shared" si="438"/>
        <v>0</v>
      </c>
      <c r="AJ69" s="525">
        <f t="shared" si="438"/>
        <v>0</v>
      </c>
      <c r="AK69" s="525">
        <f t="shared" si="438"/>
        <v>0</v>
      </c>
      <c r="AL69" s="525">
        <f t="shared" si="438"/>
        <v>0</v>
      </c>
      <c r="AM69" s="525">
        <f t="shared" si="438"/>
        <v>0</v>
      </c>
      <c r="AN69" s="525">
        <f t="shared" si="438"/>
        <v>0</v>
      </c>
      <c r="AO69" s="525">
        <f t="shared" si="438"/>
        <v>0</v>
      </c>
      <c r="AP69" s="525">
        <f t="shared" si="438"/>
        <v>0</v>
      </c>
      <c r="AQ69" s="525">
        <f t="shared" si="438"/>
        <v>0</v>
      </c>
      <c r="AR69" s="525">
        <f t="shared" si="438"/>
        <v>0</v>
      </c>
      <c r="AS69" s="525">
        <f t="shared" si="438"/>
        <v>0</v>
      </c>
      <c r="AT69" s="525">
        <f t="shared" si="438"/>
        <v>0</v>
      </c>
      <c r="AU69" s="525">
        <f t="shared" si="438"/>
        <v>0</v>
      </c>
      <c r="AV69" s="525">
        <f t="shared" si="438"/>
        <v>0</v>
      </c>
      <c r="AW69" s="525">
        <f t="shared" si="438"/>
        <v>0</v>
      </c>
      <c r="AX69" s="525">
        <f t="shared" si="438"/>
        <v>0</v>
      </c>
      <c r="AY69" s="525">
        <f t="shared" si="438"/>
        <v>0</v>
      </c>
      <c r="AZ69" s="525">
        <f t="shared" si="438"/>
        <v>0</v>
      </c>
      <c r="BA69" s="525">
        <f t="shared" si="438"/>
        <v>0</v>
      </c>
      <c r="BB69" s="525">
        <f t="shared" si="438"/>
        <v>0</v>
      </c>
      <c r="BC69" s="525">
        <f t="shared" si="438"/>
        <v>0</v>
      </c>
      <c r="BD69" s="525">
        <f t="shared" si="438"/>
        <v>0</v>
      </c>
      <c r="BE69" s="525">
        <f t="shared" si="438"/>
        <v>0</v>
      </c>
      <c r="BF69" s="525">
        <f t="shared" si="438"/>
        <v>0</v>
      </c>
      <c r="BG69" s="525">
        <f t="shared" si="438"/>
        <v>0</v>
      </c>
      <c r="BH69" s="525">
        <f t="shared" si="438"/>
        <v>0</v>
      </c>
      <c r="BI69" s="525">
        <f t="shared" si="438"/>
        <v>0</v>
      </c>
      <c r="BJ69" s="525">
        <f t="shared" si="438"/>
        <v>0</v>
      </c>
      <c r="BK69" s="525">
        <f t="shared" si="438"/>
        <v>0</v>
      </c>
      <c r="BL69" s="525">
        <f t="shared" si="438"/>
        <v>0</v>
      </c>
      <c r="BM69" s="525">
        <f t="shared" si="438"/>
        <v>0</v>
      </c>
      <c r="BN69" s="525">
        <f t="shared" si="438"/>
        <v>0</v>
      </c>
      <c r="BO69" s="525">
        <f t="shared" si="438"/>
        <v>0</v>
      </c>
      <c r="BP69" s="525">
        <f t="shared" si="438"/>
        <v>0</v>
      </c>
      <c r="BQ69" s="525">
        <f t="shared" si="438"/>
        <v>0</v>
      </c>
      <c r="BR69" s="525">
        <f t="shared" si="438"/>
        <v>0</v>
      </c>
      <c r="BS69" s="525">
        <f t="shared" si="438"/>
        <v>0</v>
      </c>
      <c r="BT69" s="525">
        <f t="shared" si="438"/>
        <v>0</v>
      </c>
      <c r="BU69" s="525">
        <f t="shared" si="438"/>
        <v>0</v>
      </c>
      <c r="BV69" s="525">
        <f t="shared" si="438"/>
        <v>0</v>
      </c>
      <c r="BW69" s="525">
        <f t="shared" si="431"/>
        <v>0</v>
      </c>
      <c r="BX69" s="525">
        <f t="shared" si="431"/>
        <v>0</v>
      </c>
      <c r="BY69" s="525">
        <f t="shared" si="431"/>
        <v>0</v>
      </c>
      <c r="BZ69" s="525">
        <f t="shared" si="431"/>
        <v>0</v>
      </c>
      <c r="CA69" s="525">
        <f t="shared" si="431"/>
        <v>0</v>
      </c>
      <c r="CB69" s="525">
        <f t="shared" si="431"/>
        <v>0</v>
      </c>
      <c r="CC69" s="525">
        <f t="shared" si="431"/>
        <v>0</v>
      </c>
      <c r="CD69" s="525">
        <f t="shared" si="431"/>
        <v>0</v>
      </c>
      <c r="CE69" s="525">
        <f t="shared" si="431"/>
        <v>0</v>
      </c>
      <c r="CF69" s="525">
        <f t="shared" si="431"/>
        <v>0</v>
      </c>
      <c r="CG69" s="525">
        <f t="shared" si="431"/>
        <v>0</v>
      </c>
      <c r="CH69" s="525">
        <f t="shared" si="431"/>
        <v>0</v>
      </c>
      <c r="CI69" s="525">
        <f t="shared" si="431"/>
        <v>0</v>
      </c>
      <c r="CJ69" s="525">
        <f t="shared" si="431"/>
        <v>0</v>
      </c>
      <c r="CK69" s="525">
        <f t="shared" si="431"/>
        <v>0</v>
      </c>
      <c r="CL69" s="525">
        <f t="shared" si="431"/>
        <v>0</v>
      </c>
      <c r="CM69" s="525">
        <f t="shared" si="431"/>
        <v>0</v>
      </c>
      <c r="CN69" s="525">
        <f t="shared" si="431"/>
        <v>0</v>
      </c>
      <c r="CO69" s="525">
        <f t="shared" si="431"/>
        <v>0</v>
      </c>
      <c r="CP69" s="525">
        <f t="shared" si="431"/>
        <v>0</v>
      </c>
      <c r="CQ69" s="525">
        <f t="shared" si="431"/>
        <v>0</v>
      </c>
      <c r="CR69" s="525">
        <f t="shared" si="431"/>
        <v>0</v>
      </c>
      <c r="CS69" s="525">
        <f t="shared" si="431"/>
        <v>0</v>
      </c>
      <c r="CT69" s="525">
        <f t="shared" si="431"/>
        <v>0</v>
      </c>
      <c r="CU69" s="525">
        <f t="shared" si="431"/>
        <v>0</v>
      </c>
      <c r="CV69" s="525">
        <f t="shared" si="431"/>
        <v>0</v>
      </c>
      <c r="CW69" s="525">
        <f t="shared" si="431"/>
        <v>0</v>
      </c>
      <c r="CX69" s="525">
        <f t="shared" si="431"/>
        <v>0</v>
      </c>
      <c r="CY69" s="525">
        <f t="shared" si="431"/>
        <v>0</v>
      </c>
      <c r="CZ69" s="525">
        <f t="shared" si="431"/>
        <v>0</v>
      </c>
      <c r="DA69" s="525">
        <f t="shared" si="431"/>
        <v>0</v>
      </c>
      <c r="DB69" s="525">
        <f t="shared" si="431"/>
        <v>0</v>
      </c>
      <c r="DC69" s="525">
        <f t="shared" si="431"/>
        <v>0</v>
      </c>
      <c r="DD69" s="525">
        <f t="shared" si="431"/>
        <v>0</v>
      </c>
      <c r="DE69" s="525">
        <f t="shared" si="431"/>
        <v>0</v>
      </c>
      <c r="DF69" s="525">
        <f t="shared" si="431"/>
        <v>0</v>
      </c>
      <c r="DG69" s="525">
        <f t="shared" si="431"/>
        <v>0</v>
      </c>
      <c r="DH69" s="525">
        <f t="shared" si="431"/>
        <v>0</v>
      </c>
      <c r="DI69" s="525">
        <f t="shared" si="431"/>
        <v>0</v>
      </c>
      <c r="DJ69" s="525">
        <f t="shared" si="431"/>
        <v>0</v>
      </c>
      <c r="DK69" s="525">
        <f t="shared" si="431"/>
        <v>0</v>
      </c>
      <c r="DL69" s="525">
        <f t="shared" si="431"/>
        <v>0</v>
      </c>
      <c r="DM69" s="525">
        <f t="shared" si="431"/>
        <v>0</v>
      </c>
      <c r="DN69" s="525">
        <f t="shared" si="431"/>
        <v>0</v>
      </c>
      <c r="DO69" s="525">
        <f t="shared" si="431"/>
        <v>0</v>
      </c>
      <c r="DP69" s="525">
        <f t="shared" si="431"/>
        <v>0</v>
      </c>
      <c r="DQ69" s="525">
        <f t="shared" si="431"/>
        <v>0</v>
      </c>
      <c r="DR69" s="525">
        <f t="shared" si="431"/>
        <v>0</v>
      </c>
      <c r="DS69" s="525">
        <f t="shared" si="431"/>
        <v>0</v>
      </c>
      <c r="DT69" s="525">
        <f t="shared" si="431"/>
        <v>0</v>
      </c>
      <c r="DU69" s="525">
        <f t="shared" si="431"/>
        <v>0</v>
      </c>
      <c r="DV69" s="525">
        <f t="shared" si="431"/>
        <v>0</v>
      </c>
      <c r="DW69" s="525">
        <f t="shared" si="431"/>
        <v>0</v>
      </c>
      <c r="DX69" s="525">
        <f t="shared" si="431"/>
        <v>0</v>
      </c>
      <c r="DY69" s="525">
        <f t="shared" si="431"/>
        <v>0</v>
      </c>
      <c r="DZ69" s="525">
        <f t="shared" si="431"/>
        <v>0</v>
      </c>
      <c r="EA69" s="525">
        <f t="shared" si="431"/>
        <v>0</v>
      </c>
      <c r="EB69" s="525">
        <f t="shared" si="431"/>
        <v>0</v>
      </c>
      <c r="EC69" s="525">
        <f t="shared" si="431"/>
        <v>0</v>
      </c>
      <c r="ED69" s="525">
        <f t="shared" si="431"/>
        <v>0</v>
      </c>
      <c r="EE69" s="525">
        <f t="shared" si="431"/>
        <v>0</v>
      </c>
      <c r="EF69" s="525">
        <f t="shared" si="431"/>
        <v>0</v>
      </c>
      <c r="EG69" s="525">
        <f t="shared" si="431"/>
        <v>0</v>
      </c>
      <c r="EH69" s="525">
        <f t="shared" si="431"/>
        <v>0</v>
      </c>
      <c r="EI69" s="525">
        <f t="shared" si="432"/>
        <v>0</v>
      </c>
      <c r="EJ69" s="525">
        <f t="shared" si="432"/>
        <v>0</v>
      </c>
      <c r="EK69" s="525">
        <f t="shared" si="432"/>
        <v>0</v>
      </c>
      <c r="EL69" s="525">
        <f t="shared" si="432"/>
        <v>0</v>
      </c>
      <c r="EM69" s="525">
        <f t="shared" si="432"/>
        <v>0</v>
      </c>
      <c r="EN69" s="525">
        <f t="shared" si="432"/>
        <v>0</v>
      </c>
      <c r="EO69" s="525">
        <f t="shared" si="432"/>
        <v>0</v>
      </c>
      <c r="EP69" s="525">
        <f t="shared" si="432"/>
        <v>0</v>
      </c>
      <c r="EQ69" s="525">
        <f t="shared" si="432"/>
        <v>0</v>
      </c>
      <c r="ER69" s="525">
        <f t="shared" si="432"/>
        <v>0</v>
      </c>
      <c r="ES69" s="525">
        <f t="shared" si="432"/>
        <v>0</v>
      </c>
      <c r="ET69" s="525">
        <f t="shared" si="432"/>
        <v>0</v>
      </c>
      <c r="EU69" s="525">
        <f t="shared" si="432"/>
        <v>0</v>
      </c>
      <c r="EV69" s="525">
        <f t="shared" si="432"/>
        <v>0</v>
      </c>
      <c r="EW69" s="525">
        <f t="shared" si="432"/>
        <v>0</v>
      </c>
      <c r="EX69" s="525">
        <f t="shared" si="432"/>
        <v>0</v>
      </c>
      <c r="EY69" s="525">
        <f t="shared" si="432"/>
        <v>0</v>
      </c>
      <c r="EZ69" s="525">
        <f t="shared" si="432"/>
        <v>0</v>
      </c>
      <c r="FA69" s="525">
        <f t="shared" si="432"/>
        <v>0</v>
      </c>
      <c r="FB69" s="525">
        <f t="shared" si="432"/>
        <v>0</v>
      </c>
      <c r="FC69" s="525">
        <f t="shared" si="432"/>
        <v>0</v>
      </c>
      <c r="FD69" s="525">
        <f t="shared" si="432"/>
        <v>0</v>
      </c>
      <c r="FE69" s="525">
        <f t="shared" si="432"/>
        <v>0</v>
      </c>
      <c r="FF69" s="525">
        <f t="shared" si="432"/>
        <v>0</v>
      </c>
      <c r="FG69" s="525">
        <f t="shared" si="432"/>
        <v>0</v>
      </c>
      <c r="FH69" s="525">
        <f t="shared" si="432"/>
        <v>0</v>
      </c>
      <c r="FI69" s="525">
        <f t="shared" si="432"/>
        <v>0</v>
      </c>
      <c r="FJ69" s="525">
        <f t="shared" si="432"/>
        <v>0</v>
      </c>
      <c r="FK69" s="525">
        <f t="shared" si="432"/>
        <v>0</v>
      </c>
      <c r="FL69" s="525">
        <f t="shared" si="432"/>
        <v>0</v>
      </c>
      <c r="FM69" s="525">
        <f t="shared" si="432"/>
        <v>0</v>
      </c>
      <c r="FN69" s="525">
        <f t="shared" si="432"/>
        <v>0</v>
      </c>
      <c r="FO69" s="525">
        <f t="shared" si="432"/>
        <v>0</v>
      </c>
      <c r="FP69" s="525">
        <f t="shared" si="432"/>
        <v>0</v>
      </c>
      <c r="FQ69" s="525">
        <f t="shared" si="432"/>
        <v>0</v>
      </c>
      <c r="FR69" s="525">
        <f t="shared" si="432"/>
        <v>0</v>
      </c>
      <c r="FS69" s="525">
        <f t="shared" si="432"/>
        <v>0</v>
      </c>
      <c r="FT69" s="525">
        <f t="shared" si="432"/>
        <v>0</v>
      </c>
      <c r="FU69" s="525">
        <f t="shared" si="432"/>
        <v>0</v>
      </c>
      <c r="FV69" s="525">
        <f t="shared" si="432"/>
        <v>0</v>
      </c>
      <c r="FW69" s="525">
        <f t="shared" si="432"/>
        <v>0</v>
      </c>
      <c r="FX69" s="525">
        <f t="shared" si="432"/>
        <v>0</v>
      </c>
      <c r="FY69" s="525">
        <f t="shared" si="432"/>
        <v>0</v>
      </c>
      <c r="FZ69" s="525">
        <f t="shared" si="432"/>
        <v>0</v>
      </c>
      <c r="GA69" s="525">
        <f t="shared" si="432"/>
        <v>0</v>
      </c>
      <c r="GB69" s="525">
        <f t="shared" si="432"/>
        <v>0</v>
      </c>
      <c r="GC69" s="525">
        <f t="shared" si="432"/>
        <v>0</v>
      </c>
      <c r="GD69" s="525">
        <f t="shared" si="432"/>
        <v>0</v>
      </c>
      <c r="GE69" s="525">
        <f t="shared" si="432"/>
        <v>0</v>
      </c>
      <c r="GF69" s="525">
        <f t="shared" si="432"/>
        <v>0</v>
      </c>
      <c r="GG69" s="525">
        <f t="shared" si="432"/>
        <v>0</v>
      </c>
      <c r="GH69" s="525">
        <f t="shared" si="432"/>
        <v>0</v>
      </c>
      <c r="GI69" s="525">
        <f t="shared" si="432"/>
        <v>0</v>
      </c>
      <c r="GJ69" s="525">
        <f t="shared" si="432"/>
        <v>0</v>
      </c>
      <c r="GK69" s="525">
        <f t="shared" si="432"/>
        <v>0</v>
      </c>
      <c r="GL69" s="525">
        <f t="shared" si="432"/>
        <v>0</v>
      </c>
      <c r="GM69" s="525">
        <f t="shared" si="432"/>
        <v>0</v>
      </c>
      <c r="GN69" s="525">
        <f t="shared" si="432"/>
        <v>0</v>
      </c>
      <c r="GO69" s="525">
        <f t="shared" si="432"/>
        <v>0</v>
      </c>
      <c r="GP69" s="525">
        <f t="shared" si="432"/>
        <v>0</v>
      </c>
      <c r="GQ69" s="525">
        <f t="shared" si="432"/>
        <v>0</v>
      </c>
      <c r="GR69" s="525">
        <f t="shared" si="432"/>
        <v>0</v>
      </c>
      <c r="GS69" s="525">
        <f t="shared" si="432"/>
        <v>0</v>
      </c>
      <c r="GT69" s="525">
        <f t="shared" si="432"/>
        <v>0</v>
      </c>
      <c r="GU69" s="525">
        <f t="shared" si="433"/>
        <v>0</v>
      </c>
      <c r="GV69" s="525">
        <f t="shared" si="433"/>
        <v>0</v>
      </c>
      <c r="GW69" s="525">
        <f t="shared" si="433"/>
        <v>0</v>
      </c>
      <c r="GX69" s="525">
        <f t="shared" si="433"/>
        <v>0</v>
      </c>
      <c r="GY69" s="525">
        <f t="shared" si="433"/>
        <v>0</v>
      </c>
      <c r="GZ69" s="525">
        <f t="shared" si="433"/>
        <v>0</v>
      </c>
      <c r="HA69" s="525">
        <f t="shared" si="433"/>
        <v>0</v>
      </c>
      <c r="HB69" s="525">
        <f t="shared" si="433"/>
        <v>0</v>
      </c>
      <c r="HC69" s="525">
        <f t="shared" si="433"/>
        <v>0</v>
      </c>
      <c r="HD69" s="525">
        <f t="shared" si="433"/>
        <v>0</v>
      </c>
      <c r="HE69" s="525">
        <f t="shared" si="433"/>
        <v>0</v>
      </c>
      <c r="HF69" s="525">
        <f t="shared" si="433"/>
        <v>0</v>
      </c>
      <c r="HG69" s="525">
        <f t="shared" si="433"/>
        <v>0</v>
      </c>
      <c r="HH69" s="525">
        <f t="shared" si="433"/>
        <v>0</v>
      </c>
      <c r="HI69" s="525">
        <f t="shared" si="433"/>
        <v>0</v>
      </c>
      <c r="HJ69" s="525">
        <f t="shared" si="433"/>
        <v>0</v>
      </c>
      <c r="HK69" s="525">
        <f t="shared" si="433"/>
        <v>0</v>
      </c>
      <c r="HL69" s="525">
        <f t="shared" si="433"/>
        <v>0</v>
      </c>
      <c r="HM69" s="525">
        <f t="shared" si="433"/>
        <v>0</v>
      </c>
      <c r="HN69" s="525">
        <f t="shared" si="433"/>
        <v>0</v>
      </c>
      <c r="HO69" s="525">
        <f t="shared" si="433"/>
        <v>0</v>
      </c>
      <c r="HP69" s="525">
        <f t="shared" si="433"/>
        <v>0</v>
      </c>
      <c r="HQ69" s="525">
        <f t="shared" si="433"/>
        <v>0</v>
      </c>
      <c r="HR69" s="525">
        <f t="shared" si="433"/>
        <v>0</v>
      </c>
      <c r="HS69" s="525">
        <f t="shared" si="433"/>
        <v>0</v>
      </c>
      <c r="HT69" s="525">
        <f t="shared" si="433"/>
        <v>0</v>
      </c>
      <c r="HU69" s="525">
        <f t="shared" si="433"/>
        <v>0</v>
      </c>
      <c r="HV69" s="525">
        <f t="shared" si="433"/>
        <v>0</v>
      </c>
      <c r="HW69" s="525">
        <f t="shared" si="433"/>
        <v>0</v>
      </c>
      <c r="HX69" s="525">
        <f t="shared" si="433"/>
        <v>0</v>
      </c>
      <c r="HY69" s="525">
        <f t="shared" si="433"/>
        <v>0</v>
      </c>
      <c r="HZ69" s="525">
        <f t="shared" si="433"/>
        <v>0</v>
      </c>
      <c r="IA69" s="525">
        <f t="shared" si="433"/>
        <v>0</v>
      </c>
      <c r="IB69" s="525">
        <f t="shared" si="433"/>
        <v>0</v>
      </c>
      <c r="IC69" s="525">
        <f t="shared" si="433"/>
        <v>0</v>
      </c>
      <c r="ID69" s="525">
        <f t="shared" si="433"/>
        <v>0</v>
      </c>
      <c r="IE69" s="525">
        <f t="shared" si="433"/>
        <v>0</v>
      </c>
      <c r="IF69" s="525">
        <f t="shared" si="433"/>
        <v>0</v>
      </c>
      <c r="IG69" s="525">
        <f t="shared" si="433"/>
        <v>0</v>
      </c>
      <c r="IH69" s="525">
        <f t="shared" si="433"/>
        <v>0</v>
      </c>
      <c r="II69" s="525">
        <f t="shared" si="433"/>
        <v>0</v>
      </c>
      <c r="IJ69" s="525">
        <f t="shared" si="433"/>
        <v>0</v>
      </c>
      <c r="IK69" s="525">
        <f t="shared" si="433"/>
        <v>0</v>
      </c>
      <c r="IL69" s="525">
        <f t="shared" si="433"/>
        <v>0</v>
      </c>
      <c r="IM69" s="525">
        <f t="shared" si="433"/>
        <v>0</v>
      </c>
      <c r="IN69" s="525">
        <f t="shared" si="433"/>
        <v>0</v>
      </c>
      <c r="IO69" s="525">
        <f t="shared" si="433"/>
        <v>0</v>
      </c>
      <c r="IP69" s="525">
        <f t="shared" si="433"/>
        <v>0</v>
      </c>
      <c r="IQ69" s="525">
        <f t="shared" si="433"/>
        <v>0</v>
      </c>
      <c r="IR69" s="525">
        <f t="shared" si="433"/>
        <v>0</v>
      </c>
      <c r="IS69" s="525">
        <f t="shared" si="433"/>
        <v>0</v>
      </c>
      <c r="IT69" s="525">
        <f t="shared" si="433"/>
        <v>0</v>
      </c>
      <c r="IU69" s="525">
        <f t="shared" si="433"/>
        <v>0</v>
      </c>
      <c r="IV69" s="525">
        <f t="shared" si="433"/>
        <v>0</v>
      </c>
      <c r="IW69" s="525">
        <f t="shared" si="433"/>
        <v>0</v>
      </c>
      <c r="IX69" s="525">
        <f t="shared" si="433"/>
        <v>0</v>
      </c>
      <c r="IY69" s="525">
        <f t="shared" si="433"/>
        <v>0</v>
      </c>
      <c r="IZ69" s="525">
        <f t="shared" si="433"/>
        <v>0</v>
      </c>
      <c r="JA69" s="525">
        <f t="shared" si="433"/>
        <v>0</v>
      </c>
      <c r="JB69" s="525">
        <f t="shared" si="433"/>
        <v>0</v>
      </c>
      <c r="JC69" s="525">
        <f t="shared" si="433"/>
        <v>0</v>
      </c>
      <c r="JD69" s="525">
        <f t="shared" si="433"/>
        <v>0</v>
      </c>
      <c r="JE69" s="525">
        <f t="shared" si="433"/>
        <v>0</v>
      </c>
      <c r="JF69" s="525">
        <f t="shared" si="433"/>
        <v>0</v>
      </c>
      <c r="JG69" s="525">
        <f t="shared" si="434"/>
        <v>0</v>
      </c>
      <c r="JH69" s="525">
        <f t="shared" si="434"/>
        <v>0</v>
      </c>
      <c r="JI69" s="525">
        <f t="shared" si="434"/>
        <v>0</v>
      </c>
      <c r="JJ69" s="525">
        <f t="shared" si="434"/>
        <v>0</v>
      </c>
      <c r="JK69" s="525">
        <f t="shared" si="434"/>
        <v>0</v>
      </c>
      <c r="JL69" s="525">
        <f t="shared" si="434"/>
        <v>0</v>
      </c>
      <c r="JM69" s="525">
        <f t="shared" si="434"/>
        <v>0</v>
      </c>
      <c r="JN69" s="525">
        <f t="shared" si="434"/>
        <v>0</v>
      </c>
      <c r="JO69" s="525">
        <f t="shared" si="434"/>
        <v>0</v>
      </c>
      <c r="JP69" s="525">
        <f t="shared" si="434"/>
        <v>0</v>
      </c>
      <c r="JQ69" s="525">
        <f t="shared" si="434"/>
        <v>0</v>
      </c>
      <c r="JR69" s="525">
        <f t="shared" si="434"/>
        <v>0</v>
      </c>
      <c r="JS69" s="525">
        <f t="shared" si="434"/>
        <v>0</v>
      </c>
      <c r="JT69" s="525">
        <f t="shared" si="434"/>
        <v>0</v>
      </c>
      <c r="JU69" s="525">
        <f t="shared" si="434"/>
        <v>0</v>
      </c>
      <c r="JV69" s="525">
        <f t="shared" si="434"/>
        <v>0</v>
      </c>
      <c r="JW69" s="525">
        <f t="shared" si="434"/>
        <v>0</v>
      </c>
      <c r="JX69" s="525">
        <f t="shared" si="434"/>
        <v>0</v>
      </c>
      <c r="JY69" s="525">
        <f t="shared" si="434"/>
        <v>0</v>
      </c>
      <c r="JZ69" s="525">
        <f t="shared" si="434"/>
        <v>0</v>
      </c>
      <c r="KA69" s="525">
        <f t="shared" si="434"/>
        <v>0</v>
      </c>
      <c r="KB69" s="525">
        <f t="shared" si="434"/>
        <v>0</v>
      </c>
      <c r="KC69" s="525">
        <f t="shared" si="434"/>
        <v>0</v>
      </c>
      <c r="KD69" s="525">
        <f t="shared" si="434"/>
        <v>0</v>
      </c>
      <c r="KE69" s="525">
        <f t="shared" si="434"/>
        <v>0</v>
      </c>
      <c r="KF69" s="525">
        <f t="shared" si="434"/>
        <v>0</v>
      </c>
      <c r="KG69" s="525">
        <f t="shared" si="434"/>
        <v>0</v>
      </c>
      <c r="KH69" s="525">
        <f t="shared" si="434"/>
        <v>0</v>
      </c>
      <c r="KI69" s="525">
        <f t="shared" si="434"/>
        <v>0</v>
      </c>
      <c r="KJ69" s="525">
        <f t="shared" si="434"/>
        <v>0</v>
      </c>
      <c r="KK69" s="525">
        <f t="shared" si="434"/>
        <v>0</v>
      </c>
      <c r="KL69" s="525">
        <f t="shared" si="434"/>
        <v>0</v>
      </c>
      <c r="KM69" s="525">
        <f t="shared" si="434"/>
        <v>0</v>
      </c>
      <c r="KN69" s="525">
        <f t="shared" si="434"/>
        <v>0</v>
      </c>
      <c r="KO69" s="525">
        <f t="shared" si="434"/>
        <v>0</v>
      </c>
      <c r="KP69" s="525">
        <f t="shared" si="434"/>
        <v>0</v>
      </c>
      <c r="KQ69" s="525">
        <f t="shared" si="434"/>
        <v>0</v>
      </c>
      <c r="KR69" s="525">
        <f t="shared" si="434"/>
        <v>0</v>
      </c>
      <c r="KS69" s="525">
        <f t="shared" si="434"/>
        <v>0</v>
      </c>
      <c r="KT69" s="525">
        <f t="shared" si="434"/>
        <v>0</v>
      </c>
      <c r="KU69" s="525">
        <f t="shared" si="434"/>
        <v>0</v>
      </c>
      <c r="KV69" s="525">
        <f t="shared" si="434"/>
        <v>0</v>
      </c>
      <c r="KW69" s="525">
        <f t="shared" si="434"/>
        <v>0</v>
      </c>
      <c r="KX69" s="525">
        <f t="shared" si="434"/>
        <v>0</v>
      </c>
      <c r="KY69" s="525">
        <f t="shared" si="434"/>
        <v>0</v>
      </c>
      <c r="KZ69" s="525">
        <f t="shared" si="434"/>
        <v>0</v>
      </c>
      <c r="LA69" s="525">
        <f t="shared" si="434"/>
        <v>0</v>
      </c>
      <c r="LB69" s="525">
        <f t="shared" si="434"/>
        <v>0</v>
      </c>
      <c r="LC69" s="525">
        <f t="shared" si="434"/>
        <v>0</v>
      </c>
      <c r="LD69" s="525">
        <f t="shared" si="434"/>
        <v>0</v>
      </c>
      <c r="LE69" s="525">
        <f t="shared" si="434"/>
        <v>0</v>
      </c>
      <c r="LF69" s="525">
        <f t="shared" si="434"/>
        <v>0</v>
      </c>
      <c r="LG69" s="525">
        <f t="shared" si="434"/>
        <v>0</v>
      </c>
      <c r="LH69" s="525">
        <f t="shared" si="434"/>
        <v>0</v>
      </c>
      <c r="LI69" s="525">
        <f t="shared" si="434"/>
        <v>0</v>
      </c>
      <c r="LJ69" s="525">
        <f t="shared" si="434"/>
        <v>0</v>
      </c>
      <c r="LK69" s="525">
        <f t="shared" si="434"/>
        <v>0</v>
      </c>
      <c r="LL69" s="525">
        <f t="shared" si="434"/>
        <v>0</v>
      </c>
      <c r="LM69" s="525">
        <f t="shared" si="434"/>
        <v>0</v>
      </c>
      <c r="LN69" s="525">
        <f t="shared" si="434"/>
        <v>0</v>
      </c>
      <c r="LO69" s="525">
        <f t="shared" si="434"/>
        <v>0</v>
      </c>
      <c r="LP69" s="525">
        <f t="shared" si="434"/>
        <v>0</v>
      </c>
      <c r="LQ69" s="525">
        <f t="shared" si="434"/>
        <v>0</v>
      </c>
      <c r="LR69" s="525">
        <f t="shared" si="434"/>
        <v>0</v>
      </c>
      <c r="LS69" s="525">
        <f t="shared" si="435"/>
        <v>0</v>
      </c>
      <c r="LT69" s="525">
        <f t="shared" si="435"/>
        <v>0</v>
      </c>
      <c r="LU69" s="525">
        <f t="shared" si="435"/>
        <v>0</v>
      </c>
      <c r="LV69" s="525">
        <f t="shared" si="435"/>
        <v>0</v>
      </c>
      <c r="LW69" s="525">
        <f t="shared" si="435"/>
        <v>0</v>
      </c>
      <c r="LX69" s="525">
        <f t="shared" si="435"/>
        <v>0</v>
      </c>
      <c r="LY69" s="525">
        <f t="shared" si="435"/>
        <v>0</v>
      </c>
      <c r="LZ69" s="525">
        <f t="shared" si="435"/>
        <v>0</v>
      </c>
      <c r="MA69" s="525">
        <f t="shared" si="435"/>
        <v>0</v>
      </c>
      <c r="MB69" s="525">
        <f t="shared" si="435"/>
        <v>0</v>
      </c>
      <c r="MC69" s="525">
        <f t="shared" si="435"/>
        <v>0</v>
      </c>
      <c r="MD69" s="525">
        <f t="shared" si="435"/>
        <v>0</v>
      </c>
      <c r="ME69" s="525">
        <f t="shared" si="435"/>
        <v>0</v>
      </c>
      <c r="MF69" s="525">
        <f t="shared" si="435"/>
        <v>0</v>
      </c>
      <c r="MG69" s="525">
        <f t="shared" si="435"/>
        <v>0</v>
      </c>
      <c r="MH69" s="525">
        <f t="shared" si="435"/>
        <v>0</v>
      </c>
      <c r="MI69" s="525">
        <f t="shared" si="435"/>
        <v>0</v>
      </c>
      <c r="MJ69" s="525">
        <f t="shared" si="435"/>
        <v>0</v>
      </c>
      <c r="MK69" s="525">
        <f t="shared" si="435"/>
        <v>0</v>
      </c>
      <c r="ML69" s="525">
        <f t="shared" si="435"/>
        <v>0</v>
      </c>
      <c r="MM69" s="525">
        <f t="shared" si="435"/>
        <v>0</v>
      </c>
      <c r="MN69" s="525">
        <f t="shared" si="435"/>
        <v>0</v>
      </c>
      <c r="MO69" s="525">
        <f t="shared" si="435"/>
        <v>0</v>
      </c>
      <c r="MP69" s="525">
        <f t="shared" si="435"/>
        <v>0</v>
      </c>
      <c r="MQ69" s="525">
        <f t="shared" si="435"/>
        <v>0</v>
      </c>
      <c r="MR69" s="525">
        <f t="shared" si="435"/>
        <v>0</v>
      </c>
      <c r="MS69" s="525">
        <f t="shared" si="435"/>
        <v>0</v>
      </c>
      <c r="MT69" s="525">
        <f t="shared" si="435"/>
        <v>0</v>
      </c>
      <c r="MU69" s="525">
        <f t="shared" si="435"/>
        <v>0</v>
      </c>
      <c r="MV69" s="525">
        <f t="shared" si="435"/>
        <v>0</v>
      </c>
      <c r="MW69" s="525">
        <f t="shared" si="435"/>
        <v>0</v>
      </c>
      <c r="MX69" s="525">
        <f t="shared" si="435"/>
        <v>0</v>
      </c>
      <c r="MY69" s="525">
        <f t="shared" si="435"/>
        <v>0</v>
      </c>
      <c r="MZ69" s="525">
        <f t="shared" si="435"/>
        <v>0</v>
      </c>
      <c r="NA69" s="525">
        <f t="shared" si="435"/>
        <v>0</v>
      </c>
      <c r="NB69" s="525">
        <f t="shared" si="435"/>
        <v>0</v>
      </c>
      <c r="NC69" s="525">
        <f t="shared" si="435"/>
        <v>0</v>
      </c>
      <c r="ND69" s="525">
        <f t="shared" si="435"/>
        <v>0</v>
      </c>
      <c r="NE69" s="525">
        <f t="shared" si="435"/>
        <v>0</v>
      </c>
      <c r="NF69" s="525">
        <f t="shared" si="435"/>
        <v>0</v>
      </c>
      <c r="NG69" s="525">
        <f t="shared" si="435"/>
        <v>0</v>
      </c>
      <c r="NH69" s="525">
        <f t="shared" si="435"/>
        <v>0</v>
      </c>
      <c r="NI69" s="525">
        <f t="shared" si="435"/>
        <v>0</v>
      </c>
      <c r="NJ69" s="525">
        <f t="shared" si="435"/>
        <v>0</v>
      </c>
      <c r="NK69" s="525">
        <f t="shared" si="435"/>
        <v>0</v>
      </c>
      <c r="NL69" s="525">
        <f t="shared" si="435"/>
        <v>0</v>
      </c>
      <c r="NM69" s="525">
        <f t="shared" si="435"/>
        <v>0</v>
      </c>
      <c r="NN69" s="525">
        <f t="shared" si="435"/>
        <v>0</v>
      </c>
      <c r="NO69" s="525">
        <f t="shared" si="435"/>
        <v>0</v>
      </c>
      <c r="NP69" s="525">
        <f t="shared" si="435"/>
        <v>0</v>
      </c>
      <c r="NQ69" s="525">
        <f t="shared" si="435"/>
        <v>0</v>
      </c>
      <c r="NR69" s="525">
        <f t="shared" si="435"/>
        <v>0</v>
      </c>
      <c r="NS69" s="525">
        <f t="shared" si="435"/>
        <v>0</v>
      </c>
      <c r="NT69" s="525">
        <f t="shared" si="435"/>
        <v>0</v>
      </c>
      <c r="NU69" s="525">
        <f t="shared" si="435"/>
        <v>0</v>
      </c>
      <c r="NV69" s="525">
        <f t="shared" si="435"/>
        <v>0</v>
      </c>
      <c r="NW69" s="525">
        <f t="shared" si="435"/>
        <v>0</v>
      </c>
      <c r="NX69" s="525">
        <f t="shared" si="435"/>
        <v>0</v>
      </c>
      <c r="NY69" s="525">
        <f t="shared" si="435"/>
        <v>0</v>
      </c>
      <c r="NZ69" s="525">
        <f t="shared" si="435"/>
        <v>0</v>
      </c>
      <c r="OA69" s="525">
        <f t="shared" si="435"/>
        <v>0</v>
      </c>
      <c r="OB69" s="525">
        <f t="shared" si="435"/>
        <v>0</v>
      </c>
      <c r="OC69" s="525">
        <f t="shared" si="435"/>
        <v>0</v>
      </c>
      <c r="OD69" s="525">
        <f t="shared" si="435"/>
        <v>0</v>
      </c>
      <c r="OE69" s="525">
        <f t="shared" si="436"/>
        <v>0</v>
      </c>
      <c r="OF69" s="525">
        <f t="shared" si="436"/>
        <v>0</v>
      </c>
      <c r="OG69" s="525">
        <f t="shared" si="436"/>
        <v>0</v>
      </c>
      <c r="OH69" s="525">
        <f t="shared" si="436"/>
        <v>0</v>
      </c>
      <c r="OI69" s="525">
        <f t="shared" si="436"/>
        <v>0</v>
      </c>
      <c r="OJ69" s="525">
        <f t="shared" si="436"/>
        <v>0</v>
      </c>
      <c r="OK69" s="525">
        <f t="shared" si="436"/>
        <v>0</v>
      </c>
      <c r="OL69" s="525">
        <f t="shared" si="436"/>
        <v>0</v>
      </c>
      <c r="OM69" s="525">
        <f t="shared" si="436"/>
        <v>0</v>
      </c>
      <c r="ON69" s="525">
        <f t="shared" si="436"/>
        <v>0</v>
      </c>
      <c r="OO69" s="525">
        <f t="shared" si="436"/>
        <v>0</v>
      </c>
    </row>
    <row r="70" spans="2:405">
      <c r="B70" s="7" t="s">
        <v>69</v>
      </c>
      <c r="C70" s="472">
        <v>0.02</v>
      </c>
      <c r="D70" s="537">
        <f>Mortgage!D8</f>
        <v>0</v>
      </c>
      <c r="E70" s="507">
        <f>Assumptions!$C$13</f>
        <v>47330</v>
      </c>
      <c r="F70" s="507">
        <f>EOMONTH(E70,Assumptions!$C$14-1)</f>
        <v>58256</v>
      </c>
      <c r="G70" s="97">
        <f t="shared" si="429"/>
        <v>360</v>
      </c>
      <c r="H70" s="97"/>
      <c r="I70" s="97"/>
      <c r="J70" s="525">
        <f t="shared" si="437"/>
        <v>0</v>
      </c>
      <c r="K70" s="525">
        <f t="shared" si="438"/>
        <v>0</v>
      </c>
      <c r="L70" s="525">
        <f t="shared" si="438"/>
        <v>0</v>
      </c>
      <c r="M70" s="525">
        <f t="shared" si="438"/>
        <v>0</v>
      </c>
      <c r="N70" s="525">
        <f t="shared" si="438"/>
        <v>0</v>
      </c>
      <c r="O70" s="525">
        <f t="shared" si="438"/>
        <v>0</v>
      </c>
      <c r="P70" s="525">
        <f t="shared" si="438"/>
        <v>0</v>
      </c>
      <c r="Q70" s="525">
        <f t="shared" si="438"/>
        <v>0</v>
      </c>
      <c r="R70" s="525">
        <f t="shared" si="438"/>
        <v>0</v>
      </c>
      <c r="S70" s="525">
        <f t="shared" si="438"/>
        <v>0</v>
      </c>
      <c r="T70" s="525">
        <f t="shared" si="438"/>
        <v>0</v>
      </c>
      <c r="U70" s="525">
        <f t="shared" si="438"/>
        <v>0</v>
      </c>
      <c r="V70" s="525">
        <f t="shared" si="438"/>
        <v>0</v>
      </c>
      <c r="W70" s="525">
        <f t="shared" si="438"/>
        <v>0</v>
      </c>
      <c r="X70" s="525">
        <f t="shared" si="438"/>
        <v>0</v>
      </c>
      <c r="Y70" s="525">
        <f t="shared" si="438"/>
        <v>0</v>
      </c>
      <c r="Z70" s="525">
        <f t="shared" si="438"/>
        <v>0</v>
      </c>
      <c r="AA70" s="525">
        <f t="shared" si="438"/>
        <v>0</v>
      </c>
      <c r="AB70" s="525">
        <f t="shared" si="438"/>
        <v>0</v>
      </c>
      <c r="AC70" s="525">
        <f t="shared" si="438"/>
        <v>0</v>
      </c>
      <c r="AD70" s="525">
        <f t="shared" si="438"/>
        <v>0</v>
      </c>
      <c r="AE70" s="525">
        <f t="shared" si="438"/>
        <v>0</v>
      </c>
      <c r="AF70" s="525">
        <f t="shared" si="438"/>
        <v>0</v>
      </c>
      <c r="AG70" s="525">
        <f t="shared" si="438"/>
        <v>0</v>
      </c>
      <c r="AH70" s="525">
        <f t="shared" si="438"/>
        <v>0</v>
      </c>
      <c r="AI70" s="525">
        <f t="shared" si="438"/>
        <v>0</v>
      </c>
      <c r="AJ70" s="525">
        <f t="shared" si="438"/>
        <v>0</v>
      </c>
      <c r="AK70" s="525">
        <f t="shared" si="438"/>
        <v>0</v>
      </c>
      <c r="AL70" s="525">
        <f t="shared" si="438"/>
        <v>0</v>
      </c>
      <c r="AM70" s="525">
        <f t="shared" si="438"/>
        <v>0</v>
      </c>
      <c r="AN70" s="525">
        <f t="shared" si="438"/>
        <v>0</v>
      </c>
      <c r="AO70" s="525">
        <f t="shared" si="438"/>
        <v>0</v>
      </c>
      <c r="AP70" s="525">
        <f t="shared" si="438"/>
        <v>0</v>
      </c>
      <c r="AQ70" s="525">
        <f t="shared" si="438"/>
        <v>0</v>
      </c>
      <c r="AR70" s="525">
        <f t="shared" si="438"/>
        <v>0</v>
      </c>
      <c r="AS70" s="525">
        <f t="shared" si="438"/>
        <v>0</v>
      </c>
      <c r="AT70" s="525">
        <f t="shared" si="438"/>
        <v>0</v>
      </c>
      <c r="AU70" s="525">
        <f t="shared" si="438"/>
        <v>0</v>
      </c>
      <c r="AV70" s="525">
        <f t="shared" si="438"/>
        <v>0</v>
      </c>
      <c r="AW70" s="525">
        <f t="shared" si="438"/>
        <v>0</v>
      </c>
      <c r="AX70" s="525">
        <f t="shared" si="438"/>
        <v>0</v>
      </c>
      <c r="AY70" s="525">
        <f t="shared" si="438"/>
        <v>0</v>
      </c>
      <c r="AZ70" s="525">
        <f t="shared" si="438"/>
        <v>0</v>
      </c>
      <c r="BA70" s="525">
        <f t="shared" si="438"/>
        <v>0</v>
      </c>
      <c r="BB70" s="525">
        <f t="shared" si="438"/>
        <v>0</v>
      </c>
      <c r="BC70" s="525">
        <f t="shared" si="438"/>
        <v>0</v>
      </c>
      <c r="BD70" s="525">
        <f t="shared" si="438"/>
        <v>0</v>
      </c>
      <c r="BE70" s="525">
        <f t="shared" si="438"/>
        <v>0</v>
      </c>
      <c r="BF70" s="525">
        <f t="shared" si="438"/>
        <v>0</v>
      </c>
      <c r="BG70" s="525">
        <f t="shared" si="438"/>
        <v>0</v>
      </c>
      <c r="BH70" s="525">
        <f t="shared" si="438"/>
        <v>0</v>
      </c>
      <c r="BI70" s="525">
        <f t="shared" si="438"/>
        <v>0</v>
      </c>
      <c r="BJ70" s="525">
        <f t="shared" si="438"/>
        <v>0</v>
      </c>
      <c r="BK70" s="525">
        <f t="shared" si="438"/>
        <v>0</v>
      </c>
      <c r="BL70" s="525">
        <f t="shared" si="438"/>
        <v>0</v>
      </c>
      <c r="BM70" s="525">
        <f t="shared" si="438"/>
        <v>0</v>
      </c>
      <c r="BN70" s="525">
        <f t="shared" si="438"/>
        <v>0</v>
      </c>
      <c r="BO70" s="525">
        <f t="shared" si="438"/>
        <v>0</v>
      </c>
      <c r="BP70" s="525">
        <f t="shared" si="438"/>
        <v>0</v>
      </c>
      <c r="BQ70" s="525">
        <f t="shared" si="438"/>
        <v>0</v>
      </c>
      <c r="BR70" s="525">
        <f t="shared" si="438"/>
        <v>0</v>
      </c>
      <c r="BS70" s="525">
        <f t="shared" si="438"/>
        <v>0</v>
      </c>
      <c r="BT70" s="525">
        <f t="shared" si="438"/>
        <v>0</v>
      </c>
      <c r="BU70" s="525">
        <f t="shared" si="438"/>
        <v>0</v>
      </c>
      <c r="BV70" s="525">
        <f t="shared" si="438"/>
        <v>0</v>
      </c>
      <c r="BW70" s="525">
        <f t="shared" si="431"/>
        <v>0</v>
      </c>
      <c r="BX70" s="525">
        <f t="shared" si="431"/>
        <v>0</v>
      </c>
      <c r="BY70" s="525">
        <f t="shared" si="431"/>
        <v>0</v>
      </c>
      <c r="BZ70" s="525">
        <f t="shared" si="431"/>
        <v>0</v>
      </c>
      <c r="CA70" s="525">
        <f t="shared" si="431"/>
        <v>0</v>
      </c>
      <c r="CB70" s="525">
        <f t="shared" si="431"/>
        <v>0</v>
      </c>
      <c r="CC70" s="525">
        <f t="shared" si="431"/>
        <v>0</v>
      </c>
      <c r="CD70" s="525">
        <f t="shared" si="431"/>
        <v>0</v>
      </c>
      <c r="CE70" s="525">
        <f t="shared" si="431"/>
        <v>0</v>
      </c>
      <c r="CF70" s="525">
        <f t="shared" si="431"/>
        <v>0</v>
      </c>
      <c r="CG70" s="525">
        <f t="shared" si="431"/>
        <v>0</v>
      </c>
      <c r="CH70" s="525">
        <f t="shared" si="431"/>
        <v>0</v>
      </c>
      <c r="CI70" s="525">
        <f t="shared" si="431"/>
        <v>0</v>
      </c>
      <c r="CJ70" s="525">
        <f t="shared" si="431"/>
        <v>0</v>
      </c>
      <c r="CK70" s="525">
        <f t="shared" si="431"/>
        <v>0</v>
      </c>
      <c r="CL70" s="525">
        <f t="shared" si="431"/>
        <v>0</v>
      </c>
      <c r="CM70" s="525">
        <f t="shared" si="431"/>
        <v>0</v>
      </c>
      <c r="CN70" s="525">
        <f t="shared" si="431"/>
        <v>0</v>
      </c>
      <c r="CO70" s="525">
        <f t="shared" si="431"/>
        <v>0</v>
      </c>
      <c r="CP70" s="525">
        <f t="shared" si="431"/>
        <v>0</v>
      </c>
      <c r="CQ70" s="525">
        <f t="shared" si="431"/>
        <v>0</v>
      </c>
      <c r="CR70" s="525">
        <f t="shared" si="431"/>
        <v>0</v>
      </c>
      <c r="CS70" s="525">
        <f t="shared" si="431"/>
        <v>0</v>
      </c>
      <c r="CT70" s="525">
        <f t="shared" si="431"/>
        <v>0</v>
      </c>
      <c r="CU70" s="525">
        <f t="shared" si="431"/>
        <v>0</v>
      </c>
      <c r="CV70" s="525">
        <f t="shared" si="431"/>
        <v>0</v>
      </c>
      <c r="CW70" s="525">
        <f t="shared" si="431"/>
        <v>0</v>
      </c>
      <c r="CX70" s="525">
        <f t="shared" si="431"/>
        <v>0</v>
      </c>
      <c r="CY70" s="525">
        <f t="shared" si="431"/>
        <v>0</v>
      </c>
      <c r="CZ70" s="525">
        <f t="shared" si="431"/>
        <v>0</v>
      </c>
      <c r="DA70" s="525">
        <f t="shared" si="431"/>
        <v>0</v>
      </c>
      <c r="DB70" s="525">
        <f t="shared" si="431"/>
        <v>0</v>
      </c>
      <c r="DC70" s="525">
        <f t="shared" si="431"/>
        <v>0</v>
      </c>
      <c r="DD70" s="525">
        <f t="shared" si="431"/>
        <v>0</v>
      </c>
      <c r="DE70" s="525">
        <f t="shared" si="431"/>
        <v>0</v>
      </c>
      <c r="DF70" s="525">
        <f t="shared" si="431"/>
        <v>0</v>
      </c>
      <c r="DG70" s="525">
        <f t="shared" si="431"/>
        <v>0</v>
      </c>
      <c r="DH70" s="525">
        <f t="shared" si="431"/>
        <v>0</v>
      </c>
      <c r="DI70" s="525">
        <f t="shared" si="431"/>
        <v>0</v>
      </c>
      <c r="DJ70" s="525">
        <f t="shared" si="431"/>
        <v>0</v>
      </c>
      <c r="DK70" s="525">
        <f t="shared" si="431"/>
        <v>0</v>
      </c>
      <c r="DL70" s="525">
        <f t="shared" si="431"/>
        <v>0</v>
      </c>
      <c r="DM70" s="525">
        <f t="shared" si="431"/>
        <v>0</v>
      </c>
      <c r="DN70" s="525">
        <f t="shared" si="431"/>
        <v>0</v>
      </c>
      <c r="DO70" s="525">
        <f t="shared" si="431"/>
        <v>0</v>
      </c>
      <c r="DP70" s="525">
        <f t="shared" si="431"/>
        <v>0</v>
      </c>
      <c r="DQ70" s="525">
        <f t="shared" si="431"/>
        <v>0</v>
      </c>
      <c r="DR70" s="525">
        <f t="shared" si="431"/>
        <v>0</v>
      </c>
      <c r="DS70" s="525">
        <f t="shared" si="431"/>
        <v>0</v>
      </c>
      <c r="DT70" s="525">
        <f t="shared" si="431"/>
        <v>0</v>
      </c>
      <c r="DU70" s="525">
        <f t="shared" si="431"/>
        <v>0</v>
      </c>
      <c r="DV70" s="525">
        <f t="shared" si="431"/>
        <v>0</v>
      </c>
      <c r="DW70" s="525">
        <f t="shared" si="431"/>
        <v>0</v>
      </c>
      <c r="DX70" s="525">
        <f t="shared" si="431"/>
        <v>0</v>
      </c>
      <c r="DY70" s="525">
        <f t="shared" si="431"/>
        <v>0</v>
      </c>
      <c r="DZ70" s="525">
        <f t="shared" si="431"/>
        <v>0</v>
      </c>
      <c r="EA70" s="525">
        <f t="shared" si="431"/>
        <v>0</v>
      </c>
      <c r="EB70" s="525">
        <f t="shared" si="431"/>
        <v>0</v>
      </c>
      <c r="EC70" s="525">
        <f t="shared" si="431"/>
        <v>0</v>
      </c>
      <c r="ED70" s="525">
        <f t="shared" si="431"/>
        <v>0</v>
      </c>
      <c r="EE70" s="525">
        <f t="shared" si="431"/>
        <v>0</v>
      </c>
      <c r="EF70" s="525">
        <f t="shared" si="431"/>
        <v>0</v>
      </c>
      <c r="EG70" s="525">
        <f t="shared" si="431"/>
        <v>0</v>
      </c>
      <c r="EH70" s="525">
        <f t="shared" ref="EH70:GS71" si="439">IF(EH$7&gt;=$E70,IF(EH$7&lt;=$F70,(($D70*(1+$C70)^(IF(EH$7&gt;=$E70,EH$6-YEAR($E70),0)))/12),0),0)</f>
        <v>0</v>
      </c>
      <c r="EI70" s="525">
        <f t="shared" si="439"/>
        <v>0</v>
      </c>
      <c r="EJ70" s="525">
        <f t="shared" si="439"/>
        <v>0</v>
      </c>
      <c r="EK70" s="525">
        <f t="shared" si="439"/>
        <v>0</v>
      </c>
      <c r="EL70" s="525">
        <f t="shared" si="439"/>
        <v>0</v>
      </c>
      <c r="EM70" s="525">
        <f t="shared" si="439"/>
        <v>0</v>
      </c>
      <c r="EN70" s="525">
        <f t="shared" si="439"/>
        <v>0</v>
      </c>
      <c r="EO70" s="525">
        <f t="shared" si="439"/>
        <v>0</v>
      </c>
      <c r="EP70" s="525">
        <f t="shared" si="439"/>
        <v>0</v>
      </c>
      <c r="EQ70" s="525">
        <f t="shared" si="439"/>
        <v>0</v>
      </c>
      <c r="ER70" s="525">
        <f t="shared" si="439"/>
        <v>0</v>
      </c>
      <c r="ES70" s="525">
        <f t="shared" si="439"/>
        <v>0</v>
      </c>
      <c r="ET70" s="525">
        <f t="shared" si="439"/>
        <v>0</v>
      </c>
      <c r="EU70" s="525">
        <f t="shared" si="439"/>
        <v>0</v>
      </c>
      <c r="EV70" s="525">
        <f t="shared" si="439"/>
        <v>0</v>
      </c>
      <c r="EW70" s="525">
        <f t="shared" si="439"/>
        <v>0</v>
      </c>
      <c r="EX70" s="525">
        <f t="shared" si="439"/>
        <v>0</v>
      </c>
      <c r="EY70" s="525">
        <f t="shared" si="439"/>
        <v>0</v>
      </c>
      <c r="EZ70" s="525">
        <f t="shared" si="439"/>
        <v>0</v>
      </c>
      <c r="FA70" s="525">
        <f t="shared" si="439"/>
        <v>0</v>
      </c>
      <c r="FB70" s="525">
        <f t="shared" si="439"/>
        <v>0</v>
      </c>
      <c r="FC70" s="525">
        <f t="shared" si="439"/>
        <v>0</v>
      </c>
      <c r="FD70" s="525">
        <f t="shared" si="439"/>
        <v>0</v>
      </c>
      <c r="FE70" s="525">
        <f t="shared" si="439"/>
        <v>0</v>
      </c>
      <c r="FF70" s="525">
        <f t="shared" si="439"/>
        <v>0</v>
      </c>
      <c r="FG70" s="525">
        <f t="shared" si="439"/>
        <v>0</v>
      </c>
      <c r="FH70" s="525">
        <f t="shared" si="439"/>
        <v>0</v>
      </c>
      <c r="FI70" s="525">
        <f t="shared" si="439"/>
        <v>0</v>
      </c>
      <c r="FJ70" s="525">
        <f t="shared" si="439"/>
        <v>0</v>
      </c>
      <c r="FK70" s="525">
        <f t="shared" si="439"/>
        <v>0</v>
      </c>
      <c r="FL70" s="525">
        <f t="shared" si="439"/>
        <v>0</v>
      </c>
      <c r="FM70" s="525">
        <f t="shared" si="439"/>
        <v>0</v>
      </c>
      <c r="FN70" s="525">
        <f t="shared" si="439"/>
        <v>0</v>
      </c>
      <c r="FO70" s="525">
        <f t="shared" si="439"/>
        <v>0</v>
      </c>
      <c r="FP70" s="525">
        <f t="shared" si="439"/>
        <v>0</v>
      </c>
      <c r="FQ70" s="525">
        <f t="shared" si="439"/>
        <v>0</v>
      </c>
      <c r="FR70" s="525">
        <f t="shared" si="439"/>
        <v>0</v>
      </c>
      <c r="FS70" s="525">
        <f t="shared" si="439"/>
        <v>0</v>
      </c>
      <c r="FT70" s="525">
        <f t="shared" si="439"/>
        <v>0</v>
      </c>
      <c r="FU70" s="525">
        <f t="shared" si="439"/>
        <v>0</v>
      </c>
      <c r="FV70" s="525">
        <f t="shared" si="439"/>
        <v>0</v>
      </c>
      <c r="FW70" s="525">
        <f t="shared" si="439"/>
        <v>0</v>
      </c>
      <c r="FX70" s="525">
        <f t="shared" si="439"/>
        <v>0</v>
      </c>
      <c r="FY70" s="525">
        <f t="shared" si="439"/>
        <v>0</v>
      </c>
      <c r="FZ70" s="525">
        <f t="shared" si="439"/>
        <v>0</v>
      </c>
      <c r="GA70" s="525">
        <f t="shared" si="439"/>
        <v>0</v>
      </c>
      <c r="GB70" s="525">
        <f t="shared" si="439"/>
        <v>0</v>
      </c>
      <c r="GC70" s="525">
        <f t="shared" si="439"/>
        <v>0</v>
      </c>
      <c r="GD70" s="525">
        <f t="shared" si="439"/>
        <v>0</v>
      </c>
      <c r="GE70" s="525">
        <f t="shared" si="439"/>
        <v>0</v>
      </c>
      <c r="GF70" s="525">
        <f t="shared" si="439"/>
        <v>0</v>
      </c>
      <c r="GG70" s="525">
        <f t="shared" si="439"/>
        <v>0</v>
      </c>
      <c r="GH70" s="525">
        <f t="shared" si="439"/>
        <v>0</v>
      </c>
      <c r="GI70" s="525">
        <f t="shared" si="439"/>
        <v>0</v>
      </c>
      <c r="GJ70" s="525">
        <f t="shared" si="439"/>
        <v>0</v>
      </c>
      <c r="GK70" s="525">
        <f t="shared" si="439"/>
        <v>0</v>
      </c>
      <c r="GL70" s="525">
        <f t="shared" si="439"/>
        <v>0</v>
      </c>
      <c r="GM70" s="525">
        <f t="shared" si="439"/>
        <v>0</v>
      </c>
      <c r="GN70" s="525">
        <f t="shared" si="439"/>
        <v>0</v>
      </c>
      <c r="GO70" s="525">
        <f t="shared" si="439"/>
        <v>0</v>
      </c>
      <c r="GP70" s="525">
        <f t="shared" si="439"/>
        <v>0</v>
      </c>
      <c r="GQ70" s="525">
        <f t="shared" si="439"/>
        <v>0</v>
      </c>
      <c r="GR70" s="525">
        <f t="shared" si="439"/>
        <v>0</v>
      </c>
      <c r="GS70" s="525">
        <f t="shared" si="439"/>
        <v>0</v>
      </c>
      <c r="GT70" s="525">
        <f t="shared" si="432"/>
        <v>0</v>
      </c>
      <c r="GU70" s="525">
        <f t="shared" si="433"/>
        <v>0</v>
      </c>
      <c r="GV70" s="525">
        <f t="shared" si="433"/>
        <v>0</v>
      </c>
      <c r="GW70" s="525">
        <f t="shared" si="433"/>
        <v>0</v>
      </c>
      <c r="GX70" s="525">
        <f t="shared" si="433"/>
        <v>0</v>
      </c>
      <c r="GY70" s="525">
        <f t="shared" si="433"/>
        <v>0</v>
      </c>
      <c r="GZ70" s="525">
        <f t="shared" si="433"/>
        <v>0</v>
      </c>
      <c r="HA70" s="525">
        <f t="shared" si="433"/>
        <v>0</v>
      </c>
      <c r="HB70" s="525">
        <f t="shared" si="433"/>
        <v>0</v>
      </c>
      <c r="HC70" s="525">
        <f t="shared" si="433"/>
        <v>0</v>
      </c>
      <c r="HD70" s="525">
        <f t="shared" si="433"/>
        <v>0</v>
      </c>
      <c r="HE70" s="525">
        <f t="shared" si="433"/>
        <v>0</v>
      </c>
      <c r="HF70" s="525">
        <f t="shared" si="433"/>
        <v>0</v>
      </c>
      <c r="HG70" s="525">
        <f t="shared" si="433"/>
        <v>0</v>
      </c>
      <c r="HH70" s="525">
        <f t="shared" si="433"/>
        <v>0</v>
      </c>
      <c r="HI70" s="525">
        <f t="shared" si="433"/>
        <v>0</v>
      </c>
      <c r="HJ70" s="525">
        <f t="shared" si="433"/>
        <v>0</v>
      </c>
      <c r="HK70" s="525">
        <f t="shared" si="433"/>
        <v>0</v>
      </c>
      <c r="HL70" s="525">
        <f t="shared" si="433"/>
        <v>0</v>
      </c>
      <c r="HM70" s="525">
        <f t="shared" si="433"/>
        <v>0</v>
      </c>
      <c r="HN70" s="525">
        <f t="shared" si="433"/>
        <v>0</v>
      </c>
      <c r="HO70" s="525">
        <f t="shared" si="433"/>
        <v>0</v>
      </c>
      <c r="HP70" s="525">
        <f t="shared" si="433"/>
        <v>0</v>
      </c>
      <c r="HQ70" s="525">
        <f t="shared" si="433"/>
        <v>0</v>
      </c>
      <c r="HR70" s="525">
        <f t="shared" si="433"/>
        <v>0</v>
      </c>
      <c r="HS70" s="525">
        <f t="shared" si="433"/>
        <v>0</v>
      </c>
      <c r="HT70" s="525">
        <f t="shared" si="433"/>
        <v>0</v>
      </c>
      <c r="HU70" s="525">
        <f t="shared" si="433"/>
        <v>0</v>
      </c>
      <c r="HV70" s="525">
        <f t="shared" si="433"/>
        <v>0</v>
      </c>
      <c r="HW70" s="525">
        <f t="shared" si="433"/>
        <v>0</v>
      </c>
      <c r="HX70" s="525">
        <f t="shared" si="433"/>
        <v>0</v>
      </c>
      <c r="HY70" s="525">
        <f t="shared" si="433"/>
        <v>0</v>
      </c>
      <c r="HZ70" s="525">
        <f t="shared" si="433"/>
        <v>0</v>
      </c>
      <c r="IA70" s="525">
        <f t="shared" si="433"/>
        <v>0</v>
      </c>
      <c r="IB70" s="525">
        <f t="shared" si="433"/>
        <v>0</v>
      </c>
      <c r="IC70" s="525">
        <f t="shared" si="433"/>
        <v>0</v>
      </c>
      <c r="ID70" s="525">
        <f t="shared" si="433"/>
        <v>0</v>
      </c>
      <c r="IE70" s="525">
        <f t="shared" si="433"/>
        <v>0</v>
      </c>
      <c r="IF70" s="525">
        <f t="shared" si="433"/>
        <v>0</v>
      </c>
      <c r="IG70" s="525">
        <f t="shared" si="433"/>
        <v>0</v>
      </c>
      <c r="IH70" s="525">
        <f t="shared" si="433"/>
        <v>0</v>
      </c>
      <c r="II70" s="525">
        <f t="shared" si="433"/>
        <v>0</v>
      </c>
      <c r="IJ70" s="525">
        <f t="shared" si="433"/>
        <v>0</v>
      </c>
      <c r="IK70" s="525">
        <f t="shared" si="433"/>
        <v>0</v>
      </c>
      <c r="IL70" s="525">
        <f t="shared" si="433"/>
        <v>0</v>
      </c>
      <c r="IM70" s="525">
        <f t="shared" si="433"/>
        <v>0</v>
      </c>
      <c r="IN70" s="525">
        <f t="shared" si="433"/>
        <v>0</v>
      </c>
      <c r="IO70" s="525">
        <f t="shared" si="433"/>
        <v>0</v>
      </c>
      <c r="IP70" s="525">
        <f t="shared" si="433"/>
        <v>0</v>
      </c>
      <c r="IQ70" s="525">
        <f t="shared" si="433"/>
        <v>0</v>
      </c>
      <c r="IR70" s="525">
        <f t="shared" si="433"/>
        <v>0</v>
      </c>
      <c r="IS70" s="525">
        <f t="shared" si="433"/>
        <v>0</v>
      </c>
      <c r="IT70" s="525">
        <f t="shared" si="433"/>
        <v>0</v>
      </c>
      <c r="IU70" s="525">
        <f t="shared" si="433"/>
        <v>0</v>
      </c>
      <c r="IV70" s="525">
        <f t="shared" si="433"/>
        <v>0</v>
      </c>
      <c r="IW70" s="525">
        <f t="shared" si="433"/>
        <v>0</v>
      </c>
      <c r="IX70" s="525">
        <f t="shared" si="433"/>
        <v>0</v>
      </c>
      <c r="IY70" s="525">
        <f t="shared" si="433"/>
        <v>0</v>
      </c>
      <c r="IZ70" s="525">
        <f t="shared" si="433"/>
        <v>0</v>
      </c>
      <c r="JA70" s="525">
        <f t="shared" si="433"/>
        <v>0</v>
      </c>
      <c r="JB70" s="525">
        <f t="shared" si="433"/>
        <v>0</v>
      </c>
      <c r="JC70" s="525">
        <f t="shared" si="433"/>
        <v>0</v>
      </c>
      <c r="JD70" s="525">
        <f t="shared" si="433"/>
        <v>0</v>
      </c>
      <c r="JE70" s="525">
        <f t="shared" si="433"/>
        <v>0</v>
      </c>
      <c r="JF70" s="525">
        <f t="shared" ref="JF70:LQ71" si="440">IF(JF$7&gt;=$E70,IF(JF$7&lt;=$F70,(($D70*(1+$C70)^(IF(JF$7&gt;=$E70,JF$6-YEAR($E70),0)))/12),0),0)</f>
        <v>0</v>
      </c>
      <c r="JG70" s="525">
        <f t="shared" si="440"/>
        <v>0</v>
      </c>
      <c r="JH70" s="525">
        <f t="shared" si="440"/>
        <v>0</v>
      </c>
      <c r="JI70" s="525">
        <f t="shared" si="440"/>
        <v>0</v>
      </c>
      <c r="JJ70" s="525">
        <f t="shared" si="440"/>
        <v>0</v>
      </c>
      <c r="JK70" s="525">
        <f t="shared" si="440"/>
        <v>0</v>
      </c>
      <c r="JL70" s="525">
        <f t="shared" si="440"/>
        <v>0</v>
      </c>
      <c r="JM70" s="525">
        <f t="shared" si="440"/>
        <v>0</v>
      </c>
      <c r="JN70" s="525">
        <f t="shared" si="440"/>
        <v>0</v>
      </c>
      <c r="JO70" s="525">
        <f t="shared" si="440"/>
        <v>0</v>
      </c>
      <c r="JP70" s="525">
        <f t="shared" si="440"/>
        <v>0</v>
      </c>
      <c r="JQ70" s="525">
        <f t="shared" si="440"/>
        <v>0</v>
      </c>
      <c r="JR70" s="525">
        <f t="shared" si="440"/>
        <v>0</v>
      </c>
      <c r="JS70" s="525">
        <f t="shared" si="440"/>
        <v>0</v>
      </c>
      <c r="JT70" s="525">
        <f t="shared" si="440"/>
        <v>0</v>
      </c>
      <c r="JU70" s="525">
        <f t="shared" si="440"/>
        <v>0</v>
      </c>
      <c r="JV70" s="525">
        <f t="shared" si="440"/>
        <v>0</v>
      </c>
      <c r="JW70" s="525">
        <f t="shared" si="440"/>
        <v>0</v>
      </c>
      <c r="JX70" s="525">
        <f t="shared" si="440"/>
        <v>0</v>
      </c>
      <c r="JY70" s="525">
        <f t="shared" si="440"/>
        <v>0</v>
      </c>
      <c r="JZ70" s="525">
        <f t="shared" si="440"/>
        <v>0</v>
      </c>
      <c r="KA70" s="525">
        <f t="shared" si="440"/>
        <v>0</v>
      </c>
      <c r="KB70" s="525">
        <f t="shared" si="440"/>
        <v>0</v>
      </c>
      <c r="KC70" s="525">
        <f t="shared" si="440"/>
        <v>0</v>
      </c>
      <c r="KD70" s="525">
        <f t="shared" si="440"/>
        <v>0</v>
      </c>
      <c r="KE70" s="525">
        <f t="shared" si="440"/>
        <v>0</v>
      </c>
      <c r="KF70" s="525">
        <f t="shared" si="440"/>
        <v>0</v>
      </c>
      <c r="KG70" s="525">
        <f t="shared" si="440"/>
        <v>0</v>
      </c>
      <c r="KH70" s="525">
        <f t="shared" si="440"/>
        <v>0</v>
      </c>
      <c r="KI70" s="525">
        <f t="shared" si="440"/>
        <v>0</v>
      </c>
      <c r="KJ70" s="525">
        <f t="shared" si="440"/>
        <v>0</v>
      </c>
      <c r="KK70" s="525">
        <f t="shared" si="440"/>
        <v>0</v>
      </c>
      <c r="KL70" s="525">
        <f t="shared" si="440"/>
        <v>0</v>
      </c>
      <c r="KM70" s="525">
        <f t="shared" si="440"/>
        <v>0</v>
      </c>
      <c r="KN70" s="525">
        <f t="shared" si="440"/>
        <v>0</v>
      </c>
      <c r="KO70" s="525">
        <f t="shared" si="440"/>
        <v>0</v>
      </c>
      <c r="KP70" s="525">
        <f t="shared" si="440"/>
        <v>0</v>
      </c>
      <c r="KQ70" s="525">
        <f t="shared" si="440"/>
        <v>0</v>
      </c>
      <c r="KR70" s="525">
        <f t="shared" si="440"/>
        <v>0</v>
      </c>
      <c r="KS70" s="525">
        <f t="shared" si="440"/>
        <v>0</v>
      </c>
      <c r="KT70" s="525">
        <f t="shared" si="440"/>
        <v>0</v>
      </c>
      <c r="KU70" s="525">
        <f t="shared" si="440"/>
        <v>0</v>
      </c>
      <c r="KV70" s="525">
        <f t="shared" si="440"/>
        <v>0</v>
      </c>
      <c r="KW70" s="525">
        <f t="shared" si="440"/>
        <v>0</v>
      </c>
      <c r="KX70" s="525">
        <f t="shared" si="440"/>
        <v>0</v>
      </c>
      <c r="KY70" s="525">
        <f t="shared" si="440"/>
        <v>0</v>
      </c>
      <c r="KZ70" s="525">
        <f t="shared" si="440"/>
        <v>0</v>
      </c>
      <c r="LA70" s="525">
        <f t="shared" si="440"/>
        <v>0</v>
      </c>
      <c r="LB70" s="525">
        <f t="shared" si="440"/>
        <v>0</v>
      </c>
      <c r="LC70" s="525">
        <f t="shared" si="440"/>
        <v>0</v>
      </c>
      <c r="LD70" s="525">
        <f t="shared" si="440"/>
        <v>0</v>
      </c>
      <c r="LE70" s="525">
        <f t="shared" si="440"/>
        <v>0</v>
      </c>
      <c r="LF70" s="525">
        <f t="shared" si="440"/>
        <v>0</v>
      </c>
      <c r="LG70" s="525">
        <f t="shared" si="440"/>
        <v>0</v>
      </c>
      <c r="LH70" s="525">
        <f t="shared" si="440"/>
        <v>0</v>
      </c>
      <c r="LI70" s="525">
        <f t="shared" si="440"/>
        <v>0</v>
      </c>
      <c r="LJ70" s="525">
        <f t="shared" si="440"/>
        <v>0</v>
      </c>
      <c r="LK70" s="525">
        <f t="shared" si="440"/>
        <v>0</v>
      </c>
      <c r="LL70" s="525">
        <f t="shared" si="440"/>
        <v>0</v>
      </c>
      <c r="LM70" s="525">
        <f t="shared" si="440"/>
        <v>0</v>
      </c>
      <c r="LN70" s="525">
        <f t="shared" si="440"/>
        <v>0</v>
      </c>
      <c r="LO70" s="525">
        <f t="shared" si="440"/>
        <v>0</v>
      </c>
      <c r="LP70" s="525">
        <f t="shared" si="440"/>
        <v>0</v>
      </c>
      <c r="LQ70" s="525">
        <f t="shared" si="440"/>
        <v>0</v>
      </c>
      <c r="LR70" s="525">
        <f t="shared" si="434"/>
        <v>0</v>
      </c>
      <c r="LS70" s="525">
        <f t="shared" si="435"/>
        <v>0</v>
      </c>
      <c r="LT70" s="525">
        <f t="shared" si="435"/>
        <v>0</v>
      </c>
      <c r="LU70" s="525">
        <f t="shared" si="435"/>
        <v>0</v>
      </c>
      <c r="LV70" s="525">
        <f t="shared" si="435"/>
        <v>0</v>
      </c>
      <c r="LW70" s="525">
        <f t="shared" si="435"/>
        <v>0</v>
      </c>
      <c r="LX70" s="525">
        <f t="shared" si="435"/>
        <v>0</v>
      </c>
      <c r="LY70" s="525">
        <f t="shared" si="435"/>
        <v>0</v>
      </c>
      <c r="LZ70" s="525">
        <f t="shared" si="435"/>
        <v>0</v>
      </c>
      <c r="MA70" s="525">
        <f t="shared" si="435"/>
        <v>0</v>
      </c>
      <c r="MB70" s="525">
        <f t="shared" si="435"/>
        <v>0</v>
      </c>
      <c r="MC70" s="525">
        <f t="shared" si="435"/>
        <v>0</v>
      </c>
      <c r="MD70" s="525">
        <f t="shared" si="435"/>
        <v>0</v>
      </c>
      <c r="ME70" s="525">
        <f t="shared" si="435"/>
        <v>0</v>
      </c>
      <c r="MF70" s="525">
        <f t="shared" si="435"/>
        <v>0</v>
      </c>
      <c r="MG70" s="525">
        <f t="shared" si="435"/>
        <v>0</v>
      </c>
      <c r="MH70" s="525">
        <f t="shared" si="435"/>
        <v>0</v>
      </c>
      <c r="MI70" s="525">
        <f t="shared" si="435"/>
        <v>0</v>
      </c>
      <c r="MJ70" s="525">
        <f t="shared" si="435"/>
        <v>0</v>
      </c>
      <c r="MK70" s="525">
        <f t="shared" si="435"/>
        <v>0</v>
      </c>
      <c r="ML70" s="525">
        <f t="shared" si="435"/>
        <v>0</v>
      </c>
      <c r="MM70" s="525">
        <f t="shared" si="435"/>
        <v>0</v>
      </c>
      <c r="MN70" s="525">
        <f t="shared" si="435"/>
        <v>0</v>
      </c>
      <c r="MO70" s="525">
        <f t="shared" si="435"/>
        <v>0</v>
      </c>
      <c r="MP70" s="525">
        <f t="shared" si="435"/>
        <v>0</v>
      </c>
      <c r="MQ70" s="525">
        <f t="shared" si="435"/>
        <v>0</v>
      </c>
      <c r="MR70" s="525">
        <f t="shared" si="435"/>
        <v>0</v>
      </c>
      <c r="MS70" s="525">
        <f t="shared" si="435"/>
        <v>0</v>
      </c>
      <c r="MT70" s="525">
        <f t="shared" si="435"/>
        <v>0</v>
      </c>
      <c r="MU70" s="525">
        <f t="shared" si="435"/>
        <v>0</v>
      </c>
      <c r="MV70" s="525">
        <f t="shared" si="435"/>
        <v>0</v>
      </c>
      <c r="MW70" s="525">
        <f t="shared" si="435"/>
        <v>0</v>
      </c>
      <c r="MX70" s="525">
        <f t="shared" si="435"/>
        <v>0</v>
      </c>
      <c r="MY70" s="525">
        <f t="shared" si="435"/>
        <v>0</v>
      </c>
      <c r="MZ70" s="525">
        <f t="shared" si="435"/>
        <v>0</v>
      </c>
      <c r="NA70" s="525">
        <f t="shared" si="435"/>
        <v>0</v>
      </c>
      <c r="NB70" s="525">
        <f t="shared" si="435"/>
        <v>0</v>
      </c>
      <c r="NC70" s="525">
        <f t="shared" si="435"/>
        <v>0</v>
      </c>
      <c r="ND70" s="525">
        <f t="shared" si="435"/>
        <v>0</v>
      </c>
      <c r="NE70" s="525">
        <f t="shared" si="435"/>
        <v>0</v>
      </c>
      <c r="NF70" s="525">
        <f t="shared" si="435"/>
        <v>0</v>
      </c>
      <c r="NG70" s="525">
        <f t="shared" si="435"/>
        <v>0</v>
      </c>
      <c r="NH70" s="525">
        <f t="shared" si="435"/>
        <v>0</v>
      </c>
      <c r="NI70" s="525">
        <f t="shared" si="435"/>
        <v>0</v>
      </c>
      <c r="NJ70" s="525">
        <f t="shared" si="435"/>
        <v>0</v>
      </c>
      <c r="NK70" s="525">
        <f t="shared" si="435"/>
        <v>0</v>
      </c>
      <c r="NL70" s="525">
        <f t="shared" si="435"/>
        <v>0</v>
      </c>
      <c r="NM70" s="525">
        <f t="shared" si="435"/>
        <v>0</v>
      </c>
      <c r="NN70" s="525">
        <f t="shared" si="435"/>
        <v>0</v>
      </c>
      <c r="NO70" s="525">
        <f t="shared" si="435"/>
        <v>0</v>
      </c>
      <c r="NP70" s="525">
        <f t="shared" si="435"/>
        <v>0</v>
      </c>
      <c r="NQ70" s="525">
        <f t="shared" si="435"/>
        <v>0</v>
      </c>
      <c r="NR70" s="525">
        <f t="shared" si="435"/>
        <v>0</v>
      </c>
      <c r="NS70" s="525">
        <f t="shared" si="435"/>
        <v>0</v>
      </c>
      <c r="NT70" s="525">
        <f t="shared" si="435"/>
        <v>0</v>
      </c>
      <c r="NU70" s="525">
        <f t="shared" si="435"/>
        <v>0</v>
      </c>
      <c r="NV70" s="525">
        <f t="shared" si="435"/>
        <v>0</v>
      </c>
      <c r="NW70" s="525">
        <f t="shared" si="435"/>
        <v>0</v>
      </c>
      <c r="NX70" s="525">
        <f t="shared" si="435"/>
        <v>0</v>
      </c>
      <c r="NY70" s="525">
        <f t="shared" si="435"/>
        <v>0</v>
      </c>
      <c r="NZ70" s="525">
        <f t="shared" si="435"/>
        <v>0</v>
      </c>
      <c r="OA70" s="525">
        <f t="shared" si="435"/>
        <v>0</v>
      </c>
      <c r="OB70" s="525">
        <f t="shared" si="435"/>
        <v>0</v>
      </c>
      <c r="OC70" s="525">
        <f t="shared" si="435"/>
        <v>0</v>
      </c>
      <c r="OD70" s="525">
        <f t="shared" ref="OD70:OO71" si="441">IF(OD$7&gt;=$E70,IF(OD$7&lt;=$F70,(($D70*(1+$C70)^(IF(OD$7&gt;=$E70,OD$6-YEAR($E70),0)))/12),0),0)</f>
        <v>0</v>
      </c>
      <c r="OE70" s="525">
        <f t="shared" si="441"/>
        <v>0</v>
      </c>
      <c r="OF70" s="525">
        <f t="shared" si="441"/>
        <v>0</v>
      </c>
      <c r="OG70" s="525">
        <f t="shared" si="441"/>
        <v>0</v>
      </c>
      <c r="OH70" s="525">
        <f t="shared" si="441"/>
        <v>0</v>
      </c>
      <c r="OI70" s="525">
        <f t="shared" si="441"/>
        <v>0</v>
      </c>
      <c r="OJ70" s="525">
        <f t="shared" si="441"/>
        <v>0</v>
      </c>
      <c r="OK70" s="525">
        <f t="shared" si="441"/>
        <v>0</v>
      </c>
      <c r="OL70" s="525">
        <f t="shared" si="441"/>
        <v>0</v>
      </c>
      <c r="OM70" s="525">
        <f t="shared" si="441"/>
        <v>0</v>
      </c>
      <c r="ON70" s="525">
        <f t="shared" si="441"/>
        <v>0</v>
      </c>
      <c r="OO70" s="525">
        <f t="shared" si="441"/>
        <v>0</v>
      </c>
    </row>
    <row r="71" spans="2:405">
      <c r="B71" s="7" t="s">
        <v>70</v>
      </c>
      <c r="C71" s="472">
        <v>0.02</v>
      </c>
      <c r="D71" s="537">
        <f>Mortgage!D9</f>
        <v>39480</v>
      </c>
      <c r="E71" s="507">
        <f>Assumptions!$C$13</f>
        <v>47330</v>
      </c>
      <c r="F71" s="507">
        <f>EOMONTH(E71,Assumptions!$C$14-1)</f>
        <v>58256</v>
      </c>
      <c r="G71" s="97">
        <f t="shared" si="429"/>
        <v>360</v>
      </c>
      <c r="H71" s="97"/>
      <c r="I71" s="97"/>
      <c r="J71" s="525">
        <f t="shared" si="437"/>
        <v>0</v>
      </c>
      <c r="K71" s="525">
        <f t="shared" si="438"/>
        <v>0</v>
      </c>
      <c r="L71" s="525">
        <f t="shared" si="438"/>
        <v>0</v>
      </c>
      <c r="M71" s="525">
        <f t="shared" si="438"/>
        <v>0</v>
      </c>
      <c r="N71" s="525">
        <f t="shared" si="438"/>
        <v>0</v>
      </c>
      <c r="O71" s="525">
        <f t="shared" si="438"/>
        <v>0</v>
      </c>
      <c r="P71" s="525">
        <f t="shared" si="438"/>
        <v>0</v>
      </c>
      <c r="Q71" s="525">
        <f t="shared" si="438"/>
        <v>0</v>
      </c>
      <c r="R71" s="525">
        <f t="shared" si="438"/>
        <v>0</v>
      </c>
      <c r="S71" s="525">
        <f t="shared" si="438"/>
        <v>0</v>
      </c>
      <c r="T71" s="525">
        <f t="shared" si="438"/>
        <v>0</v>
      </c>
      <c r="U71" s="525">
        <f t="shared" si="438"/>
        <v>0</v>
      </c>
      <c r="V71" s="525">
        <f t="shared" si="438"/>
        <v>0</v>
      </c>
      <c r="W71" s="525">
        <f t="shared" si="438"/>
        <v>0</v>
      </c>
      <c r="X71" s="525">
        <f t="shared" si="438"/>
        <v>0</v>
      </c>
      <c r="Y71" s="525">
        <f t="shared" si="438"/>
        <v>0</v>
      </c>
      <c r="Z71" s="525">
        <f t="shared" si="438"/>
        <v>0</v>
      </c>
      <c r="AA71" s="525">
        <f t="shared" si="438"/>
        <v>0</v>
      </c>
      <c r="AB71" s="525">
        <f t="shared" si="438"/>
        <v>0</v>
      </c>
      <c r="AC71" s="525">
        <f t="shared" si="438"/>
        <v>0</v>
      </c>
      <c r="AD71" s="525">
        <f t="shared" si="438"/>
        <v>0</v>
      </c>
      <c r="AE71" s="525">
        <f t="shared" si="438"/>
        <v>0</v>
      </c>
      <c r="AF71" s="525">
        <f t="shared" si="438"/>
        <v>0</v>
      </c>
      <c r="AG71" s="525">
        <f t="shared" si="438"/>
        <v>0</v>
      </c>
      <c r="AH71" s="525">
        <f t="shared" si="438"/>
        <v>0</v>
      </c>
      <c r="AI71" s="525">
        <f t="shared" si="438"/>
        <v>0</v>
      </c>
      <c r="AJ71" s="525">
        <f t="shared" si="438"/>
        <v>0</v>
      </c>
      <c r="AK71" s="525">
        <f t="shared" si="438"/>
        <v>0</v>
      </c>
      <c r="AL71" s="525">
        <f t="shared" si="438"/>
        <v>0</v>
      </c>
      <c r="AM71" s="525">
        <f t="shared" si="438"/>
        <v>0</v>
      </c>
      <c r="AN71" s="525">
        <f t="shared" si="438"/>
        <v>0</v>
      </c>
      <c r="AO71" s="525">
        <f t="shared" si="438"/>
        <v>0</v>
      </c>
      <c r="AP71" s="525">
        <f t="shared" si="438"/>
        <v>0</v>
      </c>
      <c r="AQ71" s="525">
        <f t="shared" si="438"/>
        <v>0</v>
      </c>
      <c r="AR71" s="525">
        <f t="shared" si="438"/>
        <v>0</v>
      </c>
      <c r="AS71" s="525">
        <f t="shared" si="438"/>
        <v>0</v>
      </c>
      <c r="AT71" s="525">
        <f t="shared" si="438"/>
        <v>3290</v>
      </c>
      <c r="AU71" s="525">
        <f t="shared" si="438"/>
        <v>3290</v>
      </c>
      <c r="AV71" s="525">
        <f t="shared" si="438"/>
        <v>3290</v>
      </c>
      <c r="AW71" s="525">
        <f t="shared" si="438"/>
        <v>3290</v>
      </c>
      <c r="AX71" s="525">
        <f t="shared" si="438"/>
        <v>3290</v>
      </c>
      <c r="AY71" s="525">
        <f t="shared" si="438"/>
        <v>3290</v>
      </c>
      <c r="AZ71" s="525">
        <f t="shared" si="438"/>
        <v>3355.7999999999997</v>
      </c>
      <c r="BA71" s="525">
        <f t="shared" si="438"/>
        <v>3355.7999999999997</v>
      </c>
      <c r="BB71" s="525">
        <f t="shared" si="438"/>
        <v>3355.7999999999997</v>
      </c>
      <c r="BC71" s="525">
        <f t="shared" si="438"/>
        <v>3355.7999999999997</v>
      </c>
      <c r="BD71" s="525">
        <f t="shared" si="438"/>
        <v>3355.7999999999997</v>
      </c>
      <c r="BE71" s="525">
        <f t="shared" si="438"/>
        <v>3355.7999999999997</v>
      </c>
      <c r="BF71" s="525">
        <f t="shared" si="438"/>
        <v>3355.7999999999997</v>
      </c>
      <c r="BG71" s="525">
        <f t="shared" si="438"/>
        <v>3355.7999999999997</v>
      </c>
      <c r="BH71" s="525">
        <f t="shared" si="438"/>
        <v>3355.7999999999997</v>
      </c>
      <c r="BI71" s="525">
        <f t="shared" si="438"/>
        <v>3355.7999999999997</v>
      </c>
      <c r="BJ71" s="525">
        <f t="shared" si="438"/>
        <v>3355.7999999999997</v>
      </c>
      <c r="BK71" s="525">
        <f t="shared" si="438"/>
        <v>3355.7999999999997</v>
      </c>
      <c r="BL71" s="525">
        <f t="shared" si="438"/>
        <v>3422.9159999999997</v>
      </c>
      <c r="BM71" s="525">
        <f t="shared" si="438"/>
        <v>3422.9159999999997</v>
      </c>
      <c r="BN71" s="525">
        <f t="shared" si="438"/>
        <v>3422.9159999999997</v>
      </c>
      <c r="BO71" s="525">
        <f t="shared" si="438"/>
        <v>3422.9159999999997</v>
      </c>
      <c r="BP71" s="525">
        <f t="shared" si="438"/>
        <v>3422.9159999999997</v>
      </c>
      <c r="BQ71" s="525">
        <f t="shared" si="438"/>
        <v>3422.9159999999997</v>
      </c>
      <c r="BR71" s="525">
        <f t="shared" si="438"/>
        <v>3422.9159999999997</v>
      </c>
      <c r="BS71" s="525">
        <f t="shared" si="438"/>
        <v>3422.9159999999997</v>
      </c>
      <c r="BT71" s="525">
        <f t="shared" si="438"/>
        <v>3422.9159999999997</v>
      </c>
      <c r="BU71" s="525">
        <f t="shared" si="438"/>
        <v>3422.9159999999997</v>
      </c>
      <c r="BV71" s="525">
        <f t="shared" si="438"/>
        <v>3422.9159999999997</v>
      </c>
      <c r="BW71" s="525">
        <f t="shared" ref="BW71:EH71" si="442">IF(BW$7&gt;=$E71,IF(BW$7&lt;=$F71,(($D71*(1+$C71)^(IF(BW$7&gt;=$E71,BW$6-YEAR($E71),0)))/12),0),0)</f>
        <v>3422.9159999999997</v>
      </c>
      <c r="BX71" s="525">
        <f t="shared" si="442"/>
        <v>3491.3743199999994</v>
      </c>
      <c r="BY71" s="525">
        <f t="shared" si="442"/>
        <v>3491.3743199999994</v>
      </c>
      <c r="BZ71" s="525">
        <f t="shared" si="442"/>
        <v>3491.3743199999994</v>
      </c>
      <c r="CA71" s="525">
        <f t="shared" si="442"/>
        <v>3491.3743199999994</v>
      </c>
      <c r="CB71" s="525">
        <f t="shared" si="442"/>
        <v>3491.3743199999994</v>
      </c>
      <c r="CC71" s="525">
        <f t="shared" si="442"/>
        <v>3491.3743199999994</v>
      </c>
      <c r="CD71" s="525">
        <f t="shared" si="442"/>
        <v>3491.3743199999994</v>
      </c>
      <c r="CE71" s="525">
        <f t="shared" si="442"/>
        <v>3491.3743199999994</v>
      </c>
      <c r="CF71" s="525">
        <f t="shared" si="442"/>
        <v>3491.3743199999994</v>
      </c>
      <c r="CG71" s="525">
        <f t="shared" si="442"/>
        <v>3491.3743199999994</v>
      </c>
      <c r="CH71" s="525">
        <f t="shared" si="442"/>
        <v>3491.3743199999994</v>
      </c>
      <c r="CI71" s="525">
        <f t="shared" si="442"/>
        <v>3491.3743199999994</v>
      </c>
      <c r="CJ71" s="525">
        <f t="shared" si="442"/>
        <v>3561.2018063999999</v>
      </c>
      <c r="CK71" s="525">
        <f t="shared" si="442"/>
        <v>3561.2018063999999</v>
      </c>
      <c r="CL71" s="525">
        <f t="shared" si="442"/>
        <v>3561.2018063999999</v>
      </c>
      <c r="CM71" s="525">
        <f t="shared" si="442"/>
        <v>3561.2018063999999</v>
      </c>
      <c r="CN71" s="525">
        <f t="shared" si="442"/>
        <v>3561.2018063999999</v>
      </c>
      <c r="CO71" s="525">
        <f t="shared" si="442"/>
        <v>3561.2018063999999</v>
      </c>
      <c r="CP71" s="525">
        <f t="shared" si="442"/>
        <v>3561.2018063999999</v>
      </c>
      <c r="CQ71" s="525">
        <f t="shared" si="442"/>
        <v>3561.2018063999999</v>
      </c>
      <c r="CR71" s="525">
        <f t="shared" si="442"/>
        <v>3561.2018063999999</v>
      </c>
      <c r="CS71" s="525">
        <f t="shared" si="442"/>
        <v>3561.2018063999999</v>
      </c>
      <c r="CT71" s="525">
        <f t="shared" si="442"/>
        <v>3561.2018063999999</v>
      </c>
      <c r="CU71" s="525">
        <f t="shared" si="442"/>
        <v>3561.2018063999999</v>
      </c>
      <c r="CV71" s="525">
        <f t="shared" si="442"/>
        <v>3632.425842528</v>
      </c>
      <c r="CW71" s="525">
        <f t="shared" si="442"/>
        <v>3632.425842528</v>
      </c>
      <c r="CX71" s="525">
        <f t="shared" si="442"/>
        <v>3632.425842528</v>
      </c>
      <c r="CY71" s="525">
        <f t="shared" si="442"/>
        <v>3632.425842528</v>
      </c>
      <c r="CZ71" s="525">
        <f t="shared" si="442"/>
        <v>3632.425842528</v>
      </c>
      <c r="DA71" s="525">
        <f t="shared" si="442"/>
        <v>3632.425842528</v>
      </c>
      <c r="DB71" s="525">
        <f t="shared" si="442"/>
        <v>3632.425842528</v>
      </c>
      <c r="DC71" s="525">
        <f t="shared" si="442"/>
        <v>3632.425842528</v>
      </c>
      <c r="DD71" s="525">
        <f t="shared" si="442"/>
        <v>3632.425842528</v>
      </c>
      <c r="DE71" s="525">
        <f t="shared" si="442"/>
        <v>3632.425842528</v>
      </c>
      <c r="DF71" s="525">
        <f t="shared" si="442"/>
        <v>3632.425842528</v>
      </c>
      <c r="DG71" s="525">
        <f t="shared" si="442"/>
        <v>3632.425842528</v>
      </c>
      <c r="DH71" s="525">
        <f t="shared" si="442"/>
        <v>3705.0743593785605</v>
      </c>
      <c r="DI71" s="525">
        <f t="shared" si="442"/>
        <v>3705.0743593785605</v>
      </c>
      <c r="DJ71" s="525">
        <f t="shared" si="442"/>
        <v>3705.0743593785605</v>
      </c>
      <c r="DK71" s="525">
        <f t="shared" si="442"/>
        <v>3705.0743593785605</v>
      </c>
      <c r="DL71" s="525">
        <f t="shared" si="442"/>
        <v>3705.0743593785605</v>
      </c>
      <c r="DM71" s="525">
        <f t="shared" si="442"/>
        <v>3705.0743593785605</v>
      </c>
      <c r="DN71" s="525">
        <f t="shared" si="442"/>
        <v>3705.0743593785605</v>
      </c>
      <c r="DO71" s="525">
        <f t="shared" si="442"/>
        <v>3705.0743593785605</v>
      </c>
      <c r="DP71" s="525">
        <f t="shared" si="442"/>
        <v>3705.0743593785605</v>
      </c>
      <c r="DQ71" s="525">
        <f t="shared" si="442"/>
        <v>3705.0743593785605</v>
      </c>
      <c r="DR71" s="525">
        <f t="shared" si="442"/>
        <v>3705.0743593785605</v>
      </c>
      <c r="DS71" s="525">
        <f t="shared" si="442"/>
        <v>3705.0743593785605</v>
      </c>
      <c r="DT71" s="525">
        <f t="shared" si="442"/>
        <v>3779.175846566131</v>
      </c>
      <c r="DU71" s="525">
        <f t="shared" si="442"/>
        <v>3779.175846566131</v>
      </c>
      <c r="DV71" s="525">
        <f t="shared" si="442"/>
        <v>3779.175846566131</v>
      </c>
      <c r="DW71" s="525">
        <f t="shared" si="442"/>
        <v>3779.175846566131</v>
      </c>
      <c r="DX71" s="525">
        <f t="shared" si="442"/>
        <v>3779.175846566131</v>
      </c>
      <c r="DY71" s="525">
        <f t="shared" si="442"/>
        <v>3779.175846566131</v>
      </c>
      <c r="DZ71" s="525">
        <f t="shared" si="442"/>
        <v>3779.175846566131</v>
      </c>
      <c r="EA71" s="525">
        <f t="shared" si="442"/>
        <v>3779.175846566131</v>
      </c>
      <c r="EB71" s="525">
        <f t="shared" si="442"/>
        <v>3779.175846566131</v>
      </c>
      <c r="EC71" s="525">
        <f t="shared" si="442"/>
        <v>3779.175846566131</v>
      </c>
      <c r="ED71" s="525">
        <f t="shared" si="442"/>
        <v>3779.175846566131</v>
      </c>
      <c r="EE71" s="525">
        <f t="shared" si="442"/>
        <v>3779.175846566131</v>
      </c>
      <c r="EF71" s="525">
        <f t="shared" si="442"/>
        <v>3854.7593634974533</v>
      </c>
      <c r="EG71" s="525">
        <f t="shared" si="442"/>
        <v>3854.7593634974533</v>
      </c>
      <c r="EH71" s="525">
        <f t="shared" si="442"/>
        <v>3854.7593634974533</v>
      </c>
      <c r="EI71" s="525">
        <f t="shared" si="439"/>
        <v>3854.7593634974533</v>
      </c>
      <c r="EJ71" s="525">
        <f t="shared" si="439"/>
        <v>3854.7593634974533</v>
      </c>
      <c r="EK71" s="525">
        <f t="shared" si="439"/>
        <v>3854.7593634974533</v>
      </c>
      <c r="EL71" s="525">
        <f t="shared" si="439"/>
        <v>3854.7593634974533</v>
      </c>
      <c r="EM71" s="525">
        <f t="shared" si="439"/>
        <v>3854.7593634974533</v>
      </c>
      <c r="EN71" s="525">
        <f t="shared" si="439"/>
        <v>3854.7593634974533</v>
      </c>
      <c r="EO71" s="525">
        <f t="shared" si="439"/>
        <v>3854.7593634974533</v>
      </c>
      <c r="EP71" s="525">
        <f t="shared" si="439"/>
        <v>3854.7593634974533</v>
      </c>
      <c r="EQ71" s="525">
        <f t="shared" si="439"/>
        <v>3854.7593634974533</v>
      </c>
      <c r="ER71" s="525">
        <f t="shared" si="439"/>
        <v>3931.8545507674025</v>
      </c>
      <c r="ES71" s="525">
        <f t="shared" si="439"/>
        <v>3931.8545507674025</v>
      </c>
      <c r="ET71" s="525">
        <f t="shared" si="439"/>
        <v>3931.8545507674025</v>
      </c>
      <c r="EU71" s="525">
        <f t="shared" si="439"/>
        <v>3931.8545507674025</v>
      </c>
      <c r="EV71" s="525">
        <f t="shared" si="439"/>
        <v>3931.8545507674025</v>
      </c>
      <c r="EW71" s="525">
        <f t="shared" si="439"/>
        <v>3931.8545507674025</v>
      </c>
      <c r="EX71" s="525">
        <f t="shared" si="439"/>
        <v>3931.8545507674025</v>
      </c>
      <c r="EY71" s="525">
        <f t="shared" si="439"/>
        <v>3931.8545507674025</v>
      </c>
      <c r="EZ71" s="525">
        <f t="shared" si="439"/>
        <v>3931.8545507674025</v>
      </c>
      <c r="FA71" s="525">
        <f t="shared" si="439"/>
        <v>3931.8545507674025</v>
      </c>
      <c r="FB71" s="525">
        <f t="shared" si="439"/>
        <v>3931.8545507674025</v>
      </c>
      <c r="FC71" s="525">
        <f t="shared" si="439"/>
        <v>3931.8545507674025</v>
      </c>
      <c r="FD71" s="525">
        <f t="shared" si="439"/>
        <v>4010.4916417827512</v>
      </c>
      <c r="FE71" s="525">
        <f t="shared" si="439"/>
        <v>4010.4916417827512</v>
      </c>
      <c r="FF71" s="525">
        <f t="shared" si="439"/>
        <v>4010.4916417827512</v>
      </c>
      <c r="FG71" s="525">
        <f t="shared" si="439"/>
        <v>4010.4916417827512</v>
      </c>
      <c r="FH71" s="525">
        <f t="shared" si="439"/>
        <v>4010.4916417827512</v>
      </c>
      <c r="FI71" s="525">
        <f t="shared" si="439"/>
        <v>4010.4916417827512</v>
      </c>
      <c r="FJ71" s="525">
        <f t="shared" si="439"/>
        <v>4010.4916417827512</v>
      </c>
      <c r="FK71" s="525">
        <f t="shared" si="439"/>
        <v>4010.4916417827512</v>
      </c>
      <c r="FL71" s="525">
        <f t="shared" si="439"/>
        <v>4010.4916417827512</v>
      </c>
      <c r="FM71" s="525">
        <f t="shared" si="439"/>
        <v>4010.4916417827512</v>
      </c>
      <c r="FN71" s="525">
        <f t="shared" si="439"/>
        <v>4010.4916417827512</v>
      </c>
      <c r="FO71" s="525">
        <f t="shared" si="439"/>
        <v>4010.4916417827512</v>
      </c>
      <c r="FP71" s="525">
        <f t="shared" si="439"/>
        <v>4090.701474618405</v>
      </c>
      <c r="FQ71" s="525">
        <f t="shared" si="439"/>
        <v>4090.701474618405</v>
      </c>
      <c r="FR71" s="525">
        <f t="shared" si="439"/>
        <v>4090.701474618405</v>
      </c>
      <c r="FS71" s="525">
        <f t="shared" si="439"/>
        <v>4090.701474618405</v>
      </c>
      <c r="FT71" s="525">
        <f t="shared" si="439"/>
        <v>4090.701474618405</v>
      </c>
      <c r="FU71" s="525">
        <f t="shared" si="439"/>
        <v>4090.701474618405</v>
      </c>
      <c r="FV71" s="525">
        <f t="shared" si="439"/>
        <v>4090.701474618405</v>
      </c>
      <c r="FW71" s="525">
        <f t="shared" si="439"/>
        <v>4090.701474618405</v>
      </c>
      <c r="FX71" s="525">
        <f t="shared" si="439"/>
        <v>4090.701474618405</v>
      </c>
      <c r="FY71" s="525">
        <f t="shared" si="439"/>
        <v>4090.701474618405</v>
      </c>
      <c r="FZ71" s="525">
        <f t="shared" si="439"/>
        <v>4090.701474618405</v>
      </c>
      <c r="GA71" s="525">
        <f t="shared" si="439"/>
        <v>4090.701474618405</v>
      </c>
      <c r="GB71" s="525">
        <f t="shared" si="439"/>
        <v>4172.5155041107737</v>
      </c>
      <c r="GC71" s="525">
        <f t="shared" si="439"/>
        <v>4172.5155041107737</v>
      </c>
      <c r="GD71" s="525">
        <f t="shared" si="439"/>
        <v>4172.5155041107737</v>
      </c>
      <c r="GE71" s="525">
        <f t="shared" si="439"/>
        <v>4172.5155041107737</v>
      </c>
      <c r="GF71" s="525">
        <f t="shared" si="439"/>
        <v>4172.5155041107737</v>
      </c>
      <c r="GG71" s="525">
        <f t="shared" si="439"/>
        <v>4172.5155041107737</v>
      </c>
      <c r="GH71" s="525">
        <f t="shared" si="439"/>
        <v>4172.5155041107737</v>
      </c>
      <c r="GI71" s="525">
        <f t="shared" si="439"/>
        <v>4172.5155041107737</v>
      </c>
      <c r="GJ71" s="525">
        <f t="shared" si="439"/>
        <v>4172.5155041107737</v>
      </c>
      <c r="GK71" s="525">
        <f t="shared" si="439"/>
        <v>4172.5155041107737</v>
      </c>
      <c r="GL71" s="525">
        <f t="shared" si="439"/>
        <v>4172.5155041107737</v>
      </c>
      <c r="GM71" s="525">
        <f t="shared" si="439"/>
        <v>4172.5155041107737</v>
      </c>
      <c r="GN71" s="525">
        <f t="shared" si="439"/>
        <v>4255.9658141929895</v>
      </c>
      <c r="GO71" s="525">
        <f t="shared" si="439"/>
        <v>4255.9658141929895</v>
      </c>
      <c r="GP71" s="525">
        <f t="shared" si="439"/>
        <v>4255.9658141929895</v>
      </c>
      <c r="GQ71" s="525">
        <f t="shared" si="439"/>
        <v>4255.9658141929895</v>
      </c>
      <c r="GR71" s="525">
        <f t="shared" si="439"/>
        <v>4255.9658141929895</v>
      </c>
      <c r="GS71" s="525">
        <f t="shared" si="439"/>
        <v>4255.9658141929895</v>
      </c>
      <c r="GT71" s="525">
        <f t="shared" si="432"/>
        <v>4255.9658141929895</v>
      </c>
      <c r="GU71" s="525">
        <f t="shared" ref="GU71:JF71" si="443">IF(GU$7&gt;=$E71,IF(GU$7&lt;=$F71,(($D71*(1+$C71)^(IF(GU$7&gt;=$E71,GU$6-YEAR($E71),0)))/12),0),0)</f>
        <v>4255.9658141929895</v>
      </c>
      <c r="GV71" s="525">
        <f t="shared" si="443"/>
        <v>4255.9658141929895</v>
      </c>
      <c r="GW71" s="525">
        <f t="shared" si="443"/>
        <v>4255.9658141929895</v>
      </c>
      <c r="GX71" s="525">
        <f t="shared" si="443"/>
        <v>4255.9658141929895</v>
      </c>
      <c r="GY71" s="525">
        <f t="shared" si="443"/>
        <v>4255.9658141929895</v>
      </c>
      <c r="GZ71" s="525">
        <f t="shared" si="443"/>
        <v>4341.0851304768494</v>
      </c>
      <c r="HA71" s="525">
        <f t="shared" si="443"/>
        <v>4341.0851304768494</v>
      </c>
      <c r="HB71" s="525">
        <f t="shared" si="443"/>
        <v>4341.0851304768494</v>
      </c>
      <c r="HC71" s="525">
        <f t="shared" si="443"/>
        <v>4341.0851304768494</v>
      </c>
      <c r="HD71" s="525">
        <f t="shared" si="443"/>
        <v>4341.0851304768494</v>
      </c>
      <c r="HE71" s="525">
        <f t="shared" si="443"/>
        <v>4341.0851304768494</v>
      </c>
      <c r="HF71" s="525">
        <f t="shared" si="443"/>
        <v>4341.0851304768494</v>
      </c>
      <c r="HG71" s="525">
        <f t="shared" si="443"/>
        <v>4341.0851304768494</v>
      </c>
      <c r="HH71" s="525">
        <f t="shared" si="443"/>
        <v>4341.0851304768494</v>
      </c>
      <c r="HI71" s="525">
        <f t="shared" si="443"/>
        <v>4341.0851304768494</v>
      </c>
      <c r="HJ71" s="525">
        <f t="shared" si="443"/>
        <v>4341.0851304768494</v>
      </c>
      <c r="HK71" s="525">
        <f t="shared" si="443"/>
        <v>4341.0851304768494</v>
      </c>
      <c r="HL71" s="525">
        <f t="shared" si="443"/>
        <v>4427.9068330863856</v>
      </c>
      <c r="HM71" s="525">
        <f t="shared" si="443"/>
        <v>4427.9068330863856</v>
      </c>
      <c r="HN71" s="525">
        <f t="shared" si="443"/>
        <v>4427.9068330863856</v>
      </c>
      <c r="HO71" s="525">
        <f t="shared" si="443"/>
        <v>4427.9068330863856</v>
      </c>
      <c r="HP71" s="525">
        <f t="shared" si="443"/>
        <v>4427.9068330863856</v>
      </c>
      <c r="HQ71" s="525">
        <f t="shared" si="443"/>
        <v>4427.9068330863856</v>
      </c>
      <c r="HR71" s="525">
        <f t="shared" si="443"/>
        <v>4427.9068330863856</v>
      </c>
      <c r="HS71" s="525">
        <f t="shared" si="443"/>
        <v>4427.9068330863856</v>
      </c>
      <c r="HT71" s="525">
        <f t="shared" si="443"/>
        <v>4427.9068330863856</v>
      </c>
      <c r="HU71" s="525">
        <f t="shared" si="443"/>
        <v>4427.9068330863856</v>
      </c>
      <c r="HV71" s="525">
        <f t="shared" si="443"/>
        <v>4427.9068330863856</v>
      </c>
      <c r="HW71" s="525">
        <f t="shared" si="443"/>
        <v>4427.9068330863856</v>
      </c>
      <c r="HX71" s="525">
        <f t="shared" si="443"/>
        <v>4516.4649697481136</v>
      </c>
      <c r="HY71" s="525">
        <f t="shared" si="443"/>
        <v>4516.4649697481136</v>
      </c>
      <c r="HZ71" s="525">
        <f t="shared" si="443"/>
        <v>4516.4649697481136</v>
      </c>
      <c r="IA71" s="525">
        <f t="shared" si="443"/>
        <v>4516.4649697481136</v>
      </c>
      <c r="IB71" s="525">
        <f t="shared" si="443"/>
        <v>4516.4649697481136</v>
      </c>
      <c r="IC71" s="525">
        <f t="shared" si="443"/>
        <v>4516.4649697481136</v>
      </c>
      <c r="ID71" s="525">
        <f t="shared" si="443"/>
        <v>4516.4649697481136</v>
      </c>
      <c r="IE71" s="525">
        <f t="shared" si="443"/>
        <v>4516.4649697481136</v>
      </c>
      <c r="IF71" s="525">
        <f t="shared" si="443"/>
        <v>4516.4649697481136</v>
      </c>
      <c r="IG71" s="525">
        <f t="shared" si="443"/>
        <v>4516.4649697481136</v>
      </c>
      <c r="IH71" s="525">
        <f t="shared" si="443"/>
        <v>4516.4649697481136</v>
      </c>
      <c r="II71" s="525">
        <f t="shared" si="443"/>
        <v>4516.4649697481136</v>
      </c>
      <c r="IJ71" s="525">
        <f t="shared" si="443"/>
        <v>4606.7942691430762</v>
      </c>
      <c r="IK71" s="525">
        <f t="shared" si="443"/>
        <v>4606.7942691430762</v>
      </c>
      <c r="IL71" s="525">
        <f t="shared" si="443"/>
        <v>4606.7942691430762</v>
      </c>
      <c r="IM71" s="525">
        <f t="shared" si="443"/>
        <v>4606.7942691430762</v>
      </c>
      <c r="IN71" s="525">
        <f t="shared" si="443"/>
        <v>4606.7942691430762</v>
      </c>
      <c r="IO71" s="525">
        <f t="shared" si="443"/>
        <v>4606.7942691430762</v>
      </c>
      <c r="IP71" s="525">
        <f t="shared" si="443"/>
        <v>4606.7942691430762</v>
      </c>
      <c r="IQ71" s="525">
        <f t="shared" si="443"/>
        <v>4606.7942691430762</v>
      </c>
      <c r="IR71" s="525">
        <f t="shared" si="443"/>
        <v>4606.7942691430762</v>
      </c>
      <c r="IS71" s="525">
        <f t="shared" si="443"/>
        <v>4606.7942691430762</v>
      </c>
      <c r="IT71" s="525">
        <f t="shared" si="443"/>
        <v>4606.7942691430762</v>
      </c>
      <c r="IU71" s="525">
        <f t="shared" si="443"/>
        <v>4606.7942691430762</v>
      </c>
      <c r="IV71" s="525">
        <f t="shared" si="443"/>
        <v>4698.9301545259377</v>
      </c>
      <c r="IW71" s="525">
        <f t="shared" si="443"/>
        <v>4698.9301545259377</v>
      </c>
      <c r="IX71" s="525">
        <f t="shared" si="443"/>
        <v>4698.9301545259377</v>
      </c>
      <c r="IY71" s="525">
        <f t="shared" si="443"/>
        <v>4698.9301545259377</v>
      </c>
      <c r="IZ71" s="525">
        <f t="shared" si="443"/>
        <v>4698.9301545259377</v>
      </c>
      <c r="JA71" s="525">
        <f t="shared" si="443"/>
        <v>4698.9301545259377</v>
      </c>
      <c r="JB71" s="525">
        <f t="shared" si="443"/>
        <v>4698.9301545259377</v>
      </c>
      <c r="JC71" s="525">
        <f t="shared" si="443"/>
        <v>4698.9301545259377</v>
      </c>
      <c r="JD71" s="525">
        <f t="shared" si="443"/>
        <v>4698.9301545259377</v>
      </c>
      <c r="JE71" s="525">
        <f t="shared" si="443"/>
        <v>4698.9301545259377</v>
      </c>
      <c r="JF71" s="525">
        <f t="shared" si="443"/>
        <v>4698.9301545259377</v>
      </c>
      <c r="JG71" s="525">
        <f t="shared" si="440"/>
        <v>4698.9301545259377</v>
      </c>
      <c r="JH71" s="525">
        <f t="shared" si="440"/>
        <v>4792.9087576164557</v>
      </c>
      <c r="JI71" s="525">
        <f t="shared" si="440"/>
        <v>4792.9087576164557</v>
      </c>
      <c r="JJ71" s="525">
        <f t="shared" si="440"/>
        <v>4792.9087576164557</v>
      </c>
      <c r="JK71" s="525">
        <f t="shared" si="440"/>
        <v>4792.9087576164557</v>
      </c>
      <c r="JL71" s="525">
        <f t="shared" si="440"/>
        <v>4792.9087576164557</v>
      </c>
      <c r="JM71" s="525">
        <f t="shared" si="440"/>
        <v>4792.9087576164557</v>
      </c>
      <c r="JN71" s="525">
        <f t="shared" si="440"/>
        <v>4792.9087576164557</v>
      </c>
      <c r="JO71" s="525">
        <f t="shared" si="440"/>
        <v>4792.9087576164557</v>
      </c>
      <c r="JP71" s="525">
        <f t="shared" si="440"/>
        <v>4792.9087576164557</v>
      </c>
      <c r="JQ71" s="525">
        <f t="shared" si="440"/>
        <v>4792.9087576164557</v>
      </c>
      <c r="JR71" s="525">
        <f t="shared" si="440"/>
        <v>4792.9087576164557</v>
      </c>
      <c r="JS71" s="525">
        <f t="shared" si="440"/>
        <v>4792.9087576164557</v>
      </c>
      <c r="JT71" s="525">
        <f t="shared" si="440"/>
        <v>4888.7669327687854</v>
      </c>
      <c r="JU71" s="525">
        <f t="shared" si="440"/>
        <v>4888.7669327687854</v>
      </c>
      <c r="JV71" s="525">
        <f t="shared" si="440"/>
        <v>4888.7669327687854</v>
      </c>
      <c r="JW71" s="525">
        <f t="shared" si="440"/>
        <v>4888.7669327687854</v>
      </c>
      <c r="JX71" s="525">
        <f t="shared" si="440"/>
        <v>4888.7669327687854</v>
      </c>
      <c r="JY71" s="525">
        <f t="shared" si="440"/>
        <v>4888.7669327687854</v>
      </c>
      <c r="JZ71" s="525">
        <f t="shared" si="440"/>
        <v>4888.7669327687854</v>
      </c>
      <c r="KA71" s="525">
        <f t="shared" si="440"/>
        <v>4888.7669327687854</v>
      </c>
      <c r="KB71" s="525">
        <f t="shared" si="440"/>
        <v>4888.7669327687854</v>
      </c>
      <c r="KC71" s="525">
        <f t="shared" si="440"/>
        <v>4888.7669327687854</v>
      </c>
      <c r="KD71" s="525">
        <f t="shared" si="440"/>
        <v>4888.7669327687854</v>
      </c>
      <c r="KE71" s="525">
        <f t="shared" si="440"/>
        <v>4888.7669327687854</v>
      </c>
      <c r="KF71" s="525">
        <f t="shared" si="440"/>
        <v>4986.5422714241604</v>
      </c>
      <c r="KG71" s="525">
        <f t="shared" si="440"/>
        <v>4986.5422714241604</v>
      </c>
      <c r="KH71" s="525">
        <f t="shared" si="440"/>
        <v>4986.5422714241604</v>
      </c>
      <c r="KI71" s="525">
        <f t="shared" si="440"/>
        <v>4986.5422714241604</v>
      </c>
      <c r="KJ71" s="525">
        <f t="shared" si="440"/>
        <v>4986.5422714241604</v>
      </c>
      <c r="KK71" s="525">
        <f t="shared" si="440"/>
        <v>4986.5422714241604</v>
      </c>
      <c r="KL71" s="525">
        <f t="shared" si="440"/>
        <v>4986.5422714241604</v>
      </c>
      <c r="KM71" s="525">
        <f t="shared" si="440"/>
        <v>4986.5422714241604</v>
      </c>
      <c r="KN71" s="525">
        <f t="shared" si="440"/>
        <v>4986.5422714241604</v>
      </c>
      <c r="KO71" s="525">
        <f t="shared" si="440"/>
        <v>4986.5422714241604</v>
      </c>
      <c r="KP71" s="525">
        <f t="shared" si="440"/>
        <v>4986.5422714241604</v>
      </c>
      <c r="KQ71" s="525">
        <f t="shared" si="440"/>
        <v>4986.5422714241604</v>
      </c>
      <c r="KR71" s="525">
        <f t="shared" si="440"/>
        <v>5086.2731168526443</v>
      </c>
      <c r="KS71" s="525">
        <f t="shared" si="440"/>
        <v>5086.2731168526443</v>
      </c>
      <c r="KT71" s="525">
        <f t="shared" si="440"/>
        <v>5086.2731168526443</v>
      </c>
      <c r="KU71" s="525">
        <f t="shared" si="440"/>
        <v>5086.2731168526443</v>
      </c>
      <c r="KV71" s="525">
        <f t="shared" si="440"/>
        <v>5086.2731168526443</v>
      </c>
      <c r="KW71" s="525">
        <f t="shared" si="440"/>
        <v>5086.2731168526443</v>
      </c>
      <c r="KX71" s="525">
        <f t="shared" si="440"/>
        <v>5086.2731168526443</v>
      </c>
      <c r="KY71" s="525">
        <f t="shared" si="440"/>
        <v>5086.2731168526443</v>
      </c>
      <c r="KZ71" s="525">
        <f t="shared" si="440"/>
        <v>5086.2731168526443</v>
      </c>
      <c r="LA71" s="525">
        <f t="shared" si="440"/>
        <v>5086.2731168526443</v>
      </c>
      <c r="LB71" s="525">
        <f t="shared" si="440"/>
        <v>5086.2731168526443</v>
      </c>
      <c r="LC71" s="525">
        <f t="shared" si="440"/>
        <v>5086.2731168526443</v>
      </c>
      <c r="LD71" s="525">
        <f t="shared" si="440"/>
        <v>5187.9985791896961</v>
      </c>
      <c r="LE71" s="525">
        <f t="shared" si="440"/>
        <v>5187.9985791896961</v>
      </c>
      <c r="LF71" s="525">
        <f t="shared" si="440"/>
        <v>5187.9985791896961</v>
      </c>
      <c r="LG71" s="525">
        <f t="shared" si="440"/>
        <v>5187.9985791896961</v>
      </c>
      <c r="LH71" s="525">
        <f t="shared" si="440"/>
        <v>5187.9985791896961</v>
      </c>
      <c r="LI71" s="525">
        <f t="shared" si="440"/>
        <v>5187.9985791896961</v>
      </c>
      <c r="LJ71" s="525">
        <f t="shared" si="440"/>
        <v>5187.9985791896961</v>
      </c>
      <c r="LK71" s="525">
        <f t="shared" si="440"/>
        <v>5187.9985791896961</v>
      </c>
      <c r="LL71" s="525">
        <f t="shared" si="440"/>
        <v>5187.9985791896961</v>
      </c>
      <c r="LM71" s="525">
        <f t="shared" si="440"/>
        <v>5187.9985791896961</v>
      </c>
      <c r="LN71" s="525">
        <f t="shared" si="440"/>
        <v>5187.9985791896961</v>
      </c>
      <c r="LO71" s="525">
        <f t="shared" si="440"/>
        <v>5187.9985791896961</v>
      </c>
      <c r="LP71" s="525">
        <f t="shared" si="440"/>
        <v>5291.7585507734902</v>
      </c>
      <c r="LQ71" s="525">
        <f t="shared" si="440"/>
        <v>5291.7585507734902</v>
      </c>
      <c r="LR71" s="525">
        <f t="shared" si="434"/>
        <v>5291.7585507734902</v>
      </c>
      <c r="LS71" s="525">
        <f t="shared" ref="LS71:OD71" si="444">IF(LS$7&gt;=$E71,IF(LS$7&lt;=$F71,(($D71*(1+$C71)^(IF(LS$7&gt;=$E71,LS$6-YEAR($E71),0)))/12),0),0)</f>
        <v>5291.7585507734902</v>
      </c>
      <c r="LT71" s="525">
        <f t="shared" si="444"/>
        <v>5291.7585507734902</v>
      </c>
      <c r="LU71" s="525">
        <f t="shared" si="444"/>
        <v>5291.7585507734902</v>
      </c>
      <c r="LV71" s="525">
        <f t="shared" si="444"/>
        <v>5291.7585507734902</v>
      </c>
      <c r="LW71" s="525">
        <f t="shared" si="444"/>
        <v>5291.7585507734902</v>
      </c>
      <c r="LX71" s="525">
        <f t="shared" si="444"/>
        <v>5291.7585507734902</v>
      </c>
      <c r="LY71" s="525">
        <f t="shared" si="444"/>
        <v>5291.7585507734902</v>
      </c>
      <c r="LZ71" s="525">
        <f t="shared" si="444"/>
        <v>5291.7585507734902</v>
      </c>
      <c r="MA71" s="525">
        <f t="shared" si="444"/>
        <v>5291.7585507734902</v>
      </c>
      <c r="MB71" s="525">
        <f t="shared" si="444"/>
        <v>5397.5937217889605</v>
      </c>
      <c r="MC71" s="525">
        <f t="shared" si="444"/>
        <v>5397.5937217889605</v>
      </c>
      <c r="MD71" s="525">
        <f t="shared" si="444"/>
        <v>5397.5937217889605</v>
      </c>
      <c r="ME71" s="525">
        <f t="shared" si="444"/>
        <v>5397.5937217889605</v>
      </c>
      <c r="MF71" s="525">
        <f t="shared" si="444"/>
        <v>5397.5937217889605</v>
      </c>
      <c r="MG71" s="525">
        <f t="shared" si="444"/>
        <v>5397.5937217889605</v>
      </c>
      <c r="MH71" s="525">
        <f t="shared" si="444"/>
        <v>5397.5937217889605</v>
      </c>
      <c r="MI71" s="525">
        <f t="shared" si="444"/>
        <v>5397.5937217889605</v>
      </c>
      <c r="MJ71" s="525">
        <f t="shared" si="444"/>
        <v>5397.5937217889605</v>
      </c>
      <c r="MK71" s="525">
        <f t="shared" si="444"/>
        <v>5397.5937217889605</v>
      </c>
      <c r="ML71" s="525">
        <f t="shared" si="444"/>
        <v>5397.5937217889605</v>
      </c>
      <c r="MM71" s="525">
        <f t="shared" si="444"/>
        <v>5397.5937217889605</v>
      </c>
      <c r="MN71" s="525">
        <f t="shared" si="444"/>
        <v>5505.5455962247397</v>
      </c>
      <c r="MO71" s="525">
        <f t="shared" si="444"/>
        <v>5505.5455962247397</v>
      </c>
      <c r="MP71" s="525">
        <f t="shared" si="444"/>
        <v>5505.5455962247397</v>
      </c>
      <c r="MQ71" s="525">
        <f t="shared" si="444"/>
        <v>5505.5455962247397</v>
      </c>
      <c r="MR71" s="525">
        <f t="shared" si="444"/>
        <v>5505.5455962247397</v>
      </c>
      <c r="MS71" s="525">
        <f t="shared" si="444"/>
        <v>5505.5455962247397</v>
      </c>
      <c r="MT71" s="525">
        <f t="shared" si="444"/>
        <v>5505.5455962247397</v>
      </c>
      <c r="MU71" s="525">
        <f t="shared" si="444"/>
        <v>5505.5455962247397</v>
      </c>
      <c r="MV71" s="525">
        <f t="shared" si="444"/>
        <v>5505.5455962247397</v>
      </c>
      <c r="MW71" s="525">
        <f t="shared" si="444"/>
        <v>5505.5455962247397</v>
      </c>
      <c r="MX71" s="525">
        <f t="shared" si="444"/>
        <v>5505.5455962247397</v>
      </c>
      <c r="MY71" s="525">
        <f t="shared" si="444"/>
        <v>5505.5455962247397</v>
      </c>
      <c r="MZ71" s="525">
        <f t="shared" si="444"/>
        <v>5615.6565081492336</v>
      </c>
      <c r="NA71" s="525">
        <f t="shared" si="444"/>
        <v>5615.6565081492336</v>
      </c>
      <c r="NB71" s="525">
        <f t="shared" si="444"/>
        <v>5615.6565081492336</v>
      </c>
      <c r="NC71" s="525">
        <f t="shared" si="444"/>
        <v>5615.6565081492336</v>
      </c>
      <c r="ND71" s="525">
        <f t="shared" si="444"/>
        <v>5615.6565081492336</v>
      </c>
      <c r="NE71" s="525">
        <f t="shared" si="444"/>
        <v>5615.6565081492336</v>
      </c>
      <c r="NF71" s="525">
        <f t="shared" si="444"/>
        <v>5615.6565081492336</v>
      </c>
      <c r="NG71" s="525">
        <f t="shared" si="444"/>
        <v>5615.6565081492336</v>
      </c>
      <c r="NH71" s="525">
        <f t="shared" si="444"/>
        <v>5615.6565081492336</v>
      </c>
      <c r="NI71" s="525">
        <f t="shared" si="444"/>
        <v>5615.6565081492336</v>
      </c>
      <c r="NJ71" s="525">
        <f t="shared" si="444"/>
        <v>5615.6565081492336</v>
      </c>
      <c r="NK71" s="525">
        <f t="shared" si="444"/>
        <v>5615.6565081492336</v>
      </c>
      <c r="NL71" s="525">
        <f t="shared" si="444"/>
        <v>5727.96963831222</v>
      </c>
      <c r="NM71" s="525">
        <f t="shared" si="444"/>
        <v>5727.96963831222</v>
      </c>
      <c r="NN71" s="525">
        <f t="shared" si="444"/>
        <v>5727.96963831222</v>
      </c>
      <c r="NO71" s="525">
        <f t="shared" si="444"/>
        <v>5727.96963831222</v>
      </c>
      <c r="NP71" s="525">
        <f t="shared" si="444"/>
        <v>5727.96963831222</v>
      </c>
      <c r="NQ71" s="525">
        <f t="shared" si="444"/>
        <v>5727.96963831222</v>
      </c>
      <c r="NR71" s="525">
        <f t="shared" si="444"/>
        <v>5727.96963831222</v>
      </c>
      <c r="NS71" s="525">
        <f t="shared" si="444"/>
        <v>5727.96963831222</v>
      </c>
      <c r="NT71" s="525">
        <f t="shared" si="444"/>
        <v>5727.96963831222</v>
      </c>
      <c r="NU71" s="525">
        <f t="shared" si="444"/>
        <v>5727.96963831222</v>
      </c>
      <c r="NV71" s="525">
        <f t="shared" si="444"/>
        <v>5727.96963831222</v>
      </c>
      <c r="NW71" s="525">
        <f t="shared" si="444"/>
        <v>5727.96963831222</v>
      </c>
      <c r="NX71" s="525">
        <f t="shared" si="444"/>
        <v>5842.529031078463</v>
      </c>
      <c r="NY71" s="525">
        <f t="shared" si="444"/>
        <v>5842.529031078463</v>
      </c>
      <c r="NZ71" s="525">
        <f t="shared" si="444"/>
        <v>5842.529031078463</v>
      </c>
      <c r="OA71" s="525">
        <f t="shared" si="444"/>
        <v>5842.529031078463</v>
      </c>
      <c r="OB71" s="525">
        <f t="shared" si="444"/>
        <v>5842.529031078463</v>
      </c>
      <c r="OC71" s="525">
        <f t="shared" si="444"/>
        <v>5842.529031078463</v>
      </c>
      <c r="OD71" s="525">
        <f t="shared" si="444"/>
        <v>5842.529031078463</v>
      </c>
      <c r="OE71" s="525">
        <f t="shared" si="441"/>
        <v>5842.529031078463</v>
      </c>
      <c r="OF71" s="525">
        <f t="shared" si="441"/>
        <v>5842.529031078463</v>
      </c>
      <c r="OG71" s="525">
        <f t="shared" si="441"/>
        <v>5842.529031078463</v>
      </c>
      <c r="OH71" s="525">
        <f t="shared" si="441"/>
        <v>5842.529031078463</v>
      </c>
      <c r="OI71" s="525">
        <f t="shared" si="441"/>
        <v>5842.529031078463</v>
      </c>
      <c r="OJ71" s="525">
        <f t="shared" si="441"/>
        <v>5959.379611700032</v>
      </c>
      <c r="OK71" s="525">
        <f t="shared" si="441"/>
        <v>5959.379611700032</v>
      </c>
      <c r="OL71" s="525">
        <f t="shared" si="441"/>
        <v>5959.379611700032</v>
      </c>
      <c r="OM71" s="525">
        <f t="shared" si="441"/>
        <v>5959.379611700032</v>
      </c>
      <c r="ON71" s="525">
        <f t="shared" si="441"/>
        <v>5959.379611700032</v>
      </c>
      <c r="OO71" s="525">
        <f t="shared" si="441"/>
        <v>5959.379611700032</v>
      </c>
    </row>
    <row r="72" spans="2:405">
      <c r="B72" s="517" t="s">
        <v>432</v>
      </c>
      <c r="C72" s="517"/>
      <c r="D72" s="508"/>
      <c r="E72" s="244"/>
      <c r="F72" s="244"/>
      <c r="G72" s="244"/>
      <c r="H72" s="244"/>
      <c r="I72" s="244"/>
      <c r="J72" s="505">
        <f>SUM(J67:J71)</f>
        <v>0</v>
      </c>
      <c r="K72" s="505">
        <f t="shared" ref="K72:BV72" si="445">SUM(K67:K71)</f>
        <v>0</v>
      </c>
      <c r="L72" s="505">
        <f t="shared" si="445"/>
        <v>0</v>
      </c>
      <c r="M72" s="505">
        <f t="shared" si="445"/>
        <v>0</v>
      </c>
      <c r="N72" s="505">
        <f t="shared" si="445"/>
        <v>0</v>
      </c>
      <c r="O72" s="505">
        <f t="shared" si="445"/>
        <v>0</v>
      </c>
      <c r="P72" s="505">
        <f t="shared" si="445"/>
        <v>0</v>
      </c>
      <c r="Q72" s="505">
        <f t="shared" si="445"/>
        <v>0</v>
      </c>
      <c r="R72" s="505">
        <f t="shared" si="445"/>
        <v>0</v>
      </c>
      <c r="S72" s="505">
        <f t="shared" si="445"/>
        <v>0</v>
      </c>
      <c r="T72" s="505">
        <f t="shared" si="445"/>
        <v>0</v>
      </c>
      <c r="U72" s="505">
        <f t="shared" si="445"/>
        <v>0</v>
      </c>
      <c r="V72" s="505">
        <f t="shared" si="445"/>
        <v>0</v>
      </c>
      <c r="W72" s="505">
        <f t="shared" si="445"/>
        <v>0</v>
      </c>
      <c r="X72" s="505">
        <f t="shared" si="445"/>
        <v>0</v>
      </c>
      <c r="Y72" s="505">
        <f t="shared" si="445"/>
        <v>0</v>
      </c>
      <c r="Z72" s="505">
        <f t="shared" si="445"/>
        <v>0</v>
      </c>
      <c r="AA72" s="505">
        <f t="shared" si="445"/>
        <v>0</v>
      </c>
      <c r="AB72" s="505">
        <f t="shared" si="445"/>
        <v>0</v>
      </c>
      <c r="AC72" s="505">
        <f t="shared" si="445"/>
        <v>0</v>
      </c>
      <c r="AD72" s="505">
        <f t="shared" si="445"/>
        <v>0</v>
      </c>
      <c r="AE72" s="505">
        <f t="shared" si="445"/>
        <v>0</v>
      </c>
      <c r="AF72" s="505">
        <f t="shared" si="445"/>
        <v>0</v>
      </c>
      <c r="AG72" s="505">
        <f t="shared" si="445"/>
        <v>0</v>
      </c>
      <c r="AH72" s="505">
        <f t="shared" si="445"/>
        <v>0</v>
      </c>
      <c r="AI72" s="505">
        <f t="shared" si="445"/>
        <v>0</v>
      </c>
      <c r="AJ72" s="505">
        <f t="shared" si="445"/>
        <v>0</v>
      </c>
      <c r="AK72" s="505">
        <f t="shared" si="445"/>
        <v>0</v>
      </c>
      <c r="AL72" s="505">
        <f t="shared" si="445"/>
        <v>0</v>
      </c>
      <c r="AM72" s="505">
        <f t="shared" si="445"/>
        <v>0</v>
      </c>
      <c r="AN72" s="505">
        <f t="shared" si="445"/>
        <v>0</v>
      </c>
      <c r="AO72" s="505">
        <f t="shared" si="445"/>
        <v>0</v>
      </c>
      <c r="AP72" s="505">
        <f t="shared" si="445"/>
        <v>0</v>
      </c>
      <c r="AQ72" s="505">
        <f t="shared" si="445"/>
        <v>0</v>
      </c>
      <c r="AR72" s="505">
        <f t="shared" si="445"/>
        <v>0</v>
      </c>
      <c r="AS72" s="505">
        <f t="shared" si="445"/>
        <v>0</v>
      </c>
      <c r="AT72" s="505">
        <f t="shared" si="445"/>
        <v>653040.77134146343</v>
      </c>
      <c r="AU72" s="505">
        <f t="shared" si="445"/>
        <v>653040.77134146343</v>
      </c>
      <c r="AV72" s="505">
        <f t="shared" si="445"/>
        <v>653040.77134146343</v>
      </c>
      <c r="AW72" s="505">
        <f t="shared" si="445"/>
        <v>653040.77134146343</v>
      </c>
      <c r="AX72" s="505">
        <f t="shared" si="445"/>
        <v>653040.77134146343</v>
      </c>
      <c r="AY72" s="505">
        <f t="shared" si="445"/>
        <v>653040.77134146343</v>
      </c>
      <c r="AZ72" s="505">
        <f t="shared" si="445"/>
        <v>666101.58676829271</v>
      </c>
      <c r="BA72" s="505">
        <f t="shared" si="445"/>
        <v>666101.58676829271</v>
      </c>
      <c r="BB72" s="505">
        <f t="shared" si="445"/>
        <v>666101.58676829271</v>
      </c>
      <c r="BC72" s="505">
        <f t="shared" si="445"/>
        <v>666101.58676829271</v>
      </c>
      <c r="BD72" s="505">
        <f t="shared" si="445"/>
        <v>666101.58676829271</v>
      </c>
      <c r="BE72" s="505">
        <f t="shared" si="445"/>
        <v>666101.58676829271</v>
      </c>
      <c r="BF72" s="505">
        <f t="shared" si="445"/>
        <v>666101.58676829271</v>
      </c>
      <c r="BG72" s="505">
        <f t="shared" si="445"/>
        <v>666101.58676829271</v>
      </c>
      <c r="BH72" s="505">
        <f t="shared" si="445"/>
        <v>666101.58676829271</v>
      </c>
      <c r="BI72" s="505">
        <f t="shared" si="445"/>
        <v>666101.58676829271</v>
      </c>
      <c r="BJ72" s="505">
        <f t="shared" si="445"/>
        <v>666101.58676829271</v>
      </c>
      <c r="BK72" s="505">
        <f t="shared" si="445"/>
        <v>666101.58676829271</v>
      </c>
      <c r="BL72" s="505">
        <f t="shared" si="445"/>
        <v>679423.61850365845</v>
      </c>
      <c r="BM72" s="505">
        <f t="shared" si="445"/>
        <v>679423.61850365845</v>
      </c>
      <c r="BN72" s="505">
        <f t="shared" si="445"/>
        <v>679423.61850365845</v>
      </c>
      <c r="BO72" s="505">
        <f t="shared" si="445"/>
        <v>679423.61850365845</v>
      </c>
      <c r="BP72" s="505">
        <f t="shared" si="445"/>
        <v>679423.61850365845</v>
      </c>
      <c r="BQ72" s="505">
        <f t="shared" si="445"/>
        <v>679423.61850365845</v>
      </c>
      <c r="BR72" s="505">
        <f t="shared" si="445"/>
        <v>679423.61850365845</v>
      </c>
      <c r="BS72" s="505">
        <f t="shared" si="445"/>
        <v>679423.61850365845</v>
      </c>
      <c r="BT72" s="505">
        <f t="shared" si="445"/>
        <v>679423.61850365845</v>
      </c>
      <c r="BU72" s="505">
        <f t="shared" si="445"/>
        <v>679423.61850365845</v>
      </c>
      <c r="BV72" s="505">
        <f t="shared" si="445"/>
        <v>679423.61850365845</v>
      </c>
      <c r="BW72" s="505">
        <f t="shared" ref="BW72:EH72" si="446">SUM(BW67:BW71)</f>
        <v>679423.61850365845</v>
      </c>
      <c r="BX72" s="505">
        <f t="shared" si="446"/>
        <v>693012.09087373165</v>
      </c>
      <c r="BY72" s="505">
        <f t="shared" si="446"/>
        <v>693012.09087373165</v>
      </c>
      <c r="BZ72" s="505">
        <f t="shared" si="446"/>
        <v>693012.09087373165</v>
      </c>
      <c r="CA72" s="505">
        <f t="shared" si="446"/>
        <v>693012.09087373165</v>
      </c>
      <c r="CB72" s="505">
        <f t="shared" si="446"/>
        <v>693012.09087373165</v>
      </c>
      <c r="CC72" s="505">
        <f t="shared" si="446"/>
        <v>693012.09087373165</v>
      </c>
      <c r="CD72" s="505">
        <f t="shared" si="446"/>
        <v>693012.09087373165</v>
      </c>
      <c r="CE72" s="505">
        <f t="shared" si="446"/>
        <v>693012.09087373165</v>
      </c>
      <c r="CF72" s="505">
        <f t="shared" si="446"/>
        <v>693012.09087373165</v>
      </c>
      <c r="CG72" s="505">
        <f t="shared" si="446"/>
        <v>693012.09087373165</v>
      </c>
      <c r="CH72" s="505">
        <f t="shared" si="446"/>
        <v>693012.09087373165</v>
      </c>
      <c r="CI72" s="505">
        <f t="shared" si="446"/>
        <v>693012.09087373165</v>
      </c>
      <c r="CJ72" s="505">
        <f t="shared" si="446"/>
        <v>706872.33269120625</v>
      </c>
      <c r="CK72" s="505">
        <f t="shared" si="446"/>
        <v>706872.33269120625</v>
      </c>
      <c r="CL72" s="505">
        <f t="shared" si="446"/>
        <v>706872.33269120625</v>
      </c>
      <c r="CM72" s="505">
        <f t="shared" si="446"/>
        <v>706872.33269120625</v>
      </c>
      <c r="CN72" s="505">
        <f t="shared" si="446"/>
        <v>706872.33269120625</v>
      </c>
      <c r="CO72" s="505">
        <f t="shared" si="446"/>
        <v>706872.33269120625</v>
      </c>
      <c r="CP72" s="505">
        <f t="shared" si="446"/>
        <v>706872.33269120625</v>
      </c>
      <c r="CQ72" s="505">
        <f t="shared" si="446"/>
        <v>706872.33269120625</v>
      </c>
      <c r="CR72" s="505">
        <f t="shared" si="446"/>
        <v>706872.33269120625</v>
      </c>
      <c r="CS72" s="505">
        <f t="shared" si="446"/>
        <v>706872.33269120625</v>
      </c>
      <c r="CT72" s="505">
        <f t="shared" si="446"/>
        <v>706872.33269120625</v>
      </c>
      <c r="CU72" s="505">
        <f t="shared" si="446"/>
        <v>706872.33269120625</v>
      </c>
      <c r="CV72" s="505">
        <f t="shared" si="446"/>
        <v>721009.77934503043</v>
      </c>
      <c r="CW72" s="505">
        <f t="shared" si="446"/>
        <v>721009.77934503043</v>
      </c>
      <c r="CX72" s="505">
        <f t="shared" si="446"/>
        <v>721009.77934503043</v>
      </c>
      <c r="CY72" s="505">
        <f t="shared" si="446"/>
        <v>721009.77934503043</v>
      </c>
      <c r="CZ72" s="505">
        <f t="shared" si="446"/>
        <v>721009.77934503043</v>
      </c>
      <c r="DA72" s="505">
        <f t="shared" si="446"/>
        <v>721009.77934503043</v>
      </c>
      <c r="DB72" s="505">
        <f t="shared" si="446"/>
        <v>721009.77934503043</v>
      </c>
      <c r="DC72" s="505">
        <f t="shared" si="446"/>
        <v>721009.77934503043</v>
      </c>
      <c r="DD72" s="505">
        <f t="shared" si="446"/>
        <v>721009.77934503043</v>
      </c>
      <c r="DE72" s="505">
        <f t="shared" si="446"/>
        <v>721009.77934503043</v>
      </c>
      <c r="DF72" s="505">
        <f t="shared" si="446"/>
        <v>721009.77934503043</v>
      </c>
      <c r="DG72" s="505">
        <f t="shared" si="446"/>
        <v>721009.77934503043</v>
      </c>
      <c r="DH72" s="505">
        <f t="shared" si="446"/>
        <v>735429.97493193112</v>
      </c>
      <c r="DI72" s="505">
        <f t="shared" si="446"/>
        <v>735429.97493193112</v>
      </c>
      <c r="DJ72" s="505">
        <f t="shared" si="446"/>
        <v>735429.97493193112</v>
      </c>
      <c r="DK72" s="505">
        <f t="shared" si="446"/>
        <v>735429.97493193112</v>
      </c>
      <c r="DL72" s="505">
        <f t="shared" si="446"/>
        <v>735429.97493193112</v>
      </c>
      <c r="DM72" s="505">
        <f t="shared" si="446"/>
        <v>735429.97493193112</v>
      </c>
      <c r="DN72" s="505">
        <f t="shared" si="446"/>
        <v>735429.97493193112</v>
      </c>
      <c r="DO72" s="505">
        <f t="shared" si="446"/>
        <v>735429.97493193112</v>
      </c>
      <c r="DP72" s="505">
        <f t="shared" si="446"/>
        <v>735429.97493193112</v>
      </c>
      <c r="DQ72" s="505">
        <f t="shared" si="446"/>
        <v>735429.97493193112</v>
      </c>
      <c r="DR72" s="505">
        <f t="shared" si="446"/>
        <v>735429.97493193112</v>
      </c>
      <c r="DS72" s="505">
        <f t="shared" si="446"/>
        <v>735429.97493193112</v>
      </c>
      <c r="DT72" s="505">
        <f t="shared" si="446"/>
        <v>750138.57443056954</v>
      </c>
      <c r="DU72" s="505">
        <f t="shared" si="446"/>
        <v>750138.57443056954</v>
      </c>
      <c r="DV72" s="505">
        <f t="shared" si="446"/>
        <v>750138.57443056954</v>
      </c>
      <c r="DW72" s="505">
        <f t="shared" si="446"/>
        <v>750138.57443056954</v>
      </c>
      <c r="DX72" s="505">
        <f t="shared" si="446"/>
        <v>750138.57443056954</v>
      </c>
      <c r="DY72" s="505">
        <f t="shared" si="446"/>
        <v>750138.57443056954</v>
      </c>
      <c r="DZ72" s="505">
        <f t="shared" si="446"/>
        <v>750138.57443056954</v>
      </c>
      <c r="EA72" s="505">
        <f t="shared" si="446"/>
        <v>750138.57443056954</v>
      </c>
      <c r="EB72" s="505">
        <f t="shared" si="446"/>
        <v>750138.57443056954</v>
      </c>
      <c r="EC72" s="505">
        <f t="shared" si="446"/>
        <v>750138.57443056954</v>
      </c>
      <c r="ED72" s="505">
        <f t="shared" si="446"/>
        <v>750138.57443056954</v>
      </c>
      <c r="EE72" s="505">
        <f t="shared" si="446"/>
        <v>750138.57443056954</v>
      </c>
      <c r="EF72" s="505">
        <f t="shared" si="446"/>
        <v>765141.34591918101</v>
      </c>
      <c r="EG72" s="505">
        <f t="shared" si="446"/>
        <v>765141.34591918101</v>
      </c>
      <c r="EH72" s="505">
        <f t="shared" si="446"/>
        <v>765141.34591918101</v>
      </c>
      <c r="EI72" s="505">
        <f t="shared" ref="EI72:GT72" si="447">SUM(EI67:EI71)</f>
        <v>765141.34591918101</v>
      </c>
      <c r="EJ72" s="505">
        <f t="shared" si="447"/>
        <v>765141.34591918101</v>
      </c>
      <c r="EK72" s="505">
        <f t="shared" si="447"/>
        <v>765141.34591918101</v>
      </c>
      <c r="EL72" s="505">
        <f t="shared" si="447"/>
        <v>765141.34591918101</v>
      </c>
      <c r="EM72" s="505">
        <f t="shared" si="447"/>
        <v>765141.34591918101</v>
      </c>
      <c r="EN72" s="505">
        <f t="shared" si="447"/>
        <v>765141.34591918101</v>
      </c>
      <c r="EO72" s="505">
        <f t="shared" si="447"/>
        <v>765141.34591918101</v>
      </c>
      <c r="EP72" s="505">
        <f t="shared" si="447"/>
        <v>765141.34591918101</v>
      </c>
      <c r="EQ72" s="505">
        <f t="shared" si="447"/>
        <v>765141.34591918101</v>
      </c>
      <c r="ER72" s="505">
        <f t="shared" si="447"/>
        <v>780444.17283756472</v>
      </c>
      <c r="ES72" s="505">
        <f t="shared" si="447"/>
        <v>780444.17283756472</v>
      </c>
      <c r="ET72" s="505">
        <f t="shared" si="447"/>
        <v>780444.17283756472</v>
      </c>
      <c r="EU72" s="505">
        <f t="shared" si="447"/>
        <v>780444.17283756472</v>
      </c>
      <c r="EV72" s="505">
        <f t="shared" si="447"/>
        <v>780444.17283756472</v>
      </c>
      <c r="EW72" s="505">
        <f t="shared" si="447"/>
        <v>780444.17283756472</v>
      </c>
      <c r="EX72" s="505">
        <f t="shared" si="447"/>
        <v>780444.17283756472</v>
      </c>
      <c r="EY72" s="505">
        <f t="shared" si="447"/>
        <v>780444.17283756472</v>
      </c>
      <c r="EZ72" s="505">
        <f t="shared" si="447"/>
        <v>780444.17283756472</v>
      </c>
      <c r="FA72" s="505">
        <f t="shared" si="447"/>
        <v>780444.17283756472</v>
      </c>
      <c r="FB72" s="505">
        <f t="shared" si="447"/>
        <v>780444.17283756472</v>
      </c>
      <c r="FC72" s="505">
        <f t="shared" si="447"/>
        <v>780444.17283756472</v>
      </c>
      <c r="FD72" s="505">
        <f t="shared" si="447"/>
        <v>796053.05629431596</v>
      </c>
      <c r="FE72" s="505">
        <f t="shared" si="447"/>
        <v>796053.05629431596</v>
      </c>
      <c r="FF72" s="505">
        <f t="shared" si="447"/>
        <v>796053.05629431596</v>
      </c>
      <c r="FG72" s="505">
        <f t="shared" si="447"/>
        <v>796053.05629431596</v>
      </c>
      <c r="FH72" s="505">
        <f t="shared" si="447"/>
        <v>796053.05629431596</v>
      </c>
      <c r="FI72" s="505">
        <f t="shared" si="447"/>
        <v>796053.05629431596</v>
      </c>
      <c r="FJ72" s="505">
        <f t="shared" si="447"/>
        <v>796053.05629431596</v>
      </c>
      <c r="FK72" s="505">
        <f t="shared" si="447"/>
        <v>796053.05629431596</v>
      </c>
      <c r="FL72" s="505">
        <f t="shared" si="447"/>
        <v>796053.05629431596</v>
      </c>
      <c r="FM72" s="505">
        <f t="shared" si="447"/>
        <v>796053.05629431596</v>
      </c>
      <c r="FN72" s="505">
        <f t="shared" si="447"/>
        <v>796053.05629431596</v>
      </c>
      <c r="FO72" s="505">
        <f t="shared" si="447"/>
        <v>796053.05629431596</v>
      </c>
      <c r="FP72" s="505">
        <f t="shared" si="447"/>
        <v>811974.117420202</v>
      </c>
      <c r="FQ72" s="505">
        <f t="shared" si="447"/>
        <v>811974.117420202</v>
      </c>
      <c r="FR72" s="505">
        <f t="shared" si="447"/>
        <v>811974.117420202</v>
      </c>
      <c r="FS72" s="505">
        <f t="shared" si="447"/>
        <v>811974.117420202</v>
      </c>
      <c r="FT72" s="505">
        <f t="shared" si="447"/>
        <v>811974.117420202</v>
      </c>
      <c r="FU72" s="505">
        <f t="shared" si="447"/>
        <v>811974.117420202</v>
      </c>
      <c r="FV72" s="505">
        <f t="shared" si="447"/>
        <v>811974.117420202</v>
      </c>
      <c r="FW72" s="505">
        <f t="shared" si="447"/>
        <v>811974.117420202</v>
      </c>
      <c r="FX72" s="505">
        <f t="shared" si="447"/>
        <v>811974.117420202</v>
      </c>
      <c r="FY72" s="505">
        <f t="shared" si="447"/>
        <v>811974.117420202</v>
      </c>
      <c r="FZ72" s="505">
        <f t="shared" si="447"/>
        <v>811974.117420202</v>
      </c>
      <c r="GA72" s="505">
        <f t="shared" si="447"/>
        <v>811974.117420202</v>
      </c>
      <c r="GB72" s="505">
        <f t="shared" si="447"/>
        <v>828213.59976860636</v>
      </c>
      <c r="GC72" s="505">
        <f t="shared" si="447"/>
        <v>828213.59976860636</v>
      </c>
      <c r="GD72" s="505">
        <f t="shared" si="447"/>
        <v>828213.59976860636</v>
      </c>
      <c r="GE72" s="505">
        <f t="shared" si="447"/>
        <v>828213.59976860636</v>
      </c>
      <c r="GF72" s="505">
        <f t="shared" si="447"/>
        <v>828213.59976860636</v>
      </c>
      <c r="GG72" s="505">
        <f t="shared" si="447"/>
        <v>828213.59976860636</v>
      </c>
      <c r="GH72" s="505">
        <f t="shared" si="447"/>
        <v>828213.59976860636</v>
      </c>
      <c r="GI72" s="505">
        <f t="shared" si="447"/>
        <v>828213.59976860636</v>
      </c>
      <c r="GJ72" s="505">
        <f t="shared" si="447"/>
        <v>828213.59976860636</v>
      </c>
      <c r="GK72" s="505">
        <f t="shared" si="447"/>
        <v>828213.59976860636</v>
      </c>
      <c r="GL72" s="505">
        <f t="shared" si="447"/>
        <v>828213.59976860636</v>
      </c>
      <c r="GM72" s="505">
        <f t="shared" si="447"/>
        <v>828213.59976860636</v>
      </c>
      <c r="GN72" s="505">
        <f t="shared" si="447"/>
        <v>844777.87176397839</v>
      </c>
      <c r="GO72" s="505">
        <f t="shared" si="447"/>
        <v>844777.87176397839</v>
      </c>
      <c r="GP72" s="505">
        <f t="shared" si="447"/>
        <v>844777.87176397839</v>
      </c>
      <c r="GQ72" s="505">
        <f t="shared" si="447"/>
        <v>844777.87176397839</v>
      </c>
      <c r="GR72" s="505">
        <f t="shared" si="447"/>
        <v>844777.87176397839</v>
      </c>
      <c r="GS72" s="505">
        <f t="shared" si="447"/>
        <v>844777.87176397839</v>
      </c>
      <c r="GT72" s="505">
        <f t="shared" si="447"/>
        <v>844777.87176397839</v>
      </c>
      <c r="GU72" s="505">
        <f t="shared" ref="GU72:JF72" si="448">SUM(GU67:GU71)</f>
        <v>844777.87176397839</v>
      </c>
      <c r="GV72" s="505">
        <f t="shared" si="448"/>
        <v>844777.87176397839</v>
      </c>
      <c r="GW72" s="505">
        <f t="shared" si="448"/>
        <v>844777.87176397839</v>
      </c>
      <c r="GX72" s="505">
        <f t="shared" si="448"/>
        <v>844777.87176397839</v>
      </c>
      <c r="GY72" s="505">
        <f t="shared" si="448"/>
        <v>844777.87176397839</v>
      </c>
      <c r="GZ72" s="505">
        <f t="shared" si="448"/>
        <v>861673.42919925798</v>
      </c>
      <c r="HA72" s="505">
        <f t="shared" si="448"/>
        <v>861673.42919925798</v>
      </c>
      <c r="HB72" s="505">
        <f t="shared" si="448"/>
        <v>861673.42919925798</v>
      </c>
      <c r="HC72" s="505">
        <f t="shared" si="448"/>
        <v>861673.42919925798</v>
      </c>
      <c r="HD72" s="505">
        <f t="shared" si="448"/>
        <v>861673.42919925798</v>
      </c>
      <c r="HE72" s="505">
        <f t="shared" si="448"/>
        <v>861673.42919925798</v>
      </c>
      <c r="HF72" s="505">
        <f t="shared" si="448"/>
        <v>861673.42919925798</v>
      </c>
      <c r="HG72" s="505">
        <f t="shared" si="448"/>
        <v>861673.42919925798</v>
      </c>
      <c r="HH72" s="505">
        <f t="shared" si="448"/>
        <v>861673.42919925798</v>
      </c>
      <c r="HI72" s="505">
        <f t="shared" si="448"/>
        <v>861673.42919925798</v>
      </c>
      <c r="HJ72" s="505">
        <f t="shared" si="448"/>
        <v>861673.42919925798</v>
      </c>
      <c r="HK72" s="505">
        <f t="shared" si="448"/>
        <v>861673.42919925798</v>
      </c>
      <c r="HL72" s="505">
        <f t="shared" si="448"/>
        <v>878906.89778324298</v>
      </c>
      <c r="HM72" s="505">
        <f t="shared" si="448"/>
        <v>878906.89778324298</v>
      </c>
      <c r="HN72" s="505">
        <f t="shared" si="448"/>
        <v>878906.89778324298</v>
      </c>
      <c r="HO72" s="505">
        <f t="shared" si="448"/>
        <v>878906.89778324298</v>
      </c>
      <c r="HP72" s="505">
        <f t="shared" si="448"/>
        <v>878906.89778324298</v>
      </c>
      <c r="HQ72" s="505">
        <f t="shared" si="448"/>
        <v>878906.89778324298</v>
      </c>
      <c r="HR72" s="505">
        <f t="shared" si="448"/>
        <v>878906.89778324298</v>
      </c>
      <c r="HS72" s="505">
        <f t="shared" si="448"/>
        <v>878906.89778324298</v>
      </c>
      <c r="HT72" s="505">
        <f t="shared" si="448"/>
        <v>878906.89778324298</v>
      </c>
      <c r="HU72" s="505">
        <f t="shared" si="448"/>
        <v>878906.89778324298</v>
      </c>
      <c r="HV72" s="505">
        <f t="shared" si="448"/>
        <v>878906.89778324298</v>
      </c>
      <c r="HW72" s="505">
        <f t="shared" si="448"/>
        <v>878906.89778324298</v>
      </c>
      <c r="HX72" s="505">
        <f t="shared" si="448"/>
        <v>896485.0357389081</v>
      </c>
      <c r="HY72" s="505">
        <f t="shared" si="448"/>
        <v>896485.0357389081</v>
      </c>
      <c r="HZ72" s="505">
        <f t="shared" si="448"/>
        <v>896485.0357389081</v>
      </c>
      <c r="IA72" s="505">
        <f t="shared" si="448"/>
        <v>896485.0357389081</v>
      </c>
      <c r="IB72" s="505">
        <f t="shared" si="448"/>
        <v>896485.0357389081</v>
      </c>
      <c r="IC72" s="505">
        <f t="shared" si="448"/>
        <v>896485.0357389081</v>
      </c>
      <c r="ID72" s="505">
        <f t="shared" si="448"/>
        <v>896485.0357389081</v>
      </c>
      <c r="IE72" s="505">
        <f t="shared" si="448"/>
        <v>896485.0357389081</v>
      </c>
      <c r="IF72" s="505">
        <f t="shared" si="448"/>
        <v>896485.0357389081</v>
      </c>
      <c r="IG72" s="505">
        <f t="shared" si="448"/>
        <v>896485.0357389081</v>
      </c>
      <c r="IH72" s="505">
        <f t="shared" si="448"/>
        <v>896485.0357389081</v>
      </c>
      <c r="II72" s="505">
        <f t="shared" si="448"/>
        <v>896485.0357389081</v>
      </c>
      <c r="IJ72" s="505">
        <f t="shared" si="448"/>
        <v>914414.73645368626</v>
      </c>
      <c r="IK72" s="505">
        <f t="shared" si="448"/>
        <v>914414.73645368626</v>
      </c>
      <c r="IL72" s="505">
        <f t="shared" si="448"/>
        <v>914414.73645368626</v>
      </c>
      <c r="IM72" s="505">
        <f t="shared" si="448"/>
        <v>914414.73645368626</v>
      </c>
      <c r="IN72" s="505">
        <f t="shared" si="448"/>
        <v>914414.73645368626</v>
      </c>
      <c r="IO72" s="505">
        <f t="shared" si="448"/>
        <v>914414.73645368626</v>
      </c>
      <c r="IP72" s="505">
        <f t="shared" si="448"/>
        <v>914414.73645368626</v>
      </c>
      <c r="IQ72" s="505">
        <f t="shared" si="448"/>
        <v>914414.73645368626</v>
      </c>
      <c r="IR72" s="505">
        <f t="shared" si="448"/>
        <v>914414.73645368626</v>
      </c>
      <c r="IS72" s="505">
        <f t="shared" si="448"/>
        <v>914414.73645368626</v>
      </c>
      <c r="IT72" s="505">
        <f t="shared" si="448"/>
        <v>914414.73645368626</v>
      </c>
      <c r="IU72" s="505">
        <f t="shared" si="448"/>
        <v>914414.73645368626</v>
      </c>
      <c r="IV72" s="505">
        <f t="shared" si="448"/>
        <v>932703.03118275991</v>
      </c>
      <c r="IW72" s="505">
        <f t="shared" si="448"/>
        <v>932703.03118275991</v>
      </c>
      <c r="IX72" s="505">
        <f t="shared" si="448"/>
        <v>932703.03118275991</v>
      </c>
      <c r="IY72" s="505">
        <f t="shared" si="448"/>
        <v>932703.03118275991</v>
      </c>
      <c r="IZ72" s="505">
        <f t="shared" si="448"/>
        <v>932703.03118275991</v>
      </c>
      <c r="JA72" s="505">
        <f t="shared" si="448"/>
        <v>932703.03118275991</v>
      </c>
      <c r="JB72" s="505">
        <f t="shared" si="448"/>
        <v>932703.03118275991</v>
      </c>
      <c r="JC72" s="505">
        <f t="shared" si="448"/>
        <v>932703.03118275991</v>
      </c>
      <c r="JD72" s="505">
        <f t="shared" si="448"/>
        <v>932703.03118275991</v>
      </c>
      <c r="JE72" s="505">
        <f t="shared" si="448"/>
        <v>932703.03118275991</v>
      </c>
      <c r="JF72" s="505">
        <f t="shared" si="448"/>
        <v>932703.03118275991</v>
      </c>
      <c r="JG72" s="505">
        <f t="shared" ref="JG72:LR72" si="449">SUM(JG67:JG71)</f>
        <v>932703.03118275991</v>
      </c>
      <c r="JH72" s="505">
        <f t="shared" si="449"/>
        <v>951357.09180641489</v>
      </c>
      <c r="JI72" s="505">
        <f t="shared" si="449"/>
        <v>951357.09180641489</v>
      </c>
      <c r="JJ72" s="505">
        <f t="shared" si="449"/>
        <v>951357.09180641489</v>
      </c>
      <c r="JK72" s="505">
        <f t="shared" si="449"/>
        <v>951357.09180641489</v>
      </c>
      <c r="JL72" s="505">
        <f t="shared" si="449"/>
        <v>951357.09180641489</v>
      </c>
      <c r="JM72" s="505">
        <f t="shared" si="449"/>
        <v>951357.09180641489</v>
      </c>
      <c r="JN72" s="505">
        <f t="shared" si="449"/>
        <v>951357.09180641489</v>
      </c>
      <c r="JO72" s="505">
        <f t="shared" si="449"/>
        <v>951357.09180641489</v>
      </c>
      <c r="JP72" s="505">
        <f t="shared" si="449"/>
        <v>951357.09180641489</v>
      </c>
      <c r="JQ72" s="505">
        <f t="shared" si="449"/>
        <v>951357.09180641489</v>
      </c>
      <c r="JR72" s="505">
        <f t="shared" si="449"/>
        <v>951357.09180641489</v>
      </c>
      <c r="JS72" s="505">
        <f t="shared" si="449"/>
        <v>951357.09180641489</v>
      </c>
      <c r="JT72" s="505">
        <f t="shared" si="449"/>
        <v>970384.2336425432</v>
      </c>
      <c r="JU72" s="505">
        <f t="shared" si="449"/>
        <v>970384.2336425432</v>
      </c>
      <c r="JV72" s="505">
        <f t="shared" si="449"/>
        <v>970384.2336425432</v>
      </c>
      <c r="JW72" s="505">
        <f t="shared" si="449"/>
        <v>970384.2336425432</v>
      </c>
      <c r="JX72" s="505">
        <f t="shared" si="449"/>
        <v>970384.2336425432</v>
      </c>
      <c r="JY72" s="505">
        <f t="shared" si="449"/>
        <v>970384.2336425432</v>
      </c>
      <c r="JZ72" s="505">
        <f t="shared" si="449"/>
        <v>970384.2336425432</v>
      </c>
      <c r="KA72" s="505">
        <f t="shared" si="449"/>
        <v>970384.2336425432</v>
      </c>
      <c r="KB72" s="505">
        <f t="shared" si="449"/>
        <v>970384.2336425432</v>
      </c>
      <c r="KC72" s="505">
        <f t="shared" si="449"/>
        <v>970384.2336425432</v>
      </c>
      <c r="KD72" s="505">
        <f t="shared" si="449"/>
        <v>970384.2336425432</v>
      </c>
      <c r="KE72" s="505">
        <f t="shared" si="449"/>
        <v>970384.2336425432</v>
      </c>
      <c r="KF72" s="505">
        <f t="shared" si="449"/>
        <v>989791.9183153942</v>
      </c>
      <c r="KG72" s="505">
        <f t="shared" si="449"/>
        <v>989791.9183153942</v>
      </c>
      <c r="KH72" s="505">
        <f t="shared" si="449"/>
        <v>989791.9183153942</v>
      </c>
      <c r="KI72" s="505">
        <f t="shared" si="449"/>
        <v>989791.9183153942</v>
      </c>
      <c r="KJ72" s="505">
        <f t="shared" si="449"/>
        <v>989791.9183153942</v>
      </c>
      <c r="KK72" s="505">
        <f t="shared" si="449"/>
        <v>989791.9183153942</v>
      </c>
      <c r="KL72" s="505">
        <f t="shared" si="449"/>
        <v>989791.9183153942</v>
      </c>
      <c r="KM72" s="505">
        <f t="shared" si="449"/>
        <v>989791.9183153942</v>
      </c>
      <c r="KN72" s="505">
        <f t="shared" si="449"/>
        <v>989791.9183153942</v>
      </c>
      <c r="KO72" s="505">
        <f t="shared" si="449"/>
        <v>989791.9183153942</v>
      </c>
      <c r="KP72" s="505">
        <f t="shared" si="449"/>
        <v>989791.9183153942</v>
      </c>
      <c r="KQ72" s="505">
        <f t="shared" si="449"/>
        <v>989791.9183153942</v>
      </c>
      <c r="KR72" s="505">
        <f t="shared" si="449"/>
        <v>1009587.756681702</v>
      </c>
      <c r="KS72" s="505">
        <f t="shared" si="449"/>
        <v>1009587.756681702</v>
      </c>
      <c r="KT72" s="505">
        <f t="shared" si="449"/>
        <v>1009587.756681702</v>
      </c>
      <c r="KU72" s="505">
        <f t="shared" si="449"/>
        <v>1009587.756681702</v>
      </c>
      <c r="KV72" s="505">
        <f t="shared" si="449"/>
        <v>1009587.756681702</v>
      </c>
      <c r="KW72" s="505">
        <f t="shared" si="449"/>
        <v>1009587.756681702</v>
      </c>
      <c r="KX72" s="505">
        <f t="shared" si="449"/>
        <v>1009587.756681702</v>
      </c>
      <c r="KY72" s="505">
        <f t="shared" si="449"/>
        <v>1009587.756681702</v>
      </c>
      <c r="KZ72" s="505">
        <f t="shared" si="449"/>
        <v>1009587.756681702</v>
      </c>
      <c r="LA72" s="505">
        <f t="shared" si="449"/>
        <v>1009587.756681702</v>
      </c>
      <c r="LB72" s="505">
        <f t="shared" si="449"/>
        <v>1009587.756681702</v>
      </c>
      <c r="LC72" s="505">
        <f t="shared" si="449"/>
        <v>1009587.756681702</v>
      </c>
      <c r="LD72" s="505">
        <f t="shared" si="449"/>
        <v>1029779.511815336</v>
      </c>
      <c r="LE72" s="505">
        <f t="shared" si="449"/>
        <v>1029779.511815336</v>
      </c>
      <c r="LF72" s="505">
        <f t="shared" si="449"/>
        <v>1029779.511815336</v>
      </c>
      <c r="LG72" s="505">
        <f t="shared" si="449"/>
        <v>1029779.511815336</v>
      </c>
      <c r="LH72" s="505">
        <f t="shared" si="449"/>
        <v>1029779.511815336</v>
      </c>
      <c r="LI72" s="505">
        <f t="shared" si="449"/>
        <v>1029779.511815336</v>
      </c>
      <c r="LJ72" s="505">
        <f t="shared" si="449"/>
        <v>1029779.511815336</v>
      </c>
      <c r="LK72" s="505">
        <f t="shared" si="449"/>
        <v>1029779.511815336</v>
      </c>
      <c r="LL72" s="505">
        <f t="shared" si="449"/>
        <v>1029779.511815336</v>
      </c>
      <c r="LM72" s="505">
        <f t="shared" si="449"/>
        <v>1029779.511815336</v>
      </c>
      <c r="LN72" s="505">
        <f t="shared" si="449"/>
        <v>1029779.511815336</v>
      </c>
      <c r="LO72" s="505">
        <f t="shared" si="449"/>
        <v>1029779.511815336</v>
      </c>
      <c r="LP72" s="505">
        <f t="shared" si="449"/>
        <v>1050375.1020516427</v>
      </c>
      <c r="LQ72" s="505">
        <f t="shared" si="449"/>
        <v>1050375.1020516427</v>
      </c>
      <c r="LR72" s="505">
        <f t="shared" si="449"/>
        <v>1050375.1020516427</v>
      </c>
      <c r="LS72" s="505">
        <f t="shared" ref="LS72:OD72" si="450">SUM(LS67:LS71)</f>
        <v>1050375.1020516427</v>
      </c>
      <c r="LT72" s="505">
        <f t="shared" si="450"/>
        <v>1050375.1020516427</v>
      </c>
      <c r="LU72" s="505">
        <f t="shared" si="450"/>
        <v>1050375.1020516427</v>
      </c>
      <c r="LV72" s="505">
        <f t="shared" si="450"/>
        <v>1050375.1020516427</v>
      </c>
      <c r="LW72" s="505">
        <f t="shared" si="450"/>
        <v>1050375.1020516427</v>
      </c>
      <c r="LX72" s="505">
        <f t="shared" si="450"/>
        <v>1050375.1020516427</v>
      </c>
      <c r="LY72" s="505">
        <f t="shared" si="450"/>
        <v>1050375.1020516427</v>
      </c>
      <c r="LZ72" s="505">
        <f t="shared" si="450"/>
        <v>1050375.1020516427</v>
      </c>
      <c r="MA72" s="505">
        <f t="shared" si="450"/>
        <v>1050375.1020516427</v>
      </c>
      <c r="MB72" s="505">
        <f t="shared" si="450"/>
        <v>1071382.6040926757</v>
      </c>
      <c r="MC72" s="505">
        <f t="shared" si="450"/>
        <v>1071382.6040926757</v>
      </c>
      <c r="MD72" s="505">
        <f t="shared" si="450"/>
        <v>1071382.6040926757</v>
      </c>
      <c r="ME72" s="505">
        <f t="shared" si="450"/>
        <v>1071382.6040926757</v>
      </c>
      <c r="MF72" s="505">
        <f t="shared" si="450"/>
        <v>1071382.6040926757</v>
      </c>
      <c r="MG72" s="505">
        <f t="shared" si="450"/>
        <v>1071382.6040926757</v>
      </c>
      <c r="MH72" s="505">
        <f t="shared" si="450"/>
        <v>1071382.6040926757</v>
      </c>
      <c r="MI72" s="505">
        <f t="shared" si="450"/>
        <v>1071382.6040926757</v>
      </c>
      <c r="MJ72" s="505">
        <f t="shared" si="450"/>
        <v>1071382.6040926757</v>
      </c>
      <c r="MK72" s="505">
        <f t="shared" si="450"/>
        <v>1071382.6040926757</v>
      </c>
      <c r="ML72" s="505">
        <f t="shared" si="450"/>
        <v>1071382.6040926757</v>
      </c>
      <c r="MM72" s="505">
        <f t="shared" si="450"/>
        <v>1071382.6040926757</v>
      </c>
      <c r="MN72" s="505">
        <f t="shared" si="450"/>
        <v>1092810.2561745292</v>
      </c>
      <c r="MO72" s="505">
        <f t="shared" si="450"/>
        <v>1092810.2561745292</v>
      </c>
      <c r="MP72" s="505">
        <f t="shared" si="450"/>
        <v>1092810.2561745292</v>
      </c>
      <c r="MQ72" s="505">
        <f t="shared" si="450"/>
        <v>1092810.2561745292</v>
      </c>
      <c r="MR72" s="505">
        <f t="shared" si="450"/>
        <v>1092810.2561745292</v>
      </c>
      <c r="MS72" s="505">
        <f t="shared" si="450"/>
        <v>1092810.2561745292</v>
      </c>
      <c r="MT72" s="505">
        <f t="shared" si="450"/>
        <v>1092810.2561745292</v>
      </c>
      <c r="MU72" s="505">
        <f t="shared" si="450"/>
        <v>1092810.2561745292</v>
      </c>
      <c r="MV72" s="505">
        <f t="shared" si="450"/>
        <v>1092810.2561745292</v>
      </c>
      <c r="MW72" s="505">
        <f t="shared" si="450"/>
        <v>1092810.2561745292</v>
      </c>
      <c r="MX72" s="505">
        <f t="shared" si="450"/>
        <v>1092810.2561745292</v>
      </c>
      <c r="MY72" s="505">
        <f t="shared" si="450"/>
        <v>1092810.2561745292</v>
      </c>
      <c r="MZ72" s="505">
        <f t="shared" si="450"/>
        <v>1114666.4612980196</v>
      </c>
      <c r="NA72" s="505">
        <f t="shared" si="450"/>
        <v>1114666.4612980196</v>
      </c>
      <c r="NB72" s="505">
        <f t="shared" si="450"/>
        <v>1114666.4612980196</v>
      </c>
      <c r="NC72" s="505">
        <f t="shared" si="450"/>
        <v>1114666.4612980196</v>
      </c>
      <c r="ND72" s="505">
        <f t="shared" si="450"/>
        <v>1114666.4612980196</v>
      </c>
      <c r="NE72" s="505">
        <f t="shared" si="450"/>
        <v>1114666.4612980196</v>
      </c>
      <c r="NF72" s="505">
        <f t="shared" si="450"/>
        <v>1114666.4612980196</v>
      </c>
      <c r="NG72" s="505">
        <f t="shared" si="450"/>
        <v>1114666.4612980196</v>
      </c>
      <c r="NH72" s="505">
        <f t="shared" si="450"/>
        <v>1114666.4612980196</v>
      </c>
      <c r="NI72" s="505">
        <f t="shared" si="450"/>
        <v>1114666.4612980196</v>
      </c>
      <c r="NJ72" s="505">
        <f t="shared" si="450"/>
        <v>1114666.4612980196</v>
      </c>
      <c r="NK72" s="505">
        <f t="shared" si="450"/>
        <v>1114666.4612980196</v>
      </c>
      <c r="NL72" s="505">
        <f t="shared" si="450"/>
        <v>1136959.7905239803</v>
      </c>
      <c r="NM72" s="505">
        <f t="shared" si="450"/>
        <v>1136959.7905239803</v>
      </c>
      <c r="NN72" s="505">
        <f t="shared" si="450"/>
        <v>1136959.7905239803</v>
      </c>
      <c r="NO72" s="505">
        <f t="shared" si="450"/>
        <v>1136959.7905239803</v>
      </c>
      <c r="NP72" s="505">
        <f t="shared" si="450"/>
        <v>1136959.7905239803</v>
      </c>
      <c r="NQ72" s="505">
        <f t="shared" si="450"/>
        <v>1136959.7905239803</v>
      </c>
      <c r="NR72" s="505">
        <f t="shared" si="450"/>
        <v>1136959.7905239803</v>
      </c>
      <c r="NS72" s="505">
        <f t="shared" si="450"/>
        <v>1136959.7905239803</v>
      </c>
      <c r="NT72" s="505">
        <f t="shared" si="450"/>
        <v>1136959.7905239803</v>
      </c>
      <c r="NU72" s="505">
        <f t="shared" si="450"/>
        <v>1136959.7905239803</v>
      </c>
      <c r="NV72" s="505">
        <f t="shared" si="450"/>
        <v>1136959.7905239803</v>
      </c>
      <c r="NW72" s="505">
        <f t="shared" si="450"/>
        <v>1136959.7905239803</v>
      </c>
      <c r="NX72" s="505">
        <f t="shared" si="450"/>
        <v>1159698.9863344599</v>
      </c>
      <c r="NY72" s="505">
        <f t="shared" si="450"/>
        <v>1159698.9863344599</v>
      </c>
      <c r="NZ72" s="505">
        <f t="shared" si="450"/>
        <v>1159698.9863344599</v>
      </c>
      <c r="OA72" s="505">
        <f t="shared" si="450"/>
        <v>1159698.9863344599</v>
      </c>
      <c r="OB72" s="505">
        <f t="shared" si="450"/>
        <v>1159698.9863344599</v>
      </c>
      <c r="OC72" s="505">
        <f t="shared" si="450"/>
        <v>1159698.9863344599</v>
      </c>
      <c r="OD72" s="505">
        <f t="shared" si="450"/>
        <v>1159698.9863344599</v>
      </c>
      <c r="OE72" s="505">
        <f t="shared" ref="OE72:OO72" si="451">SUM(OE67:OE71)</f>
        <v>1159698.9863344599</v>
      </c>
      <c r="OF72" s="505">
        <f t="shared" si="451"/>
        <v>1159698.9863344599</v>
      </c>
      <c r="OG72" s="505">
        <f t="shared" si="451"/>
        <v>1159698.9863344599</v>
      </c>
      <c r="OH72" s="505">
        <f t="shared" si="451"/>
        <v>1159698.9863344599</v>
      </c>
      <c r="OI72" s="505">
        <f t="shared" si="451"/>
        <v>1159698.9863344599</v>
      </c>
      <c r="OJ72" s="505">
        <f t="shared" si="451"/>
        <v>1182892.966061149</v>
      </c>
      <c r="OK72" s="505">
        <f t="shared" si="451"/>
        <v>1182892.966061149</v>
      </c>
      <c r="OL72" s="505">
        <f t="shared" si="451"/>
        <v>1182892.966061149</v>
      </c>
      <c r="OM72" s="505">
        <f t="shared" si="451"/>
        <v>1182892.966061149</v>
      </c>
      <c r="ON72" s="505">
        <f t="shared" si="451"/>
        <v>1182892.966061149</v>
      </c>
      <c r="OO72" s="505">
        <f t="shared" si="451"/>
        <v>1182892.966061149</v>
      </c>
    </row>
    <row r="73" spans="2:405">
      <c r="B73" s="476"/>
      <c r="C73" s="476"/>
      <c r="D73" s="24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</row>
    <row r="74" spans="2:405">
      <c r="B74" s="174" t="s">
        <v>402</v>
      </c>
      <c r="C74" s="174"/>
      <c r="D74" s="24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</row>
    <row r="75" spans="2:405">
      <c r="B75" s="7" t="s">
        <v>28</v>
      </c>
      <c r="D75" s="537">
        <f>Mortgage!D13</f>
        <v>-387600.46280487807</v>
      </c>
      <c r="E75" s="507">
        <f>Assumptions!$C$13</f>
        <v>47330</v>
      </c>
      <c r="F75" s="507">
        <f>EOMONTH(E75,Assumptions!$C$14-1)</f>
        <v>58256</v>
      </c>
      <c r="G75" s="97">
        <f t="shared" ref="G75:G79" si="452">((YEAR(F75)-YEAR(E75))*12+MONTH(F75)-MONTH(E75)+1)</f>
        <v>360</v>
      </c>
      <c r="H75" s="97"/>
      <c r="I75" s="97"/>
      <c r="J75" s="479">
        <f>IF(J$7&gt;=$E75,IF(J$7&lt;=$F75,($D75/12),0),0)</f>
        <v>0</v>
      </c>
      <c r="K75" s="479">
        <f t="shared" ref="K75:BV78" si="453">IF(K$7&gt;=$E75,IF(K$7&lt;=$F75,($D75/12),0),0)</f>
        <v>0</v>
      </c>
      <c r="L75" s="479">
        <f t="shared" si="453"/>
        <v>0</v>
      </c>
      <c r="M75" s="479">
        <f t="shared" si="453"/>
        <v>0</v>
      </c>
      <c r="N75" s="479">
        <f t="shared" si="453"/>
        <v>0</v>
      </c>
      <c r="O75" s="479">
        <f t="shared" si="453"/>
        <v>0</v>
      </c>
      <c r="P75" s="479">
        <f t="shared" si="453"/>
        <v>0</v>
      </c>
      <c r="Q75" s="479">
        <f t="shared" si="453"/>
        <v>0</v>
      </c>
      <c r="R75" s="479">
        <f t="shared" si="453"/>
        <v>0</v>
      </c>
      <c r="S75" s="479">
        <f t="shared" si="453"/>
        <v>0</v>
      </c>
      <c r="T75" s="479">
        <f t="shared" si="453"/>
        <v>0</v>
      </c>
      <c r="U75" s="479">
        <f t="shared" si="453"/>
        <v>0</v>
      </c>
      <c r="V75" s="479">
        <f t="shared" si="453"/>
        <v>0</v>
      </c>
      <c r="W75" s="479">
        <f t="shared" si="453"/>
        <v>0</v>
      </c>
      <c r="X75" s="479">
        <f t="shared" si="453"/>
        <v>0</v>
      </c>
      <c r="Y75" s="479">
        <f t="shared" si="453"/>
        <v>0</v>
      </c>
      <c r="Z75" s="479">
        <f t="shared" si="453"/>
        <v>0</v>
      </c>
      <c r="AA75" s="479">
        <f t="shared" si="453"/>
        <v>0</v>
      </c>
      <c r="AB75" s="479">
        <f t="shared" si="453"/>
        <v>0</v>
      </c>
      <c r="AC75" s="479">
        <f t="shared" si="453"/>
        <v>0</v>
      </c>
      <c r="AD75" s="479">
        <f t="shared" si="453"/>
        <v>0</v>
      </c>
      <c r="AE75" s="479">
        <f t="shared" si="453"/>
        <v>0</v>
      </c>
      <c r="AF75" s="479">
        <f t="shared" si="453"/>
        <v>0</v>
      </c>
      <c r="AG75" s="479">
        <f t="shared" si="453"/>
        <v>0</v>
      </c>
      <c r="AH75" s="479">
        <f t="shared" si="453"/>
        <v>0</v>
      </c>
      <c r="AI75" s="479">
        <f t="shared" si="453"/>
        <v>0</v>
      </c>
      <c r="AJ75" s="479">
        <f t="shared" si="453"/>
        <v>0</v>
      </c>
      <c r="AK75" s="479">
        <f t="shared" si="453"/>
        <v>0</v>
      </c>
      <c r="AL75" s="479">
        <f t="shared" si="453"/>
        <v>0</v>
      </c>
      <c r="AM75" s="479">
        <f t="shared" si="453"/>
        <v>0</v>
      </c>
      <c r="AN75" s="479">
        <f t="shared" si="453"/>
        <v>0</v>
      </c>
      <c r="AO75" s="479">
        <f t="shared" si="453"/>
        <v>0</v>
      </c>
      <c r="AP75" s="479">
        <f t="shared" si="453"/>
        <v>0</v>
      </c>
      <c r="AQ75" s="479">
        <f t="shared" si="453"/>
        <v>0</v>
      </c>
      <c r="AR75" s="479">
        <f t="shared" si="453"/>
        <v>0</v>
      </c>
      <c r="AS75" s="479">
        <f t="shared" si="453"/>
        <v>0</v>
      </c>
      <c r="AT75" s="479">
        <f t="shared" si="453"/>
        <v>-32300.038567073174</v>
      </c>
      <c r="AU75" s="479">
        <f t="shared" si="453"/>
        <v>-32300.038567073174</v>
      </c>
      <c r="AV75" s="479">
        <f t="shared" si="453"/>
        <v>-32300.038567073174</v>
      </c>
      <c r="AW75" s="479">
        <f t="shared" si="453"/>
        <v>-32300.038567073174</v>
      </c>
      <c r="AX75" s="479">
        <f t="shared" si="453"/>
        <v>-32300.038567073174</v>
      </c>
      <c r="AY75" s="479">
        <f t="shared" si="453"/>
        <v>-32300.038567073174</v>
      </c>
      <c r="AZ75" s="479">
        <f t="shared" si="453"/>
        <v>-32300.038567073174</v>
      </c>
      <c r="BA75" s="479">
        <f t="shared" si="453"/>
        <v>-32300.038567073174</v>
      </c>
      <c r="BB75" s="479">
        <f t="shared" si="453"/>
        <v>-32300.038567073174</v>
      </c>
      <c r="BC75" s="479">
        <f t="shared" si="453"/>
        <v>-32300.038567073174</v>
      </c>
      <c r="BD75" s="479">
        <f t="shared" si="453"/>
        <v>-32300.038567073174</v>
      </c>
      <c r="BE75" s="479">
        <f t="shared" si="453"/>
        <v>-32300.038567073174</v>
      </c>
      <c r="BF75" s="479">
        <f t="shared" si="453"/>
        <v>-32300.038567073174</v>
      </c>
      <c r="BG75" s="479">
        <f t="shared" si="453"/>
        <v>-32300.038567073174</v>
      </c>
      <c r="BH75" s="479">
        <f t="shared" si="453"/>
        <v>-32300.038567073174</v>
      </c>
      <c r="BI75" s="479">
        <f t="shared" si="453"/>
        <v>-32300.038567073174</v>
      </c>
      <c r="BJ75" s="479">
        <f t="shared" si="453"/>
        <v>-32300.038567073174</v>
      </c>
      <c r="BK75" s="479">
        <f t="shared" si="453"/>
        <v>-32300.038567073174</v>
      </c>
      <c r="BL75" s="479">
        <f t="shared" si="453"/>
        <v>-32300.038567073174</v>
      </c>
      <c r="BM75" s="479">
        <f t="shared" si="453"/>
        <v>-32300.038567073174</v>
      </c>
      <c r="BN75" s="479">
        <f t="shared" si="453"/>
        <v>-32300.038567073174</v>
      </c>
      <c r="BO75" s="479">
        <f t="shared" si="453"/>
        <v>-32300.038567073174</v>
      </c>
      <c r="BP75" s="479">
        <f t="shared" si="453"/>
        <v>-32300.038567073174</v>
      </c>
      <c r="BQ75" s="479">
        <f t="shared" si="453"/>
        <v>-32300.038567073174</v>
      </c>
      <c r="BR75" s="479">
        <f t="shared" si="453"/>
        <v>-32300.038567073174</v>
      </c>
      <c r="BS75" s="479">
        <f t="shared" si="453"/>
        <v>-32300.038567073174</v>
      </c>
      <c r="BT75" s="479">
        <f t="shared" si="453"/>
        <v>-32300.038567073174</v>
      </c>
      <c r="BU75" s="479">
        <f t="shared" si="453"/>
        <v>-32300.038567073174</v>
      </c>
      <c r="BV75" s="479">
        <f t="shared" si="453"/>
        <v>-32300.038567073174</v>
      </c>
      <c r="BW75" s="479">
        <f t="shared" ref="BW75:EH78" si="454">IF(BW$7&gt;=$E75,IF(BW$7&lt;=$F75,($D75/12),0),0)</f>
        <v>-32300.038567073174</v>
      </c>
      <c r="BX75" s="479">
        <f t="shared" si="454"/>
        <v>-32300.038567073174</v>
      </c>
      <c r="BY75" s="479">
        <f t="shared" si="454"/>
        <v>-32300.038567073174</v>
      </c>
      <c r="BZ75" s="479">
        <f t="shared" si="454"/>
        <v>-32300.038567073174</v>
      </c>
      <c r="CA75" s="479">
        <f t="shared" si="454"/>
        <v>-32300.038567073174</v>
      </c>
      <c r="CB75" s="479">
        <f t="shared" si="454"/>
        <v>-32300.038567073174</v>
      </c>
      <c r="CC75" s="479">
        <f t="shared" si="454"/>
        <v>-32300.038567073174</v>
      </c>
      <c r="CD75" s="479">
        <f t="shared" si="454"/>
        <v>-32300.038567073174</v>
      </c>
      <c r="CE75" s="479">
        <f t="shared" si="454"/>
        <v>-32300.038567073174</v>
      </c>
      <c r="CF75" s="479">
        <f t="shared" si="454"/>
        <v>-32300.038567073174</v>
      </c>
      <c r="CG75" s="479">
        <f t="shared" si="454"/>
        <v>-32300.038567073174</v>
      </c>
      <c r="CH75" s="479">
        <f t="shared" si="454"/>
        <v>-32300.038567073174</v>
      </c>
      <c r="CI75" s="479">
        <f t="shared" si="454"/>
        <v>-32300.038567073174</v>
      </c>
      <c r="CJ75" s="479">
        <f t="shared" si="454"/>
        <v>-32300.038567073174</v>
      </c>
      <c r="CK75" s="479">
        <f t="shared" si="454"/>
        <v>-32300.038567073174</v>
      </c>
      <c r="CL75" s="479">
        <f t="shared" si="454"/>
        <v>-32300.038567073174</v>
      </c>
      <c r="CM75" s="479">
        <f t="shared" si="454"/>
        <v>-32300.038567073174</v>
      </c>
      <c r="CN75" s="479">
        <f t="shared" si="454"/>
        <v>-32300.038567073174</v>
      </c>
      <c r="CO75" s="479">
        <f t="shared" si="454"/>
        <v>-32300.038567073174</v>
      </c>
      <c r="CP75" s="479">
        <f t="shared" si="454"/>
        <v>-32300.038567073174</v>
      </c>
      <c r="CQ75" s="479">
        <f t="shared" si="454"/>
        <v>-32300.038567073174</v>
      </c>
      <c r="CR75" s="479">
        <f t="shared" si="454"/>
        <v>-32300.038567073174</v>
      </c>
      <c r="CS75" s="479">
        <f t="shared" si="454"/>
        <v>-32300.038567073174</v>
      </c>
      <c r="CT75" s="479">
        <f t="shared" si="454"/>
        <v>-32300.038567073174</v>
      </c>
      <c r="CU75" s="479">
        <f t="shared" si="454"/>
        <v>-32300.038567073174</v>
      </c>
      <c r="CV75" s="479">
        <f t="shared" si="454"/>
        <v>-32300.038567073174</v>
      </c>
      <c r="CW75" s="479">
        <f t="shared" si="454"/>
        <v>-32300.038567073174</v>
      </c>
      <c r="CX75" s="479">
        <f t="shared" si="454"/>
        <v>-32300.038567073174</v>
      </c>
      <c r="CY75" s="479">
        <f t="shared" si="454"/>
        <v>-32300.038567073174</v>
      </c>
      <c r="CZ75" s="479">
        <f t="shared" si="454"/>
        <v>-32300.038567073174</v>
      </c>
      <c r="DA75" s="479">
        <f t="shared" si="454"/>
        <v>-32300.038567073174</v>
      </c>
      <c r="DB75" s="479">
        <f t="shared" si="454"/>
        <v>-32300.038567073174</v>
      </c>
      <c r="DC75" s="479">
        <f t="shared" si="454"/>
        <v>-32300.038567073174</v>
      </c>
      <c r="DD75" s="479">
        <f t="shared" si="454"/>
        <v>-32300.038567073174</v>
      </c>
      <c r="DE75" s="479">
        <f t="shared" si="454"/>
        <v>-32300.038567073174</v>
      </c>
      <c r="DF75" s="479">
        <f t="shared" si="454"/>
        <v>-32300.038567073174</v>
      </c>
      <c r="DG75" s="479">
        <f t="shared" si="454"/>
        <v>-32300.038567073174</v>
      </c>
      <c r="DH75" s="479">
        <f t="shared" si="454"/>
        <v>-32300.038567073174</v>
      </c>
      <c r="DI75" s="479">
        <f t="shared" si="454"/>
        <v>-32300.038567073174</v>
      </c>
      <c r="DJ75" s="479">
        <f t="shared" si="454"/>
        <v>-32300.038567073174</v>
      </c>
      <c r="DK75" s="479">
        <f t="shared" si="454"/>
        <v>-32300.038567073174</v>
      </c>
      <c r="DL75" s="479">
        <f t="shared" si="454"/>
        <v>-32300.038567073174</v>
      </c>
      <c r="DM75" s="479">
        <f t="shared" si="454"/>
        <v>-32300.038567073174</v>
      </c>
      <c r="DN75" s="479">
        <f t="shared" si="454"/>
        <v>-32300.038567073174</v>
      </c>
      <c r="DO75" s="479">
        <f t="shared" si="454"/>
        <v>-32300.038567073174</v>
      </c>
      <c r="DP75" s="479">
        <f t="shared" si="454"/>
        <v>-32300.038567073174</v>
      </c>
      <c r="DQ75" s="479">
        <f t="shared" si="454"/>
        <v>-32300.038567073174</v>
      </c>
      <c r="DR75" s="479">
        <f t="shared" si="454"/>
        <v>-32300.038567073174</v>
      </c>
      <c r="DS75" s="479">
        <f t="shared" si="454"/>
        <v>-32300.038567073174</v>
      </c>
      <c r="DT75" s="479">
        <f t="shared" si="454"/>
        <v>-32300.038567073174</v>
      </c>
      <c r="DU75" s="479">
        <f t="shared" si="454"/>
        <v>-32300.038567073174</v>
      </c>
      <c r="DV75" s="479">
        <f t="shared" si="454"/>
        <v>-32300.038567073174</v>
      </c>
      <c r="DW75" s="479">
        <f t="shared" si="454"/>
        <v>-32300.038567073174</v>
      </c>
      <c r="DX75" s="479">
        <f t="shared" si="454"/>
        <v>-32300.038567073174</v>
      </c>
      <c r="DY75" s="479">
        <f t="shared" si="454"/>
        <v>-32300.038567073174</v>
      </c>
      <c r="DZ75" s="479">
        <f t="shared" si="454"/>
        <v>-32300.038567073174</v>
      </c>
      <c r="EA75" s="479">
        <f t="shared" si="454"/>
        <v>-32300.038567073174</v>
      </c>
      <c r="EB75" s="479">
        <f t="shared" si="454"/>
        <v>-32300.038567073174</v>
      </c>
      <c r="EC75" s="479">
        <f t="shared" si="454"/>
        <v>-32300.038567073174</v>
      </c>
      <c r="ED75" s="479">
        <f t="shared" si="454"/>
        <v>-32300.038567073174</v>
      </c>
      <c r="EE75" s="479">
        <f t="shared" si="454"/>
        <v>-32300.038567073174</v>
      </c>
      <c r="EF75" s="479">
        <f t="shared" si="454"/>
        <v>-32300.038567073174</v>
      </c>
      <c r="EG75" s="479">
        <f t="shared" si="454"/>
        <v>-32300.038567073174</v>
      </c>
      <c r="EH75" s="479">
        <f t="shared" si="454"/>
        <v>-32300.038567073174</v>
      </c>
      <c r="EI75" s="479">
        <f t="shared" ref="EI75:GT78" si="455">IF(EI$7&gt;=$E75,IF(EI$7&lt;=$F75,($D75/12),0),0)</f>
        <v>-32300.038567073174</v>
      </c>
      <c r="EJ75" s="479">
        <f t="shared" si="455"/>
        <v>-32300.038567073174</v>
      </c>
      <c r="EK75" s="479">
        <f t="shared" si="455"/>
        <v>-32300.038567073174</v>
      </c>
      <c r="EL75" s="479">
        <f t="shared" si="455"/>
        <v>-32300.038567073174</v>
      </c>
      <c r="EM75" s="479">
        <f t="shared" si="455"/>
        <v>-32300.038567073174</v>
      </c>
      <c r="EN75" s="479">
        <f t="shared" si="455"/>
        <v>-32300.038567073174</v>
      </c>
      <c r="EO75" s="479">
        <f t="shared" si="455"/>
        <v>-32300.038567073174</v>
      </c>
      <c r="EP75" s="479">
        <f t="shared" si="455"/>
        <v>-32300.038567073174</v>
      </c>
      <c r="EQ75" s="479">
        <f t="shared" si="455"/>
        <v>-32300.038567073174</v>
      </c>
      <c r="ER75" s="479">
        <f t="shared" si="455"/>
        <v>-32300.038567073174</v>
      </c>
      <c r="ES75" s="479">
        <f t="shared" si="455"/>
        <v>-32300.038567073174</v>
      </c>
      <c r="ET75" s="479">
        <f t="shared" si="455"/>
        <v>-32300.038567073174</v>
      </c>
      <c r="EU75" s="479">
        <f t="shared" si="455"/>
        <v>-32300.038567073174</v>
      </c>
      <c r="EV75" s="479">
        <f t="shared" si="455"/>
        <v>-32300.038567073174</v>
      </c>
      <c r="EW75" s="479">
        <f t="shared" si="455"/>
        <v>-32300.038567073174</v>
      </c>
      <c r="EX75" s="479">
        <f t="shared" si="455"/>
        <v>-32300.038567073174</v>
      </c>
      <c r="EY75" s="479">
        <f t="shared" si="455"/>
        <v>-32300.038567073174</v>
      </c>
      <c r="EZ75" s="479">
        <f t="shared" si="455"/>
        <v>-32300.038567073174</v>
      </c>
      <c r="FA75" s="479">
        <f t="shared" si="455"/>
        <v>-32300.038567073174</v>
      </c>
      <c r="FB75" s="479">
        <f t="shared" si="455"/>
        <v>-32300.038567073174</v>
      </c>
      <c r="FC75" s="479">
        <f t="shared" si="455"/>
        <v>-32300.038567073174</v>
      </c>
      <c r="FD75" s="479">
        <f t="shared" si="455"/>
        <v>-32300.038567073174</v>
      </c>
      <c r="FE75" s="479">
        <f t="shared" si="455"/>
        <v>-32300.038567073174</v>
      </c>
      <c r="FF75" s="479">
        <f t="shared" si="455"/>
        <v>-32300.038567073174</v>
      </c>
      <c r="FG75" s="479">
        <f t="shared" si="455"/>
        <v>-32300.038567073174</v>
      </c>
      <c r="FH75" s="479">
        <f t="shared" si="455"/>
        <v>-32300.038567073174</v>
      </c>
      <c r="FI75" s="479">
        <f t="shared" si="455"/>
        <v>-32300.038567073174</v>
      </c>
      <c r="FJ75" s="479">
        <f t="shared" si="455"/>
        <v>-32300.038567073174</v>
      </c>
      <c r="FK75" s="479">
        <f t="shared" si="455"/>
        <v>-32300.038567073174</v>
      </c>
      <c r="FL75" s="479">
        <f t="shared" si="455"/>
        <v>-32300.038567073174</v>
      </c>
      <c r="FM75" s="479">
        <f t="shared" si="455"/>
        <v>-32300.038567073174</v>
      </c>
      <c r="FN75" s="479">
        <f t="shared" si="455"/>
        <v>-32300.038567073174</v>
      </c>
      <c r="FO75" s="479">
        <f t="shared" si="455"/>
        <v>-32300.038567073174</v>
      </c>
      <c r="FP75" s="479">
        <f t="shared" si="455"/>
        <v>-32300.038567073174</v>
      </c>
      <c r="FQ75" s="479">
        <f t="shared" si="455"/>
        <v>-32300.038567073174</v>
      </c>
      <c r="FR75" s="479">
        <f t="shared" si="455"/>
        <v>-32300.038567073174</v>
      </c>
      <c r="FS75" s="479">
        <f t="shared" si="455"/>
        <v>-32300.038567073174</v>
      </c>
      <c r="FT75" s="479">
        <f t="shared" si="455"/>
        <v>-32300.038567073174</v>
      </c>
      <c r="FU75" s="479">
        <f t="shared" si="455"/>
        <v>-32300.038567073174</v>
      </c>
      <c r="FV75" s="479">
        <f t="shared" si="455"/>
        <v>-32300.038567073174</v>
      </c>
      <c r="FW75" s="479">
        <f t="shared" si="455"/>
        <v>-32300.038567073174</v>
      </c>
      <c r="FX75" s="479">
        <f t="shared" si="455"/>
        <v>-32300.038567073174</v>
      </c>
      <c r="FY75" s="479">
        <f t="shared" si="455"/>
        <v>-32300.038567073174</v>
      </c>
      <c r="FZ75" s="479">
        <f t="shared" si="455"/>
        <v>-32300.038567073174</v>
      </c>
      <c r="GA75" s="479">
        <f t="shared" si="455"/>
        <v>-32300.038567073174</v>
      </c>
      <c r="GB75" s="479">
        <f t="shared" si="455"/>
        <v>-32300.038567073174</v>
      </c>
      <c r="GC75" s="479">
        <f t="shared" si="455"/>
        <v>-32300.038567073174</v>
      </c>
      <c r="GD75" s="479">
        <f t="shared" si="455"/>
        <v>-32300.038567073174</v>
      </c>
      <c r="GE75" s="479">
        <f t="shared" si="455"/>
        <v>-32300.038567073174</v>
      </c>
      <c r="GF75" s="479">
        <f t="shared" si="455"/>
        <v>-32300.038567073174</v>
      </c>
      <c r="GG75" s="479">
        <f t="shared" si="455"/>
        <v>-32300.038567073174</v>
      </c>
      <c r="GH75" s="479">
        <f t="shared" si="455"/>
        <v>-32300.038567073174</v>
      </c>
      <c r="GI75" s="479">
        <f t="shared" si="455"/>
        <v>-32300.038567073174</v>
      </c>
      <c r="GJ75" s="479">
        <f t="shared" si="455"/>
        <v>-32300.038567073174</v>
      </c>
      <c r="GK75" s="479">
        <f t="shared" si="455"/>
        <v>-32300.038567073174</v>
      </c>
      <c r="GL75" s="479">
        <f t="shared" si="455"/>
        <v>-32300.038567073174</v>
      </c>
      <c r="GM75" s="479">
        <f t="shared" si="455"/>
        <v>-32300.038567073174</v>
      </c>
      <c r="GN75" s="479">
        <f t="shared" si="455"/>
        <v>-32300.038567073174</v>
      </c>
      <c r="GO75" s="479">
        <f t="shared" si="455"/>
        <v>-32300.038567073174</v>
      </c>
      <c r="GP75" s="479">
        <f t="shared" si="455"/>
        <v>-32300.038567073174</v>
      </c>
      <c r="GQ75" s="479">
        <f t="shared" si="455"/>
        <v>-32300.038567073174</v>
      </c>
      <c r="GR75" s="479">
        <f t="shared" si="455"/>
        <v>-32300.038567073174</v>
      </c>
      <c r="GS75" s="479">
        <f t="shared" si="455"/>
        <v>-32300.038567073174</v>
      </c>
      <c r="GT75" s="479">
        <f t="shared" si="455"/>
        <v>-32300.038567073174</v>
      </c>
      <c r="GU75" s="479">
        <f t="shared" ref="GU75:JF78" si="456">IF(GU$7&gt;=$E75,IF(GU$7&lt;=$F75,($D75/12),0),0)</f>
        <v>-32300.038567073174</v>
      </c>
      <c r="GV75" s="479">
        <f t="shared" si="456"/>
        <v>-32300.038567073174</v>
      </c>
      <c r="GW75" s="479">
        <f t="shared" si="456"/>
        <v>-32300.038567073174</v>
      </c>
      <c r="GX75" s="479">
        <f t="shared" si="456"/>
        <v>-32300.038567073174</v>
      </c>
      <c r="GY75" s="479">
        <f t="shared" si="456"/>
        <v>-32300.038567073174</v>
      </c>
      <c r="GZ75" s="479">
        <f t="shared" si="456"/>
        <v>-32300.038567073174</v>
      </c>
      <c r="HA75" s="479">
        <f t="shared" si="456"/>
        <v>-32300.038567073174</v>
      </c>
      <c r="HB75" s="479">
        <f t="shared" si="456"/>
        <v>-32300.038567073174</v>
      </c>
      <c r="HC75" s="479">
        <f t="shared" si="456"/>
        <v>-32300.038567073174</v>
      </c>
      <c r="HD75" s="479">
        <f t="shared" si="456"/>
        <v>-32300.038567073174</v>
      </c>
      <c r="HE75" s="479">
        <f t="shared" si="456"/>
        <v>-32300.038567073174</v>
      </c>
      <c r="HF75" s="479">
        <f t="shared" si="456"/>
        <v>-32300.038567073174</v>
      </c>
      <c r="HG75" s="479">
        <f t="shared" si="456"/>
        <v>-32300.038567073174</v>
      </c>
      <c r="HH75" s="479">
        <f t="shared" si="456"/>
        <v>-32300.038567073174</v>
      </c>
      <c r="HI75" s="479">
        <f t="shared" si="456"/>
        <v>-32300.038567073174</v>
      </c>
      <c r="HJ75" s="479">
        <f t="shared" si="456"/>
        <v>-32300.038567073174</v>
      </c>
      <c r="HK75" s="479">
        <f t="shared" si="456"/>
        <v>-32300.038567073174</v>
      </c>
      <c r="HL75" s="479">
        <f t="shared" si="456"/>
        <v>-32300.038567073174</v>
      </c>
      <c r="HM75" s="479">
        <f t="shared" si="456"/>
        <v>-32300.038567073174</v>
      </c>
      <c r="HN75" s="479">
        <f t="shared" si="456"/>
        <v>-32300.038567073174</v>
      </c>
      <c r="HO75" s="479">
        <f t="shared" si="456"/>
        <v>-32300.038567073174</v>
      </c>
      <c r="HP75" s="479">
        <f t="shared" si="456"/>
        <v>-32300.038567073174</v>
      </c>
      <c r="HQ75" s="479">
        <f t="shared" si="456"/>
        <v>-32300.038567073174</v>
      </c>
      <c r="HR75" s="479">
        <f t="shared" si="456"/>
        <v>-32300.038567073174</v>
      </c>
      <c r="HS75" s="479">
        <f t="shared" si="456"/>
        <v>-32300.038567073174</v>
      </c>
      <c r="HT75" s="479">
        <f t="shared" si="456"/>
        <v>-32300.038567073174</v>
      </c>
      <c r="HU75" s="479">
        <f t="shared" si="456"/>
        <v>-32300.038567073174</v>
      </c>
      <c r="HV75" s="479">
        <f t="shared" si="456"/>
        <v>-32300.038567073174</v>
      </c>
      <c r="HW75" s="479">
        <f t="shared" si="456"/>
        <v>-32300.038567073174</v>
      </c>
      <c r="HX75" s="479">
        <f t="shared" si="456"/>
        <v>-32300.038567073174</v>
      </c>
      <c r="HY75" s="479">
        <f t="shared" si="456"/>
        <v>-32300.038567073174</v>
      </c>
      <c r="HZ75" s="479">
        <f t="shared" si="456"/>
        <v>-32300.038567073174</v>
      </c>
      <c r="IA75" s="479">
        <f t="shared" si="456"/>
        <v>-32300.038567073174</v>
      </c>
      <c r="IB75" s="479">
        <f t="shared" si="456"/>
        <v>-32300.038567073174</v>
      </c>
      <c r="IC75" s="479">
        <f t="shared" si="456"/>
        <v>-32300.038567073174</v>
      </c>
      <c r="ID75" s="479">
        <f t="shared" si="456"/>
        <v>-32300.038567073174</v>
      </c>
      <c r="IE75" s="479">
        <f t="shared" si="456"/>
        <v>-32300.038567073174</v>
      </c>
      <c r="IF75" s="479">
        <f t="shared" si="456"/>
        <v>-32300.038567073174</v>
      </c>
      <c r="IG75" s="479">
        <f t="shared" si="456"/>
        <v>-32300.038567073174</v>
      </c>
      <c r="IH75" s="479">
        <f t="shared" si="456"/>
        <v>-32300.038567073174</v>
      </c>
      <c r="II75" s="479">
        <f t="shared" si="456"/>
        <v>-32300.038567073174</v>
      </c>
      <c r="IJ75" s="479">
        <f t="shared" si="456"/>
        <v>-32300.038567073174</v>
      </c>
      <c r="IK75" s="479">
        <f t="shared" si="456"/>
        <v>-32300.038567073174</v>
      </c>
      <c r="IL75" s="479">
        <f t="shared" si="456"/>
        <v>-32300.038567073174</v>
      </c>
      <c r="IM75" s="479">
        <f t="shared" si="456"/>
        <v>-32300.038567073174</v>
      </c>
      <c r="IN75" s="479">
        <f t="shared" si="456"/>
        <v>-32300.038567073174</v>
      </c>
      <c r="IO75" s="479">
        <f t="shared" si="456"/>
        <v>-32300.038567073174</v>
      </c>
      <c r="IP75" s="479">
        <f t="shared" si="456"/>
        <v>-32300.038567073174</v>
      </c>
      <c r="IQ75" s="479">
        <f t="shared" si="456"/>
        <v>-32300.038567073174</v>
      </c>
      <c r="IR75" s="479">
        <f t="shared" si="456"/>
        <v>-32300.038567073174</v>
      </c>
      <c r="IS75" s="479">
        <f t="shared" si="456"/>
        <v>-32300.038567073174</v>
      </c>
      <c r="IT75" s="479">
        <f t="shared" si="456"/>
        <v>-32300.038567073174</v>
      </c>
      <c r="IU75" s="479">
        <f t="shared" si="456"/>
        <v>-32300.038567073174</v>
      </c>
      <c r="IV75" s="479">
        <f t="shared" si="456"/>
        <v>-32300.038567073174</v>
      </c>
      <c r="IW75" s="479">
        <f t="shared" si="456"/>
        <v>-32300.038567073174</v>
      </c>
      <c r="IX75" s="479">
        <f t="shared" si="456"/>
        <v>-32300.038567073174</v>
      </c>
      <c r="IY75" s="479">
        <f t="shared" si="456"/>
        <v>-32300.038567073174</v>
      </c>
      <c r="IZ75" s="479">
        <f t="shared" si="456"/>
        <v>-32300.038567073174</v>
      </c>
      <c r="JA75" s="479">
        <f t="shared" si="456"/>
        <v>-32300.038567073174</v>
      </c>
      <c r="JB75" s="479">
        <f t="shared" si="456"/>
        <v>-32300.038567073174</v>
      </c>
      <c r="JC75" s="479">
        <f t="shared" si="456"/>
        <v>-32300.038567073174</v>
      </c>
      <c r="JD75" s="479">
        <f t="shared" si="456"/>
        <v>-32300.038567073174</v>
      </c>
      <c r="JE75" s="479">
        <f t="shared" si="456"/>
        <v>-32300.038567073174</v>
      </c>
      <c r="JF75" s="479">
        <f t="shared" si="456"/>
        <v>-32300.038567073174</v>
      </c>
      <c r="JG75" s="479">
        <f t="shared" ref="JG75:LR78" si="457">IF(JG$7&gt;=$E75,IF(JG$7&lt;=$F75,($D75/12),0),0)</f>
        <v>-32300.038567073174</v>
      </c>
      <c r="JH75" s="479">
        <f t="shared" si="457"/>
        <v>-32300.038567073174</v>
      </c>
      <c r="JI75" s="479">
        <f t="shared" si="457"/>
        <v>-32300.038567073174</v>
      </c>
      <c r="JJ75" s="479">
        <f t="shared" si="457"/>
        <v>-32300.038567073174</v>
      </c>
      <c r="JK75" s="479">
        <f t="shared" si="457"/>
        <v>-32300.038567073174</v>
      </c>
      <c r="JL75" s="479">
        <f t="shared" si="457"/>
        <v>-32300.038567073174</v>
      </c>
      <c r="JM75" s="479">
        <f t="shared" si="457"/>
        <v>-32300.038567073174</v>
      </c>
      <c r="JN75" s="479">
        <f t="shared" si="457"/>
        <v>-32300.038567073174</v>
      </c>
      <c r="JO75" s="479">
        <f t="shared" si="457"/>
        <v>-32300.038567073174</v>
      </c>
      <c r="JP75" s="479">
        <f t="shared" si="457"/>
        <v>-32300.038567073174</v>
      </c>
      <c r="JQ75" s="479">
        <f t="shared" si="457"/>
        <v>-32300.038567073174</v>
      </c>
      <c r="JR75" s="479">
        <f t="shared" si="457"/>
        <v>-32300.038567073174</v>
      </c>
      <c r="JS75" s="479">
        <f t="shared" si="457"/>
        <v>-32300.038567073174</v>
      </c>
      <c r="JT75" s="479">
        <f t="shared" si="457"/>
        <v>-32300.038567073174</v>
      </c>
      <c r="JU75" s="479">
        <f t="shared" si="457"/>
        <v>-32300.038567073174</v>
      </c>
      <c r="JV75" s="479">
        <f t="shared" si="457"/>
        <v>-32300.038567073174</v>
      </c>
      <c r="JW75" s="479">
        <f t="shared" si="457"/>
        <v>-32300.038567073174</v>
      </c>
      <c r="JX75" s="479">
        <f t="shared" si="457"/>
        <v>-32300.038567073174</v>
      </c>
      <c r="JY75" s="479">
        <f t="shared" si="457"/>
        <v>-32300.038567073174</v>
      </c>
      <c r="JZ75" s="479">
        <f t="shared" si="457"/>
        <v>-32300.038567073174</v>
      </c>
      <c r="KA75" s="479">
        <f t="shared" si="457"/>
        <v>-32300.038567073174</v>
      </c>
      <c r="KB75" s="479">
        <f t="shared" si="457"/>
        <v>-32300.038567073174</v>
      </c>
      <c r="KC75" s="479">
        <f t="shared" si="457"/>
        <v>-32300.038567073174</v>
      </c>
      <c r="KD75" s="479">
        <f t="shared" si="457"/>
        <v>-32300.038567073174</v>
      </c>
      <c r="KE75" s="479">
        <f t="shared" si="457"/>
        <v>-32300.038567073174</v>
      </c>
      <c r="KF75" s="479">
        <f t="shared" si="457"/>
        <v>-32300.038567073174</v>
      </c>
      <c r="KG75" s="479">
        <f t="shared" si="457"/>
        <v>-32300.038567073174</v>
      </c>
      <c r="KH75" s="479">
        <f t="shared" si="457"/>
        <v>-32300.038567073174</v>
      </c>
      <c r="KI75" s="479">
        <f t="shared" si="457"/>
        <v>-32300.038567073174</v>
      </c>
      <c r="KJ75" s="479">
        <f t="shared" si="457"/>
        <v>-32300.038567073174</v>
      </c>
      <c r="KK75" s="479">
        <f t="shared" si="457"/>
        <v>-32300.038567073174</v>
      </c>
      <c r="KL75" s="479">
        <f t="shared" si="457"/>
        <v>-32300.038567073174</v>
      </c>
      <c r="KM75" s="479">
        <f t="shared" si="457"/>
        <v>-32300.038567073174</v>
      </c>
      <c r="KN75" s="479">
        <f t="shared" si="457"/>
        <v>-32300.038567073174</v>
      </c>
      <c r="KO75" s="479">
        <f t="shared" si="457"/>
        <v>-32300.038567073174</v>
      </c>
      <c r="KP75" s="479">
        <f t="shared" si="457"/>
        <v>-32300.038567073174</v>
      </c>
      <c r="KQ75" s="479">
        <f t="shared" si="457"/>
        <v>-32300.038567073174</v>
      </c>
      <c r="KR75" s="479">
        <f t="shared" si="457"/>
        <v>-32300.038567073174</v>
      </c>
      <c r="KS75" s="479">
        <f t="shared" si="457"/>
        <v>-32300.038567073174</v>
      </c>
      <c r="KT75" s="479">
        <f t="shared" si="457"/>
        <v>-32300.038567073174</v>
      </c>
      <c r="KU75" s="479">
        <f t="shared" si="457"/>
        <v>-32300.038567073174</v>
      </c>
      <c r="KV75" s="479">
        <f t="shared" si="457"/>
        <v>-32300.038567073174</v>
      </c>
      <c r="KW75" s="479">
        <f t="shared" si="457"/>
        <v>-32300.038567073174</v>
      </c>
      <c r="KX75" s="479">
        <f t="shared" si="457"/>
        <v>-32300.038567073174</v>
      </c>
      <c r="KY75" s="479">
        <f t="shared" si="457"/>
        <v>-32300.038567073174</v>
      </c>
      <c r="KZ75" s="479">
        <f t="shared" si="457"/>
        <v>-32300.038567073174</v>
      </c>
      <c r="LA75" s="479">
        <f t="shared" si="457"/>
        <v>-32300.038567073174</v>
      </c>
      <c r="LB75" s="479">
        <f t="shared" si="457"/>
        <v>-32300.038567073174</v>
      </c>
      <c r="LC75" s="479">
        <f t="shared" si="457"/>
        <v>-32300.038567073174</v>
      </c>
      <c r="LD75" s="479">
        <f t="shared" si="457"/>
        <v>-32300.038567073174</v>
      </c>
      <c r="LE75" s="479">
        <f t="shared" si="457"/>
        <v>-32300.038567073174</v>
      </c>
      <c r="LF75" s="479">
        <f t="shared" si="457"/>
        <v>-32300.038567073174</v>
      </c>
      <c r="LG75" s="479">
        <f t="shared" si="457"/>
        <v>-32300.038567073174</v>
      </c>
      <c r="LH75" s="479">
        <f t="shared" si="457"/>
        <v>-32300.038567073174</v>
      </c>
      <c r="LI75" s="479">
        <f t="shared" si="457"/>
        <v>-32300.038567073174</v>
      </c>
      <c r="LJ75" s="479">
        <f t="shared" si="457"/>
        <v>-32300.038567073174</v>
      </c>
      <c r="LK75" s="479">
        <f t="shared" si="457"/>
        <v>-32300.038567073174</v>
      </c>
      <c r="LL75" s="479">
        <f t="shared" si="457"/>
        <v>-32300.038567073174</v>
      </c>
      <c r="LM75" s="479">
        <f t="shared" si="457"/>
        <v>-32300.038567073174</v>
      </c>
      <c r="LN75" s="479">
        <f t="shared" si="457"/>
        <v>-32300.038567073174</v>
      </c>
      <c r="LO75" s="479">
        <f t="shared" si="457"/>
        <v>-32300.038567073174</v>
      </c>
      <c r="LP75" s="479">
        <f t="shared" si="457"/>
        <v>-32300.038567073174</v>
      </c>
      <c r="LQ75" s="479">
        <f t="shared" si="457"/>
        <v>-32300.038567073174</v>
      </c>
      <c r="LR75" s="479">
        <f t="shared" si="457"/>
        <v>-32300.038567073174</v>
      </c>
      <c r="LS75" s="479">
        <f t="shared" ref="LS75:OD78" si="458">IF(LS$7&gt;=$E75,IF(LS$7&lt;=$F75,($D75/12),0),0)</f>
        <v>-32300.038567073174</v>
      </c>
      <c r="LT75" s="479">
        <f t="shared" si="458"/>
        <v>-32300.038567073174</v>
      </c>
      <c r="LU75" s="479">
        <f t="shared" si="458"/>
        <v>-32300.038567073174</v>
      </c>
      <c r="LV75" s="479">
        <f t="shared" si="458"/>
        <v>-32300.038567073174</v>
      </c>
      <c r="LW75" s="479">
        <f t="shared" si="458"/>
        <v>-32300.038567073174</v>
      </c>
      <c r="LX75" s="479">
        <f t="shared" si="458"/>
        <v>-32300.038567073174</v>
      </c>
      <c r="LY75" s="479">
        <f t="shared" si="458"/>
        <v>-32300.038567073174</v>
      </c>
      <c r="LZ75" s="479">
        <f t="shared" si="458"/>
        <v>-32300.038567073174</v>
      </c>
      <c r="MA75" s="479">
        <f t="shared" si="458"/>
        <v>-32300.038567073174</v>
      </c>
      <c r="MB75" s="479">
        <f t="shared" si="458"/>
        <v>-32300.038567073174</v>
      </c>
      <c r="MC75" s="479">
        <f t="shared" si="458"/>
        <v>-32300.038567073174</v>
      </c>
      <c r="MD75" s="479">
        <f t="shared" si="458"/>
        <v>-32300.038567073174</v>
      </c>
      <c r="ME75" s="479">
        <f t="shared" si="458"/>
        <v>-32300.038567073174</v>
      </c>
      <c r="MF75" s="479">
        <f t="shared" si="458"/>
        <v>-32300.038567073174</v>
      </c>
      <c r="MG75" s="479">
        <f t="shared" si="458"/>
        <v>-32300.038567073174</v>
      </c>
      <c r="MH75" s="479">
        <f t="shared" si="458"/>
        <v>-32300.038567073174</v>
      </c>
      <c r="MI75" s="479">
        <f t="shared" si="458"/>
        <v>-32300.038567073174</v>
      </c>
      <c r="MJ75" s="479">
        <f t="shared" si="458"/>
        <v>-32300.038567073174</v>
      </c>
      <c r="MK75" s="479">
        <f t="shared" si="458"/>
        <v>-32300.038567073174</v>
      </c>
      <c r="ML75" s="479">
        <f t="shared" si="458"/>
        <v>-32300.038567073174</v>
      </c>
      <c r="MM75" s="479">
        <f t="shared" si="458"/>
        <v>-32300.038567073174</v>
      </c>
      <c r="MN75" s="479">
        <f t="shared" si="458"/>
        <v>-32300.038567073174</v>
      </c>
      <c r="MO75" s="479">
        <f t="shared" si="458"/>
        <v>-32300.038567073174</v>
      </c>
      <c r="MP75" s="479">
        <f t="shared" si="458"/>
        <v>-32300.038567073174</v>
      </c>
      <c r="MQ75" s="479">
        <f t="shared" si="458"/>
        <v>-32300.038567073174</v>
      </c>
      <c r="MR75" s="479">
        <f t="shared" si="458"/>
        <v>-32300.038567073174</v>
      </c>
      <c r="MS75" s="479">
        <f t="shared" si="458"/>
        <v>-32300.038567073174</v>
      </c>
      <c r="MT75" s="479">
        <f t="shared" si="458"/>
        <v>-32300.038567073174</v>
      </c>
      <c r="MU75" s="479">
        <f t="shared" si="458"/>
        <v>-32300.038567073174</v>
      </c>
      <c r="MV75" s="479">
        <f t="shared" si="458"/>
        <v>-32300.038567073174</v>
      </c>
      <c r="MW75" s="479">
        <f t="shared" si="458"/>
        <v>-32300.038567073174</v>
      </c>
      <c r="MX75" s="479">
        <f t="shared" si="458"/>
        <v>-32300.038567073174</v>
      </c>
      <c r="MY75" s="479">
        <f t="shared" si="458"/>
        <v>-32300.038567073174</v>
      </c>
      <c r="MZ75" s="479">
        <f t="shared" si="458"/>
        <v>-32300.038567073174</v>
      </c>
      <c r="NA75" s="479">
        <f t="shared" si="458"/>
        <v>-32300.038567073174</v>
      </c>
      <c r="NB75" s="479">
        <f t="shared" si="458"/>
        <v>-32300.038567073174</v>
      </c>
      <c r="NC75" s="479">
        <f t="shared" si="458"/>
        <v>-32300.038567073174</v>
      </c>
      <c r="ND75" s="479">
        <f t="shared" si="458"/>
        <v>-32300.038567073174</v>
      </c>
      <c r="NE75" s="479">
        <f t="shared" si="458"/>
        <v>-32300.038567073174</v>
      </c>
      <c r="NF75" s="479">
        <f t="shared" si="458"/>
        <v>-32300.038567073174</v>
      </c>
      <c r="NG75" s="479">
        <f t="shared" si="458"/>
        <v>-32300.038567073174</v>
      </c>
      <c r="NH75" s="479">
        <f t="shared" si="458"/>
        <v>-32300.038567073174</v>
      </c>
      <c r="NI75" s="479">
        <f t="shared" si="458"/>
        <v>-32300.038567073174</v>
      </c>
      <c r="NJ75" s="479">
        <f t="shared" si="458"/>
        <v>-32300.038567073174</v>
      </c>
      <c r="NK75" s="479">
        <f t="shared" si="458"/>
        <v>-32300.038567073174</v>
      </c>
      <c r="NL75" s="479">
        <f t="shared" si="458"/>
        <v>-32300.038567073174</v>
      </c>
      <c r="NM75" s="479">
        <f t="shared" si="458"/>
        <v>-32300.038567073174</v>
      </c>
      <c r="NN75" s="479">
        <f t="shared" si="458"/>
        <v>-32300.038567073174</v>
      </c>
      <c r="NO75" s="479">
        <f t="shared" si="458"/>
        <v>-32300.038567073174</v>
      </c>
      <c r="NP75" s="479">
        <f t="shared" si="458"/>
        <v>-32300.038567073174</v>
      </c>
      <c r="NQ75" s="479">
        <f t="shared" si="458"/>
        <v>-32300.038567073174</v>
      </c>
      <c r="NR75" s="479">
        <f t="shared" si="458"/>
        <v>-32300.038567073174</v>
      </c>
      <c r="NS75" s="479">
        <f t="shared" si="458"/>
        <v>-32300.038567073174</v>
      </c>
      <c r="NT75" s="479">
        <f t="shared" si="458"/>
        <v>-32300.038567073174</v>
      </c>
      <c r="NU75" s="479">
        <f t="shared" si="458"/>
        <v>-32300.038567073174</v>
      </c>
      <c r="NV75" s="479">
        <f t="shared" si="458"/>
        <v>-32300.038567073174</v>
      </c>
      <c r="NW75" s="479">
        <f t="shared" si="458"/>
        <v>-32300.038567073174</v>
      </c>
      <c r="NX75" s="479">
        <f t="shared" si="458"/>
        <v>-32300.038567073174</v>
      </c>
      <c r="NY75" s="479">
        <f t="shared" si="458"/>
        <v>-32300.038567073174</v>
      </c>
      <c r="NZ75" s="479">
        <f t="shared" si="458"/>
        <v>-32300.038567073174</v>
      </c>
      <c r="OA75" s="479">
        <f t="shared" si="458"/>
        <v>-32300.038567073174</v>
      </c>
      <c r="OB75" s="479">
        <f t="shared" si="458"/>
        <v>-32300.038567073174</v>
      </c>
      <c r="OC75" s="479">
        <f t="shared" si="458"/>
        <v>-32300.038567073174</v>
      </c>
      <c r="OD75" s="479">
        <f t="shared" si="458"/>
        <v>-32300.038567073174</v>
      </c>
      <c r="OE75" s="479">
        <f t="shared" ref="OE75:OO79" si="459">IF(OE$7&gt;=$E75,IF(OE$7&lt;=$F75,($D75/12),0),0)</f>
        <v>-32300.038567073174</v>
      </c>
      <c r="OF75" s="479">
        <f t="shared" si="459"/>
        <v>-32300.038567073174</v>
      </c>
      <c r="OG75" s="479">
        <f t="shared" si="459"/>
        <v>-32300.038567073174</v>
      </c>
      <c r="OH75" s="479">
        <f t="shared" si="459"/>
        <v>-32300.038567073174</v>
      </c>
      <c r="OI75" s="479">
        <f t="shared" si="459"/>
        <v>-32300.038567073174</v>
      </c>
      <c r="OJ75" s="479">
        <f t="shared" si="459"/>
        <v>-32300.038567073174</v>
      </c>
      <c r="OK75" s="479">
        <f t="shared" si="459"/>
        <v>-32300.038567073174</v>
      </c>
      <c r="OL75" s="479">
        <f t="shared" si="459"/>
        <v>-32300.038567073174</v>
      </c>
      <c r="OM75" s="479">
        <f t="shared" si="459"/>
        <v>-32300.038567073174</v>
      </c>
      <c r="ON75" s="479">
        <f t="shared" si="459"/>
        <v>-32300.038567073174</v>
      </c>
      <c r="OO75" s="479">
        <f t="shared" si="459"/>
        <v>-32300.038567073174</v>
      </c>
    </row>
    <row r="76" spans="2:405">
      <c r="B76" s="7" t="s">
        <v>16</v>
      </c>
      <c r="D76" s="537">
        <f>Mortgage!D14</f>
        <v>-2250</v>
      </c>
      <c r="E76" s="507">
        <f>Assumptions!$C$13</f>
        <v>47330</v>
      </c>
      <c r="F76" s="507">
        <f>EOMONTH(E76,Assumptions!$C$14-1)</f>
        <v>58256</v>
      </c>
      <c r="G76" s="97">
        <f t="shared" si="452"/>
        <v>360</v>
      </c>
      <c r="H76" s="97"/>
      <c r="I76" s="97"/>
      <c r="J76" s="479">
        <f t="shared" ref="J76:J79" si="460">IF(J$7&gt;=$E76,IF(J$7&lt;=$F76,($D76/12),0),0)</f>
        <v>0</v>
      </c>
      <c r="K76" s="479">
        <f t="shared" si="453"/>
        <v>0</v>
      </c>
      <c r="L76" s="479">
        <f t="shared" si="453"/>
        <v>0</v>
      </c>
      <c r="M76" s="479">
        <f t="shared" si="453"/>
        <v>0</v>
      </c>
      <c r="N76" s="479">
        <f t="shared" si="453"/>
        <v>0</v>
      </c>
      <c r="O76" s="479">
        <f t="shared" si="453"/>
        <v>0</v>
      </c>
      <c r="P76" s="479">
        <f t="shared" si="453"/>
        <v>0</v>
      </c>
      <c r="Q76" s="479">
        <f t="shared" si="453"/>
        <v>0</v>
      </c>
      <c r="R76" s="479">
        <f t="shared" si="453"/>
        <v>0</v>
      </c>
      <c r="S76" s="479">
        <f t="shared" si="453"/>
        <v>0</v>
      </c>
      <c r="T76" s="479">
        <f t="shared" si="453"/>
        <v>0</v>
      </c>
      <c r="U76" s="479">
        <f t="shared" si="453"/>
        <v>0</v>
      </c>
      <c r="V76" s="479">
        <f t="shared" si="453"/>
        <v>0</v>
      </c>
      <c r="W76" s="479">
        <f t="shared" si="453"/>
        <v>0</v>
      </c>
      <c r="X76" s="479">
        <f t="shared" si="453"/>
        <v>0</v>
      </c>
      <c r="Y76" s="479">
        <f t="shared" si="453"/>
        <v>0</v>
      </c>
      <c r="Z76" s="479">
        <f t="shared" si="453"/>
        <v>0</v>
      </c>
      <c r="AA76" s="479">
        <f t="shared" si="453"/>
        <v>0</v>
      </c>
      <c r="AB76" s="479">
        <f t="shared" si="453"/>
        <v>0</v>
      </c>
      <c r="AC76" s="479">
        <f t="shared" si="453"/>
        <v>0</v>
      </c>
      <c r="AD76" s="479">
        <f t="shared" si="453"/>
        <v>0</v>
      </c>
      <c r="AE76" s="479">
        <f t="shared" si="453"/>
        <v>0</v>
      </c>
      <c r="AF76" s="479">
        <f t="shared" si="453"/>
        <v>0</v>
      </c>
      <c r="AG76" s="479">
        <f t="shared" si="453"/>
        <v>0</v>
      </c>
      <c r="AH76" s="479">
        <f t="shared" si="453"/>
        <v>0</v>
      </c>
      <c r="AI76" s="479">
        <f t="shared" si="453"/>
        <v>0</v>
      </c>
      <c r="AJ76" s="479">
        <f t="shared" si="453"/>
        <v>0</v>
      </c>
      <c r="AK76" s="479">
        <f t="shared" si="453"/>
        <v>0</v>
      </c>
      <c r="AL76" s="479">
        <f t="shared" si="453"/>
        <v>0</v>
      </c>
      <c r="AM76" s="479">
        <f t="shared" si="453"/>
        <v>0</v>
      </c>
      <c r="AN76" s="479">
        <f t="shared" si="453"/>
        <v>0</v>
      </c>
      <c r="AO76" s="479">
        <f t="shared" si="453"/>
        <v>0</v>
      </c>
      <c r="AP76" s="479">
        <f t="shared" si="453"/>
        <v>0</v>
      </c>
      <c r="AQ76" s="479">
        <f t="shared" si="453"/>
        <v>0</v>
      </c>
      <c r="AR76" s="479">
        <f t="shared" si="453"/>
        <v>0</v>
      </c>
      <c r="AS76" s="479">
        <f t="shared" si="453"/>
        <v>0</v>
      </c>
      <c r="AT76" s="479">
        <f t="shared" si="453"/>
        <v>-187.5</v>
      </c>
      <c r="AU76" s="479">
        <f t="shared" si="453"/>
        <v>-187.5</v>
      </c>
      <c r="AV76" s="479">
        <f t="shared" si="453"/>
        <v>-187.5</v>
      </c>
      <c r="AW76" s="479">
        <f t="shared" si="453"/>
        <v>-187.5</v>
      </c>
      <c r="AX76" s="479">
        <f t="shared" si="453"/>
        <v>-187.5</v>
      </c>
      <c r="AY76" s="479">
        <f t="shared" si="453"/>
        <v>-187.5</v>
      </c>
      <c r="AZ76" s="479">
        <f t="shared" si="453"/>
        <v>-187.5</v>
      </c>
      <c r="BA76" s="479">
        <f t="shared" si="453"/>
        <v>-187.5</v>
      </c>
      <c r="BB76" s="479">
        <f t="shared" si="453"/>
        <v>-187.5</v>
      </c>
      <c r="BC76" s="479">
        <f t="shared" si="453"/>
        <v>-187.5</v>
      </c>
      <c r="BD76" s="479">
        <f t="shared" si="453"/>
        <v>-187.5</v>
      </c>
      <c r="BE76" s="479">
        <f t="shared" si="453"/>
        <v>-187.5</v>
      </c>
      <c r="BF76" s="479">
        <f t="shared" si="453"/>
        <v>-187.5</v>
      </c>
      <c r="BG76" s="479">
        <f t="shared" si="453"/>
        <v>-187.5</v>
      </c>
      <c r="BH76" s="479">
        <f t="shared" si="453"/>
        <v>-187.5</v>
      </c>
      <c r="BI76" s="479">
        <f t="shared" si="453"/>
        <v>-187.5</v>
      </c>
      <c r="BJ76" s="479">
        <f t="shared" si="453"/>
        <v>-187.5</v>
      </c>
      <c r="BK76" s="479">
        <f t="shared" si="453"/>
        <v>-187.5</v>
      </c>
      <c r="BL76" s="479">
        <f t="shared" si="453"/>
        <v>-187.5</v>
      </c>
      <c r="BM76" s="479">
        <f t="shared" si="453"/>
        <v>-187.5</v>
      </c>
      <c r="BN76" s="479">
        <f t="shared" si="453"/>
        <v>-187.5</v>
      </c>
      <c r="BO76" s="479">
        <f t="shared" si="453"/>
        <v>-187.5</v>
      </c>
      <c r="BP76" s="479">
        <f t="shared" si="453"/>
        <v>-187.5</v>
      </c>
      <c r="BQ76" s="479">
        <f t="shared" si="453"/>
        <v>-187.5</v>
      </c>
      <c r="BR76" s="479">
        <f t="shared" si="453"/>
        <v>-187.5</v>
      </c>
      <c r="BS76" s="479">
        <f t="shared" si="453"/>
        <v>-187.5</v>
      </c>
      <c r="BT76" s="479">
        <f t="shared" si="453"/>
        <v>-187.5</v>
      </c>
      <c r="BU76" s="479">
        <f t="shared" si="453"/>
        <v>-187.5</v>
      </c>
      <c r="BV76" s="479">
        <f t="shared" si="453"/>
        <v>-187.5</v>
      </c>
      <c r="BW76" s="479">
        <f t="shared" si="454"/>
        <v>-187.5</v>
      </c>
      <c r="BX76" s="479">
        <f t="shared" si="454"/>
        <v>-187.5</v>
      </c>
      <c r="BY76" s="479">
        <f t="shared" si="454"/>
        <v>-187.5</v>
      </c>
      <c r="BZ76" s="479">
        <f t="shared" si="454"/>
        <v>-187.5</v>
      </c>
      <c r="CA76" s="479">
        <f t="shared" si="454"/>
        <v>-187.5</v>
      </c>
      <c r="CB76" s="479">
        <f t="shared" si="454"/>
        <v>-187.5</v>
      </c>
      <c r="CC76" s="479">
        <f t="shared" si="454"/>
        <v>-187.5</v>
      </c>
      <c r="CD76" s="479">
        <f t="shared" si="454"/>
        <v>-187.5</v>
      </c>
      <c r="CE76" s="479">
        <f t="shared" si="454"/>
        <v>-187.5</v>
      </c>
      <c r="CF76" s="479">
        <f t="shared" si="454"/>
        <v>-187.5</v>
      </c>
      <c r="CG76" s="479">
        <f t="shared" si="454"/>
        <v>-187.5</v>
      </c>
      <c r="CH76" s="479">
        <f t="shared" si="454"/>
        <v>-187.5</v>
      </c>
      <c r="CI76" s="479">
        <f t="shared" si="454"/>
        <v>-187.5</v>
      </c>
      <c r="CJ76" s="479">
        <f t="shared" si="454"/>
        <v>-187.5</v>
      </c>
      <c r="CK76" s="479">
        <f t="shared" si="454"/>
        <v>-187.5</v>
      </c>
      <c r="CL76" s="479">
        <f t="shared" si="454"/>
        <v>-187.5</v>
      </c>
      <c r="CM76" s="479">
        <f t="shared" si="454"/>
        <v>-187.5</v>
      </c>
      <c r="CN76" s="479">
        <f t="shared" si="454"/>
        <v>-187.5</v>
      </c>
      <c r="CO76" s="479">
        <f t="shared" si="454"/>
        <v>-187.5</v>
      </c>
      <c r="CP76" s="479">
        <f t="shared" si="454"/>
        <v>-187.5</v>
      </c>
      <c r="CQ76" s="479">
        <f t="shared" si="454"/>
        <v>-187.5</v>
      </c>
      <c r="CR76" s="479">
        <f t="shared" si="454"/>
        <v>-187.5</v>
      </c>
      <c r="CS76" s="479">
        <f t="shared" si="454"/>
        <v>-187.5</v>
      </c>
      <c r="CT76" s="479">
        <f t="shared" si="454"/>
        <v>-187.5</v>
      </c>
      <c r="CU76" s="479">
        <f t="shared" si="454"/>
        <v>-187.5</v>
      </c>
      <c r="CV76" s="479">
        <f t="shared" si="454"/>
        <v>-187.5</v>
      </c>
      <c r="CW76" s="479">
        <f t="shared" si="454"/>
        <v>-187.5</v>
      </c>
      <c r="CX76" s="479">
        <f t="shared" si="454"/>
        <v>-187.5</v>
      </c>
      <c r="CY76" s="479">
        <f t="shared" si="454"/>
        <v>-187.5</v>
      </c>
      <c r="CZ76" s="479">
        <f t="shared" si="454"/>
        <v>-187.5</v>
      </c>
      <c r="DA76" s="479">
        <f t="shared" si="454"/>
        <v>-187.5</v>
      </c>
      <c r="DB76" s="479">
        <f t="shared" si="454"/>
        <v>-187.5</v>
      </c>
      <c r="DC76" s="479">
        <f t="shared" si="454"/>
        <v>-187.5</v>
      </c>
      <c r="DD76" s="479">
        <f t="shared" si="454"/>
        <v>-187.5</v>
      </c>
      <c r="DE76" s="479">
        <f t="shared" si="454"/>
        <v>-187.5</v>
      </c>
      <c r="DF76" s="479">
        <f t="shared" si="454"/>
        <v>-187.5</v>
      </c>
      <c r="DG76" s="479">
        <f t="shared" si="454"/>
        <v>-187.5</v>
      </c>
      <c r="DH76" s="479">
        <f t="shared" si="454"/>
        <v>-187.5</v>
      </c>
      <c r="DI76" s="479">
        <f t="shared" si="454"/>
        <v>-187.5</v>
      </c>
      <c r="DJ76" s="479">
        <f t="shared" si="454"/>
        <v>-187.5</v>
      </c>
      <c r="DK76" s="479">
        <f t="shared" si="454"/>
        <v>-187.5</v>
      </c>
      <c r="DL76" s="479">
        <f t="shared" si="454"/>
        <v>-187.5</v>
      </c>
      <c r="DM76" s="479">
        <f t="shared" si="454"/>
        <v>-187.5</v>
      </c>
      <c r="DN76" s="479">
        <f t="shared" si="454"/>
        <v>-187.5</v>
      </c>
      <c r="DO76" s="479">
        <f t="shared" si="454"/>
        <v>-187.5</v>
      </c>
      <c r="DP76" s="479">
        <f t="shared" si="454"/>
        <v>-187.5</v>
      </c>
      <c r="DQ76" s="479">
        <f t="shared" si="454"/>
        <v>-187.5</v>
      </c>
      <c r="DR76" s="479">
        <f t="shared" si="454"/>
        <v>-187.5</v>
      </c>
      <c r="DS76" s="479">
        <f t="shared" si="454"/>
        <v>-187.5</v>
      </c>
      <c r="DT76" s="479">
        <f t="shared" si="454"/>
        <v>-187.5</v>
      </c>
      <c r="DU76" s="479">
        <f t="shared" si="454"/>
        <v>-187.5</v>
      </c>
      <c r="DV76" s="479">
        <f t="shared" si="454"/>
        <v>-187.5</v>
      </c>
      <c r="DW76" s="479">
        <f t="shared" si="454"/>
        <v>-187.5</v>
      </c>
      <c r="DX76" s="479">
        <f t="shared" si="454"/>
        <v>-187.5</v>
      </c>
      <c r="DY76" s="479">
        <f t="shared" si="454"/>
        <v>-187.5</v>
      </c>
      <c r="DZ76" s="479">
        <f t="shared" si="454"/>
        <v>-187.5</v>
      </c>
      <c r="EA76" s="479">
        <f t="shared" si="454"/>
        <v>-187.5</v>
      </c>
      <c r="EB76" s="479">
        <f t="shared" si="454"/>
        <v>-187.5</v>
      </c>
      <c r="EC76" s="479">
        <f t="shared" si="454"/>
        <v>-187.5</v>
      </c>
      <c r="ED76" s="479">
        <f t="shared" si="454"/>
        <v>-187.5</v>
      </c>
      <c r="EE76" s="479">
        <f t="shared" si="454"/>
        <v>-187.5</v>
      </c>
      <c r="EF76" s="479">
        <f t="shared" si="454"/>
        <v>-187.5</v>
      </c>
      <c r="EG76" s="479">
        <f t="shared" si="454"/>
        <v>-187.5</v>
      </c>
      <c r="EH76" s="479">
        <f t="shared" si="454"/>
        <v>-187.5</v>
      </c>
      <c r="EI76" s="479">
        <f t="shared" si="455"/>
        <v>-187.5</v>
      </c>
      <c r="EJ76" s="479">
        <f t="shared" si="455"/>
        <v>-187.5</v>
      </c>
      <c r="EK76" s="479">
        <f t="shared" si="455"/>
        <v>-187.5</v>
      </c>
      <c r="EL76" s="479">
        <f t="shared" si="455"/>
        <v>-187.5</v>
      </c>
      <c r="EM76" s="479">
        <f t="shared" si="455"/>
        <v>-187.5</v>
      </c>
      <c r="EN76" s="479">
        <f t="shared" si="455"/>
        <v>-187.5</v>
      </c>
      <c r="EO76" s="479">
        <f t="shared" si="455"/>
        <v>-187.5</v>
      </c>
      <c r="EP76" s="479">
        <f t="shared" si="455"/>
        <v>-187.5</v>
      </c>
      <c r="EQ76" s="479">
        <f t="shared" si="455"/>
        <v>-187.5</v>
      </c>
      <c r="ER76" s="479">
        <f t="shared" si="455"/>
        <v>-187.5</v>
      </c>
      <c r="ES76" s="479">
        <f t="shared" si="455"/>
        <v>-187.5</v>
      </c>
      <c r="ET76" s="479">
        <f t="shared" si="455"/>
        <v>-187.5</v>
      </c>
      <c r="EU76" s="479">
        <f t="shared" si="455"/>
        <v>-187.5</v>
      </c>
      <c r="EV76" s="479">
        <f t="shared" si="455"/>
        <v>-187.5</v>
      </c>
      <c r="EW76" s="479">
        <f t="shared" si="455"/>
        <v>-187.5</v>
      </c>
      <c r="EX76" s="479">
        <f t="shared" si="455"/>
        <v>-187.5</v>
      </c>
      <c r="EY76" s="479">
        <f t="shared" si="455"/>
        <v>-187.5</v>
      </c>
      <c r="EZ76" s="479">
        <f t="shared" si="455"/>
        <v>-187.5</v>
      </c>
      <c r="FA76" s="479">
        <f t="shared" si="455"/>
        <v>-187.5</v>
      </c>
      <c r="FB76" s="479">
        <f t="shared" si="455"/>
        <v>-187.5</v>
      </c>
      <c r="FC76" s="479">
        <f t="shared" si="455"/>
        <v>-187.5</v>
      </c>
      <c r="FD76" s="479">
        <f t="shared" si="455"/>
        <v>-187.5</v>
      </c>
      <c r="FE76" s="479">
        <f t="shared" si="455"/>
        <v>-187.5</v>
      </c>
      <c r="FF76" s="479">
        <f t="shared" si="455"/>
        <v>-187.5</v>
      </c>
      <c r="FG76" s="479">
        <f t="shared" si="455"/>
        <v>-187.5</v>
      </c>
      <c r="FH76" s="479">
        <f t="shared" si="455"/>
        <v>-187.5</v>
      </c>
      <c r="FI76" s="479">
        <f t="shared" si="455"/>
        <v>-187.5</v>
      </c>
      <c r="FJ76" s="479">
        <f t="shared" si="455"/>
        <v>-187.5</v>
      </c>
      <c r="FK76" s="479">
        <f t="shared" si="455"/>
        <v>-187.5</v>
      </c>
      <c r="FL76" s="479">
        <f t="shared" si="455"/>
        <v>-187.5</v>
      </c>
      <c r="FM76" s="479">
        <f t="shared" si="455"/>
        <v>-187.5</v>
      </c>
      <c r="FN76" s="479">
        <f t="shared" si="455"/>
        <v>-187.5</v>
      </c>
      <c r="FO76" s="479">
        <f t="shared" si="455"/>
        <v>-187.5</v>
      </c>
      <c r="FP76" s="479">
        <f t="shared" si="455"/>
        <v>-187.5</v>
      </c>
      <c r="FQ76" s="479">
        <f t="shared" si="455"/>
        <v>-187.5</v>
      </c>
      <c r="FR76" s="479">
        <f t="shared" si="455"/>
        <v>-187.5</v>
      </c>
      <c r="FS76" s="479">
        <f t="shared" si="455"/>
        <v>-187.5</v>
      </c>
      <c r="FT76" s="479">
        <f t="shared" si="455"/>
        <v>-187.5</v>
      </c>
      <c r="FU76" s="479">
        <f t="shared" si="455"/>
        <v>-187.5</v>
      </c>
      <c r="FV76" s="479">
        <f t="shared" si="455"/>
        <v>-187.5</v>
      </c>
      <c r="FW76" s="479">
        <f t="shared" si="455"/>
        <v>-187.5</v>
      </c>
      <c r="FX76" s="479">
        <f t="shared" si="455"/>
        <v>-187.5</v>
      </c>
      <c r="FY76" s="479">
        <f t="shared" si="455"/>
        <v>-187.5</v>
      </c>
      <c r="FZ76" s="479">
        <f t="shared" si="455"/>
        <v>-187.5</v>
      </c>
      <c r="GA76" s="479">
        <f t="shared" si="455"/>
        <v>-187.5</v>
      </c>
      <c r="GB76" s="479">
        <f t="shared" si="455"/>
        <v>-187.5</v>
      </c>
      <c r="GC76" s="479">
        <f t="shared" si="455"/>
        <v>-187.5</v>
      </c>
      <c r="GD76" s="479">
        <f t="shared" si="455"/>
        <v>-187.5</v>
      </c>
      <c r="GE76" s="479">
        <f t="shared" si="455"/>
        <v>-187.5</v>
      </c>
      <c r="GF76" s="479">
        <f t="shared" si="455"/>
        <v>-187.5</v>
      </c>
      <c r="GG76" s="479">
        <f t="shared" si="455"/>
        <v>-187.5</v>
      </c>
      <c r="GH76" s="479">
        <f t="shared" si="455"/>
        <v>-187.5</v>
      </c>
      <c r="GI76" s="479">
        <f t="shared" si="455"/>
        <v>-187.5</v>
      </c>
      <c r="GJ76" s="479">
        <f t="shared" si="455"/>
        <v>-187.5</v>
      </c>
      <c r="GK76" s="479">
        <f t="shared" si="455"/>
        <v>-187.5</v>
      </c>
      <c r="GL76" s="479">
        <f t="shared" si="455"/>
        <v>-187.5</v>
      </c>
      <c r="GM76" s="479">
        <f t="shared" si="455"/>
        <v>-187.5</v>
      </c>
      <c r="GN76" s="479">
        <f t="shared" si="455"/>
        <v>-187.5</v>
      </c>
      <c r="GO76" s="479">
        <f t="shared" si="455"/>
        <v>-187.5</v>
      </c>
      <c r="GP76" s="479">
        <f t="shared" si="455"/>
        <v>-187.5</v>
      </c>
      <c r="GQ76" s="479">
        <f t="shared" si="455"/>
        <v>-187.5</v>
      </c>
      <c r="GR76" s="479">
        <f t="shared" si="455"/>
        <v>-187.5</v>
      </c>
      <c r="GS76" s="479">
        <f t="shared" si="455"/>
        <v>-187.5</v>
      </c>
      <c r="GT76" s="479">
        <f t="shared" si="455"/>
        <v>-187.5</v>
      </c>
      <c r="GU76" s="479">
        <f t="shared" si="456"/>
        <v>-187.5</v>
      </c>
      <c r="GV76" s="479">
        <f t="shared" si="456"/>
        <v>-187.5</v>
      </c>
      <c r="GW76" s="479">
        <f t="shared" si="456"/>
        <v>-187.5</v>
      </c>
      <c r="GX76" s="479">
        <f t="shared" si="456"/>
        <v>-187.5</v>
      </c>
      <c r="GY76" s="479">
        <f t="shared" si="456"/>
        <v>-187.5</v>
      </c>
      <c r="GZ76" s="479">
        <f t="shared" si="456"/>
        <v>-187.5</v>
      </c>
      <c r="HA76" s="479">
        <f t="shared" si="456"/>
        <v>-187.5</v>
      </c>
      <c r="HB76" s="479">
        <f t="shared" si="456"/>
        <v>-187.5</v>
      </c>
      <c r="HC76" s="479">
        <f t="shared" si="456"/>
        <v>-187.5</v>
      </c>
      <c r="HD76" s="479">
        <f t="shared" si="456"/>
        <v>-187.5</v>
      </c>
      <c r="HE76" s="479">
        <f t="shared" si="456"/>
        <v>-187.5</v>
      </c>
      <c r="HF76" s="479">
        <f t="shared" si="456"/>
        <v>-187.5</v>
      </c>
      <c r="HG76" s="479">
        <f t="shared" si="456"/>
        <v>-187.5</v>
      </c>
      <c r="HH76" s="479">
        <f t="shared" si="456"/>
        <v>-187.5</v>
      </c>
      <c r="HI76" s="479">
        <f t="shared" si="456"/>
        <v>-187.5</v>
      </c>
      <c r="HJ76" s="479">
        <f t="shared" si="456"/>
        <v>-187.5</v>
      </c>
      <c r="HK76" s="479">
        <f t="shared" si="456"/>
        <v>-187.5</v>
      </c>
      <c r="HL76" s="479">
        <f t="shared" si="456"/>
        <v>-187.5</v>
      </c>
      <c r="HM76" s="479">
        <f t="shared" si="456"/>
        <v>-187.5</v>
      </c>
      <c r="HN76" s="479">
        <f t="shared" si="456"/>
        <v>-187.5</v>
      </c>
      <c r="HO76" s="479">
        <f t="shared" si="456"/>
        <v>-187.5</v>
      </c>
      <c r="HP76" s="479">
        <f t="shared" si="456"/>
        <v>-187.5</v>
      </c>
      <c r="HQ76" s="479">
        <f t="shared" si="456"/>
        <v>-187.5</v>
      </c>
      <c r="HR76" s="479">
        <f t="shared" si="456"/>
        <v>-187.5</v>
      </c>
      <c r="HS76" s="479">
        <f t="shared" si="456"/>
        <v>-187.5</v>
      </c>
      <c r="HT76" s="479">
        <f t="shared" si="456"/>
        <v>-187.5</v>
      </c>
      <c r="HU76" s="479">
        <f t="shared" si="456"/>
        <v>-187.5</v>
      </c>
      <c r="HV76" s="479">
        <f t="shared" si="456"/>
        <v>-187.5</v>
      </c>
      <c r="HW76" s="479">
        <f t="shared" si="456"/>
        <v>-187.5</v>
      </c>
      <c r="HX76" s="479">
        <f t="shared" si="456"/>
        <v>-187.5</v>
      </c>
      <c r="HY76" s="479">
        <f t="shared" si="456"/>
        <v>-187.5</v>
      </c>
      <c r="HZ76" s="479">
        <f t="shared" si="456"/>
        <v>-187.5</v>
      </c>
      <c r="IA76" s="479">
        <f t="shared" si="456"/>
        <v>-187.5</v>
      </c>
      <c r="IB76" s="479">
        <f t="shared" si="456"/>
        <v>-187.5</v>
      </c>
      <c r="IC76" s="479">
        <f t="shared" si="456"/>
        <v>-187.5</v>
      </c>
      <c r="ID76" s="479">
        <f t="shared" si="456"/>
        <v>-187.5</v>
      </c>
      <c r="IE76" s="479">
        <f t="shared" si="456"/>
        <v>-187.5</v>
      </c>
      <c r="IF76" s="479">
        <f t="shared" si="456"/>
        <v>-187.5</v>
      </c>
      <c r="IG76" s="479">
        <f t="shared" si="456"/>
        <v>-187.5</v>
      </c>
      <c r="IH76" s="479">
        <f t="shared" si="456"/>
        <v>-187.5</v>
      </c>
      <c r="II76" s="479">
        <f t="shared" si="456"/>
        <v>-187.5</v>
      </c>
      <c r="IJ76" s="479">
        <f t="shared" si="456"/>
        <v>-187.5</v>
      </c>
      <c r="IK76" s="479">
        <f t="shared" si="456"/>
        <v>-187.5</v>
      </c>
      <c r="IL76" s="479">
        <f t="shared" si="456"/>
        <v>-187.5</v>
      </c>
      <c r="IM76" s="479">
        <f t="shared" si="456"/>
        <v>-187.5</v>
      </c>
      <c r="IN76" s="479">
        <f t="shared" si="456"/>
        <v>-187.5</v>
      </c>
      <c r="IO76" s="479">
        <f t="shared" si="456"/>
        <v>-187.5</v>
      </c>
      <c r="IP76" s="479">
        <f t="shared" si="456"/>
        <v>-187.5</v>
      </c>
      <c r="IQ76" s="479">
        <f t="shared" si="456"/>
        <v>-187.5</v>
      </c>
      <c r="IR76" s="479">
        <f t="shared" si="456"/>
        <v>-187.5</v>
      </c>
      <c r="IS76" s="479">
        <f t="shared" si="456"/>
        <v>-187.5</v>
      </c>
      <c r="IT76" s="479">
        <f t="shared" si="456"/>
        <v>-187.5</v>
      </c>
      <c r="IU76" s="479">
        <f t="shared" si="456"/>
        <v>-187.5</v>
      </c>
      <c r="IV76" s="479">
        <f t="shared" si="456"/>
        <v>-187.5</v>
      </c>
      <c r="IW76" s="479">
        <f t="shared" si="456"/>
        <v>-187.5</v>
      </c>
      <c r="IX76" s="479">
        <f t="shared" si="456"/>
        <v>-187.5</v>
      </c>
      <c r="IY76" s="479">
        <f t="shared" si="456"/>
        <v>-187.5</v>
      </c>
      <c r="IZ76" s="479">
        <f t="shared" si="456"/>
        <v>-187.5</v>
      </c>
      <c r="JA76" s="479">
        <f t="shared" si="456"/>
        <v>-187.5</v>
      </c>
      <c r="JB76" s="479">
        <f t="shared" si="456"/>
        <v>-187.5</v>
      </c>
      <c r="JC76" s="479">
        <f t="shared" si="456"/>
        <v>-187.5</v>
      </c>
      <c r="JD76" s="479">
        <f t="shared" si="456"/>
        <v>-187.5</v>
      </c>
      <c r="JE76" s="479">
        <f t="shared" si="456"/>
        <v>-187.5</v>
      </c>
      <c r="JF76" s="479">
        <f t="shared" si="456"/>
        <v>-187.5</v>
      </c>
      <c r="JG76" s="479">
        <f t="shared" si="457"/>
        <v>-187.5</v>
      </c>
      <c r="JH76" s="479">
        <f t="shared" si="457"/>
        <v>-187.5</v>
      </c>
      <c r="JI76" s="479">
        <f t="shared" si="457"/>
        <v>-187.5</v>
      </c>
      <c r="JJ76" s="479">
        <f t="shared" si="457"/>
        <v>-187.5</v>
      </c>
      <c r="JK76" s="479">
        <f t="shared" si="457"/>
        <v>-187.5</v>
      </c>
      <c r="JL76" s="479">
        <f t="shared" si="457"/>
        <v>-187.5</v>
      </c>
      <c r="JM76" s="479">
        <f t="shared" si="457"/>
        <v>-187.5</v>
      </c>
      <c r="JN76" s="479">
        <f t="shared" si="457"/>
        <v>-187.5</v>
      </c>
      <c r="JO76" s="479">
        <f t="shared" si="457"/>
        <v>-187.5</v>
      </c>
      <c r="JP76" s="479">
        <f t="shared" si="457"/>
        <v>-187.5</v>
      </c>
      <c r="JQ76" s="479">
        <f t="shared" si="457"/>
        <v>-187.5</v>
      </c>
      <c r="JR76" s="479">
        <f t="shared" si="457"/>
        <v>-187.5</v>
      </c>
      <c r="JS76" s="479">
        <f t="shared" si="457"/>
        <v>-187.5</v>
      </c>
      <c r="JT76" s="479">
        <f t="shared" si="457"/>
        <v>-187.5</v>
      </c>
      <c r="JU76" s="479">
        <f t="shared" si="457"/>
        <v>-187.5</v>
      </c>
      <c r="JV76" s="479">
        <f t="shared" si="457"/>
        <v>-187.5</v>
      </c>
      <c r="JW76" s="479">
        <f t="shared" si="457"/>
        <v>-187.5</v>
      </c>
      <c r="JX76" s="479">
        <f t="shared" si="457"/>
        <v>-187.5</v>
      </c>
      <c r="JY76" s="479">
        <f t="shared" si="457"/>
        <v>-187.5</v>
      </c>
      <c r="JZ76" s="479">
        <f t="shared" si="457"/>
        <v>-187.5</v>
      </c>
      <c r="KA76" s="479">
        <f t="shared" si="457"/>
        <v>-187.5</v>
      </c>
      <c r="KB76" s="479">
        <f t="shared" si="457"/>
        <v>-187.5</v>
      </c>
      <c r="KC76" s="479">
        <f t="shared" si="457"/>
        <v>-187.5</v>
      </c>
      <c r="KD76" s="479">
        <f t="shared" si="457"/>
        <v>-187.5</v>
      </c>
      <c r="KE76" s="479">
        <f t="shared" si="457"/>
        <v>-187.5</v>
      </c>
      <c r="KF76" s="479">
        <f t="shared" si="457"/>
        <v>-187.5</v>
      </c>
      <c r="KG76" s="479">
        <f t="shared" si="457"/>
        <v>-187.5</v>
      </c>
      <c r="KH76" s="479">
        <f t="shared" si="457"/>
        <v>-187.5</v>
      </c>
      <c r="KI76" s="479">
        <f t="shared" si="457"/>
        <v>-187.5</v>
      </c>
      <c r="KJ76" s="479">
        <f t="shared" si="457"/>
        <v>-187.5</v>
      </c>
      <c r="KK76" s="479">
        <f t="shared" si="457"/>
        <v>-187.5</v>
      </c>
      <c r="KL76" s="479">
        <f t="shared" si="457"/>
        <v>-187.5</v>
      </c>
      <c r="KM76" s="479">
        <f t="shared" si="457"/>
        <v>-187.5</v>
      </c>
      <c r="KN76" s="479">
        <f t="shared" si="457"/>
        <v>-187.5</v>
      </c>
      <c r="KO76" s="479">
        <f t="shared" si="457"/>
        <v>-187.5</v>
      </c>
      <c r="KP76" s="479">
        <f t="shared" si="457"/>
        <v>-187.5</v>
      </c>
      <c r="KQ76" s="479">
        <f t="shared" si="457"/>
        <v>-187.5</v>
      </c>
      <c r="KR76" s="479">
        <f t="shared" si="457"/>
        <v>-187.5</v>
      </c>
      <c r="KS76" s="479">
        <f t="shared" si="457"/>
        <v>-187.5</v>
      </c>
      <c r="KT76" s="479">
        <f t="shared" si="457"/>
        <v>-187.5</v>
      </c>
      <c r="KU76" s="479">
        <f t="shared" si="457"/>
        <v>-187.5</v>
      </c>
      <c r="KV76" s="479">
        <f t="shared" si="457"/>
        <v>-187.5</v>
      </c>
      <c r="KW76" s="479">
        <f t="shared" si="457"/>
        <v>-187.5</v>
      </c>
      <c r="KX76" s="479">
        <f t="shared" si="457"/>
        <v>-187.5</v>
      </c>
      <c r="KY76" s="479">
        <f t="shared" si="457"/>
        <v>-187.5</v>
      </c>
      <c r="KZ76" s="479">
        <f t="shared" si="457"/>
        <v>-187.5</v>
      </c>
      <c r="LA76" s="479">
        <f t="shared" si="457"/>
        <v>-187.5</v>
      </c>
      <c r="LB76" s="479">
        <f t="shared" si="457"/>
        <v>-187.5</v>
      </c>
      <c r="LC76" s="479">
        <f t="shared" si="457"/>
        <v>-187.5</v>
      </c>
      <c r="LD76" s="479">
        <f t="shared" si="457"/>
        <v>-187.5</v>
      </c>
      <c r="LE76" s="479">
        <f t="shared" si="457"/>
        <v>-187.5</v>
      </c>
      <c r="LF76" s="479">
        <f t="shared" si="457"/>
        <v>-187.5</v>
      </c>
      <c r="LG76" s="479">
        <f t="shared" si="457"/>
        <v>-187.5</v>
      </c>
      <c r="LH76" s="479">
        <f t="shared" si="457"/>
        <v>-187.5</v>
      </c>
      <c r="LI76" s="479">
        <f t="shared" si="457"/>
        <v>-187.5</v>
      </c>
      <c r="LJ76" s="479">
        <f t="shared" si="457"/>
        <v>-187.5</v>
      </c>
      <c r="LK76" s="479">
        <f t="shared" si="457"/>
        <v>-187.5</v>
      </c>
      <c r="LL76" s="479">
        <f t="shared" si="457"/>
        <v>-187.5</v>
      </c>
      <c r="LM76" s="479">
        <f t="shared" si="457"/>
        <v>-187.5</v>
      </c>
      <c r="LN76" s="479">
        <f t="shared" si="457"/>
        <v>-187.5</v>
      </c>
      <c r="LO76" s="479">
        <f t="shared" si="457"/>
        <v>-187.5</v>
      </c>
      <c r="LP76" s="479">
        <f t="shared" si="457"/>
        <v>-187.5</v>
      </c>
      <c r="LQ76" s="479">
        <f t="shared" si="457"/>
        <v>-187.5</v>
      </c>
      <c r="LR76" s="479">
        <f t="shared" si="457"/>
        <v>-187.5</v>
      </c>
      <c r="LS76" s="479">
        <f t="shared" si="458"/>
        <v>-187.5</v>
      </c>
      <c r="LT76" s="479">
        <f t="shared" si="458"/>
        <v>-187.5</v>
      </c>
      <c r="LU76" s="479">
        <f t="shared" si="458"/>
        <v>-187.5</v>
      </c>
      <c r="LV76" s="479">
        <f t="shared" si="458"/>
        <v>-187.5</v>
      </c>
      <c r="LW76" s="479">
        <f t="shared" si="458"/>
        <v>-187.5</v>
      </c>
      <c r="LX76" s="479">
        <f t="shared" si="458"/>
        <v>-187.5</v>
      </c>
      <c r="LY76" s="479">
        <f t="shared" si="458"/>
        <v>-187.5</v>
      </c>
      <c r="LZ76" s="479">
        <f t="shared" si="458"/>
        <v>-187.5</v>
      </c>
      <c r="MA76" s="479">
        <f t="shared" si="458"/>
        <v>-187.5</v>
      </c>
      <c r="MB76" s="479">
        <f t="shared" si="458"/>
        <v>-187.5</v>
      </c>
      <c r="MC76" s="479">
        <f t="shared" si="458"/>
        <v>-187.5</v>
      </c>
      <c r="MD76" s="479">
        <f t="shared" si="458"/>
        <v>-187.5</v>
      </c>
      <c r="ME76" s="479">
        <f t="shared" si="458"/>
        <v>-187.5</v>
      </c>
      <c r="MF76" s="479">
        <f t="shared" si="458"/>
        <v>-187.5</v>
      </c>
      <c r="MG76" s="479">
        <f t="shared" si="458"/>
        <v>-187.5</v>
      </c>
      <c r="MH76" s="479">
        <f t="shared" si="458"/>
        <v>-187.5</v>
      </c>
      <c r="MI76" s="479">
        <f t="shared" si="458"/>
        <v>-187.5</v>
      </c>
      <c r="MJ76" s="479">
        <f t="shared" si="458"/>
        <v>-187.5</v>
      </c>
      <c r="MK76" s="479">
        <f t="shared" si="458"/>
        <v>-187.5</v>
      </c>
      <c r="ML76" s="479">
        <f t="shared" si="458"/>
        <v>-187.5</v>
      </c>
      <c r="MM76" s="479">
        <f t="shared" si="458"/>
        <v>-187.5</v>
      </c>
      <c r="MN76" s="479">
        <f t="shared" si="458"/>
        <v>-187.5</v>
      </c>
      <c r="MO76" s="479">
        <f t="shared" si="458"/>
        <v>-187.5</v>
      </c>
      <c r="MP76" s="479">
        <f t="shared" si="458"/>
        <v>-187.5</v>
      </c>
      <c r="MQ76" s="479">
        <f t="shared" si="458"/>
        <v>-187.5</v>
      </c>
      <c r="MR76" s="479">
        <f t="shared" si="458"/>
        <v>-187.5</v>
      </c>
      <c r="MS76" s="479">
        <f t="shared" si="458"/>
        <v>-187.5</v>
      </c>
      <c r="MT76" s="479">
        <f t="shared" si="458"/>
        <v>-187.5</v>
      </c>
      <c r="MU76" s="479">
        <f t="shared" si="458"/>
        <v>-187.5</v>
      </c>
      <c r="MV76" s="479">
        <f t="shared" si="458"/>
        <v>-187.5</v>
      </c>
      <c r="MW76" s="479">
        <f t="shared" si="458"/>
        <v>-187.5</v>
      </c>
      <c r="MX76" s="479">
        <f t="shared" si="458"/>
        <v>-187.5</v>
      </c>
      <c r="MY76" s="479">
        <f t="shared" si="458"/>
        <v>-187.5</v>
      </c>
      <c r="MZ76" s="479">
        <f t="shared" si="458"/>
        <v>-187.5</v>
      </c>
      <c r="NA76" s="479">
        <f t="shared" si="458"/>
        <v>-187.5</v>
      </c>
      <c r="NB76" s="479">
        <f t="shared" si="458"/>
        <v>-187.5</v>
      </c>
      <c r="NC76" s="479">
        <f t="shared" si="458"/>
        <v>-187.5</v>
      </c>
      <c r="ND76" s="479">
        <f t="shared" si="458"/>
        <v>-187.5</v>
      </c>
      <c r="NE76" s="479">
        <f t="shared" si="458"/>
        <v>-187.5</v>
      </c>
      <c r="NF76" s="479">
        <f t="shared" si="458"/>
        <v>-187.5</v>
      </c>
      <c r="NG76" s="479">
        <f t="shared" si="458"/>
        <v>-187.5</v>
      </c>
      <c r="NH76" s="479">
        <f t="shared" si="458"/>
        <v>-187.5</v>
      </c>
      <c r="NI76" s="479">
        <f t="shared" si="458"/>
        <v>-187.5</v>
      </c>
      <c r="NJ76" s="479">
        <f t="shared" si="458"/>
        <v>-187.5</v>
      </c>
      <c r="NK76" s="479">
        <f t="shared" si="458"/>
        <v>-187.5</v>
      </c>
      <c r="NL76" s="479">
        <f t="shared" si="458"/>
        <v>-187.5</v>
      </c>
      <c r="NM76" s="479">
        <f t="shared" si="458"/>
        <v>-187.5</v>
      </c>
      <c r="NN76" s="479">
        <f t="shared" si="458"/>
        <v>-187.5</v>
      </c>
      <c r="NO76" s="479">
        <f t="shared" si="458"/>
        <v>-187.5</v>
      </c>
      <c r="NP76" s="479">
        <f t="shared" si="458"/>
        <v>-187.5</v>
      </c>
      <c r="NQ76" s="479">
        <f t="shared" si="458"/>
        <v>-187.5</v>
      </c>
      <c r="NR76" s="479">
        <f t="shared" si="458"/>
        <v>-187.5</v>
      </c>
      <c r="NS76" s="479">
        <f t="shared" si="458"/>
        <v>-187.5</v>
      </c>
      <c r="NT76" s="479">
        <f t="shared" si="458"/>
        <v>-187.5</v>
      </c>
      <c r="NU76" s="479">
        <f t="shared" si="458"/>
        <v>-187.5</v>
      </c>
      <c r="NV76" s="479">
        <f t="shared" si="458"/>
        <v>-187.5</v>
      </c>
      <c r="NW76" s="479">
        <f t="shared" si="458"/>
        <v>-187.5</v>
      </c>
      <c r="NX76" s="479">
        <f t="shared" si="458"/>
        <v>-187.5</v>
      </c>
      <c r="NY76" s="479">
        <f t="shared" si="458"/>
        <v>-187.5</v>
      </c>
      <c r="NZ76" s="479">
        <f t="shared" si="458"/>
        <v>-187.5</v>
      </c>
      <c r="OA76" s="479">
        <f t="shared" si="458"/>
        <v>-187.5</v>
      </c>
      <c r="OB76" s="479">
        <f t="shared" si="458"/>
        <v>-187.5</v>
      </c>
      <c r="OC76" s="479">
        <f t="shared" si="458"/>
        <v>-187.5</v>
      </c>
      <c r="OD76" s="479">
        <f t="shared" si="458"/>
        <v>-187.5</v>
      </c>
      <c r="OE76" s="479">
        <f t="shared" si="459"/>
        <v>-187.5</v>
      </c>
      <c r="OF76" s="479">
        <f t="shared" si="459"/>
        <v>-187.5</v>
      </c>
      <c r="OG76" s="479">
        <f t="shared" si="459"/>
        <v>-187.5</v>
      </c>
      <c r="OH76" s="479">
        <f t="shared" si="459"/>
        <v>-187.5</v>
      </c>
      <c r="OI76" s="479">
        <f t="shared" si="459"/>
        <v>-187.5</v>
      </c>
      <c r="OJ76" s="479">
        <f t="shared" si="459"/>
        <v>-187.5</v>
      </c>
      <c r="OK76" s="479">
        <f t="shared" si="459"/>
        <v>-187.5</v>
      </c>
      <c r="OL76" s="479">
        <f t="shared" si="459"/>
        <v>-187.5</v>
      </c>
      <c r="OM76" s="479">
        <f t="shared" si="459"/>
        <v>-187.5</v>
      </c>
      <c r="ON76" s="479">
        <f t="shared" si="459"/>
        <v>-187.5</v>
      </c>
      <c r="OO76" s="479">
        <f t="shared" si="459"/>
        <v>-187.5</v>
      </c>
    </row>
    <row r="77" spans="2:405">
      <c r="B77" s="7" t="s">
        <v>68</v>
      </c>
      <c r="D77" s="537">
        <f>Mortgage!D15</f>
        <v>0</v>
      </c>
      <c r="E77" s="507">
        <f>Assumptions!$C$13</f>
        <v>47330</v>
      </c>
      <c r="F77" s="507">
        <f>EOMONTH(E77,Assumptions!$C$14-1)</f>
        <v>58256</v>
      </c>
      <c r="G77" s="97">
        <f t="shared" si="452"/>
        <v>360</v>
      </c>
      <c r="H77" s="97"/>
      <c r="J77" s="479">
        <f t="shared" si="460"/>
        <v>0</v>
      </c>
      <c r="K77" s="479">
        <f t="shared" si="453"/>
        <v>0</v>
      </c>
      <c r="L77" s="479">
        <f t="shared" si="453"/>
        <v>0</v>
      </c>
      <c r="M77" s="479">
        <f t="shared" si="453"/>
        <v>0</v>
      </c>
      <c r="N77" s="479">
        <f t="shared" si="453"/>
        <v>0</v>
      </c>
      <c r="O77" s="479">
        <f t="shared" si="453"/>
        <v>0</v>
      </c>
      <c r="P77" s="479">
        <f t="shared" si="453"/>
        <v>0</v>
      </c>
      <c r="Q77" s="479">
        <f t="shared" si="453"/>
        <v>0</v>
      </c>
      <c r="R77" s="479">
        <f t="shared" si="453"/>
        <v>0</v>
      </c>
      <c r="S77" s="479">
        <f t="shared" si="453"/>
        <v>0</v>
      </c>
      <c r="T77" s="479">
        <f t="shared" si="453"/>
        <v>0</v>
      </c>
      <c r="U77" s="479">
        <f t="shared" si="453"/>
        <v>0</v>
      </c>
      <c r="V77" s="479">
        <f t="shared" si="453"/>
        <v>0</v>
      </c>
      <c r="W77" s="479">
        <f t="shared" si="453"/>
        <v>0</v>
      </c>
      <c r="X77" s="479">
        <f t="shared" si="453"/>
        <v>0</v>
      </c>
      <c r="Y77" s="479">
        <f t="shared" si="453"/>
        <v>0</v>
      </c>
      <c r="Z77" s="479">
        <f t="shared" si="453"/>
        <v>0</v>
      </c>
      <c r="AA77" s="479">
        <f t="shared" si="453"/>
        <v>0</v>
      </c>
      <c r="AB77" s="479">
        <f t="shared" si="453"/>
        <v>0</v>
      </c>
      <c r="AC77" s="479">
        <f t="shared" si="453"/>
        <v>0</v>
      </c>
      <c r="AD77" s="479">
        <f t="shared" si="453"/>
        <v>0</v>
      </c>
      <c r="AE77" s="479">
        <f t="shared" si="453"/>
        <v>0</v>
      </c>
      <c r="AF77" s="479">
        <f t="shared" si="453"/>
        <v>0</v>
      </c>
      <c r="AG77" s="479">
        <f t="shared" si="453"/>
        <v>0</v>
      </c>
      <c r="AH77" s="479">
        <f t="shared" si="453"/>
        <v>0</v>
      </c>
      <c r="AI77" s="479">
        <f t="shared" si="453"/>
        <v>0</v>
      </c>
      <c r="AJ77" s="479">
        <f t="shared" si="453"/>
        <v>0</v>
      </c>
      <c r="AK77" s="479">
        <f t="shared" si="453"/>
        <v>0</v>
      </c>
      <c r="AL77" s="479">
        <f t="shared" si="453"/>
        <v>0</v>
      </c>
      <c r="AM77" s="479">
        <f t="shared" si="453"/>
        <v>0</v>
      </c>
      <c r="AN77" s="479">
        <f t="shared" si="453"/>
        <v>0</v>
      </c>
      <c r="AO77" s="479">
        <f t="shared" si="453"/>
        <v>0</v>
      </c>
      <c r="AP77" s="479">
        <f t="shared" si="453"/>
        <v>0</v>
      </c>
      <c r="AQ77" s="479">
        <f t="shared" si="453"/>
        <v>0</v>
      </c>
      <c r="AR77" s="479">
        <f t="shared" si="453"/>
        <v>0</v>
      </c>
      <c r="AS77" s="479">
        <f t="shared" si="453"/>
        <v>0</v>
      </c>
      <c r="AT77" s="479">
        <f t="shared" si="453"/>
        <v>0</v>
      </c>
      <c r="AU77" s="479">
        <f t="shared" si="453"/>
        <v>0</v>
      </c>
      <c r="AV77" s="479">
        <f t="shared" si="453"/>
        <v>0</v>
      </c>
      <c r="AW77" s="479">
        <f t="shared" si="453"/>
        <v>0</v>
      </c>
      <c r="AX77" s="479">
        <f t="shared" si="453"/>
        <v>0</v>
      </c>
      <c r="AY77" s="479">
        <f t="shared" si="453"/>
        <v>0</v>
      </c>
      <c r="AZ77" s="479">
        <f t="shared" si="453"/>
        <v>0</v>
      </c>
      <c r="BA77" s="479">
        <f t="shared" si="453"/>
        <v>0</v>
      </c>
      <c r="BB77" s="479">
        <f t="shared" si="453"/>
        <v>0</v>
      </c>
      <c r="BC77" s="479">
        <f t="shared" si="453"/>
        <v>0</v>
      </c>
      <c r="BD77" s="479">
        <f t="shared" si="453"/>
        <v>0</v>
      </c>
      <c r="BE77" s="479">
        <f t="shared" si="453"/>
        <v>0</v>
      </c>
      <c r="BF77" s="479">
        <f t="shared" si="453"/>
        <v>0</v>
      </c>
      <c r="BG77" s="479">
        <f t="shared" si="453"/>
        <v>0</v>
      </c>
      <c r="BH77" s="479">
        <f t="shared" si="453"/>
        <v>0</v>
      </c>
      <c r="BI77" s="479">
        <f t="shared" si="453"/>
        <v>0</v>
      </c>
      <c r="BJ77" s="479">
        <f t="shared" si="453"/>
        <v>0</v>
      </c>
      <c r="BK77" s="479">
        <f t="shared" si="453"/>
        <v>0</v>
      </c>
      <c r="BL77" s="479">
        <f t="shared" si="453"/>
        <v>0</v>
      </c>
      <c r="BM77" s="479">
        <f t="shared" si="453"/>
        <v>0</v>
      </c>
      <c r="BN77" s="479">
        <f t="shared" si="453"/>
        <v>0</v>
      </c>
      <c r="BO77" s="479">
        <f t="shared" si="453"/>
        <v>0</v>
      </c>
      <c r="BP77" s="479">
        <f t="shared" si="453"/>
        <v>0</v>
      </c>
      <c r="BQ77" s="479">
        <f t="shared" si="453"/>
        <v>0</v>
      </c>
      <c r="BR77" s="479">
        <f t="shared" si="453"/>
        <v>0</v>
      </c>
      <c r="BS77" s="479">
        <f t="shared" si="453"/>
        <v>0</v>
      </c>
      <c r="BT77" s="479">
        <f t="shared" si="453"/>
        <v>0</v>
      </c>
      <c r="BU77" s="479">
        <f t="shared" si="453"/>
        <v>0</v>
      </c>
      <c r="BV77" s="479">
        <f t="shared" si="453"/>
        <v>0</v>
      </c>
      <c r="BW77" s="479">
        <f t="shared" si="454"/>
        <v>0</v>
      </c>
      <c r="BX77" s="479">
        <f t="shared" si="454"/>
        <v>0</v>
      </c>
      <c r="BY77" s="479">
        <f t="shared" si="454"/>
        <v>0</v>
      </c>
      <c r="BZ77" s="479">
        <f t="shared" si="454"/>
        <v>0</v>
      </c>
      <c r="CA77" s="479">
        <f t="shared" si="454"/>
        <v>0</v>
      </c>
      <c r="CB77" s="479">
        <f t="shared" si="454"/>
        <v>0</v>
      </c>
      <c r="CC77" s="479">
        <f t="shared" si="454"/>
        <v>0</v>
      </c>
      <c r="CD77" s="479">
        <f t="shared" si="454"/>
        <v>0</v>
      </c>
      <c r="CE77" s="479">
        <f t="shared" si="454"/>
        <v>0</v>
      </c>
      <c r="CF77" s="479">
        <f t="shared" si="454"/>
        <v>0</v>
      </c>
      <c r="CG77" s="479">
        <f t="shared" si="454"/>
        <v>0</v>
      </c>
      <c r="CH77" s="479">
        <f t="shared" si="454"/>
        <v>0</v>
      </c>
      <c r="CI77" s="479">
        <f t="shared" si="454"/>
        <v>0</v>
      </c>
      <c r="CJ77" s="479">
        <f t="shared" si="454"/>
        <v>0</v>
      </c>
      <c r="CK77" s="479">
        <f t="shared" si="454"/>
        <v>0</v>
      </c>
      <c r="CL77" s="479">
        <f t="shared" si="454"/>
        <v>0</v>
      </c>
      <c r="CM77" s="479">
        <f t="shared" si="454"/>
        <v>0</v>
      </c>
      <c r="CN77" s="479">
        <f t="shared" si="454"/>
        <v>0</v>
      </c>
      <c r="CO77" s="479">
        <f t="shared" si="454"/>
        <v>0</v>
      </c>
      <c r="CP77" s="479">
        <f t="shared" si="454"/>
        <v>0</v>
      </c>
      <c r="CQ77" s="479">
        <f t="shared" si="454"/>
        <v>0</v>
      </c>
      <c r="CR77" s="479">
        <f t="shared" si="454"/>
        <v>0</v>
      </c>
      <c r="CS77" s="479">
        <f t="shared" si="454"/>
        <v>0</v>
      </c>
      <c r="CT77" s="479">
        <f t="shared" si="454"/>
        <v>0</v>
      </c>
      <c r="CU77" s="479">
        <f t="shared" si="454"/>
        <v>0</v>
      </c>
      <c r="CV77" s="479">
        <f t="shared" si="454"/>
        <v>0</v>
      </c>
      <c r="CW77" s="479">
        <f t="shared" si="454"/>
        <v>0</v>
      </c>
      <c r="CX77" s="479">
        <f t="shared" si="454"/>
        <v>0</v>
      </c>
      <c r="CY77" s="479">
        <f t="shared" si="454"/>
        <v>0</v>
      </c>
      <c r="CZ77" s="479">
        <f t="shared" si="454"/>
        <v>0</v>
      </c>
      <c r="DA77" s="479">
        <f t="shared" si="454"/>
        <v>0</v>
      </c>
      <c r="DB77" s="479">
        <f t="shared" si="454"/>
        <v>0</v>
      </c>
      <c r="DC77" s="479">
        <f t="shared" si="454"/>
        <v>0</v>
      </c>
      <c r="DD77" s="479">
        <f t="shared" si="454"/>
        <v>0</v>
      </c>
      <c r="DE77" s="479">
        <f t="shared" si="454"/>
        <v>0</v>
      </c>
      <c r="DF77" s="479">
        <f t="shared" si="454"/>
        <v>0</v>
      </c>
      <c r="DG77" s="479">
        <f t="shared" si="454"/>
        <v>0</v>
      </c>
      <c r="DH77" s="479">
        <f t="shared" si="454"/>
        <v>0</v>
      </c>
      <c r="DI77" s="479">
        <f t="shared" si="454"/>
        <v>0</v>
      </c>
      <c r="DJ77" s="479">
        <f t="shared" si="454"/>
        <v>0</v>
      </c>
      <c r="DK77" s="479">
        <f t="shared" si="454"/>
        <v>0</v>
      </c>
      <c r="DL77" s="479">
        <f t="shared" si="454"/>
        <v>0</v>
      </c>
      <c r="DM77" s="479">
        <f t="shared" si="454"/>
        <v>0</v>
      </c>
      <c r="DN77" s="479">
        <f t="shared" si="454"/>
        <v>0</v>
      </c>
      <c r="DO77" s="479">
        <f t="shared" si="454"/>
        <v>0</v>
      </c>
      <c r="DP77" s="479">
        <f t="shared" si="454"/>
        <v>0</v>
      </c>
      <c r="DQ77" s="479">
        <f t="shared" si="454"/>
        <v>0</v>
      </c>
      <c r="DR77" s="479">
        <f t="shared" si="454"/>
        <v>0</v>
      </c>
      <c r="DS77" s="479">
        <f t="shared" si="454"/>
        <v>0</v>
      </c>
      <c r="DT77" s="479">
        <f t="shared" si="454"/>
        <v>0</v>
      </c>
      <c r="DU77" s="479">
        <f t="shared" si="454"/>
        <v>0</v>
      </c>
      <c r="DV77" s="479">
        <f t="shared" si="454"/>
        <v>0</v>
      </c>
      <c r="DW77" s="479">
        <f t="shared" si="454"/>
        <v>0</v>
      </c>
      <c r="DX77" s="479">
        <f t="shared" si="454"/>
        <v>0</v>
      </c>
      <c r="DY77" s="479">
        <f t="shared" si="454"/>
        <v>0</v>
      </c>
      <c r="DZ77" s="479">
        <f t="shared" si="454"/>
        <v>0</v>
      </c>
      <c r="EA77" s="479">
        <f t="shared" si="454"/>
        <v>0</v>
      </c>
      <c r="EB77" s="479">
        <f t="shared" si="454"/>
        <v>0</v>
      </c>
      <c r="EC77" s="479">
        <f t="shared" si="454"/>
        <v>0</v>
      </c>
      <c r="ED77" s="479">
        <f t="shared" si="454"/>
        <v>0</v>
      </c>
      <c r="EE77" s="479">
        <f t="shared" si="454"/>
        <v>0</v>
      </c>
      <c r="EF77" s="479">
        <f t="shared" si="454"/>
        <v>0</v>
      </c>
      <c r="EG77" s="479">
        <f t="shared" si="454"/>
        <v>0</v>
      </c>
      <c r="EH77" s="479">
        <f t="shared" si="454"/>
        <v>0</v>
      </c>
      <c r="EI77" s="479">
        <f t="shared" si="455"/>
        <v>0</v>
      </c>
      <c r="EJ77" s="479">
        <f t="shared" si="455"/>
        <v>0</v>
      </c>
      <c r="EK77" s="479">
        <f t="shared" si="455"/>
        <v>0</v>
      </c>
      <c r="EL77" s="479">
        <f t="shared" si="455"/>
        <v>0</v>
      </c>
      <c r="EM77" s="479">
        <f t="shared" si="455"/>
        <v>0</v>
      </c>
      <c r="EN77" s="479">
        <f t="shared" si="455"/>
        <v>0</v>
      </c>
      <c r="EO77" s="479">
        <f t="shared" si="455"/>
        <v>0</v>
      </c>
      <c r="EP77" s="479">
        <f t="shared" si="455"/>
        <v>0</v>
      </c>
      <c r="EQ77" s="479">
        <f t="shared" si="455"/>
        <v>0</v>
      </c>
      <c r="ER77" s="479">
        <f t="shared" si="455"/>
        <v>0</v>
      </c>
      <c r="ES77" s="479">
        <f t="shared" si="455"/>
        <v>0</v>
      </c>
      <c r="ET77" s="479">
        <f t="shared" si="455"/>
        <v>0</v>
      </c>
      <c r="EU77" s="479">
        <f t="shared" si="455"/>
        <v>0</v>
      </c>
      <c r="EV77" s="479">
        <f t="shared" si="455"/>
        <v>0</v>
      </c>
      <c r="EW77" s="479">
        <f t="shared" si="455"/>
        <v>0</v>
      </c>
      <c r="EX77" s="479">
        <f t="shared" si="455"/>
        <v>0</v>
      </c>
      <c r="EY77" s="479">
        <f t="shared" si="455"/>
        <v>0</v>
      </c>
      <c r="EZ77" s="479">
        <f t="shared" si="455"/>
        <v>0</v>
      </c>
      <c r="FA77" s="479">
        <f t="shared" si="455"/>
        <v>0</v>
      </c>
      <c r="FB77" s="479">
        <f t="shared" si="455"/>
        <v>0</v>
      </c>
      <c r="FC77" s="479">
        <f t="shared" si="455"/>
        <v>0</v>
      </c>
      <c r="FD77" s="479">
        <f t="shared" si="455"/>
        <v>0</v>
      </c>
      <c r="FE77" s="479">
        <f t="shared" si="455"/>
        <v>0</v>
      </c>
      <c r="FF77" s="479">
        <f t="shared" si="455"/>
        <v>0</v>
      </c>
      <c r="FG77" s="479">
        <f t="shared" si="455"/>
        <v>0</v>
      </c>
      <c r="FH77" s="479">
        <f t="shared" si="455"/>
        <v>0</v>
      </c>
      <c r="FI77" s="479">
        <f t="shared" si="455"/>
        <v>0</v>
      </c>
      <c r="FJ77" s="479">
        <f t="shared" si="455"/>
        <v>0</v>
      </c>
      <c r="FK77" s="479">
        <f t="shared" si="455"/>
        <v>0</v>
      </c>
      <c r="FL77" s="479">
        <f t="shared" si="455"/>
        <v>0</v>
      </c>
      <c r="FM77" s="479">
        <f t="shared" si="455"/>
        <v>0</v>
      </c>
      <c r="FN77" s="479">
        <f t="shared" si="455"/>
        <v>0</v>
      </c>
      <c r="FO77" s="479">
        <f t="shared" si="455"/>
        <v>0</v>
      </c>
      <c r="FP77" s="479">
        <f t="shared" si="455"/>
        <v>0</v>
      </c>
      <c r="FQ77" s="479">
        <f t="shared" si="455"/>
        <v>0</v>
      </c>
      <c r="FR77" s="479">
        <f t="shared" si="455"/>
        <v>0</v>
      </c>
      <c r="FS77" s="479">
        <f t="shared" si="455"/>
        <v>0</v>
      </c>
      <c r="FT77" s="479">
        <f t="shared" si="455"/>
        <v>0</v>
      </c>
      <c r="FU77" s="479">
        <f t="shared" si="455"/>
        <v>0</v>
      </c>
      <c r="FV77" s="479">
        <f t="shared" si="455"/>
        <v>0</v>
      </c>
      <c r="FW77" s="479">
        <f t="shared" si="455"/>
        <v>0</v>
      </c>
      <c r="FX77" s="479">
        <f t="shared" si="455"/>
        <v>0</v>
      </c>
      <c r="FY77" s="479">
        <f t="shared" si="455"/>
        <v>0</v>
      </c>
      <c r="FZ77" s="479">
        <f t="shared" si="455"/>
        <v>0</v>
      </c>
      <c r="GA77" s="479">
        <f t="shared" si="455"/>
        <v>0</v>
      </c>
      <c r="GB77" s="479">
        <f t="shared" si="455"/>
        <v>0</v>
      </c>
      <c r="GC77" s="479">
        <f t="shared" si="455"/>
        <v>0</v>
      </c>
      <c r="GD77" s="479">
        <f t="shared" si="455"/>
        <v>0</v>
      </c>
      <c r="GE77" s="479">
        <f t="shared" si="455"/>
        <v>0</v>
      </c>
      <c r="GF77" s="479">
        <f t="shared" si="455"/>
        <v>0</v>
      </c>
      <c r="GG77" s="479">
        <f t="shared" si="455"/>
        <v>0</v>
      </c>
      <c r="GH77" s="479">
        <f t="shared" si="455"/>
        <v>0</v>
      </c>
      <c r="GI77" s="479">
        <f t="shared" si="455"/>
        <v>0</v>
      </c>
      <c r="GJ77" s="479">
        <f t="shared" si="455"/>
        <v>0</v>
      </c>
      <c r="GK77" s="479">
        <f t="shared" si="455"/>
        <v>0</v>
      </c>
      <c r="GL77" s="479">
        <f t="shared" si="455"/>
        <v>0</v>
      </c>
      <c r="GM77" s="479">
        <f t="shared" si="455"/>
        <v>0</v>
      </c>
      <c r="GN77" s="479">
        <f t="shared" si="455"/>
        <v>0</v>
      </c>
      <c r="GO77" s="479">
        <f t="shared" si="455"/>
        <v>0</v>
      </c>
      <c r="GP77" s="479">
        <f t="shared" si="455"/>
        <v>0</v>
      </c>
      <c r="GQ77" s="479">
        <f t="shared" si="455"/>
        <v>0</v>
      </c>
      <c r="GR77" s="479">
        <f t="shared" si="455"/>
        <v>0</v>
      </c>
      <c r="GS77" s="479">
        <f t="shared" si="455"/>
        <v>0</v>
      </c>
      <c r="GT77" s="479">
        <f t="shared" si="455"/>
        <v>0</v>
      </c>
      <c r="GU77" s="479">
        <f t="shared" si="456"/>
        <v>0</v>
      </c>
      <c r="GV77" s="479">
        <f t="shared" si="456"/>
        <v>0</v>
      </c>
      <c r="GW77" s="479">
        <f t="shared" si="456"/>
        <v>0</v>
      </c>
      <c r="GX77" s="479">
        <f t="shared" si="456"/>
        <v>0</v>
      </c>
      <c r="GY77" s="479">
        <f t="shared" si="456"/>
        <v>0</v>
      </c>
      <c r="GZ77" s="479">
        <f t="shared" si="456"/>
        <v>0</v>
      </c>
      <c r="HA77" s="479">
        <f t="shared" si="456"/>
        <v>0</v>
      </c>
      <c r="HB77" s="479">
        <f t="shared" si="456"/>
        <v>0</v>
      </c>
      <c r="HC77" s="479">
        <f t="shared" si="456"/>
        <v>0</v>
      </c>
      <c r="HD77" s="479">
        <f t="shared" si="456"/>
        <v>0</v>
      </c>
      <c r="HE77" s="479">
        <f t="shared" si="456"/>
        <v>0</v>
      </c>
      <c r="HF77" s="479">
        <f t="shared" si="456"/>
        <v>0</v>
      </c>
      <c r="HG77" s="479">
        <f t="shared" si="456"/>
        <v>0</v>
      </c>
      <c r="HH77" s="479">
        <f t="shared" si="456"/>
        <v>0</v>
      </c>
      <c r="HI77" s="479">
        <f t="shared" si="456"/>
        <v>0</v>
      </c>
      <c r="HJ77" s="479">
        <f t="shared" si="456"/>
        <v>0</v>
      </c>
      <c r="HK77" s="479">
        <f t="shared" si="456"/>
        <v>0</v>
      </c>
      <c r="HL77" s="479">
        <f t="shared" si="456"/>
        <v>0</v>
      </c>
      <c r="HM77" s="479">
        <f t="shared" si="456"/>
        <v>0</v>
      </c>
      <c r="HN77" s="479">
        <f t="shared" si="456"/>
        <v>0</v>
      </c>
      <c r="HO77" s="479">
        <f t="shared" si="456"/>
        <v>0</v>
      </c>
      <c r="HP77" s="479">
        <f t="shared" si="456"/>
        <v>0</v>
      </c>
      <c r="HQ77" s="479">
        <f t="shared" si="456"/>
        <v>0</v>
      </c>
      <c r="HR77" s="479">
        <f t="shared" si="456"/>
        <v>0</v>
      </c>
      <c r="HS77" s="479">
        <f t="shared" si="456"/>
        <v>0</v>
      </c>
      <c r="HT77" s="479">
        <f t="shared" si="456"/>
        <v>0</v>
      </c>
      <c r="HU77" s="479">
        <f t="shared" si="456"/>
        <v>0</v>
      </c>
      <c r="HV77" s="479">
        <f t="shared" si="456"/>
        <v>0</v>
      </c>
      <c r="HW77" s="479">
        <f t="shared" si="456"/>
        <v>0</v>
      </c>
      <c r="HX77" s="479">
        <f t="shared" si="456"/>
        <v>0</v>
      </c>
      <c r="HY77" s="479">
        <f t="shared" si="456"/>
        <v>0</v>
      </c>
      <c r="HZ77" s="479">
        <f t="shared" si="456"/>
        <v>0</v>
      </c>
      <c r="IA77" s="479">
        <f t="shared" si="456"/>
        <v>0</v>
      </c>
      <c r="IB77" s="479">
        <f t="shared" si="456"/>
        <v>0</v>
      </c>
      <c r="IC77" s="479">
        <f t="shared" si="456"/>
        <v>0</v>
      </c>
      <c r="ID77" s="479">
        <f t="shared" si="456"/>
        <v>0</v>
      </c>
      <c r="IE77" s="479">
        <f t="shared" si="456"/>
        <v>0</v>
      </c>
      <c r="IF77" s="479">
        <f t="shared" si="456"/>
        <v>0</v>
      </c>
      <c r="IG77" s="479">
        <f t="shared" si="456"/>
        <v>0</v>
      </c>
      <c r="IH77" s="479">
        <f t="shared" si="456"/>
        <v>0</v>
      </c>
      <c r="II77" s="479">
        <f t="shared" si="456"/>
        <v>0</v>
      </c>
      <c r="IJ77" s="479">
        <f t="shared" si="456"/>
        <v>0</v>
      </c>
      <c r="IK77" s="479">
        <f t="shared" si="456"/>
        <v>0</v>
      </c>
      <c r="IL77" s="479">
        <f t="shared" si="456"/>
        <v>0</v>
      </c>
      <c r="IM77" s="479">
        <f t="shared" si="456"/>
        <v>0</v>
      </c>
      <c r="IN77" s="479">
        <f t="shared" si="456"/>
        <v>0</v>
      </c>
      <c r="IO77" s="479">
        <f t="shared" si="456"/>
        <v>0</v>
      </c>
      <c r="IP77" s="479">
        <f t="shared" si="456"/>
        <v>0</v>
      </c>
      <c r="IQ77" s="479">
        <f t="shared" si="456"/>
        <v>0</v>
      </c>
      <c r="IR77" s="479">
        <f t="shared" si="456"/>
        <v>0</v>
      </c>
      <c r="IS77" s="479">
        <f t="shared" si="456"/>
        <v>0</v>
      </c>
      <c r="IT77" s="479">
        <f t="shared" si="456"/>
        <v>0</v>
      </c>
      <c r="IU77" s="479">
        <f t="shared" si="456"/>
        <v>0</v>
      </c>
      <c r="IV77" s="479">
        <f t="shared" si="456"/>
        <v>0</v>
      </c>
      <c r="IW77" s="479">
        <f t="shared" si="456"/>
        <v>0</v>
      </c>
      <c r="IX77" s="479">
        <f t="shared" si="456"/>
        <v>0</v>
      </c>
      <c r="IY77" s="479">
        <f t="shared" si="456"/>
        <v>0</v>
      </c>
      <c r="IZ77" s="479">
        <f t="shared" si="456"/>
        <v>0</v>
      </c>
      <c r="JA77" s="479">
        <f t="shared" si="456"/>
        <v>0</v>
      </c>
      <c r="JB77" s="479">
        <f t="shared" si="456"/>
        <v>0</v>
      </c>
      <c r="JC77" s="479">
        <f t="shared" si="456"/>
        <v>0</v>
      </c>
      <c r="JD77" s="479">
        <f t="shared" si="456"/>
        <v>0</v>
      </c>
      <c r="JE77" s="479">
        <f t="shared" si="456"/>
        <v>0</v>
      </c>
      <c r="JF77" s="479">
        <f t="shared" si="456"/>
        <v>0</v>
      </c>
      <c r="JG77" s="479">
        <f t="shared" si="457"/>
        <v>0</v>
      </c>
      <c r="JH77" s="479">
        <f t="shared" si="457"/>
        <v>0</v>
      </c>
      <c r="JI77" s="479">
        <f t="shared" si="457"/>
        <v>0</v>
      </c>
      <c r="JJ77" s="479">
        <f t="shared" si="457"/>
        <v>0</v>
      </c>
      <c r="JK77" s="479">
        <f t="shared" si="457"/>
        <v>0</v>
      </c>
      <c r="JL77" s="479">
        <f t="shared" si="457"/>
        <v>0</v>
      </c>
      <c r="JM77" s="479">
        <f t="shared" si="457"/>
        <v>0</v>
      </c>
      <c r="JN77" s="479">
        <f t="shared" si="457"/>
        <v>0</v>
      </c>
      <c r="JO77" s="479">
        <f t="shared" si="457"/>
        <v>0</v>
      </c>
      <c r="JP77" s="479">
        <f t="shared" si="457"/>
        <v>0</v>
      </c>
      <c r="JQ77" s="479">
        <f t="shared" si="457"/>
        <v>0</v>
      </c>
      <c r="JR77" s="479">
        <f t="shared" si="457"/>
        <v>0</v>
      </c>
      <c r="JS77" s="479">
        <f t="shared" si="457"/>
        <v>0</v>
      </c>
      <c r="JT77" s="479">
        <f t="shared" si="457"/>
        <v>0</v>
      </c>
      <c r="JU77" s="479">
        <f t="shared" si="457"/>
        <v>0</v>
      </c>
      <c r="JV77" s="479">
        <f t="shared" si="457"/>
        <v>0</v>
      </c>
      <c r="JW77" s="479">
        <f t="shared" si="457"/>
        <v>0</v>
      </c>
      <c r="JX77" s="479">
        <f t="shared" si="457"/>
        <v>0</v>
      </c>
      <c r="JY77" s="479">
        <f t="shared" si="457"/>
        <v>0</v>
      </c>
      <c r="JZ77" s="479">
        <f t="shared" si="457"/>
        <v>0</v>
      </c>
      <c r="KA77" s="479">
        <f t="shared" si="457"/>
        <v>0</v>
      </c>
      <c r="KB77" s="479">
        <f t="shared" si="457"/>
        <v>0</v>
      </c>
      <c r="KC77" s="479">
        <f t="shared" si="457"/>
        <v>0</v>
      </c>
      <c r="KD77" s="479">
        <f t="shared" si="457"/>
        <v>0</v>
      </c>
      <c r="KE77" s="479">
        <f t="shared" si="457"/>
        <v>0</v>
      </c>
      <c r="KF77" s="479">
        <f t="shared" si="457"/>
        <v>0</v>
      </c>
      <c r="KG77" s="479">
        <f t="shared" si="457"/>
        <v>0</v>
      </c>
      <c r="KH77" s="479">
        <f t="shared" si="457"/>
        <v>0</v>
      </c>
      <c r="KI77" s="479">
        <f t="shared" si="457"/>
        <v>0</v>
      </c>
      <c r="KJ77" s="479">
        <f t="shared" si="457"/>
        <v>0</v>
      </c>
      <c r="KK77" s="479">
        <f t="shared" si="457"/>
        <v>0</v>
      </c>
      <c r="KL77" s="479">
        <f t="shared" si="457"/>
        <v>0</v>
      </c>
      <c r="KM77" s="479">
        <f t="shared" si="457"/>
        <v>0</v>
      </c>
      <c r="KN77" s="479">
        <f t="shared" si="457"/>
        <v>0</v>
      </c>
      <c r="KO77" s="479">
        <f t="shared" si="457"/>
        <v>0</v>
      </c>
      <c r="KP77" s="479">
        <f t="shared" si="457"/>
        <v>0</v>
      </c>
      <c r="KQ77" s="479">
        <f t="shared" si="457"/>
        <v>0</v>
      </c>
      <c r="KR77" s="479">
        <f t="shared" si="457"/>
        <v>0</v>
      </c>
      <c r="KS77" s="479">
        <f t="shared" si="457"/>
        <v>0</v>
      </c>
      <c r="KT77" s="479">
        <f t="shared" si="457"/>
        <v>0</v>
      </c>
      <c r="KU77" s="479">
        <f t="shared" si="457"/>
        <v>0</v>
      </c>
      <c r="KV77" s="479">
        <f t="shared" si="457"/>
        <v>0</v>
      </c>
      <c r="KW77" s="479">
        <f t="shared" si="457"/>
        <v>0</v>
      </c>
      <c r="KX77" s="479">
        <f t="shared" si="457"/>
        <v>0</v>
      </c>
      <c r="KY77" s="479">
        <f t="shared" si="457"/>
        <v>0</v>
      </c>
      <c r="KZ77" s="479">
        <f t="shared" si="457"/>
        <v>0</v>
      </c>
      <c r="LA77" s="479">
        <f t="shared" si="457"/>
        <v>0</v>
      </c>
      <c r="LB77" s="479">
        <f t="shared" si="457"/>
        <v>0</v>
      </c>
      <c r="LC77" s="479">
        <f t="shared" si="457"/>
        <v>0</v>
      </c>
      <c r="LD77" s="479">
        <f t="shared" si="457"/>
        <v>0</v>
      </c>
      <c r="LE77" s="479">
        <f t="shared" si="457"/>
        <v>0</v>
      </c>
      <c r="LF77" s="479">
        <f t="shared" si="457"/>
        <v>0</v>
      </c>
      <c r="LG77" s="479">
        <f t="shared" si="457"/>
        <v>0</v>
      </c>
      <c r="LH77" s="479">
        <f t="shared" si="457"/>
        <v>0</v>
      </c>
      <c r="LI77" s="479">
        <f t="shared" si="457"/>
        <v>0</v>
      </c>
      <c r="LJ77" s="479">
        <f t="shared" si="457"/>
        <v>0</v>
      </c>
      <c r="LK77" s="479">
        <f t="shared" si="457"/>
        <v>0</v>
      </c>
      <c r="LL77" s="479">
        <f t="shared" si="457"/>
        <v>0</v>
      </c>
      <c r="LM77" s="479">
        <f t="shared" si="457"/>
        <v>0</v>
      </c>
      <c r="LN77" s="479">
        <f t="shared" si="457"/>
        <v>0</v>
      </c>
      <c r="LO77" s="479">
        <f t="shared" si="457"/>
        <v>0</v>
      </c>
      <c r="LP77" s="479">
        <f t="shared" si="457"/>
        <v>0</v>
      </c>
      <c r="LQ77" s="479">
        <f t="shared" si="457"/>
        <v>0</v>
      </c>
      <c r="LR77" s="479">
        <f t="shared" si="457"/>
        <v>0</v>
      </c>
      <c r="LS77" s="479">
        <f t="shared" si="458"/>
        <v>0</v>
      </c>
      <c r="LT77" s="479">
        <f t="shared" si="458"/>
        <v>0</v>
      </c>
      <c r="LU77" s="479">
        <f t="shared" si="458"/>
        <v>0</v>
      </c>
      <c r="LV77" s="479">
        <f t="shared" si="458"/>
        <v>0</v>
      </c>
      <c r="LW77" s="479">
        <f t="shared" si="458"/>
        <v>0</v>
      </c>
      <c r="LX77" s="479">
        <f t="shared" si="458"/>
        <v>0</v>
      </c>
      <c r="LY77" s="479">
        <f t="shared" si="458"/>
        <v>0</v>
      </c>
      <c r="LZ77" s="479">
        <f t="shared" si="458"/>
        <v>0</v>
      </c>
      <c r="MA77" s="479">
        <f t="shared" si="458"/>
        <v>0</v>
      </c>
      <c r="MB77" s="479">
        <f t="shared" si="458"/>
        <v>0</v>
      </c>
      <c r="MC77" s="479">
        <f t="shared" si="458"/>
        <v>0</v>
      </c>
      <c r="MD77" s="479">
        <f t="shared" si="458"/>
        <v>0</v>
      </c>
      <c r="ME77" s="479">
        <f t="shared" si="458"/>
        <v>0</v>
      </c>
      <c r="MF77" s="479">
        <f t="shared" si="458"/>
        <v>0</v>
      </c>
      <c r="MG77" s="479">
        <f t="shared" si="458"/>
        <v>0</v>
      </c>
      <c r="MH77" s="479">
        <f t="shared" si="458"/>
        <v>0</v>
      </c>
      <c r="MI77" s="479">
        <f t="shared" si="458"/>
        <v>0</v>
      </c>
      <c r="MJ77" s="479">
        <f t="shared" si="458"/>
        <v>0</v>
      </c>
      <c r="MK77" s="479">
        <f t="shared" si="458"/>
        <v>0</v>
      </c>
      <c r="ML77" s="479">
        <f t="shared" si="458"/>
        <v>0</v>
      </c>
      <c r="MM77" s="479">
        <f t="shared" si="458"/>
        <v>0</v>
      </c>
      <c r="MN77" s="479">
        <f t="shared" si="458"/>
        <v>0</v>
      </c>
      <c r="MO77" s="479">
        <f t="shared" si="458"/>
        <v>0</v>
      </c>
      <c r="MP77" s="479">
        <f t="shared" si="458"/>
        <v>0</v>
      </c>
      <c r="MQ77" s="479">
        <f t="shared" si="458"/>
        <v>0</v>
      </c>
      <c r="MR77" s="479">
        <f t="shared" si="458"/>
        <v>0</v>
      </c>
      <c r="MS77" s="479">
        <f t="shared" si="458"/>
        <v>0</v>
      </c>
      <c r="MT77" s="479">
        <f t="shared" si="458"/>
        <v>0</v>
      </c>
      <c r="MU77" s="479">
        <f t="shared" si="458"/>
        <v>0</v>
      </c>
      <c r="MV77" s="479">
        <f t="shared" si="458"/>
        <v>0</v>
      </c>
      <c r="MW77" s="479">
        <f t="shared" si="458"/>
        <v>0</v>
      </c>
      <c r="MX77" s="479">
        <f t="shared" si="458"/>
        <v>0</v>
      </c>
      <c r="MY77" s="479">
        <f t="shared" si="458"/>
        <v>0</v>
      </c>
      <c r="MZ77" s="479">
        <f t="shared" si="458"/>
        <v>0</v>
      </c>
      <c r="NA77" s="479">
        <f t="shared" si="458"/>
        <v>0</v>
      </c>
      <c r="NB77" s="479">
        <f t="shared" si="458"/>
        <v>0</v>
      </c>
      <c r="NC77" s="479">
        <f t="shared" si="458"/>
        <v>0</v>
      </c>
      <c r="ND77" s="479">
        <f t="shared" si="458"/>
        <v>0</v>
      </c>
      <c r="NE77" s="479">
        <f t="shared" si="458"/>
        <v>0</v>
      </c>
      <c r="NF77" s="479">
        <f t="shared" si="458"/>
        <v>0</v>
      </c>
      <c r="NG77" s="479">
        <f t="shared" si="458"/>
        <v>0</v>
      </c>
      <c r="NH77" s="479">
        <f t="shared" si="458"/>
        <v>0</v>
      </c>
      <c r="NI77" s="479">
        <f t="shared" si="458"/>
        <v>0</v>
      </c>
      <c r="NJ77" s="479">
        <f t="shared" si="458"/>
        <v>0</v>
      </c>
      <c r="NK77" s="479">
        <f t="shared" si="458"/>
        <v>0</v>
      </c>
      <c r="NL77" s="479">
        <f t="shared" si="458"/>
        <v>0</v>
      </c>
      <c r="NM77" s="479">
        <f t="shared" si="458"/>
        <v>0</v>
      </c>
      <c r="NN77" s="479">
        <f t="shared" si="458"/>
        <v>0</v>
      </c>
      <c r="NO77" s="479">
        <f t="shared" si="458"/>
        <v>0</v>
      </c>
      <c r="NP77" s="479">
        <f t="shared" si="458"/>
        <v>0</v>
      </c>
      <c r="NQ77" s="479">
        <f t="shared" si="458"/>
        <v>0</v>
      </c>
      <c r="NR77" s="479">
        <f t="shared" si="458"/>
        <v>0</v>
      </c>
      <c r="NS77" s="479">
        <f t="shared" si="458"/>
        <v>0</v>
      </c>
      <c r="NT77" s="479">
        <f t="shared" si="458"/>
        <v>0</v>
      </c>
      <c r="NU77" s="479">
        <f t="shared" si="458"/>
        <v>0</v>
      </c>
      <c r="NV77" s="479">
        <f t="shared" si="458"/>
        <v>0</v>
      </c>
      <c r="NW77" s="479">
        <f t="shared" si="458"/>
        <v>0</v>
      </c>
      <c r="NX77" s="479">
        <f t="shared" si="458"/>
        <v>0</v>
      </c>
      <c r="NY77" s="479">
        <f t="shared" si="458"/>
        <v>0</v>
      </c>
      <c r="NZ77" s="479">
        <f t="shared" si="458"/>
        <v>0</v>
      </c>
      <c r="OA77" s="479">
        <f t="shared" si="458"/>
        <v>0</v>
      </c>
      <c r="OB77" s="479">
        <f t="shared" si="458"/>
        <v>0</v>
      </c>
      <c r="OC77" s="479">
        <f t="shared" si="458"/>
        <v>0</v>
      </c>
      <c r="OD77" s="479">
        <f t="shared" si="458"/>
        <v>0</v>
      </c>
      <c r="OE77" s="479">
        <f t="shared" si="459"/>
        <v>0</v>
      </c>
      <c r="OF77" s="479">
        <f t="shared" si="459"/>
        <v>0</v>
      </c>
      <c r="OG77" s="479">
        <f t="shared" si="459"/>
        <v>0</v>
      </c>
      <c r="OH77" s="479">
        <f t="shared" si="459"/>
        <v>0</v>
      </c>
      <c r="OI77" s="479">
        <f t="shared" si="459"/>
        <v>0</v>
      </c>
      <c r="OJ77" s="479">
        <f t="shared" si="459"/>
        <v>0</v>
      </c>
      <c r="OK77" s="479">
        <f t="shared" si="459"/>
        <v>0</v>
      </c>
      <c r="OL77" s="479">
        <f t="shared" si="459"/>
        <v>0</v>
      </c>
      <c r="OM77" s="479">
        <f t="shared" si="459"/>
        <v>0</v>
      </c>
      <c r="ON77" s="479">
        <f t="shared" si="459"/>
        <v>0</v>
      </c>
      <c r="OO77" s="479">
        <f t="shared" si="459"/>
        <v>0</v>
      </c>
    </row>
    <row r="78" spans="2:405">
      <c r="B78" s="7" t="s">
        <v>69</v>
      </c>
      <c r="D78" s="537">
        <f>Mortgage!D16</f>
        <v>0</v>
      </c>
      <c r="E78" s="507">
        <f>Assumptions!$C$13</f>
        <v>47330</v>
      </c>
      <c r="F78" s="507">
        <f>EOMONTH(E78,Assumptions!$C$14-1)</f>
        <v>58256</v>
      </c>
      <c r="G78" s="97">
        <f t="shared" si="452"/>
        <v>360</v>
      </c>
      <c r="H78" s="97"/>
      <c r="J78" s="479">
        <f t="shared" si="460"/>
        <v>0</v>
      </c>
      <c r="K78" s="479">
        <f t="shared" si="453"/>
        <v>0</v>
      </c>
      <c r="L78" s="479">
        <f t="shared" si="453"/>
        <v>0</v>
      </c>
      <c r="M78" s="479">
        <f t="shared" si="453"/>
        <v>0</v>
      </c>
      <c r="N78" s="479">
        <f t="shared" si="453"/>
        <v>0</v>
      </c>
      <c r="O78" s="479">
        <f t="shared" si="453"/>
        <v>0</v>
      </c>
      <c r="P78" s="479">
        <f t="shared" si="453"/>
        <v>0</v>
      </c>
      <c r="Q78" s="479">
        <f t="shared" si="453"/>
        <v>0</v>
      </c>
      <c r="R78" s="479">
        <f t="shared" si="453"/>
        <v>0</v>
      </c>
      <c r="S78" s="479">
        <f t="shared" si="453"/>
        <v>0</v>
      </c>
      <c r="T78" s="479">
        <f t="shared" si="453"/>
        <v>0</v>
      </c>
      <c r="U78" s="479">
        <f t="shared" si="453"/>
        <v>0</v>
      </c>
      <c r="V78" s="479">
        <f t="shared" si="453"/>
        <v>0</v>
      </c>
      <c r="W78" s="479">
        <f t="shared" si="453"/>
        <v>0</v>
      </c>
      <c r="X78" s="479">
        <f t="shared" si="453"/>
        <v>0</v>
      </c>
      <c r="Y78" s="479">
        <f t="shared" si="453"/>
        <v>0</v>
      </c>
      <c r="Z78" s="479">
        <f t="shared" si="453"/>
        <v>0</v>
      </c>
      <c r="AA78" s="479">
        <f t="shared" si="453"/>
        <v>0</v>
      </c>
      <c r="AB78" s="479">
        <f t="shared" si="453"/>
        <v>0</v>
      </c>
      <c r="AC78" s="479">
        <f t="shared" si="453"/>
        <v>0</v>
      </c>
      <c r="AD78" s="479">
        <f t="shared" si="453"/>
        <v>0</v>
      </c>
      <c r="AE78" s="479">
        <f t="shared" si="453"/>
        <v>0</v>
      </c>
      <c r="AF78" s="479">
        <f t="shared" si="453"/>
        <v>0</v>
      </c>
      <c r="AG78" s="479">
        <f t="shared" si="453"/>
        <v>0</v>
      </c>
      <c r="AH78" s="479">
        <f t="shared" si="453"/>
        <v>0</v>
      </c>
      <c r="AI78" s="479">
        <f t="shared" si="453"/>
        <v>0</v>
      </c>
      <c r="AJ78" s="479">
        <f t="shared" si="453"/>
        <v>0</v>
      </c>
      <c r="AK78" s="479">
        <f t="shared" si="453"/>
        <v>0</v>
      </c>
      <c r="AL78" s="479">
        <f t="shared" si="453"/>
        <v>0</v>
      </c>
      <c r="AM78" s="479">
        <f t="shared" si="453"/>
        <v>0</v>
      </c>
      <c r="AN78" s="479">
        <f t="shared" si="453"/>
        <v>0</v>
      </c>
      <c r="AO78" s="479">
        <f t="shared" si="453"/>
        <v>0</v>
      </c>
      <c r="AP78" s="479">
        <f t="shared" si="453"/>
        <v>0</v>
      </c>
      <c r="AQ78" s="479">
        <f t="shared" si="453"/>
        <v>0</v>
      </c>
      <c r="AR78" s="479">
        <f t="shared" si="453"/>
        <v>0</v>
      </c>
      <c r="AS78" s="479">
        <f t="shared" si="453"/>
        <v>0</v>
      </c>
      <c r="AT78" s="479">
        <f t="shared" si="453"/>
        <v>0</v>
      </c>
      <c r="AU78" s="479">
        <f t="shared" si="453"/>
        <v>0</v>
      </c>
      <c r="AV78" s="479">
        <f t="shared" si="453"/>
        <v>0</v>
      </c>
      <c r="AW78" s="479">
        <f t="shared" si="453"/>
        <v>0</v>
      </c>
      <c r="AX78" s="479">
        <f t="shared" si="453"/>
        <v>0</v>
      </c>
      <c r="AY78" s="479">
        <f t="shared" si="453"/>
        <v>0</v>
      </c>
      <c r="AZ78" s="479">
        <f t="shared" si="453"/>
        <v>0</v>
      </c>
      <c r="BA78" s="479">
        <f t="shared" si="453"/>
        <v>0</v>
      </c>
      <c r="BB78" s="479">
        <f t="shared" si="453"/>
        <v>0</v>
      </c>
      <c r="BC78" s="479">
        <f t="shared" si="453"/>
        <v>0</v>
      </c>
      <c r="BD78" s="479">
        <f t="shared" si="453"/>
        <v>0</v>
      </c>
      <c r="BE78" s="479">
        <f t="shared" si="453"/>
        <v>0</v>
      </c>
      <c r="BF78" s="479">
        <f t="shared" si="453"/>
        <v>0</v>
      </c>
      <c r="BG78" s="479">
        <f t="shared" si="453"/>
        <v>0</v>
      </c>
      <c r="BH78" s="479">
        <f t="shared" si="453"/>
        <v>0</v>
      </c>
      <c r="BI78" s="479">
        <f t="shared" si="453"/>
        <v>0</v>
      </c>
      <c r="BJ78" s="479">
        <f t="shared" si="453"/>
        <v>0</v>
      </c>
      <c r="BK78" s="479">
        <f t="shared" si="453"/>
        <v>0</v>
      </c>
      <c r="BL78" s="479">
        <f t="shared" si="453"/>
        <v>0</v>
      </c>
      <c r="BM78" s="479">
        <f t="shared" si="453"/>
        <v>0</v>
      </c>
      <c r="BN78" s="479">
        <f t="shared" si="453"/>
        <v>0</v>
      </c>
      <c r="BO78" s="479">
        <f t="shared" si="453"/>
        <v>0</v>
      </c>
      <c r="BP78" s="479">
        <f t="shared" si="453"/>
        <v>0</v>
      </c>
      <c r="BQ78" s="479">
        <f t="shared" si="453"/>
        <v>0</v>
      </c>
      <c r="BR78" s="479">
        <f t="shared" si="453"/>
        <v>0</v>
      </c>
      <c r="BS78" s="479">
        <f t="shared" si="453"/>
        <v>0</v>
      </c>
      <c r="BT78" s="479">
        <f t="shared" si="453"/>
        <v>0</v>
      </c>
      <c r="BU78" s="479">
        <f t="shared" si="453"/>
        <v>0</v>
      </c>
      <c r="BV78" s="479">
        <f t="shared" ref="K78:BV79" si="461">IF(BV$7&gt;=$E78,IF(BV$7&lt;=$F78,($D78/12),0),0)</f>
        <v>0</v>
      </c>
      <c r="BW78" s="479">
        <f t="shared" si="454"/>
        <v>0</v>
      </c>
      <c r="BX78" s="479">
        <f t="shared" si="454"/>
        <v>0</v>
      </c>
      <c r="BY78" s="479">
        <f t="shared" si="454"/>
        <v>0</v>
      </c>
      <c r="BZ78" s="479">
        <f t="shared" si="454"/>
        <v>0</v>
      </c>
      <c r="CA78" s="479">
        <f t="shared" si="454"/>
        <v>0</v>
      </c>
      <c r="CB78" s="479">
        <f t="shared" si="454"/>
        <v>0</v>
      </c>
      <c r="CC78" s="479">
        <f t="shared" si="454"/>
        <v>0</v>
      </c>
      <c r="CD78" s="479">
        <f t="shared" si="454"/>
        <v>0</v>
      </c>
      <c r="CE78" s="479">
        <f t="shared" si="454"/>
        <v>0</v>
      </c>
      <c r="CF78" s="479">
        <f t="shared" si="454"/>
        <v>0</v>
      </c>
      <c r="CG78" s="479">
        <f t="shared" si="454"/>
        <v>0</v>
      </c>
      <c r="CH78" s="479">
        <f t="shared" si="454"/>
        <v>0</v>
      </c>
      <c r="CI78" s="479">
        <f t="shared" si="454"/>
        <v>0</v>
      </c>
      <c r="CJ78" s="479">
        <f t="shared" si="454"/>
        <v>0</v>
      </c>
      <c r="CK78" s="479">
        <f t="shared" si="454"/>
        <v>0</v>
      </c>
      <c r="CL78" s="479">
        <f t="shared" si="454"/>
        <v>0</v>
      </c>
      <c r="CM78" s="479">
        <f t="shared" si="454"/>
        <v>0</v>
      </c>
      <c r="CN78" s="479">
        <f t="shared" si="454"/>
        <v>0</v>
      </c>
      <c r="CO78" s="479">
        <f t="shared" si="454"/>
        <v>0</v>
      </c>
      <c r="CP78" s="479">
        <f t="shared" si="454"/>
        <v>0</v>
      </c>
      <c r="CQ78" s="479">
        <f t="shared" si="454"/>
        <v>0</v>
      </c>
      <c r="CR78" s="479">
        <f t="shared" si="454"/>
        <v>0</v>
      </c>
      <c r="CS78" s="479">
        <f t="shared" si="454"/>
        <v>0</v>
      </c>
      <c r="CT78" s="479">
        <f t="shared" si="454"/>
        <v>0</v>
      </c>
      <c r="CU78" s="479">
        <f t="shared" si="454"/>
        <v>0</v>
      </c>
      <c r="CV78" s="479">
        <f t="shared" si="454"/>
        <v>0</v>
      </c>
      <c r="CW78" s="479">
        <f t="shared" si="454"/>
        <v>0</v>
      </c>
      <c r="CX78" s="479">
        <f t="shared" si="454"/>
        <v>0</v>
      </c>
      <c r="CY78" s="479">
        <f t="shared" si="454"/>
        <v>0</v>
      </c>
      <c r="CZ78" s="479">
        <f t="shared" si="454"/>
        <v>0</v>
      </c>
      <c r="DA78" s="479">
        <f t="shared" si="454"/>
        <v>0</v>
      </c>
      <c r="DB78" s="479">
        <f t="shared" si="454"/>
        <v>0</v>
      </c>
      <c r="DC78" s="479">
        <f t="shared" si="454"/>
        <v>0</v>
      </c>
      <c r="DD78" s="479">
        <f t="shared" si="454"/>
        <v>0</v>
      </c>
      <c r="DE78" s="479">
        <f t="shared" si="454"/>
        <v>0</v>
      </c>
      <c r="DF78" s="479">
        <f t="shared" si="454"/>
        <v>0</v>
      </c>
      <c r="DG78" s="479">
        <f t="shared" si="454"/>
        <v>0</v>
      </c>
      <c r="DH78" s="479">
        <f t="shared" si="454"/>
        <v>0</v>
      </c>
      <c r="DI78" s="479">
        <f t="shared" si="454"/>
        <v>0</v>
      </c>
      <c r="DJ78" s="479">
        <f t="shared" si="454"/>
        <v>0</v>
      </c>
      <c r="DK78" s="479">
        <f t="shared" si="454"/>
        <v>0</v>
      </c>
      <c r="DL78" s="479">
        <f t="shared" si="454"/>
        <v>0</v>
      </c>
      <c r="DM78" s="479">
        <f t="shared" si="454"/>
        <v>0</v>
      </c>
      <c r="DN78" s="479">
        <f t="shared" si="454"/>
        <v>0</v>
      </c>
      <c r="DO78" s="479">
        <f t="shared" si="454"/>
        <v>0</v>
      </c>
      <c r="DP78" s="479">
        <f t="shared" si="454"/>
        <v>0</v>
      </c>
      <c r="DQ78" s="479">
        <f t="shared" si="454"/>
        <v>0</v>
      </c>
      <c r="DR78" s="479">
        <f t="shared" si="454"/>
        <v>0</v>
      </c>
      <c r="DS78" s="479">
        <f t="shared" si="454"/>
        <v>0</v>
      </c>
      <c r="DT78" s="479">
        <f t="shared" si="454"/>
        <v>0</v>
      </c>
      <c r="DU78" s="479">
        <f t="shared" si="454"/>
        <v>0</v>
      </c>
      <c r="DV78" s="479">
        <f t="shared" si="454"/>
        <v>0</v>
      </c>
      <c r="DW78" s="479">
        <f t="shared" si="454"/>
        <v>0</v>
      </c>
      <c r="DX78" s="479">
        <f t="shared" si="454"/>
        <v>0</v>
      </c>
      <c r="DY78" s="479">
        <f t="shared" si="454"/>
        <v>0</v>
      </c>
      <c r="DZ78" s="479">
        <f t="shared" si="454"/>
        <v>0</v>
      </c>
      <c r="EA78" s="479">
        <f t="shared" si="454"/>
        <v>0</v>
      </c>
      <c r="EB78" s="479">
        <f t="shared" si="454"/>
        <v>0</v>
      </c>
      <c r="EC78" s="479">
        <f t="shared" si="454"/>
        <v>0</v>
      </c>
      <c r="ED78" s="479">
        <f t="shared" si="454"/>
        <v>0</v>
      </c>
      <c r="EE78" s="479">
        <f t="shared" si="454"/>
        <v>0</v>
      </c>
      <c r="EF78" s="479">
        <f t="shared" si="454"/>
        <v>0</v>
      </c>
      <c r="EG78" s="479">
        <f t="shared" si="454"/>
        <v>0</v>
      </c>
      <c r="EH78" s="479">
        <f t="shared" ref="BW78:EH79" si="462">IF(EH$7&gt;=$E78,IF(EH$7&lt;=$F78,($D78/12),0),0)</f>
        <v>0</v>
      </c>
      <c r="EI78" s="479">
        <f t="shared" si="455"/>
        <v>0</v>
      </c>
      <c r="EJ78" s="479">
        <f t="shared" si="455"/>
        <v>0</v>
      </c>
      <c r="EK78" s="479">
        <f t="shared" si="455"/>
        <v>0</v>
      </c>
      <c r="EL78" s="479">
        <f t="shared" si="455"/>
        <v>0</v>
      </c>
      <c r="EM78" s="479">
        <f t="shared" si="455"/>
        <v>0</v>
      </c>
      <c r="EN78" s="479">
        <f t="shared" si="455"/>
        <v>0</v>
      </c>
      <c r="EO78" s="479">
        <f t="shared" si="455"/>
        <v>0</v>
      </c>
      <c r="EP78" s="479">
        <f t="shared" si="455"/>
        <v>0</v>
      </c>
      <c r="EQ78" s="479">
        <f t="shared" si="455"/>
        <v>0</v>
      </c>
      <c r="ER78" s="479">
        <f t="shared" si="455"/>
        <v>0</v>
      </c>
      <c r="ES78" s="479">
        <f t="shared" si="455"/>
        <v>0</v>
      </c>
      <c r="ET78" s="479">
        <f t="shared" si="455"/>
        <v>0</v>
      </c>
      <c r="EU78" s="479">
        <f t="shared" si="455"/>
        <v>0</v>
      </c>
      <c r="EV78" s="479">
        <f t="shared" si="455"/>
        <v>0</v>
      </c>
      <c r="EW78" s="479">
        <f t="shared" si="455"/>
        <v>0</v>
      </c>
      <c r="EX78" s="479">
        <f t="shared" si="455"/>
        <v>0</v>
      </c>
      <c r="EY78" s="479">
        <f t="shared" si="455"/>
        <v>0</v>
      </c>
      <c r="EZ78" s="479">
        <f t="shared" si="455"/>
        <v>0</v>
      </c>
      <c r="FA78" s="479">
        <f t="shared" si="455"/>
        <v>0</v>
      </c>
      <c r="FB78" s="479">
        <f t="shared" si="455"/>
        <v>0</v>
      </c>
      <c r="FC78" s="479">
        <f t="shared" si="455"/>
        <v>0</v>
      </c>
      <c r="FD78" s="479">
        <f t="shared" si="455"/>
        <v>0</v>
      </c>
      <c r="FE78" s="479">
        <f t="shared" si="455"/>
        <v>0</v>
      </c>
      <c r="FF78" s="479">
        <f t="shared" si="455"/>
        <v>0</v>
      </c>
      <c r="FG78" s="479">
        <f t="shared" si="455"/>
        <v>0</v>
      </c>
      <c r="FH78" s="479">
        <f t="shared" si="455"/>
        <v>0</v>
      </c>
      <c r="FI78" s="479">
        <f t="shared" si="455"/>
        <v>0</v>
      </c>
      <c r="FJ78" s="479">
        <f t="shared" si="455"/>
        <v>0</v>
      </c>
      <c r="FK78" s="479">
        <f t="shared" si="455"/>
        <v>0</v>
      </c>
      <c r="FL78" s="479">
        <f t="shared" si="455"/>
        <v>0</v>
      </c>
      <c r="FM78" s="479">
        <f t="shared" si="455"/>
        <v>0</v>
      </c>
      <c r="FN78" s="479">
        <f t="shared" si="455"/>
        <v>0</v>
      </c>
      <c r="FO78" s="479">
        <f t="shared" si="455"/>
        <v>0</v>
      </c>
      <c r="FP78" s="479">
        <f t="shared" si="455"/>
        <v>0</v>
      </c>
      <c r="FQ78" s="479">
        <f t="shared" si="455"/>
        <v>0</v>
      </c>
      <c r="FR78" s="479">
        <f t="shared" si="455"/>
        <v>0</v>
      </c>
      <c r="FS78" s="479">
        <f t="shared" si="455"/>
        <v>0</v>
      </c>
      <c r="FT78" s="479">
        <f t="shared" si="455"/>
        <v>0</v>
      </c>
      <c r="FU78" s="479">
        <f t="shared" si="455"/>
        <v>0</v>
      </c>
      <c r="FV78" s="479">
        <f t="shared" si="455"/>
        <v>0</v>
      </c>
      <c r="FW78" s="479">
        <f t="shared" si="455"/>
        <v>0</v>
      </c>
      <c r="FX78" s="479">
        <f t="shared" si="455"/>
        <v>0</v>
      </c>
      <c r="FY78" s="479">
        <f t="shared" si="455"/>
        <v>0</v>
      </c>
      <c r="FZ78" s="479">
        <f t="shared" si="455"/>
        <v>0</v>
      </c>
      <c r="GA78" s="479">
        <f t="shared" si="455"/>
        <v>0</v>
      </c>
      <c r="GB78" s="479">
        <f t="shared" si="455"/>
        <v>0</v>
      </c>
      <c r="GC78" s="479">
        <f t="shared" si="455"/>
        <v>0</v>
      </c>
      <c r="GD78" s="479">
        <f t="shared" si="455"/>
        <v>0</v>
      </c>
      <c r="GE78" s="479">
        <f t="shared" si="455"/>
        <v>0</v>
      </c>
      <c r="GF78" s="479">
        <f t="shared" si="455"/>
        <v>0</v>
      </c>
      <c r="GG78" s="479">
        <f t="shared" si="455"/>
        <v>0</v>
      </c>
      <c r="GH78" s="479">
        <f t="shared" si="455"/>
        <v>0</v>
      </c>
      <c r="GI78" s="479">
        <f t="shared" si="455"/>
        <v>0</v>
      </c>
      <c r="GJ78" s="479">
        <f t="shared" si="455"/>
        <v>0</v>
      </c>
      <c r="GK78" s="479">
        <f t="shared" si="455"/>
        <v>0</v>
      </c>
      <c r="GL78" s="479">
        <f t="shared" si="455"/>
        <v>0</v>
      </c>
      <c r="GM78" s="479">
        <f t="shared" si="455"/>
        <v>0</v>
      </c>
      <c r="GN78" s="479">
        <f t="shared" si="455"/>
        <v>0</v>
      </c>
      <c r="GO78" s="479">
        <f t="shared" si="455"/>
        <v>0</v>
      </c>
      <c r="GP78" s="479">
        <f t="shared" si="455"/>
        <v>0</v>
      </c>
      <c r="GQ78" s="479">
        <f t="shared" si="455"/>
        <v>0</v>
      </c>
      <c r="GR78" s="479">
        <f t="shared" si="455"/>
        <v>0</v>
      </c>
      <c r="GS78" s="479">
        <f t="shared" si="455"/>
        <v>0</v>
      </c>
      <c r="GT78" s="479">
        <f t="shared" ref="EI78:GT79" si="463">IF(GT$7&gt;=$E78,IF(GT$7&lt;=$F78,($D78/12),0),0)</f>
        <v>0</v>
      </c>
      <c r="GU78" s="479">
        <f t="shared" si="456"/>
        <v>0</v>
      </c>
      <c r="GV78" s="479">
        <f t="shared" si="456"/>
        <v>0</v>
      </c>
      <c r="GW78" s="479">
        <f t="shared" si="456"/>
        <v>0</v>
      </c>
      <c r="GX78" s="479">
        <f t="shared" si="456"/>
        <v>0</v>
      </c>
      <c r="GY78" s="479">
        <f t="shared" si="456"/>
        <v>0</v>
      </c>
      <c r="GZ78" s="479">
        <f t="shared" si="456"/>
        <v>0</v>
      </c>
      <c r="HA78" s="479">
        <f t="shared" si="456"/>
        <v>0</v>
      </c>
      <c r="HB78" s="479">
        <f t="shared" si="456"/>
        <v>0</v>
      </c>
      <c r="HC78" s="479">
        <f t="shared" si="456"/>
        <v>0</v>
      </c>
      <c r="HD78" s="479">
        <f t="shared" si="456"/>
        <v>0</v>
      </c>
      <c r="HE78" s="479">
        <f t="shared" si="456"/>
        <v>0</v>
      </c>
      <c r="HF78" s="479">
        <f t="shared" si="456"/>
        <v>0</v>
      </c>
      <c r="HG78" s="479">
        <f t="shared" si="456"/>
        <v>0</v>
      </c>
      <c r="HH78" s="479">
        <f t="shared" si="456"/>
        <v>0</v>
      </c>
      <c r="HI78" s="479">
        <f t="shared" si="456"/>
        <v>0</v>
      </c>
      <c r="HJ78" s="479">
        <f t="shared" si="456"/>
        <v>0</v>
      </c>
      <c r="HK78" s="479">
        <f t="shared" si="456"/>
        <v>0</v>
      </c>
      <c r="HL78" s="479">
        <f t="shared" si="456"/>
        <v>0</v>
      </c>
      <c r="HM78" s="479">
        <f t="shared" si="456"/>
        <v>0</v>
      </c>
      <c r="HN78" s="479">
        <f t="shared" si="456"/>
        <v>0</v>
      </c>
      <c r="HO78" s="479">
        <f t="shared" si="456"/>
        <v>0</v>
      </c>
      <c r="HP78" s="479">
        <f t="shared" si="456"/>
        <v>0</v>
      </c>
      <c r="HQ78" s="479">
        <f t="shared" si="456"/>
        <v>0</v>
      </c>
      <c r="HR78" s="479">
        <f t="shared" si="456"/>
        <v>0</v>
      </c>
      <c r="HS78" s="479">
        <f t="shared" si="456"/>
        <v>0</v>
      </c>
      <c r="HT78" s="479">
        <f t="shared" si="456"/>
        <v>0</v>
      </c>
      <c r="HU78" s="479">
        <f t="shared" si="456"/>
        <v>0</v>
      </c>
      <c r="HV78" s="479">
        <f t="shared" si="456"/>
        <v>0</v>
      </c>
      <c r="HW78" s="479">
        <f t="shared" si="456"/>
        <v>0</v>
      </c>
      <c r="HX78" s="479">
        <f t="shared" si="456"/>
        <v>0</v>
      </c>
      <c r="HY78" s="479">
        <f t="shared" si="456"/>
        <v>0</v>
      </c>
      <c r="HZ78" s="479">
        <f t="shared" si="456"/>
        <v>0</v>
      </c>
      <c r="IA78" s="479">
        <f t="shared" si="456"/>
        <v>0</v>
      </c>
      <c r="IB78" s="479">
        <f t="shared" si="456"/>
        <v>0</v>
      </c>
      <c r="IC78" s="479">
        <f t="shared" si="456"/>
        <v>0</v>
      </c>
      <c r="ID78" s="479">
        <f t="shared" si="456"/>
        <v>0</v>
      </c>
      <c r="IE78" s="479">
        <f t="shared" si="456"/>
        <v>0</v>
      </c>
      <c r="IF78" s="479">
        <f t="shared" si="456"/>
        <v>0</v>
      </c>
      <c r="IG78" s="479">
        <f t="shared" si="456"/>
        <v>0</v>
      </c>
      <c r="IH78" s="479">
        <f t="shared" si="456"/>
        <v>0</v>
      </c>
      <c r="II78" s="479">
        <f t="shared" si="456"/>
        <v>0</v>
      </c>
      <c r="IJ78" s="479">
        <f t="shared" si="456"/>
        <v>0</v>
      </c>
      <c r="IK78" s="479">
        <f t="shared" si="456"/>
        <v>0</v>
      </c>
      <c r="IL78" s="479">
        <f t="shared" si="456"/>
        <v>0</v>
      </c>
      <c r="IM78" s="479">
        <f t="shared" si="456"/>
        <v>0</v>
      </c>
      <c r="IN78" s="479">
        <f t="shared" si="456"/>
        <v>0</v>
      </c>
      <c r="IO78" s="479">
        <f t="shared" si="456"/>
        <v>0</v>
      </c>
      <c r="IP78" s="479">
        <f t="shared" si="456"/>
        <v>0</v>
      </c>
      <c r="IQ78" s="479">
        <f t="shared" si="456"/>
        <v>0</v>
      </c>
      <c r="IR78" s="479">
        <f t="shared" si="456"/>
        <v>0</v>
      </c>
      <c r="IS78" s="479">
        <f t="shared" si="456"/>
        <v>0</v>
      </c>
      <c r="IT78" s="479">
        <f t="shared" si="456"/>
        <v>0</v>
      </c>
      <c r="IU78" s="479">
        <f t="shared" si="456"/>
        <v>0</v>
      </c>
      <c r="IV78" s="479">
        <f t="shared" si="456"/>
        <v>0</v>
      </c>
      <c r="IW78" s="479">
        <f t="shared" si="456"/>
        <v>0</v>
      </c>
      <c r="IX78" s="479">
        <f t="shared" si="456"/>
        <v>0</v>
      </c>
      <c r="IY78" s="479">
        <f t="shared" si="456"/>
        <v>0</v>
      </c>
      <c r="IZ78" s="479">
        <f t="shared" si="456"/>
        <v>0</v>
      </c>
      <c r="JA78" s="479">
        <f t="shared" si="456"/>
        <v>0</v>
      </c>
      <c r="JB78" s="479">
        <f t="shared" si="456"/>
        <v>0</v>
      </c>
      <c r="JC78" s="479">
        <f t="shared" si="456"/>
        <v>0</v>
      </c>
      <c r="JD78" s="479">
        <f t="shared" si="456"/>
        <v>0</v>
      </c>
      <c r="JE78" s="479">
        <f t="shared" si="456"/>
        <v>0</v>
      </c>
      <c r="JF78" s="479">
        <f t="shared" ref="GU78:JF79" si="464">IF(JF$7&gt;=$E78,IF(JF$7&lt;=$F78,($D78/12),0),0)</f>
        <v>0</v>
      </c>
      <c r="JG78" s="479">
        <f t="shared" si="457"/>
        <v>0</v>
      </c>
      <c r="JH78" s="479">
        <f t="shared" si="457"/>
        <v>0</v>
      </c>
      <c r="JI78" s="479">
        <f t="shared" si="457"/>
        <v>0</v>
      </c>
      <c r="JJ78" s="479">
        <f t="shared" si="457"/>
        <v>0</v>
      </c>
      <c r="JK78" s="479">
        <f t="shared" si="457"/>
        <v>0</v>
      </c>
      <c r="JL78" s="479">
        <f t="shared" si="457"/>
        <v>0</v>
      </c>
      <c r="JM78" s="479">
        <f t="shared" si="457"/>
        <v>0</v>
      </c>
      <c r="JN78" s="479">
        <f t="shared" si="457"/>
        <v>0</v>
      </c>
      <c r="JO78" s="479">
        <f t="shared" si="457"/>
        <v>0</v>
      </c>
      <c r="JP78" s="479">
        <f t="shared" si="457"/>
        <v>0</v>
      </c>
      <c r="JQ78" s="479">
        <f t="shared" si="457"/>
        <v>0</v>
      </c>
      <c r="JR78" s="479">
        <f t="shared" si="457"/>
        <v>0</v>
      </c>
      <c r="JS78" s="479">
        <f t="shared" si="457"/>
        <v>0</v>
      </c>
      <c r="JT78" s="479">
        <f t="shared" si="457"/>
        <v>0</v>
      </c>
      <c r="JU78" s="479">
        <f t="shared" si="457"/>
        <v>0</v>
      </c>
      <c r="JV78" s="479">
        <f t="shared" si="457"/>
        <v>0</v>
      </c>
      <c r="JW78" s="479">
        <f t="shared" si="457"/>
        <v>0</v>
      </c>
      <c r="JX78" s="479">
        <f t="shared" si="457"/>
        <v>0</v>
      </c>
      <c r="JY78" s="479">
        <f t="shared" si="457"/>
        <v>0</v>
      </c>
      <c r="JZ78" s="479">
        <f t="shared" si="457"/>
        <v>0</v>
      </c>
      <c r="KA78" s="479">
        <f t="shared" si="457"/>
        <v>0</v>
      </c>
      <c r="KB78" s="479">
        <f t="shared" si="457"/>
        <v>0</v>
      </c>
      <c r="KC78" s="479">
        <f t="shared" si="457"/>
        <v>0</v>
      </c>
      <c r="KD78" s="479">
        <f t="shared" si="457"/>
        <v>0</v>
      </c>
      <c r="KE78" s="479">
        <f t="shared" si="457"/>
        <v>0</v>
      </c>
      <c r="KF78" s="479">
        <f t="shared" si="457"/>
        <v>0</v>
      </c>
      <c r="KG78" s="479">
        <f t="shared" si="457"/>
        <v>0</v>
      </c>
      <c r="KH78" s="479">
        <f t="shared" si="457"/>
        <v>0</v>
      </c>
      <c r="KI78" s="479">
        <f t="shared" si="457"/>
        <v>0</v>
      </c>
      <c r="KJ78" s="479">
        <f t="shared" si="457"/>
        <v>0</v>
      </c>
      <c r="KK78" s="479">
        <f t="shared" si="457"/>
        <v>0</v>
      </c>
      <c r="KL78" s="479">
        <f t="shared" si="457"/>
        <v>0</v>
      </c>
      <c r="KM78" s="479">
        <f t="shared" si="457"/>
        <v>0</v>
      </c>
      <c r="KN78" s="479">
        <f t="shared" si="457"/>
        <v>0</v>
      </c>
      <c r="KO78" s="479">
        <f t="shared" si="457"/>
        <v>0</v>
      </c>
      <c r="KP78" s="479">
        <f t="shared" si="457"/>
        <v>0</v>
      </c>
      <c r="KQ78" s="479">
        <f t="shared" si="457"/>
        <v>0</v>
      </c>
      <c r="KR78" s="479">
        <f t="shared" si="457"/>
        <v>0</v>
      </c>
      <c r="KS78" s="479">
        <f t="shared" si="457"/>
        <v>0</v>
      </c>
      <c r="KT78" s="479">
        <f t="shared" si="457"/>
        <v>0</v>
      </c>
      <c r="KU78" s="479">
        <f t="shared" si="457"/>
        <v>0</v>
      </c>
      <c r="KV78" s="479">
        <f t="shared" si="457"/>
        <v>0</v>
      </c>
      <c r="KW78" s="479">
        <f t="shared" si="457"/>
        <v>0</v>
      </c>
      <c r="KX78" s="479">
        <f t="shared" si="457"/>
        <v>0</v>
      </c>
      <c r="KY78" s="479">
        <f t="shared" si="457"/>
        <v>0</v>
      </c>
      <c r="KZ78" s="479">
        <f t="shared" si="457"/>
        <v>0</v>
      </c>
      <c r="LA78" s="479">
        <f t="shared" si="457"/>
        <v>0</v>
      </c>
      <c r="LB78" s="479">
        <f t="shared" si="457"/>
        <v>0</v>
      </c>
      <c r="LC78" s="479">
        <f t="shared" si="457"/>
        <v>0</v>
      </c>
      <c r="LD78" s="479">
        <f t="shared" si="457"/>
        <v>0</v>
      </c>
      <c r="LE78" s="479">
        <f t="shared" si="457"/>
        <v>0</v>
      </c>
      <c r="LF78" s="479">
        <f t="shared" si="457"/>
        <v>0</v>
      </c>
      <c r="LG78" s="479">
        <f t="shared" si="457"/>
        <v>0</v>
      </c>
      <c r="LH78" s="479">
        <f t="shared" si="457"/>
        <v>0</v>
      </c>
      <c r="LI78" s="479">
        <f t="shared" si="457"/>
        <v>0</v>
      </c>
      <c r="LJ78" s="479">
        <f t="shared" si="457"/>
        <v>0</v>
      </c>
      <c r="LK78" s="479">
        <f t="shared" si="457"/>
        <v>0</v>
      </c>
      <c r="LL78" s="479">
        <f t="shared" si="457"/>
        <v>0</v>
      </c>
      <c r="LM78" s="479">
        <f t="shared" si="457"/>
        <v>0</v>
      </c>
      <c r="LN78" s="479">
        <f t="shared" si="457"/>
        <v>0</v>
      </c>
      <c r="LO78" s="479">
        <f t="shared" si="457"/>
        <v>0</v>
      </c>
      <c r="LP78" s="479">
        <f t="shared" si="457"/>
        <v>0</v>
      </c>
      <c r="LQ78" s="479">
        <f t="shared" si="457"/>
        <v>0</v>
      </c>
      <c r="LR78" s="479">
        <f t="shared" ref="JG78:LR79" si="465">IF(LR$7&gt;=$E78,IF(LR$7&lt;=$F78,($D78/12),0),0)</f>
        <v>0</v>
      </c>
      <c r="LS78" s="479">
        <f t="shared" si="458"/>
        <v>0</v>
      </c>
      <c r="LT78" s="479">
        <f t="shared" si="458"/>
        <v>0</v>
      </c>
      <c r="LU78" s="479">
        <f t="shared" si="458"/>
        <v>0</v>
      </c>
      <c r="LV78" s="479">
        <f t="shared" si="458"/>
        <v>0</v>
      </c>
      <c r="LW78" s="479">
        <f t="shared" si="458"/>
        <v>0</v>
      </c>
      <c r="LX78" s="479">
        <f t="shared" si="458"/>
        <v>0</v>
      </c>
      <c r="LY78" s="479">
        <f t="shared" si="458"/>
        <v>0</v>
      </c>
      <c r="LZ78" s="479">
        <f t="shared" si="458"/>
        <v>0</v>
      </c>
      <c r="MA78" s="479">
        <f t="shared" si="458"/>
        <v>0</v>
      </c>
      <c r="MB78" s="479">
        <f t="shared" si="458"/>
        <v>0</v>
      </c>
      <c r="MC78" s="479">
        <f t="shared" si="458"/>
        <v>0</v>
      </c>
      <c r="MD78" s="479">
        <f t="shared" si="458"/>
        <v>0</v>
      </c>
      <c r="ME78" s="479">
        <f t="shared" si="458"/>
        <v>0</v>
      </c>
      <c r="MF78" s="479">
        <f t="shared" si="458"/>
        <v>0</v>
      </c>
      <c r="MG78" s="479">
        <f t="shared" si="458"/>
        <v>0</v>
      </c>
      <c r="MH78" s="479">
        <f t="shared" si="458"/>
        <v>0</v>
      </c>
      <c r="MI78" s="479">
        <f t="shared" si="458"/>
        <v>0</v>
      </c>
      <c r="MJ78" s="479">
        <f t="shared" si="458"/>
        <v>0</v>
      </c>
      <c r="MK78" s="479">
        <f t="shared" si="458"/>
        <v>0</v>
      </c>
      <c r="ML78" s="479">
        <f t="shared" si="458"/>
        <v>0</v>
      </c>
      <c r="MM78" s="479">
        <f t="shared" si="458"/>
        <v>0</v>
      </c>
      <c r="MN78" s="479">
        <f t="shared" si="458"/>
        <v>0</v>
      </c>
      <c r="MO78" s="479">
        <f t="shared" si="458"/>
        <v>0</v>
      </c>
      <c r="MP78" s="479">
        <f t="shared" si="458"/>
        <v>0</v>
      </c>
      <c r="MQ78" s="479">
        <f t="shared" si="458"/>
        <v>0</v>
      </c>
      <c r="MR78" s="479">
        <f t="shared" si="458"/>
        <v>0</v>
      </c>
      <c r="MS78" s="479">
        <f t="shared" si="458"/>
        <v>0</v>
      </c>
      <c r="MT78" s="479">
        <f t="shared" si="458"/>
        <v>0</v>
      </c>
      <c r="MU78" s="479">
        <f t="shared" si="458"/>
        <v>0</v>
      </c>
      <c r="MV78" s="479">
        <f t="shared" si="458"/>
        <v>0</v>
      </c>
      <c r="MW78" s="479">
        <f t="shared" si="458"/>
        <v>0</v>
      </c>
      <c r="MX78" s="479">
        <f t="shared" si="458"/>
        <v>0</v>
      </c>
      <c r="MY78" s="479">
        <f t="shared" si="458"/>
        <v>0</v>
      </c>
      <c r="MZ78" s="479">
        <f t="shared" si="458"/>
        <v>0</v>
      </c>
      <c r="NA78" s="479">
        <f t="shared" si="458"/>
        <v>0</v>
      </c>
      <c r="NB78" s="479">
        <f t="shared" si="458"/>
        <v>0</v>
      </c>
      <c r="NC78" s="479">
        <f t="shared" si="458"/>
        <v>0</v>
      </c>
      <c r="ND78" s="479">
        <f t="shared" si="458"/>
        <v>0</v>
      </c>
      <c r="NE78" s="479">
        <f t="shared" si="458"/>
        <v>0</v>
      </c>
      <c r="NF78" s="479">
        <f t="shared" si="458"/>
        <v>0</v>
      </c>
      <c r="NG78" s="479">
        <f t="shared" si="458"/>
        <v>0</v>
      </c>
      <c r="NH78" s="479">
        <f t="shared" si="458"/>
        <v>0</v>
      </c>
      <c r="NI78" s="479">
        <f t="shared" si="458"/>
        <v>0</v>
      </c>
      <c r="NJ78" s="479">
        <f t="shared" si="458"/>
        <v>0</v>
      </c>
      <c r="NK78" s="479">
        <f t="shared" si="458"/>
        <v>0</v>
      </c>
      <c r="NL78" s="479">
        <f t="shared" si="458"/>
        <v>0</v>
      </c>
      <c r="NM78" s="479">
        <f t="shared" si="458"/>
        <v>0</v>
      </c>
      <c r="NN78" s="479">
        <f t="shared" si="458"/>
        <v>0</v>
      </c>
      <c r="NO78" s="479">
        <f t="shared" si="458"/>
        <v>0</v>
      </c>
      <c r="NP78" s="479">
        <f t="shared" si="458"/>
        <v>0</v>
      </c>
      <c r="NQ78" s="479">
        <f t="shared" si="458"/>
        <v>0</v>
      </c>
      <c r="NR78" s="479">
        <f t="shared" si="458"/>
        <v>0</v>
      </c>
      <c r="NS78" s="479">
        <f t="shared" si="458"/>
        <v>0</v>
      </c>
      <c r="NT78" s="479">
        <f t="shared" si="458"/>
        <v>0</v>
      </c>
      <c r="NU78" s="479">
        <f t="shared" si="458"/>
        <v>0</v>
      </c>
      <c r="NV78" s="479">
        <f t="shared" si="458"/>
        <v>0</v>
      </c>
      <c r="NW78" s="479">
        <f t="shared" si="458"/>
        <v>0</v>
      </c>
      <c r="NX78" s="479">
        <f t="shared" si="458"/>
        <v>0</v>
      </c>
      <c r="NY78" s="479">
        <f t="shared" si="458"/>
        <v>0</v>
      </c>
      <c r="NZ78" s="479">
        <f t="shared" si="458"/>
        <v>0</v>
      </c>
      <c r="OA78" s="479">
        <f t="shared" si="458"/>
        <v>0</v>
      </c>
      <c r="OB78" s="479">
        <f t="shared" si="458"/>
        <v>0</v>
      </c>
      <c r="OC78" s="479">
        <f t="shared" si="458"/>
        <v>0</v>
      </c>
      <c r="OD78" s="479">
        <f t="shared" ref="LS78:OD79" si="466">IF(OD$7&gt;=$E78,IF(OD$7&lt;=$F78,($D78/12),0),0)</f>
        <v>0</v>
      </c>
      <c r="OE78" s="479">
        <f t="shared" si="459"/>
        <v>0</v>
      </c>
      <c r="OF78" s="479">
        <f t="shared" si="459"/>
        <v>0</v>
      </c>
      <c r="OG78" s="479">
        <f t="shared" si="459"/>
        <v>0</v>
      </c>
      <c r="OH78" s="479">
        <f t="shared" si="459"/>
        <v>0</v>
      </c>
      <c r="OI78" s="479">
        <f t="shared" si="459"/>
        <v>0</v>
      </c>
      <c r="OJ78" s="479">
        <f t="shared" si="459"/>
        <v>0</v>
      </c>
      <c r="OK78" s="479">
        <f t="shared" si="459"/>
        <v>0</v>
      </c>
      <c r="OL78" s="479">
        <f t="shared" si="459"/>
        <v>0</v>
      </c>
      <c r="OM78" s="479">
        <f t="shared" si="459"/>
        <v>0</v>
      </c>
      <c r="ON78" s="479">
        <f t="shared" si="459"/>
        <v>0</v>
      </c>
      <c r="OO78" s="479">
        <f t="shared" si="459"/>
        <v>0</v>
      </c>
    </row>
    <row r="79" spans="2:405">
      <c r="B79" s="7" t="s">
        <v>70</v>
      </c>
      <c r="D79" s="537">
        <f>Mortgage!D17</f>
        <v>-3948</v>
      </c>
      <c r="E79" s="507">
        <f>Assumptions!$C$13</f>
        <v>47330</v>
      </c>
      <c r="F79" s="507">
        <f>EOMONTH(E79,Assumptions!$C$14-1)</f>
        <v>58256</v>
      </c>
      <c r="G79" s="97">
        <f t="shared" si="452"/>
        <v>360</v>
      </c>
      <c r="H79" s="97"/>
      <c r="J79" s="479">
        <f t="shared" si="460"/>
        <v>0</v>
      </c>
      <c r="K79" s="479">
        <f t="shared" si="461"/>
        <v>0</v>
      </c>
      <c r="L79" s="479">
        <f t="shared" si="461"/>
        <v>0</v>
      </c>
      <c r="M79" s="479">
        <f t="shared" si="461"/>
        <v>0</v>
      </c>
      <c r="N79" s="479">
        <f t="shared" si="461"/>
        <v>0</v>
      </c>
      <c r="O79" s="479">
        <f t="shared" si="461"/>
        <v>0</v>
      </c>
      <c r="P79" s="479">
        <f t="shared" si="461"/>
        <v>0</v>
      </c>
      <c r="Q79" s="479">
        <f t="shared" si="461"/>
        <v>0</v>
      </c>
      <c r="R79" s="479">
        <f t="shared" si="461"/>
        <v>0</v>
      </c>
      <c r="S79" s="479">
        <f t="shared" si="461"/>
        <v>0</v>
      </c>
      <c r="T79" s="479">
        <f t="shared" si="461"/>
        <v>0</v>
      </c>
      <c r="U79" s="479">
        <f t="shared" si="461"/>
        <v>0</v>
      </c>
      <c r="V79" s="479">
        <f t="shared" si="461"/>
        <v>0</v>
      </c>
      <c r="W79" s="479">
        <f t="shared" si="461"/>
        <v>0</v>
      </c>
      <c r="X79" s="479">
        <f t="shared" si="461"/>
        <v>0</v>
      </c>
      <c r="Y79" s="479">
        <f t="shared" si="461"/>
        <v>0</v>
      </c>
      <c r="Z79" s="479">
        <f t="shared" si="461"/>
        <v>0</v>
      </c>
      <c r="AA79" s="479">
        <f t="shared" si="461"/>
        <v>0</v>
      </c>
      <c r="AB79" s="479">
        <f t="shared" si="461"/>
        <v>0</v>
      </c>
      <c r="AC79" s="479">
        <f t="shared" si="461"/>
        <v>0</v>
      </c>
      <c r="AD79" s="479">
        <f t="shared" si="461"/>
        <v>0</v>
      </c>
      <c r="AE79" s="479">
        <f t="shared" si="461"/>
        <v>0</v>
      </c>
      <c r="AF79" s="479">
        <f t="shared" si="461"/>
        <v>0</v>
      </c>
      <c r="AG79" s="479">
        <f t="shared" si="461"/>
        <v>0</v>
      </c>
      <c r="AH79" s="479">
        <f t="shared" si="461"/>
        <v>0</v>
      </c>
      <c r="AI79" s="479">
        <f t="shared" si="461"/>
        <v>0</v>
      </c>
      <c r="AJ79" s="479">
        <f t="shared" si="461"/>
        <v>0</v>
      </c>
      <c r="AK79" s="479">
        <f t="shared" si="461"/>
        <v>0</v>
      </c>
      <c r="AL79" s="479">
        <f t="shared" si="461"/>
        <v>0</v>
      </c>
      <c r="AM79" s="479">
        <f t="shared" si="461"/>
        <v>0</v>
      </c>
      <c r="AN79" s="479">
        <f t="shared" si="461"/>
        <v>0</v>
      </c>
      <c r="AO79" s="479">
        <f t="shared" si="461"/>
        <v>0</v>
      </c>
      <c r="AP79" s="479">
        <f t="shared" si="461"/>
        <v>0</v>
      </c>
      <c r="AQ79" s="479">
        <f t="shared" si="461"/>
        <v>0</v>
      </c>
      <c r="AR79" s="479">
        <f t="shared" si="461"/>
        <v>0</v>
      </c>
      <c r="AS79" s="479">
        <f t="shared" si="461"/>
        <v>0</v>
      </c>
      <c r="AT79" s="479">
        <f t="shared" si="461"/>
        <v>-329</v>
      </c>
      <c r="AU79" s="479">
        <f t="shared" si="461"/>
        <v>-329</v>
      </c>
      <c r="AV79" s="479">
        <f t="shared" si="461"/>
        <v>-329</v>
      </c>
      <c r="AW79" s="479">
        <f t="shared" si="461"/>
        <v>-329</v>
      </c>
      <c r="AX79" s="479">
        <f t="shared" si="461"/>
        <v>-329</v>
      </c>
      <c r="AY79" s="479">
        <f t="shared" si="461"/>
        <v>-329</v>
      </c>
      <c r="AZ79" s="479">
        <f t="shared" si="461"/>
        <v>-329</v>
      </c>
      <c r="BA79" s="479">
        <f t="shared" si="461"/>
        <v>-329</v>
      </c>
      <c r="BB79" s="479">
        <f t="shared" si="461"/>
        <v>-329</v>
      </c>
      <c r="BC79" s="479">
        <f t="shared" si="461"/>
        <v>-329</v>
      </c>
      <c r="BD79" s="479">
        <f t="shared" si="461"/>
        <v>-329</v>
      </c>
      <c r="BE79" s="479">
        <f t="shared" si="461"/>
        <v>-329</v>
      </c>
      <c r="BF79" s="479">
        <f t="shared" si="461"/>
        <v>-329</v>
      </c>
      <c r="BG79" s="479">
        <f t="shared" si="461"/>
        <v>-329</v>
      </c>
      <c r="BH79" s="479">
        <f t="shared" si="461"/>
        <v>-329</v>
      </c>
      <c r="BI79" s="479">
        <f t="shared" si="461"/>
        <v>-329</v>
      </c>
      <c r="BJ79" s="479">
        <f t="shared" si="461"/>
        <v>-329</v>
      </c>
      <c r="BK79" s="479">
        <f t="shared" si="461"/>
        <v>-329</v>
      </c>
      <c r="BL79" s="479">
        <f t="shared" si="461"/>
        <v>-329</v>
      </c>
      <c r="BM79" s="479">
        <f t="shared" si="461"/>
        <v>-329</v>
      </c>
      <c r="BN79" s="479">
        <f t="shared" si="461"/>
        <v>-329</v>
      </c>
      <c r="BO79" s="479">
        <f t="shared" si="461"/>
        <v>-329</v>
      </c>
      <c r="BP79" s="479">
        <f t="shared" si="461"/>
        <v>-329</v>
      </c>
      <c r="BQ79" s="479">
        <f t="shared" si="461"/>
        <v>-329</v>
      </c>
      <c r="BR79" s="479">
        <f t="shared" si="461"/>
        <v>-329</v>
      </c>
      <c r="BS79" s="479">
        <f t="shared" si="461"/>
        <v>-329</v>
      </c>
      <c r="BT79" s="479">
        <f t="shared" si="461"/>
        <v>-329</v>
      </c>
      <c r="BU79" s="479">
        <f t="shared" si="461"/>
        <v>-329</v>
      </c>
      <c r="BV79" s="479">
        <f t="shared" si="461"/>
        <v>-329</v>
      </c>
      <c r="BW79" s="479">
        <f t="shared" si="462"/>
        <v>-329</v>
      </c>
      <c r="BX79" s="479">
        <f t="shared" si="462"/>
        <v>-329</v>
      </c>
      <c r="BY79" s="479">
        <f t="shared" si="462"/>
        <v>-329</v>
      </c>
      <c r="BZ79" s="479">
        <f t="shared" si="462"/>
        <v>-329</v>
      </c>
      <c r="CA79" s="479">
        <f t="shared" si="462"/>
        <v>-329</v>
      </c>
      <c r="CB79" s="479">
        <f t="shared" si="462"/>
        <v>-329</v>
      </c>
      <c r="CC79" s="479">
        <f t="shared" si="462"/>
        <v>-329</v>
      </c>
      <c r="CD79" s="479">
        <f t="shared" si="462"/>
        <v>-329</v>
      </c>
      <c r="CE79" s="479">
        <f t="shared" si="462"/>
        <v>-329</v>
      </c>
      <c r="CF79" s="479">
        <f t="shared" si="462"/>
        <v>-329</v>
      </c>
      <c r="CG79" s="479">
        <f t="shared" si="462"/>
        <v>-329</v>
      </c>
      <c r="CH79" s="479">
        <f t="shared" si="462"/>
        <v>-329</v>
      </c>
      <c r="CI79" s="479">
        <f t="shared" si="462"/>
        <v>-329</v>
      </c>
      <c r="CJ79" s="479">
        <f t="shared" si="462"/>
        <v>-329</v>
      </c>
      <c r="CK79" s="479">
        <f t="shared" si="462"/>
        <v>-329</v>
      </c>
      <c r="CL79" s="479">
        <f t="shared" si="462"/>
        <v>-329</v>
      </c>
      <c r="CM79" s="479">
        <f t="shared" si="462"/>
        <v>-329</v>
      </c>
      <c r="CN79" s="479">
        <f t="shared" si="462"/>
        <v>-329</v>
      </c>
      <c r="CO79" s="479">
        <f t="shared" si="462"/>
        <v>-329</v>
      </c>
      <c r="CP79" s="479">
        <f t="shared" si="462"/>
        <v>-329</v>
      </c>
      <c r="CQ79" s="479">
        <f t="shared" si="462"/>
        <v>-329</v>
      </c>
      <c r="CR79" s="479">
        <f t="shared" si="462"/>
        <v>-329</v>
      </c>
      <c r="CS79" s="479">
        <f t="shared" si="462"/>
        <v>-329</v>
      </c>
      <c r="CT79" s="479">
        <f t="shared" si="462"/>
        <v>-329</v>
      </c>
      <c r="CU79" s="479">
        <f t="shared" si="462"/>
        <v>-329</v>
      </c>
      <c r="CV79" s="479">
        <f t="shared" si="462"/>
        <v>-329</v>
      </c>
      <c r="CW79" s="479">
        <f t="shared" si="462"/>
        <v>-329</v>
      </c>
      <c r="CX79" s="479">
        <f t="shared" si="462"/>
        <v>-329</v>
      </c>
      <c r="CY79" s="479">
        <f t="shared" si="462"/>
        <v>-329</v>
      </c>
      <c r="CZ79" s="479">
        <f t="shared" si="462"/>
        <v>-329</v>
      </c>
      <c r="DA79" s="479">
        <f t="shared" si="462"/>
        <v>-329</v>
      </c>
      <c r="DB79" s="479">
        <f t="shared" si="462"/>
        <v>-329</v>
      </c>
      <c r="DC79" s="479">
        <f t="shared" si="462"/>
        <v>-329</v>
      </c>
      <c r="DD79" s="479">
        <f t="shared" si="462"/>
        <v>-329</v>
      </c>
      <c r="DE79" s="479">
        <f t="shared" si="462"/>
        <v>-329</v>
      </c>
      <c r="DF79" s="479">
        <f t="shared" si="462"/>
        <v>-329</v>
      </c>
      <c r="DG79" s="479">
        <f t="shared" si="462"/>
        <v>-329</v>
      </c>
      <c r="DH79" s="479">
        <f t="shared" si="462"/>
        <v>-329</v>
      </c>
      <c r="DI79" s="479">
        <f t="shared" si="462"/>
        <v>-329</v>
      </c>
      <c r="DJ79" s="479">
        <f t="shared" si="462"/>
        <v>-329</v>
      </c>
      <c r="DK79" s="479">
        <f t="shared" si="462"/>
        <v>-329</v>
      </c>
      <c r="DL79" s="479">
        <f t="shared" si="462"/>
        <v>-329</v>
      </c>
      <c r="DM79" s="479">
        <f t="shared" si="462"/>
        <v>-329</v>
      </c>
      <c r="DN79" s="479">
        <f t="shared" si="462"/>
        <v>-329</v>
      </c>
      <c r="DO79" s="479">
        <f t="shared" si="462"/>
        <v>-329</v>
      </c>
      <c r="DP79" s="479">
        <f t="shared" si="462"/>
        <v>-329</v>
      </c>
      <c r="DQ79" s="479">
        <f t="shared" si="462"/>
        <v>-329</v>
      </c>
      <c r="DR79" s="479">
        <f t="shared" si="462"/>
        <v>-329</v>
      </c>
      <c r="DS79" s="479">
        <f t="shared" si="462"/>
        <v>-329</v>
      </c>
      <c r="DT79" s="479">
        <f t="shared" si="462"/>
        <v>-329</v>
      </c>
      <c r="DU79" s="479">
        <f t="shared" si="462"/>
        <v>-329</v>
      </c>
      <c r="DV79" s="479">
        <f t="shared" si="462"/>
        <v>-329</v>
      </c>
      <c r="DW79" s="479">
        <f t="shared" si="462"/>
        <v>-329</v>
      </c>
      <c r="DX79" s="479">
        <f t="shared" si="462"/>
        <v>-329</v>
      </c>
      <c r="DY79" s="479">
        <f t="shared" si="462"/>
        <v>-329</v>
      </c>
      <c r="DZ79" s="479">
        <f t="shared" si="462"/>
        <v>-329</v>
      </c>
      <c r="EA79" s="479">
        <f t="shared" si="462"/>
        <v>-329</v>
      </c>
      <c r="EB79" s="479">
        <f t="shared" si="462"/>
        <v>-329</v>
      </c>
      <c r="EC79" s="479">
        <f t="shared" si="462"/>
        <v>-329</v>
      </c>
      <c r="ED79" s="479">
        <f t="shared" si="462"/>
        <v>-329</v>
      </c>
      <c r="EE79" s="479">
        <f t="shared" si="462"/>
        <v>-329</v>
      </c>
      <c r="EF79" s="479">
        <f t="shared" si="462"/>
        <v>-329</v>
      </c>
      <c r="EG79" s="479">
        <f t="shared" si="462"/>
        <v>-329</v>
      </c>
      <c r="EH79" s="479">
        <f t="shared" si="462"/>
        <v>-329</v>
      </c>
      <c r="EI79" s="479">
        <f t="shared" si="463"/>
        <v>-329</v>
      </c>
      <c r="EJ79" s="479">
        <f t="shared" si="463"/>
        <v>-329</v>
      </c>
      <c r="EK79" s="479">
        <f t="shared" si="463"/>
        <v>-329</v>
      </c>
      <c r="EL79" s="479">
        <f t="shared" si="463"/>
        <v>-329</v>
      </c>
      <c r="EM79" s="479">
        <f t="shared" si="463"/>
        <v>-329</v>
      </c>
      <c r="EN79" s="479">
        <f t="shared" si="463"/>
        <v>-329</v>
      </c>
      <c r="EO79" s="479">
        <f t="shared" si="463"/>
        <v>-329</v>
      </c>
      <c r="EP79" s="479">
        <f t="shared" si="463"/>
        <v>-329</v>
      </c>
      <c r="EQ79" s="479">
        <f t="shared" si="463"/>
        <v>-329</v>
      </c>
      <c r="ER79" s="479">
        <f t="shared" si="463"/>
        <v>-329</v>
      </c>
      <c r="ES79" s="479">
        <f t="shared" si="463"/>
        <v>-329</v>
      </c>
      <c r="ET79" s="479">
        <f t="shared" si="463"/>
        <v>-329</v>
      </c>
      <c r="EU79" s="479">
        <f t="shared" si="463"/>
        <v>-329</v>
      </c>
      <c r="EV79" s="479">
        <f t="shared" si="463"/>
        <v>-329</v>
      </c>
      <c r="EW79" s="479">
        <f t="shared" si="463"/>
        <v>-329</v>
      </c>
      <c r="EX79" s="479">
        <f t="shared" si="463"/>
        <v>-329</v>
      </c>
      <c r="EY79" s="479">
        <f t="shared" si="463"/>
        <v>-329</v>
      </c>
      <c r="EZ79" s="479">
        <f t="shared" si="463"/>
        <v>-329</v>
      </c>
      <c r="FA79" s="479">
        <f t="shared" si="463"/>
        <v>-329</v>
      </c>
      <c r="FB79" s="479">
        <f t="shared" si="463"/>
        <v>-329</v>
      </c>
      <c r="FC79" s="479">
        <f t="shared" si="463"/>
        <v>-329</v>
      </c>
      <c r="FD79" s="479">
        <f t="shared" si="463"/>
        <v>-329</v>
      </c>
      <c r="FE79" s="479">
        <f t="shared" si="463"/>
        <v>-329</v>
      </c>
      <c r="FF79" s="479">
        <f t="shared" si="463"/>
        <v>-329</v>
      </c>
      <c r="FG79" s="479">
        <f t="shared" si="463"/>
        <v>-329</v>
      </c>
      <c r="FH79" s="479">
        <f t="shared" si="463"/>
        <v>-329</v>
      </c>
      <c r="FI79" s="479">
        <f t="shared" si="463"/>
        <v>-329</v>
      </c>
      <c r="FJ79" s="479">
        <f t="shared" si="463"/>
        <v>-329</v>
      </c>
      <c r="FK79" s="479">
        <f t="shared" si="463"/>
        <v>-329</v>
      </c>
      <c r="FL79" s="479">
        <f t="shared" si="463"/>
        <v>-329</v>
      </c>
      <c r="FM79" s="479">
        <f t="shared" si="463"/>
        <v>-329</v>
      </c>
      <c r="FN79" s="479">
        <f t="shared" si="463"/>
        <v>-329</v>
      </c>
      <c r="FO79" s="479">
        <f t="shared" si="463"/>
        <v>-329</v>
      </c>
      <c r="FP79" s="479">
        <f t="shared" si="463"/>
        <v>-329</v>
      </c>
      <c r="FQ79" s="479">
        <f t="shared" si="463"/>
        <v>-329</v>
      </c>
      <c r="FR79" s="479">
        <f t="shared" si="463"/>
        <v>-329</v>
      </c>
      <c r="FS79" s="479">
        <f t="shared" si="463"/>
        <v>-329</v>
      </c>
      <c r="FT79" s="479">
        <f t="shared" si="463"/>
        <v>-329</v>
      </c>
      <c r="FU79" s="479">
        <f t="shared" si="463"/>
        <v>-329</v>
      </c>
      <c r="FV79" s="479">
        <f t="shared" si="463"/>
        <v>-329</v>
      </c>
      <c r="FW79" s="479">
        <f t="shared" si="463"/>
        <v>-329</v>
      </c>
      <c r="FX79" s="479">
        <f t="shared" si="463"/>
        <v>-329</v>
      </c>
      <c r="FY79" s="479">
        <f t="shared" si="463"/>
        <v>-329</v>
      </c>
      <c r="FZ79" s="479">
        <f t="shared" si="463"/>
        <v>-329</v>
      </c>
      <c r="GA79" s="479">
        <f t="shared" si="463"/>
        <v>-329</v>
      </c>
      <c r="GB79" s="479">
        <f t="shared" si="463"/>
        <v>-329</v>
      </c>
      <c r="GC79" s="479">
        <f t="shared" si="463"/>
        <v>-329</v>
      </c>
      <c r="GD79" s="479">
        <f t="shared" si="463"/>
        <v>-329</v>
      </c>
      <c r="GE79" s="479">
        <f t="shared" si="463"/>
        <v>-329</v>
      </c>
      <c r="GF79" s="479">
        <f t="shared" si="463"/>
        <v>-329</v>
      </c>
      <c r="GG79" s="479">
        <f t="shared" si="463"/>
        <v>-329</v>
      </c>
      <c r="GH79" s="479">
        <f t="shared" si="463"/>
        <v>-329</v>
      </c>
      <c r="GI79" s="479">
        <f t="shared" si="463"/>
        <v>-329</v>
      </c>
      <c r="GJ79" s="479">
        <f t="shared" si="463"/>
        <v>-329</v>
      </c>
      <c r="GK79" s="479">
        <f t="shared" si="463"/>
        <v>-329</v>
      </c>
      <c r="GL79" s="479">
        <f t="shared" si="463"/>
        <v>-329</v>
      </c>
      <c r="GM79" s="479">
        <f t="shared" si="463"/>
        <v>-329</v>
      </c>
      <c r="GN79" s="479">
        <f t="shared" si="463"/>
        <v>-329</v>
      </c>
      <c r="GO79" s="479">
        <f t="shared" si="463"/>
        <v>-329</v>
      </c>
      <c r="GP79" s="479">
        <f t="shared" si="463"/>
        <v>-329</v>
      </c>
      <c r="GQ79" s="479">
        <f t="shared" si="463"/>
        <v>-329</v>
      </c>
      <c r="GR79" s="479">
        <f t="shared" si="463"/>
        <v>-329</v>
      </c>
      <c r="GS79" s="479">
        <f t="shared" si="463"/>
        <v>-329</v>
      </c>
      <c r="GT79" s="479">
        <f t="shared" si="463"/>
        <v>-329</v>
      </c>
      <c r="GU79" s="479">
        <f t="shared" si="464"/>
        <v>-329</v>
      </c>
      <c r="GV79" s="479">
        <f t="shared" si="464"/>
        <v>-329</v>
      </c>
      <c r="GW79" s="479">
        <f t="shared" si="464"/>
        <v>-329</v>
      </c>
      <c r="GX79" s="479">
        <f t="shared" si="464"/>
        <v>-329</v>
      </c>
      <c r="GY79" s="479">
        <f t="shared" si="464"/>
        <v>-329</v>
      </c>
      <c r="GZ79" s="479">
        <f t="shared" si="464"/>
        <v>-329</v>
      </c>
      <c r="HA79" s="479">
        <f t="shared" si="464"/>
        <v>-329</v>
      </c>
      <c r="HB79" s="479">
        <f t="shared" si="464"/>
        <v>-329</v>
      </c>
      <c r="HC79" s="479">
        <f t="shared" si="464"/>
        <v>-329</v>
      </c>
      <c r="HD79" s="479">
        <f t="shared" si="464"/>
        <v>-329</v>
      </c>
      <c r="HE79" s="479">
        <f t="shared" si="464"/>
        <v>-329</v>
      </c>
      <c r="HF79" s="479">
        <f t="shared" si="464"/>
        <v>-329</v>
      </c>
      <c r="HG79" s="479">
        <f t="shared" si="464"/>
        <v>-329</v>
      </c>
      <c r="HH79" s="479">
        <f t="shared" si="464"/>
        <v>-329</v>
      </c>
      <c r="HI79" s="479">
        <f t="shared" si="464"/>
        <v>-329</v>
      </c>
      <c r="HJ79" s="479">
        <f t="shared" si="464"/>
        <v>-329</v>
      </c>
      <c r="HK79" s="479">
        <f t="shared" si="464"/>
        <v>-329</v>
      </c>
      <c r="HL79" s="479">
        <f t="shared" si="464"/>
        <v>-329</v>
      </c>
      <c r="HM79" s="479">
        <f t="shared" si="464"/>
        <v>-329</v>
      </c>
      <c r="HN79" s="479">
        <f t="shared" si="464"/>
        <v>-329</v>
      </c>
      <c r="HO79" s="479">
        <f t="shared" si="464"/>
        <v>-329</v>
      </c>
      <c r="HP79" s="479">
        <f t="shared" si="464"/>
        <v>-329</v>
      </c>
      <c r="HQ79" s="479">
        <f t="shared" si="464"/>
        <v>-329</v>
      </c>
      <c r="HR79" s="479">
        <f t="shared" si="464"/>
        <v>-329</v>
      </c>
      <c r="HS79" s="479">
        <f t="shared" si="464"/>
        <v>-329</v>
      </c>
      <c r="HT79" s="479">
        <f t="shared" si="464"/>
        <v>-329</v>
      </c>
      <c r="HU79" s="479">
        <f t="shared" si="464"/>
        <v>-329</v>
      </c>
      <c r="HV79" s="479">
        <f t="shared" si="464"/>
        <v>-329</v>
      </c>
      <c r="HW79" s="479">
        <f t="shared" si="464"/>
        <v>-329</v>
      </c>
      <c r="HX79" s="479">
        <f t="shared" si="464"/>
        <v>-329</v>
      </c>
      <c r="HY79" s="479">
        <f t="shared" si="464"/>
        <v>-329</v>
      </c>
      <c r="HZ79" s="479">
        <f t="shared" si="464"/>
        <v>-329</v>
      </c>
      <c r="IA79" s="479">
        <f t="shared" si="464"/>
        <v>-329</v>
      </c>
      <c r="IB79" s="479">
        <f t="shared" si="464"/>
        <v>-329</v>
      </c>
      <c r="IC79" s="479">
        <f t="shared" si="464"/>
        <v>-329</v>
      </c>
      <c r="ID79" s="479">
        <f t="shared" si="464"/>
        <v>-329</v>
      </c>
      <c r="IE79" s="479">
        <f t="shared" si="464"/>
        <v>-329</v>
      </c>
      <c r="IF79" s="479">
        <f t="shared" si="464"/>
        <v>-329</v>
      </c>
      <c r="IG79" s="479">
        <f t="shared" si="464"/>
        <v>-329</v>
      </c>
      <c r="IH79" s="479">
        <f t="shared" si="464"/>
        <v>-329</v>
      </c>
      <c r="II79" s="479">
        <f t="shared" si="464"/>
        <v>-329</v>
      </c>
      <c r="IJ79" s="479">
        <f t="shared" si="464"/>
        <v>-329</v>
      </c>
      <c r="IK79" s="479">
        <f t="shared" si="464"/>
        <v>-329</v>
      </c>
      <c r="IL79" s="479">
        <f t="shared" si="464"/>
        <v>-329</v>
      </c>
      <c r="IM79" s="479">
        <f t="shared" si="464"/>
        <v>-329</v>
      </c>
      <c r="IN79" s="479">
        <f t="shared" si="464"/>
        <v>-329</v>
      </c>
      <c r="IO79" s="479">
        <f t="shared" si="464"/>
        <v>-329</v>
      </c>
      <c r="IP79" s="479">
        <f t="shared" si="464"/>
        <v>-329</v>
      </c>
      <c r="IQ79" s="479">
        <f t="shared" si="464"/>
        <v>-329</v>
      </c>
      <c r="IR79" s="479">
        <f t="shared" si="464"/>
        <v>-329</v>
      </c>
      <c r="IS79" s="479">
        <f t="shared" si="464"/>
        <v>-329</v>
      </c>
      <c r="IT79" s="479">
        <f t="shared" si="464"/>
        <v>-329</v>
      </c>
      <c r="IU79" s="479">
        <f t="shared" si="464"/>
        <v>-329</v>
      </c>
      <c r="IV79" s="479">
        <f t="shared" si="464"/>
        <v>-329</v>
      </c>
      <c r="IW79" s="479">
        <f t="shared" si="464"/>
        <v>-329</v>
      </c>
      <c r="IX79" s="479">
        <f t="shared" si="464"/>
        <v>-329</v>
      </c>
      <c r="IY79" s="479">
        <f t="shared" si="464"/>
        <v>-329</v>
      </c>
      <c r="IZ79" s="479">
        <f t="shared" si="464"/>
        <v>-329</v>
      </c>
      <c r="JA79" s="479">
        <f t="shared" si="464"/>
        <v>-329</v>
      </c>
      <c r="JB79" s="479">
        <f t="shared" si="464"/>
        <v>-329</v>
      </c>
      <c r="JC79" s="479">
        <f t="shared" si="464"/>
        <v>-329</v>
      </c>
      <c r="JD79" s="479">
        <f t="shared" si="464"/>
        <v>-329</v>
      </c>
      <c r="JE79" s="479">
        <f t="shared" si="464"/>
        <v>-329</v>
      </c>
      <c r="JF79" s="479">
        <f t="shared" si="464"/>
        <v>-329</v>
      </c>
      <c r="JG79" s="479">
        <f t="shared" si="465"/>
        <v>-329</v>
      </c>
      <c r="JH79" s="479">
        <f t="shared" si="465"/>
        <v>-329</v>
      </c>
      <c r="JI79" s="479">
        <f t="shared" si="465"/>
        <v>-329</v>
      </c>
      <c r="JJ79" s="479">
        <f t="shared" si="465"/>
        <v>-329</v>
      </c>
      <c r="JK79" s="479">
        <f t="shared" si="465"/>
        <v>-329</v>
      </c>
      <c r="JL79" s="479">
        <f t="shared" si="465"/>
        <v>-329</v>
      </c>
      <c r="JM79" s="479">
        <f t="shared" si="465"/>
        <v>-329</v>
      </c>
      <c r="JN79" s="479">
        <f t="shared" si="465"/>
        <v>-329</v>
      </c>
      <c r="JO79" s="479">
        <f t="shared" si="465"/>
        <v>-329</v>
      </c>
      <c r="JP79" s="479">
        <f t="shared" si="465"/>
        <v>-329</v>
      </c>
      <c r="JQ79" s="479">
        <f t="shared" si="465"/>
        <v>-329</v>
      </c>
      <c r="JR79" s="479">
        <f t="shared" si="465"/>
        <v>-329</v>
      </c>
      <c r="JS79" s="479">
        <f t="shared" si="465"/>
        <v>-329</v>
      </c>
      <c r="JT79" s="479">
        <f t="shared" si="465"/>
        <v>-329</v>
      </c>
      <c r="JU79" s="479">
        <f t="shared" si="465"/>
        <v>-329</v>
      </c>
      <c r="JV79" s="479">
        <f t="shared" si="465"/>
        <v>-329</v>
      </c>
      <c r="JW79" s="479">
        <f t="shared" si="465"/>
        <v>-329</v>
      </c>
      <c r="JX79" s="479">
        <f t="shared" si="465"/>
        <v>-329</v>
      </c>
      <c r="JY79" s="479">
        <f t="shared" si="465"/>
        <v>-329</v>
      </c>
      <c r="JZ79" s="479">
        <f t="shared" si="465"/>
        <v>-329</v>
      </c>
      <c r="KA79" s="479">
        <f t="shared" si="465"/>
        <v>-329</v>
      </c>
      <c r="KB79" s="479">
        <f t="shared" si="465"/>
        <v>-329</v>
      </c>
      <c r="KC79" s="479">
        <f t="shared" si="465"/>
        <v>-329</v>
      </c>
      <c r="KD79" s="479">
        <f t="shared" si="465"/>
        <v>-329</v>
      </c>
      <c r="KE79" s="479">
        <f t="shared" si="465"/>
        <v>-329</v>
      </c>
      <c r="KF79" s="479">
        <f t="shared" si="465"/>
        <v>-329</v>
      </c>
      <c r="KG79" s="479">
        <f t="shared" si="465"/>
        <v>-329</v>
      </c>
      <c r="KH79" s="479">
        <f t="shared" si="465"/>
        <v>-329</v>
      </c>
      <c r="KI79" s="479">
        <f t="shared" si="465"/>
        <v>-329</v>
      </c>
      <c r="KJ79" s="479">
        <f t="shared" si="465"/>
        <v>-329</v>
      </c>
      <c r="KK79" s="479">
        <f t="shared" si="465"/>
        <v>-329</v>
      </c>
      <c r="KL79" s="479">
        <f t="shared" si="465"/>
        <v>-329</v>
      </c>
      <c r="KM79" s="479">
        <f t="shared" si="465"/>
        <v>-329</v>
      </c>
      <c r="KN79" s="479">
        <f t="shared" si="465"/>
        <v>-329</v>
      </c>
      <c r="KO79" s="479">
        <f t="shared" si="465"/>
        <v>-329</v>
      </c>
      <c r="KP79" s="479">
        <f t="shared" si="465"/>
        <v>-329</v>
      </c>
      <c r="KQ79" s="479">
        <f t="shared" si="465"/>
        <v>-329</v>
      </c>
      <c r="KR79" s="479">
        <f t="shared" si="465"/>
        <v>-329</v>
      </c>
      <c r="KS79" s="479">
        <f t="shared" si="465"/>
        <v>-329</v>
      </c>
      <c r="KT79" s="479">
        <f t="shared" si="465"/>
        <v>-329</v>
      </c>
      <c r="KU79" s="479">
        <f t="shared" si="465"/>
        <v>-329</v>
      </c>
      <c r="KV79" s="479">
        <f t="shared" si="465"/>
        <v>-329</v>
      </c>
      <c r="KW79" s="479">
        <f t="shared" si="465"/>
        <v>-329</v>
      </c>
      <c r="KX79" s="479">
        <f t="shared" si="465"/>
        <v>-329</v>
      </c>
      <c r="KY79" s="479">
        <f t="shared" si="465"/>
        <v>-329</v>
      </c>
      <c r="KZ79" s="479">
        <f t="shared" si="465"/>
        <v>-329</v>
      </c>
      <c r="LA79" s="479">
        <f t="shared" si="465"/>
        <v>-329</v>
      </c>
      <c r="LB79" s="479">
        <f t="shared" si="465"/>
        <v>-329</v>
      </c>
      <c r="LC79" s="479">
        <f t="shared" si="465"/>
        <v>-329</v>
      </c>
      <c r="LD79" s="479">
        <f t="shared" si="465"/>
        <v>-329</v>
      </c>
      <c r="LE79" s="479">
        <f t="shared" si="465"/>
        <v>-329</v>
      </c>
      <c r="LF79" s="479">
        <f t="shared" si="465"/>
        <v>-329</v>
      </c>
      <c r="LG79" s="479">
        <f t="shared" si="465"/>
        <v>-329</v>
      </c>
      <c r="LH79" s="479">
        <f t="shared" si="465"/>
        <v>-329</v>
      </c>
      <c r="LI79" s="479">
        <f t="shared" si="465"/>
        <v>-329</v>
      </c>
      <c r="LJ79" s="479">
        <f t="shared" si="465"/>
        <v>-329</v>
      </c>
      <c r="LK79" s="479">
        <f t="shared" si="465"/>
        <v>-329</v>
      </c>
      <c r="LL79" s="479">
        <f t="shared" si="465"/>
        <v>-329</v>
      </c>
      <c r="LM79" s="479">
        <f t="shared" si="465"/>
        <v>-329</v>
      </c>
      <c r="LN79" s="479">
        <f t="shared" si="465"/>
        <v>-329</v>
      </c>
      <c r="LO79" s="479">
        <f t="shared" si="465"/>
        <v>-329</v>
      </c>
      <c r="LP79" s="479">
        <f t="shared" si="465"/>
        <v>-329</v>
      </c>
      <c r="LQ79" s="479">
        <f t="shared" si="465"/>
        <v>-329</v>
      </c>
      <c r="LR79" s="479">
        <f t="shared" si="465"/>
        <v>-329</v>
      </c>
      <c r="LS79" s="479">
        <f t="shared" si="466"/>
        <v>-329</v>
      </c>
      <c r="LT79" s="479">
        <f t="shared" si="466"/>
        <v>-329</v>
      </c>
      <c r="LU79" s="479">
        <f t="shared" si="466"/>
        <v>-329</v>
      </c>
      <c r="LV79" s="479">
        <f t="shared" si="466"/>
        <v>-329</v>
      </c>
      <c r="LW79" s="479">
        <f t="shared" si="466"/>
        <v>-329</v>
      </c>
      <c r="LX79" s="479">
        <f t="shared" si="466"/>
        <v>-329</v>
      </c>
      <c r="LY79" s="479">
        <f t="shared" si="466"/>
        <v>-329</v>
      </c>
      <c r="LZ79" s="479">
        <f t="shared" si="466"/>
        <v>-329</v>
      </c>
      <c r="MA79" s="479">
        <f t="shared" si="466"/>
        <v>-329</v>
      </c>
      <c r="MB79" s="479">
        <f t="shared" si="466"/>
        <v>-329</v>
      </c>
      <c r="MC79" s="479">
        <f t="shared" si="466"/>
        <v>-329</v>
      </c>
      <c r="MD79" s="479">
        <f t="shared" si="466"/>
        <v>-329</v>
      </c>
      <c r="ME79" s="479">
        <f t="shared" si="466"/>
        <v>-329</v>
      </c>
      <c r="MF79" s="479">
        <f t="shared" si="466"/>
        <v>-329</v>
      </c>
      <c r="MG79" s="479">
        <f t="shared" si="466"/>
        <v>-329</v>
      </c>
      <c r="MH79" s="479">
        <f t="shared" si="466"/>
        <v>-329</v>
      </c>
      <c r="MI79" s="479">
        <f t="shared" si="466"/>
        <v>-329</v>
      </c>
      <c r="MJ79" s="479">
        <f t="shared" si="466"/>
        <v>-329</v>
      </c>
      <c r="MK79" s="479">
        <f t="shared" si="466"/>
        <v>-329</v>
      </c>
      <c r="ML79" s="479">
        <f t="shared" si="466"/>
        <v>-329</v>
      </c>
      <c r="MM79" s="479">
        <f t="shared" si="466"/>
        <v>-329</v>
      </c>
      <c r="MN79" s="479">
        <f t="shared" si="466"/>
        <v>-329</v>
      </c>
      <c r="MO79" s="479">
        <f t="shared" si="466"/>
        <v>-329</v>
      </c>
      <c r="MP79" s="479">
        <f t="shared" si="466"/>
        <v>-329</v>
      </c>
      <c r="MQ79" s="479">
        <f t="shared" si="466"/>
        <v>-329</v>
      </c>
      <c r="MR79" s="479">
        <f t="shared" si="466"/>
        <v>-329</v>
      </c>
      <c r="MS79" s="479">
        <f t="shared" si="466"/>
        <v>-329</v>
      </c>
      <c r="MT79" s="479">
        <f t="shared" si="466"/>
        <v>-329</v>
      </c>
      <c r="MU79" s="479">
        <f t="shared" si="466"/>
        <v>-329</v>
      </c>
      <c r="MV79" s="479">
        <f t="shared" si="466"/>
        <v>-329</v>
      </c>
      <c r="MW79" s="479">
        <f t="shared" si="466"/>
        <v>-329</v>
      </c>
      <c r="MX79" s="479">
        <f t="shared" si="466"/>
        <v>-329</v>
      </c>
      <c r="MY79" s="479">
        <f t="shared" si="466"/>
        <v>-329</v>
      </c>
      <c r="MZ79" s="479">
        <f t="shared" si="466"/>
        <v>-329</v>
      </c>
      <c r="NA79" s="479">
        <f t="shared" si="466"/>
        <v>-329</v>
      </c>
      <c r="NB79" s="479">
        <f t="shared" si="466"/>
        <v>-329</v>
      </c>
      <c r="NC79" s="479">
        <f t="shared" si="466"/>
        <v>-329</v>
      </c>
      <c r="ND79" s="479">
        <f t="shared" si="466"/>
        <v>-329</v>
      </c>
      <c r="NE79" s="479">
        <f t="shared" si="466"/>
        <v>-329</v>
      </c>
      <c r="NF79" s="479">
        <f t="shared" si="466"/>
        <v>-329</v>
      </c>
      <c r="NG79" s="479">
        <f t="shared" si="466"/>
        <v>-329</v>
      </c>
      <c r="NH79" s="479">
        <f t="shared" si="466"/>
        <v>-329</v>
      </c>
      <c r="NI79" s="479">
        <f t="shared" si="466"/>
        <v>-329</v>
      </c>
      <c r="NJ79" s="479">
        <f t="shared" si="466"/>
        <v>-329</v>
      </c>
      <c r="NK79" s="479">
        <f t="shared" si="466"/>
        <v>-329</v>
      </c>
      <c r="NL79" s="479">
        <f t="shared" si="466"/>
        <v>-329</v>
      </c>
      <c r="NM79" s="479">
        <f t="shared" si="466"/>
        <v>-329</v>
      </c>
      <c r="NN79" s="479">
        <f t="shared" si="466"/>
        <v>-329</v>
      </c>
      <c r="NO79" s="479">
        <f t="shared" si="466"/>
        <v>-329</v>
      </c>
      <c r="NP79" s="479">
        <f t="shared" si="466"/>
        <v>-329</v>
      </c>
      <c r="NQ79" s="479">
        <f t="shared" si="466"/>
        <v>-329</v>
      </c>
      <c r="NR79" s="479">
        <f t="shared" si="466"/>
        <v>-329</v>
      </c>
      <c r="NS79" s="479">
        <f t="shared" si="466"/>
        <v>-329</v>
      </c>
      <c r="NT79" s="479">
        <f t="shared" si="466"/>
        <v>-329</v>
      </c>
      <c r="NU79" s="479">
        <f t="shared" si="466"/>
        <v>-329</v>
      </c>
      <c r="NV79" s="479">
        <f t="shared" si="466"/>
        <v>-329</v>
      </c>
      <c r="NW79" s="479">
        <f t="shared" si="466"/>
        <v>-329</v>
      </c>
      <c r="NX79" s="479">
        <f t="shared" si="466"/>
        <v>-329</v>
      </c>
      <c r="NY79" s="479">
        <f t="shared" si="466"/>
        <v>-329</v>
      </c>
      <c r="NZ79" s="479">
        <f t="shared" si="466"/>
        <v>-329</v>
      </c>
      <c r="OA79" s="479">
        <f t="shared" si="466"/>
        <v>-329</v>
      </c>
      <c r="OB79" s="479">
        <f t="shared" si="466"/>
        <v>-329</v>
      </c>
      <c r="OC79" s="479">
        <f t="shared" si="466"/>
        <v>-329</v>
      </c>
      <c r="OD79" s="479">
        <f t="shared" si="466"/>
        <v>-329</v>
      </c>
      <c r="OE79" s="479">
        <f t="shared" si="459"/>
        <v>-329</v>
      </c>
      <c r="OF79" s="479">
        <f t="shared" si="459"/>
        <v>-329</v>
      </c>
      <c r="OG79" s="479">
        <f t="shared" si="459"/>
        <v>-329</v>
      </c>
      <c r="OH79" s="479">
        <f t="shared" si="459"/>
        <v>-329</v>
      </c>
      <c r="OI79" s="479">
        <f t="shared" si="459"/>
        <v>-329</v>
      </c>
      <c r="OJ79" s="479">
        <f t="shared" si="459"/>
        <v>-329</v>
      </c>
      <c r="OK79" s="479">
        <f t="shared" si="459"/>
        <v>-329</v>
      </c>
      <c r="OL79" s="479">
        <f t="shared" si="459"/>
        <v>-329</v>
      </c>
      <c r="OM79" s="479">
        <f t="shared" si="459"/>
        <v>-329</v>
      </c>
      <c r="ON79" s="479">
        <f t="shared" si="459"/>
        <v>-329</v>
      </c>
      <c r="OO79" s="479">
        <f t="shared" si="459"/>
        <v>-329</v>
      </c>
    </row>
    <row r="80" spans="2:405">
      <c r="B80" s="516" t="s">
        <v>433</v>
      </c>
      <c r="C80" s="516"/>
      <c r="D80" s="446"/>
      <c r="E80" s="105"/>
      <c r="F80" s="105"/>
      <c r="G80" s="105"/>
      <c r="H80" s="105"/>
      <c r="I80" s="105"/>
      <c r="J80" s="505">
        <f>SUM(J75:J79)</f>
        <v>0</v>
      </c>
      <c r="K80" s="505">
        <f t="shared" ref="K80:BV80" si="467">SUM(K75:K79)</f>
        <v>0</v>
      </c>
      <c r="L80" s="505">
        <f t="shared" si="467"/>
        <v>0</v>
      </c>
      <c r="M80" s="505">
        <f t="shared" si="467"/>
        <v>0</v>
      </c>
      <c r="N80" s="505">
        <f t="shared" si="467"/>
        <v>0</v>
      </c>
      <c r="O80" s="505">
        <f t="shared" si="467"/>
        <v>0</v>
      </c>
      <c r="P80" s="505">
        <f t="shared" si="467"/>
        <v>0</v>
      </c>
      <c r="Q80" s="505">
        <f t="shared" si="467"/>
        <v>0</v>
      </c>
      <c r="R80" s="505">
        <f t="shared" si="467"/>
        <v>0</v>
      </c>
      <c r="S80" s="505">
        <f t="shared" si="467"/>
        <v>0</v>
      </c>
      <c r="T80" s="505">
        <f t="shared" si="467"/>
        <v>0</v>
      </c>
      <c r="U80" s="505">
        <f t="shared" si="467"/>
        <v>0</v>
      </c>
      <c r="V80" s="505">
        <f t="shared" si="467"/>
        <v>0</v>
      </c>
      <c r="W80" s="505">
        <f t="shared" si="467"/>
        <v>0</v>
      </c>
      <c r="X80" s="505">
        <f t="shared" si="467"/>
        <v>0</v>
      </c>
      <c r="Y80" s="505">
        <f t="shared" si="467"/>
        <v>0</v>
      </c>
      <c r="Z80" s="505">
        <f t="shared" si="467"/>
        <v>0</v>
      </c>
      <c r="AA80" s="505">
        <f t="shared" si="467"/>
        <v>0</v>
      </c>
      <c r="AB80" s="505">
        <f t="shared" si="467"/>
        <v>0</v>
      </c>
      <c r="AC80" s="505">
        <f t="shared" si="467"/>
        <v>0</v>
      </c>
      <c r="AD80" s="505">
        <f t="shared" si="467"/>
        <v>0</v>
      </c>
      <c r="AE80" s="505">
        <f t="shared" si="467"/>
        <v>0</v>
      </c>
      <c r="AF80" s="505">
        <f t="shared" si="467"/>
        <v>0</v>
      </c>
      <c r="AG80" s="505">
        <f t="shared" si="467"/>
        <v>0</v>
      </c>
      <c r="AH80" s="505">
        <f t="shared" si="467"/>
        <v>0</v>
      </c>
      <c r="AI80" s="505">
        <f t="shared" si="467"/>
        <v>0</v>
      </c>
      <c r="AJ80" s="505">
        <f t="shared" si="467"/>
        <v>0</v>
      </c>
      <c r="AK80" s="505">
        <f t="shared" si="467"/>
        <v>0</v>
      </c>
      <c r="AL80" s="505">
        <f t="shared" si="467"/>
        <v>0</v>
      </c>
      <c r="AM80" s="505">
        <f t="shared" si="467"/>
        <v>0</v>
      </c>
      <c r="AN80" s="505">
        <f t="shared" si="467"/>
        <v>0</v>
      </c>
      <c r="AO80" s="505">
        <f t="shared" si="467"/>
        <v>0</v>
      </c>
      <c r="AP80" s="505">
        <f t="shared" si="467"/>
        <v>0</v>
      </c>
      <c r="AQ80" s="505">
        <f t="shared" si="467"/>
        <v>0</v>
      </c>
      <c r="AR80" s="505">
        <f t="shared" si="467"/>
        <v>0</v>
      </c>
      <c r="AS80" s="505">
        <f t="shared" si="467"/>
        <v>0</v>
      </c>
      <c r="AT80" s="505">
        <f t="shared" si="467"/>
        <v>-32816.538567073178</v>
      </c>
      <c r="AU80" s="505">
        <f t="shared" si="467"/>
        <v>-32816.538567073178</v>
      </c>
      <c r="AV80" s="505">
        <f t="shared" si="467"/>
        <v>-32816.538567073178</v>
      </c>
      <c r="AW80" s="505">
        <f t="shared" si="467"/>
        <v>-32816.538567073178</v>
      </c>
      <c r="AX80" s="505">
        <f t="shared" si="467"/>
        <v>-32816.538567073178</v>
      </c>
      <c r="AY80" s="505">
        <f t="shared" si="467"/>
        <v>-32816.538567073178</v>
      </c>
      <c r="AZ80" s="505">
        <f t="shared" si="467"/>
        <v>-32816.538567073178</v>
      </c>
      <c r="BA80" s="505">
        <f t="shared" si="467"/>
        <v>-32816.538567073178</v>
      </c>
      <c r="BB80" s="505">
        <f t="shared" si="467"/>
        <v>-32816.538567073178</v>
      </c>
      <c r="BC80" s="505">
        <f t="shared" si="467"/>
        <v>-32816.538567073178</v>
      </c>
      <c r="BD80" s="505">
        <f t="shared" si="467"/>
        <v>-32816.538567073178</v>
      </c>
      <c r="BE80" s="505">
        <f t="shared" si="467"/>
        <v>-32816.538567073178</v>
      </c>
      <c r="BF80" s="505">
        <f t="shared" si="467"/>
        <v>-32816.538567073178</v>
      </c>
      <c r="BG80" s="505">
        <f t="shared" si="467"/>
        <v>-32816.538567073178</v>
      </c>
      <c r="BH80" s="505">
        <f t="shared" si="467"/>
        <v>-32816.538567073178</v>
      </c>
      <c r="BI80" s="505">
        <f t="shared" si="467"/>
        <v>-32816.538567073178</v>
      </c>
      <c r="BJ80" s="505">
        <f t="shared" si="467"/>
        <v>-32816.538567073178</v>
      </c>
      <c r="BK80" s="505">
        <f t="shared" si="467"/>
        <v>-32816.538567073178</v>
      </c>
      <c r="BL80" s="505">
        <f t="shared" si="467"/>
        <v>-32816.538567073178</v>
      </c>
      <c r="BM80" s="505">
        <f t="shared" si="467"/>
        <v>-32816.538567073178</v>
      </c>
      <c r="BN80" s="505">
        <f t="shared" si="467"/>
        <v>-32816.538567073178</v>
      </c>
      <c r="BO80" s="505">
        <f t="shared" si="467"/>
        <v>-32816.538567073178</v>
      </c>
      <c r="BP80" s="505">
        <f t="shared" si="467"/>
        <v>-32816.538567073178</v>
      </c>
      <c r="BQ80" s="505">
        <f t="shared" si="467"/>
        <v>-32816.538567073178</v>
      </c>
      <c r="BR80" s="505">
        <f t="shared" si="467"/>
        <v>-32816.538567073178</v>
      </c>
      <c r="BS80" s="505">
        <f t="shared" si="467"/>
        <v>-32816.538567073178</v>
      </c>
      <c r="BT80" s="505">
        <f t="shared" si="467"/>
        <v>-32816.538567073178</v>
      </c>
      <c r="BU80" s="505">
        <f t="shared" si="467"/>
        <v>-32816.538567073178</v>
      </c>
      <c r="BV80" s="505">
        <f t="shared" si="467"/>
        <v>-32816.538567073178</v>
      </c>
      <c r="BW80" s="505">
        <f t="shared" ref="BW80:EH80" si="468">SUM(BW75:BW79)</f>
        <v>-32816.538567073178</v>
      </c>
      <c r="BX80" s="505">
        <f t="shared" si="468"/>
        <v>-32816.538567073178</v>
      </c>
      <c r="BY80" s="505">
        <f t="shared" si="468"/>
        <v>-32816.538567073178</v>
      </c>
      <c r="BZ80" s="505">
        <f t="shared" si="468"/>
        <v>-32816.538567073178</v>
      </c>
      <c r="CA80" s="505">
        <f t="shared" si="468"/>
        <v>-32816.538567073178</v>
      </c>
      <c r="CB80" s="505">
        <f t="shared" si="468"/>
        <v>-32816.538567073178</v>
      </c>
      <c r="CC80" s="505">
        <f t="shared" si="468"/>
        <v>-32816.538567073178</v>
      </c>
      <c r="CD80" s="505">
        <f t="shared" si="468"/>
        <v>-32816.538567073178</v>
      </c>
      <c r="CE80" s="505">
        <f t="shared" si="468"/>
        <v>-32816.538567073178</v>
      </c>
      <c r="CF80" s="505">
        <f t="shared" si="468"/>
        <v>-32816.538567073178</v>
      </c>
      <c r="CG80" s="505">
        <f t="shared" si="468"/>
        <v>-32816.538567073178</v>
      </c>
      <c r="CH80" s="505">
        <f t="shared" si="468"/>
        <v>-32816.538567073178</v>
      </c>
      <c r="CI80" s="505">
        <f t="shared" si="468"/>
        <v>-32816.538567073178</v>
      </c>
      <c r="CJ80" s="505">
        <f t="shared" si="468"/>
        <v>-32816.538567073178</v>
      </c>
      <c r="CK80" s="505">
        <f t="shared" si="468"/>
        <v>-32816.538567073178</v>
      </c>
      <c r="CL80" s="505">
        <f t="shared" si="468"/>
        <v>-32816.538567073178</v>
      </c>
      <c r="CM80" s="505">
        <f t="shared" si="468"/>
        <v>-32816.538567073178</v>
      </c>
      <c r="CN80" s="505">
        <f t="shared" si="468"/>
        <v>-32816.538567073178</v>
      </c>
      <c r="CO80" s="505">
        <f t="shared" si="468"/>
        <v>-32816.538567073178</v>
      </c>
      <c r="CP80" s="505">
        <f t="shared" si="468"/>
        <v>-32816.538567073178</v>
      </c>
      <c r="CQ80" s="505">
        <f t="shared" si="468"/>
        <v>-32816.538567073178</v>
      </c>
      <c r="CR80" s="505">
        <f t="shared" si="468"/>
        <v>-32816.538567073178</v>
      </c>
      <c r="CS80" s="505">
        <f t="shared" si="468"/>
        <v>-32816.538567073178</v>
      </c>
      <c r="CT80" s="505">
        <f t="shared" si="468"/>
        <v>-32816.538567073178</v>
      </c>
      <c r="CU80" s="505">
        <f t="shared" si="468"/>
        <v>-32816.538567073178</v>
      </c>
      <c r="CV80" s="505">
        <f t="shared" si="468"/>
        <v>-32816.538567073178</v>
      </c>
      <c r="CW80" s="505">
        <f t="shared" si="468"/>
        <v>-32816.538567073178</v>
      </c>
      <c r="CX80" s="505">
        <f t="shared" si="468"/>
        <v>-32816.538567073178</v>
      </c>
      <c r="CY80" s="505">
        <f t="shared" si="468"/>
        <v>-32816.538567073178</v>
      </c>
      <c r="CZ80" s="505">
        <f t="shared" si="468"/>
        <v>-32816.538567073178</v>
      </c>
      <c r="DA80" s="505">
        <f t="shared" si="468"/>
        <v>-32816.538567073178</v>
      </c>
      <c r="DB80" s="505">
        <f t="shared" si="468"/>
        <v>-32816.538567073178</v>
      </c>
      <c r="DC80" s="505">
        <f t="shared" si="468"/>
        <v>-32816.538567073178</v>
      </c>
      <c r="DD80" s="505">
        <f t="shared" si="468"/>
        <v>-32816.538567073178</v>
      </c>
      <c r="DE80" s="505">
        <f t="shared" si="468"/>
        <v>-32816.538567073178</v>
      </c>
      <c r="DF80" s="505">
        <f t="shared" si="468"/>
        <v>-32816.538567073178</v>
      </c>
      <c r="DG80" s="505">
        <f t="shared" si="468"/>
        <v>-32816.538567073178</v>
      </c>
      <c r="DH80" s="505">
        <f t="shared" si="468"/>
        <v>-32816.538567073178</v>
      </c>
      <c r="DI80" s="505">
        <f t="shared" si="468"/>
        <v>-32816.538567073178</v>
      </c>
      <c r="DJ80" s="505">
        <f t="shared" si="468"/>
        <v>-32816.538567073178</v>
      </c>
      <c r="DK80" s="505">
        <f t="shared" si="468"/>
        <v>-32816.538567073178</v>
      </c>
      <c r="DL80" s="505">
        <f t="shared" si="468"/>
        <v>-32816.538567073178</v>
      </c>
      <c r="DM80" s="505">
        <f t="shared" si="468"/>
        <v>-32816.538567073178</v>
      </c>
      <c r="DN80" s="505">
        <f t="shared" si="468"/>
        <v>-32816.538567073178</v>
      </c>
      <c r="DO80" s="505">
        <f t="shared" si="468"/>
        <v>-32816.538567073178</v>
      </c>
      <c r="DP80" s="505">
        <f t="shared" si="468"/>
        <v>-32816.538567073178</v>
      </c>
      <c r="DQ80" s="505">
        <f t="shared" si="468"/>
        <v>-32816.538567073178</v>
      </c>
      <c r="DR80" s="505">
        <f t="shared" si="468"/>
        <v>-32816.538567073178</v>
      </c>
      <c r="DS80" s="505">
        <f t="shared" si="468"/>
        <v>-32816.538567073178</v>
      </c>
      <c r="DT80" s="505">
        <f t="shared" si="468"/>
        <v>-32816.538567073178</v>
      </c>
      <c r="DU80" s="505">
        <f t="shared" si="468"/>
        <v>-32816.538567073178</v>
      </c>
      <c r="DV80" s="505">
        <f t="shared" si="468"/>
        <v>-32816.538567073178</v>
      </c>
      <c r="DW80" s="505">
        <f t="shared" si="468"/>
        <v>-32816.538567073178</v>
      </c>
      <c r="DX80" s="505">
        <f t="shared" si="468"/>
        <v>-32816.538567073178</v>
      </c>
      <c r="DY80" s="505">
        <f t="shared" si="468"/>
        <v>-32816.538567073178</v>
      </c>
      <c r="DZ80" s="505">
        <f t="shared" si="468"/>
        <v>-32816.538567073178</v>
      </c>
      <c r="EA80" s="505">
        <f t="shared" si="468"/>
        <v>-32816.538567073178</v>
      </c>
      <c r="EB80" s="505">
        <f t="shared" si="468"/>
        <v>-32816.538567073178</v>
      </c>
      <c r="EC80" s="505">
        <f t="shared" si="468"/>
        <v>-32816.538567073178</v>
      </c>
      <c r="ED80" s="505">
        <f t="shared" si="468"/>
        <v>-32816.538567073178</v>
      </c>
      <c r="EE80" s="505">
        <f t="shared" si="468"/>
        <v>-32816.538567073178</v>
      </c>
      <c r="EF80" s="505">
        <f t="shared" si="468"/>
        <v>-32816.538567073178</v>
      </c>
      <c r="EG80" s="505">
        <f t="shared" si="468"/>
        <v>-32816.538567073178</v>
      </c>
      <c r="EH80" s="505">
        <f t="shared" si="468"/>
        <v>-32816.538567073178</v>
      </c>
      <c r="EI80" s="505">
        <f t="shared" ref="EI80:GT80" si="469">SUM(EI75:EI79)</f>
        <v>-32816.538567073178</v>
      </c>
      <c r="EJ80" s="505">
        <f t="shared" si="469"/>
        <v>-32816.538567073178</v>
      </c>
      <c r="EK80" s="505">
        <f t="shared" si="469"/>
        <v>-32816.538567073178</v>
      </c>
      <c r="EL80" s="505">
        <f t="shared" si="469"/>
        <v>-32816.538567073178</v>
      </c>
      <c r="EM80" s="505">
        <f t="shared" si="469"/>
        <v>-32816.538567073178</v>
      </c>
      <c r="EN80" s="505">
        <f t="shared" si="469"/>
        <v>-32816.538567073178</v>
      </c>
      <c r="EO80" s="505">
        <f t="shared" si="469"/>
        <v>-32816.538567073178</v>
      </c>
      <c r="EP80" s="505">
        <f t="shared" si="469"/>
        <v>-32816.538567073178</v>
      </c>
      <c r="EQ80" s="505">
        <f t="shared" si="469"/>
        <v>-32816.538567073178</v>
      </c>
      <c r="ER80" s="505">
        <f t="shared" si="469"/>
        <v>-32816.538567073178</v>
      </c>
      <c r="ES80" s="505">
        <f t="shared" si="469"/>
        <v>-32816.538567073178</v>
      </c>
      <c r="ET80" s="505">
        <f t="shared" si="469"/>
        <v>-32816.538567073178</v>
      </c>
      <c r="EU80" s="505">
        <f t="shared" si="469"/>
        <v>-32816.538567073178</v>
      </c>
      <c r="EV80" s="505">
        <f t="shared" si="469"/>
        <v>-32816.538567073178</v>
      </c>
      <c r="EW80" s="505">
        <f t="shared" si="469"/>
        <v>-32816.538567073178</v>
      </c>
      <c r="EX80" s="505">
        <f t="shared" si="469"/>
        <v>-32816.538567073178</v>
      </c>
      <c r="EY80" s="505">
        <f t="shared" si="469"/>
        <v>-32816.538567073178</v>
      </c>
      <c r="EZ80" s="505">
        <f t="shared" si="469"/>
        <v>-32816.538567073178</v>
      </c>
      <c r="FA80" s="505">
        <f t="shared" si="469"/>
        <v>-32816.538567073178</v>
      </c>
      <c r="FB80" s="505">
        <f t="shared" si="469"/>
        <v>-32816.538567073178</v>
      </c>
      <c r="FC80" s="505">
        <f t="shared" si="469"/>
        <v>-32816.538567073178</v>
      </c>
      <c r="FD80" s="505">
        <f t="shared" si="469"/>
        <v>-32816.538567073178</v>
      </c>
      <c r="FE80" s="505">
        <f t="shared" si="469"/>
        <v>-32816.538567073178</v>
      </c>
      <c r="FF80" s="505">
        <f t="shared" si="469"/>
        <v>-32816.538567073178</v>
      </c>
      <c r="FG80" s="505">
        <f t="shared" si="469"/>
        <v>-32816.538567073178</v>
      </c>
      <c r="FH80" s="505">
        <f t="shared" si="469"/>
        <v>-32816.538567073178</v>
      </c>
      <c r="FI80" s="505">
        <f t="shared" si="469"/>
        <v>-32816.538567073178</v>
      </c>
      <c r="FJ80" s="505">
        <f t="shared" si="469"/>
        <v>-32816.538567073178</v>
      </c>
      <c r="FK80" s="505">
        <f t="shared" si="469"/>
        <v>-32816.538567073178</v>
      </c>
      <c r="FL80" s="505">
        <f t="shared" si="469"/>
        <v>-32816.538567073178</v>
      </c>
      <c r="FM80" s="505">
        <f t="shared" si="469"/>
        <v>-32816.538567073178</v>
      </c>
      <c r="FN80" s="505">
        <f t="shared" si="469"/>
        <v>-32816.538567073178</v>
      </c>
      <c r="FO80" s="505">
        <f t="shared" si="469"/>
        <v>-32816.538567073178</v>
      </c>
      <c r="FP80" s="505">
        <f t="shared" si="469"/>
        <v>-32816.538567073178</v>
      </c>
      <c r="FQ80" s="505">
        <f t="shared" si="469"/>
        <v>-32816.538567073178</v>
      </c>
      <c r="FR80" s="505">
        <f t="shared" si="469"/>
        <v>-32816.538567073178</v>
      </c>
      <c r="FS80" s="505">
        <f t="shared" si="469"/>
        <v>-32816.538567073178</v>
      </c>
      <c r="FT80" s="505">
        <f t="shared" si="469"/>
        <v>-32816.538567073178</v>
      </c>
      <c r="FU80" s="505">
        <f t="shared" si="469"/>
        <v>-32816.538567073178</v>
      </c>
      <c r="FV80" s="505">
        <f t="shared" si="469"/>
        <v>-32816.538567073178</v>
      </c>
      <c r="FW80" s="505">
        <f t="shared" si="469"/>
        <v>-32816.538567073178</v>
      </c>
      <c r="FX80" s="505">
        <f t="shared" si="469"/>
        <v>-32816.538567073178</v>
      </c>
      <c r="FY80" s="505">
        <f t="shared" si="469"/>
        <v>-32816.538567073178</v>
      </c>
      <c r="FZ80" s="505">
        <f t="shared" si="469"/>
        <v>-32816.538567073178</v>
      </c>
      <c r="GA80" s="505">
        <f t="shared" si="469"/>
        <v>-32816.538567073178</v>
      </c>
      <c r="GB80" s="505">
        <f t="shared" si="469"/>
        <v>-32816.538567073178</v>
      </c>
      <c r="GC80" s="505">
        <f t="shared" si="469"/>
        <v>-32816.538567073178</v>
      </c>
      <c r="GD80" s="505">
        <f t="shared" si="469"/>
        <v>-32816.538567073178</v>
      </c>
      <c r="GE80" s="505">
        <f t="shared" si="469"/>
        <v>-32816.538567073178</v>
      </c>
      <c r="GF80" s="505">
        <f t="shared" si="469"/>
        <v>-32816.538567073178</v>
      </c>
      <c r="GG80" s="505">
        <f t="shared" si="469"/>
        <v>-32816.538567073178</v>
      </c>
      <c r="GH80" s="505">
        <f t="shared" si="469"/>
        <v>-32816.538567073178</v>
      </c>
      <c r="GI80" s="505">
        <f t="shared" si="469"/>
        <v>-32816.538567073178</v>
      </c>
      <c r="GJ80" s="505">
        <f t="shared" si="469"/>
        <v>-32816.538567073178</v>
      </c>
      <c r="GK80" s="505">
        <f t="shared" si="469"/>
        <v>-32816.538567073178</v>
      </c>
      <c r="GL80" s="505">
        <f t="shared" si="469"/>
        <v>-32816.538567073178</v>
      </c>
      <c r="GM80" s="505">
        <f t="shared" si="469"/>
        <v>-32816.538567073178</v>
      </c>
      <c r="GN80" s="505">
        <f t="shared" si="469"/>
        <v>-32816.538567073178</v>
      </c>
      <c r="GO80" s="505">
        <f t="shared" si="469"/>
        <v>-32816.538567073178</v>
      </c>
      <c r="GP80" s="505">
        <f t="shared" si="469"/>
        <v>-32816.538567073178</v>
      </c>
      <c r="GQ80" s="505">
        <f t="shared" si="469"/>
        <v>-32816.538567073178</v>
      </c>
      <c r="GR80" s="505">
        <f t="shared" si="469"/>
        <v>-32816.538567073178</v>
      </c>
      <c r="GS80" s="505">
        <f t="shared" si="469"/>
        <v>-32816.538567073178</v>
      </c>
      <c r="GT80" s="505">
        <f t="shared" si="469"/>
        <v>-32816.538567073178</v>
      </c>
      <c r="GU80" s="505">
        <f t="shared" ref="GU80:JF80" si="470">SUM(GU75:GU79)</f>
        <v>-32816.538567073178</v>
      </c>
      <c r="GV80" s="505">
        <f t="shared" si="470"/>
        <v>-32816.538567073178</v>
      </c>
      <c r="GW80" s="505">
        <f t="shared" si="470"/>
        <v>-32816.538567073178</v>
      </c>
      <c r="GX80" s="505">
        <f t="shared" si="470"/>
        <v>-32816.538567073178</v>
      </c>
      <c r="GY80" s="505">
        <f t="shared" si="470"/>
        <v>-32816.538567073178</v>
      </c>
      <c r="GZ80" s="505">
        <f t="shared" si="470"/>
        <v>-32816.538567073178</v>
      </c>
      <c r="HA80" s="505">
        <f t="shared" si="470"/>
        <v>-32816.538567073178</v>
      </c>
      <c r="HB80" s="505">
        <f t="shared" si="470"/>
        <v>-32816.538567073178</v>
      </c>
      <c r="HC80" s="505">
        <f t="shared" si="470"/>
        <v>-32816.538567073178</v>
      </c>
      <c r="HD80" s="505">
        <f t="shared" si="470"/>
        <v>-32816.538567073178</v>
      </c>
      <c r="HE80" s="505">
        <f t="shared" si="470"/>
        <v>-32816.538567073178</v>
      </c>
      <c r="HF80" s="505">
        <f t="shared" si="470"/>
        <v>-32816.538567073178</v>
      </c>
      <c r="HG80" s="505">
        <f t="shared" si="470"/>
        <v>-32816.538567073178</v>
      </c>
      <c r="HH80" s="505">
        <f t="shared" si="470"/>
        <v>-32816.538567073178</v>
      </c>
      <c r="HI80" s="505">
        <f t="shared" si="470"/>
        <v>-32816.538567073178</v>
      </c>
      <c r="HJ80" s="505">
        <f t="shared" si="470"/>
        <v>-32816.538567073178</v>
      </c>
      <c r="HK80" s="505">
        <f t="shared" si="470"/>
        <v>-32816.538567073178</v>
      </c>
      <c r="HL80" s="505">
        <f t="shared" si="470"/>
        <v>-32816.538567073178</v>
      </c>
      <c r="HM80" s="505">
        <f t="shared" si="470"/>
        <v>-32816.538567073178</v>
      </c>
      <c r="HN80" s="505">
        <f t="shared" si="470"/>
        <v>-32816.538567073178</v>
      </c>
      <c r="HO80" s="505">
        <f t="shared" si="470"/>
        <v>-32816.538567073178</v>
      </c>
      <c r="HP80" s="505">
        <f t="shared" si="470"/>
        <v>-32816.538567073178</v>
      </c>
      <c r="HQ80" s="505">
        <f t="shared" si="470"/>
        <v>-32816.538567073178</v>
      </c>
      <c r="HR80" s="505">
        <f t="shared" si="470"/>
        <v>-32816.538567073178</v>
      </c>
      <c r="HS80" s="505">
        <f t="shared" si="470"/>
        <v>-32816.538567073178</v>
      </c>
      <c r="HT80" s="505">
        <f t="shared" si="470"/>
        <v>-32816.538567073178</v>
      </c>
      <c r="HU80" s="505">
        <f t="shared" si="470"/>
        <v>-32816.538567073178</v>
      </c>
      <c r="HV80" s="505">
        <f t="shared" si="470"/>
        <v>-32816.538567073178</v>
      </c>
      <c r="HW80" s="505">
        <f t="shared" si="470"/>
        <v>-32816.538567073178</v>
      </c>
      <c r="HX80" s="505">
        <f t="shared" si="470"/>
        <v>-32816.538567073178</v>
      </c>
      <c r="HY80" s="505">
        <f t="shared" si="470"/>
        <v>-32816.538567073178</v>
      </c>
      <c r="HZ80" s="505">
        <f t="shared" si="470"/>
        <v>-32816.538567073178</v>
      </c>
      <c r="IA80" s="505">
        <f t="shared" si="470"/>
        <v>-32816.538567073178</v>
      </c>
      <c r="IB80" s="505">
        <f t="shared" si="470"/>
        <v>-32816.538567073178</v>
      </c>
      <c r="IC80" s="505">
        <f t="shared" si="470"/>
        <v>-32816.538567073178</v>
      </c>
      <c r="ID80" s="505">
        <f t="shared" si="470"/>
        <v>-32816.538567073178</v>
      </c>
      <c r="IE80" s="505">
        <f t="shared" si="470"/>
        <v>-32816.538567073178</v>
      </c>
      <c r="IF80" s="505">
        <f t="shared" si="470"/>
        <v>-32816.538567073178</v>
      </c>
      <c r="IG80" s="505">
        <f t="shared" si="470"/>
        <v>-32816.538567073178</v>
      </c>
      <c r="IH80" s="505">
        <f t="shared" si="470"/>
        <v>-32816.538567073178</v>
      </c>
      <c r="II80" s="505">
        <f t="shared" si="470"/>
        <v>-32816.538567073178</v>
      </c>
      <c r="IJ80" s="505">
        <f t="shared" si="470"/>
        <v>-32816.538567073178</v>
      </c>
      <c r="IK80" s="505">
        <f t="shared" si="470"/>
        <v>-32816.538567073178</v>
      </c>
      <c r="IL80" s="505">
        <f t="shared" si="470"/>
        <v>-32816.538567073178</v>
      </c>
      <c r="IM80" s="505">
        <f t="shared" si="470"/>
        <v>-32816.538567073178</v>
      </c>
      <c r="IN80" s="505">
        <f t="shared" si="470"/>
        <v>-32816.538567073178</v>
      </c>
      <c r="IO80" s="505">
        <f t="shared" si="470"/>
        <v>-32816.538567073178</v>
      </c>
      <c r="IP80" s="505">
        <f t="shared" si="470"/>
        <v>-32816.538567073178</v>
      </c>
      <c r="IQ80" s="505">
        <f t="shared" si="470"/>
        <v>-32816.538567073178</v>
      </c>
      <c r="IR80" s="505">
        <f t="shared" si="470"/>
        <v>-32816.538567073178</v>
      </c>
      <c r="IS80" s="505">
        <f t="shared" si="470"/>
        <v>-32816.538567073178</v>
      </c>
      <c r="IT80" s="505">
        <f t="shared" si="470"/>
        <v>-32816.538567073178</v>
      </c>
      <c r="IU80" s="505">
        <f t="shared" si="470"/>
        <v>-32816.538567073178</v>
      </c>
      <c r="IV80" s="505">
        <f t="shared" si="470"/>
        <v>-32816.538567073178</v>
      </c>
      <c r="IW80" s="505">
        <f t="shared" si="470"/>
        <v>-32816.538567073178</v>
      </c>
      <c r="IX80" s="505">
        <f t="shared" si="470"/>
        <v>-32816.538567073178</v>
      </c>
      <c r="IY80" s="505">
        <f t="shared" si="470"/>
        <v>-32816.538567073178</v>
      </c>
      <c r="IZ80" s="505">
        <f t="shared" si="470"/>
        <v>-32816.538567073178</v>
      </c>
      <c r="JA80" s="505">
        <f t="shared" si="470"/>
        <v>-32816.538567073178</v>
      </c>
      <c r="JB80" s="505">
        <f t="shared" si="470"/>
        <v>-32816.538567073178</v>
      </c>
      <c r="JC80" s="505">
        <f t="shared" si="470"/>
        <v>-32816.538567073178</v>
      </c>
      <c r="JD80" s="505">
        <f t="shared" si="470"/>
        <v>-32816.538567073178</v>
      </c>
      <c r="JE80" s="505">
        <f t="shared" si="470"/>
        <v>-32816.538567073178</v>
      </c>
      <c r="JF80" s="505">
        <f t="shared" si="470"/>
        <v>-32816.538567073178</v>
      </c>
      <c r="JG80" s="505">
        <f t="shared" ref="JG80:LR80" si="471">SUM(JG75:JG79)</f>
        <v>-32816.538567073178</v>
      </c>
      <c r="JH80" s="505">
        <f t="shared" si="471"/>
        <v>-32816.538567073178</v>
      </c>
      <c r="JI80" s="505">
        <f t="shared" si="471"/>
        <v>-32816.538567073178</v>
      </c>
      <c r="JJ80" s="505">
        <f t="shared" si="471"/>
        <v>-32816.538567073178</v>
      </c>
      <c r="JK80" s="505">
        <f t="shared" si="471"/>
        <v>-32816.538567073178</v>
      </c>
      <c r="JL80" s="505">
        <f t="shared" si="471"/>
        <v>-32816.538567073178</v>
      </c>
      <c r="JM80" s="505">
        <f t="shared" si="471"/>
        <v>-32816.538567073178</v>
      </c>
      <c r="JN80" s="505">
        <f t="shared" si="471"/>
        <v>-32816.538567073178</v>
      </c>
      <c r="JO80" s="505">
        <f t="shared" si="471"/>
        <v>-32816.538567073178</v>
      </c>
      <c r="JP80" s="505">
        <f t="shared" si="471"/>
        <v>-32816.538567073178</v>
      </c>
      <c r="JQ80" s="505">
        <f t="shared" si="471"/>
        <v>-32816.538567073178</v>
      </c>
      <c r="JR80" s="505">
        <f t="shared" si="471"/>
        <v>-32816.538567073178</v>
      </c>
      <c r="JS80" s="505">
        <f t="shared" si="471"/>
        <v>-32816.538567073178</v>
      </c>
      <c r="JT80" s="505">
        <f t="shared" si="471"/>
        <v>-32816.538567073178</v>
      </c>
      <c r="JU80" s="505">
        <f t="shared" si="471"/>
        <v>-32816.538567073178</v>
      </c>
      <c r="JV80" s="505">
        <f t="shared" si="471"/>
        <v>-32816.538567073178</v>
      </c>
      <c r="JW80" s="505">
        <f t="shared" si="471"/>
        <v>-32816.538567073178</v>
      </c>
      <c r="JX80" s="505">
        <f t="shared" si="471"/>
        <v>-32816.538567073178</v>
      </c>
      <c r="JY80" s="505">
        <f t="shared" si="471"/>
        <v>-32816.538567073178</v>
      </c>
      <c r="JZ80" s="505">
        <f t="shared" si="471"/>
        <v>-32816.538567073178</v>
      </c>
      <c r="KA80" s="505">
        <f t="shared" si="471"/>
        <v>-32816.538567073178</v>
      </c>
      <c r="KB80" s="505">
        <f t="shared" si="471"/>
        <v>-32816.538567073178</v>
      </c>
      <c r="KC80" s="505">
        <f t="shared" si="471"/>
        <v>-32816.538567073178</v>
      </c>
      <c r="KD80" s="505">
        <f t="shared" si="471"/>
        <v>-32816.538567073178</v>
      </c>
      <c r="KE80" s="505">
        <f t="shared" si="471"/>
        <v>-32816.538567073178</v>
      </c>
      <c r="KF80" s="505">
        <f t="shared" si="471"/>
        <v>-32816.538567073178</v>
      </c>
      <c r="KG80" s="505">
        <f t="shared" si="471"/>
        <v>-32816.538567073178</v>
      </c>
      <c r="KH80" s="505">
        <f t="shared" si="471"/>
        <v>-32816.538567073178</v>
      </c>
      <c r="KI80" s="505">
        <f t="shared" si="471"/>
        <v>-32816.538567073178</v>
      </c>
      <c r="KJ80" s="505">
        <f t="shared" si="471"/>
        <v>-32816.538567073178</v>
      </c>
      <c r="KK80" s="505">
        <f t="shared" si="471"/>
        <v>-32816.538567073178</v>
      </c>
      <c r="KL80" s="505">
        <f t="shared" si="471"/>
        <v>-32816.538567073178</v>
      </c>
      <c r="KM80" s="505">
        <f t="shared" si="471"/>
        <v>-32816.538567073178</v>
      </c>
      <c r="KN80" s="505">
        <f t="shared" si="471"/>
        <v>-32816.538567073178</v>
      </c>
      <c r="KO80" s="505">
        <f t="shared" si="471"/>
        <v>-32816.538567073178</v>
      </c>
      <c r="KP80" s="505">
        <f t="shared" si="471"/>
        <v>-32816.538567073178</v>
      </c>
      <c r="KQ80" s="505">
        <f t="shared" si="471"/>
        <v>-32816.538567073178</v>
      </c>
      <c r="KR80" s="505">
        <f t="shared" si="471"/>
        <v>-32816.538567073178</v>
      </c>
      <c r="KS80" s="505">
        <f t="shared" si="471"/>
        <v>-32816.538567073178</v>
      </c>
      <c r="KT80" s="505">
        <f t="shared" si="471"/>
        <v>-32816.538567073178</v>
      </c>
      <c r="KU80" s="505">
        <f t="shared" si="471"/>
        <v>-32816.538567073178</v>
      </c>
      <c r="KV80" s="505">
        <f t="shared" si="471"/>
        <v>-32816.538567073178</v>
      </c>
      <c r="KW80" s="505">
        <f t="shared" si="471"/>
        <v>-32816.538567073178</v>
      </c>
      <c r="KX80" s="505">
        <f t="shared" si="471"/>
        <v>-32816.538567073178</v>
      </c>
      <c r="KY80" s="505">
        <f t="shared" si="471"/>
        <v>-32816.538567073178</v>
      </c>
      <c r="KZ80" s="505">
        <f t="shared" si="471"/>
        <v>-32816.538567073178</v>
      </c>
      <c r="LA80" s="505">
        <f t="shared" si="471"/>
        <v>-32816.538567073178</v>
      </c>
      <c r="LB80" s="505">
        <f t="shared" si="471"/>
        <v>-32816.538567073178</v>
      </c>
      <c r="LC80" s="505">
        <f t="shared" si="471"/>
        <v>-32816.538567073178</v>
      </c>
      <c r="LD80" s="505">
        <f t="shared" si="471"/>
        <v>-32816.538567073178</v>
      </c>
      <c r="LE80" s="505">
        <f t="shared" si="471"/>
        <v>-32816.538567073178</v>
      </c>
      <c r="LF80" s="505">
        <f t="shared" si="471"/>
        <v>-32816.538567073178</v>
      </c>
      <c r="LG80" s="505">
        <f t="shared" si="471"/>
        <v>-32816.538567073178</v>
      </c>
      <c r="LH80" s="505">
        <f t="shared" si="471"/>
        <v>-32816.538567073178</v>
      </c>
      <c r="LI80" s="505">
        <f t="shared" si="471"/>
        <v>-32816.538567073178</v>
      </c>
      <c r="LJ80" s="505">
        <f t="shared" si="471"/>
        <v>-32816.538567073178</v>
      </c>
      <c r="LK80" s="505">
        <f t="shared" si="471"/>
        <v>-32816.538567073178</v>
      </c>
      <c r="LL80" s="505">
        <f t="shared" si="471"/>
        <v>-32816.538567073178</v>
      </c>
      <c r="LM80" s="505">
        <f t="shared" si="471"/>
        <v>-32816.538567073178</v>
      </c>
      <c r="LN80" s="505">
        <f t="shared" si="471"/>
        <v>-32816.538567073178</v>
      </c>
      <c r="LO80" s="505">
        <f t="shared" si="471"/>
        <v>-32816.538567073178</v>
      </c>
      <c r="LP80" s="505">
        <f t="shared" si="471"/>
        <v>-32816.538567073178</v>
      </c>
      <c r="LQ80" s="505">
        <f t="shared" si="471"/>
        <v>-32816.538567073178</v>
      </c>
      <c r="LR80" s="505">
        <f t="shared" si="471"/>
        <v>-32816.538567073178</v>
      </c>
      <c r="LS80" s="505">
        <f t="shared" ref="LS80:OD80" si="472">SUM(LS75:LS79)</f>
        <v>-32816.538567073178</v>
      </c>
      <c r="LT80" s="505">
        <f t="shared" si="472"/>
        <v>-32816.538567073178</v>
      </c>
      <c r="LU80" s="505">
        <f t="shared" si="472"/>
        <v>-32816.538567073178</v>
      </c>
      <c r="LV80" s="505">
        <f t="shared" si="472"/>
        <v>-32816.538567073178</v>
      </c>
      <c r="LW80" s="505">
        <f t="shared" si="472"/>
        <v>-32816.538567073178</v>
      </c>
      <c r="LX80" s="505">
        <f t="shared" si="472"/>
        <v>-32816.538567073178</v>
      </c>
      <c r="LY80" s="505">
        <f t="shared" si="472"/>
        <v>-32816.538567073178</v>
      </c>
      <c r="LZ80" s="505">
        <f t="shared" si="472"/>
        <v>-32816.538567073178</v>
      </c>
      <c r="MA80" s="505">
        <f t="shared" si="472"/>
        <v>-32816.538567073178</v>
      </c>
      <c r="MB80" s="505">
        <f t="shared" si="472"/>
        <v>-32816.538567073178</v>
      </c>
      <c r="MC80" s="505">
        <f t="shared" si="472"/>
        <v>-32816.538567073178</v>
      </c>
      <c r="MD80" s="505">
        <f t="shared" si="472"/>
        <v>-32816.538567073178</v>
      </c>
      <c r="ME80" s="505">
        <f t="shared" si="472"/>
        <v>-32816.538567073178</v>
      </c>
      <c r="MF80" s="505">
        <f t="shared" si="472"/>
        <v>-32816.538567073178</v>
      </c>
      <c r="MG80" s="505">
        <f t="shared" si="472"/>
        <v>-32816.538567073178</v>
      </c>
      <c r="MH80" s="505">
        <f t="shared" si="472"/>
        <v>-32816.538567073178</v>
      </c>
      <c r="MI80" s="505">
        <f t="shared" si="472"/>
        <v>-32816.538567073178</v>
      </c>
      <c r="MJ80" s="505">
        <f t="shared" si="472"/>
        <v>-32816.538567073178</v>
      </c>
      <c r="MK80" s="505">
        <f t="shared" si="472"/>
        <v>-32816.538567073178</v>
      </c>
      <c r="ML80" s="505">
        <f t="shared" si="472"/>
        <v>-32816.538567073178</v>
      </c>
      <c r="MM80" s="505">
        <f t="shared" si="472"/>
        <v>-32816.538567073178</v>
      </c>
      <c r="MN80" s="505">
        <f t="shared" si="472"/>
        <v>-32816.538567073178</v>
      </c>
      <c r="MO80" s="505">
        <f t="shared" si="472"/>
        <v>-32816.538567073178</v>
      </c>
      <c r="MP80" s="505">
        <f t="shared" si="472"/>
        <v>-32816.538567073178</v>
      </c>
      <c r="MQ80" s="505">
        <f t="shared" si="472"/>
        <v>-32816.538567073178</v>
      </c>
      <c r="MR80" s="505">
        <f t="shared" si="472"/>
        <v>-32816.538567073178</v>
      </c>
      <c r="MS80" s="505">
        <f t="shared" si="472"/>
        <v>-32816.538567073178</v>
      </c>
      <c r="MT80" s="505">
        <f t="shared" si="472"/>
        <v>-32816.538567073178</v>
      </c>
      <c r="MU80" s="505">
        <f t="shared" si="472"/>
        <v>-32816.538567073178</v>
      </c>
      <c r="MV80" s="505">
        <f t="shared" si="472"/>
        <v>-32816.538567073178</v>
      </c>
      <c r="MW80" s="505">
        <f t="shared" si="472"/>
        <v>-32816.538567073178</v>
      </c>
      <c r="MX80" s="505">
        <f t="shared" si="472"/>
        <v>-32816.538567073178</v>
      </c>
      <c r="MY80" s="505">
        <f t="shared" si="472"/>
        <v>-32816.538567073178</v>
      </c>
      <c r="MZ80" s="505">
        <f t="shared" si="472"/>
        <v>-32816.538567073178</v>
      </c>
      <c r="NA80" s="505">
        <f t="shared" si="472"/>
        <v>-32816.538567073178</v>
      </c>
      <c r="NB80" s="505">
        <f t="shared" si="472"/>
        <v>-32816.538567073178</v>
      </c>
      <c r="NC80" s="505">
        <f t="shared" si="472"/>
        <v>-32816.538567073178</v>
      </c>
      <c r="ND80" s="505">
        <f t="shared" si="472"/>
        <v>-32816.538567073178</v>
      </c>
      <c r="NE80" s="505">
        <f t="shared" si="472"/>
        <v>-32816.538567073178</v>
      </c>
      <c r="NF80" s="505">
        <f t="shared" si="472"/>
        <v>-32816.538567073178</v>
      </c>
      <c r="NG80" s="505">
        <f t="shared" si="472"/>
        <v>-32816.538567073178</v>
      </c>
      <c r="NH80" s="505">
        <f t="shared" si="472"/>
        <v>-32816.538567073178</v>
      </c>
      <c r="NI80" s="505">
        <f t="shared" si="472"/>
        <v>-32816.538567073178</v>
      </c>
      <c r="NJ80" s="505">
        <f t="shared" si="472"/>
        <v>-32816.538567073178</v>
      </c>
      <c r="NK80" s="505">
        <f t="shared" si="472"/>
        <v>-32816.538567073178</v>
      </c>
      <c r="NL80" s="505">
        <f t="shared" si="472"/>
        <v>-32816.538567073178</v>
      </c>
      <c r="NM80" s="505">
        <f t="shared" si="472"/>
        <v>-32816.538567073178</v>
      </c>
      <c r="NN80" s="505">
        <f t="shared" si="472"/>
        <v>-32816.538567073178</v>
      </c>
      <c r="NO80" s="505">
        <f t="shared" si="472"/>
        <v>-32816.538567073178</v>
      </c>
      <c r="NP80" s="505">
        <f t="shared" si="472"/>
        <v>-32816.538567073178</v>
      </c>
      <c r="NQ80" s="505">
        <f t="shared" si="472"/>
        <v>-32816.538567073178</v>
      </c>
      <c r="NR80" s="505">
        <f t="shared" si="472"/>
        <v>-32816.538567073178</v>
      </c>
      <c r="NS80" s="505">
        <f t="shared" si="472"/>
        <v>-32816.538567073178</v>
      </c>
      <c r="NT80" s="505">
        <f t="shared" si="472"/>
        <v>-32816.538567073178</v>
      </c>
      <c r="NU80" s="505">
        <f t="shared" si="472"/>
        <v>-32816.538567073178</v>
      </c>
      <c r="NV80" s="505">
        <f t="shared" si="472"/>
        <v>-32816.538567073178</v>
      </c>
      <c r="NW80" s="505">
        <f t="shared" si="472"/>
        <v>-32816.538567073178</v>
      </c>
      <c r="NX80" s="505">
        <f t="shared" si="472"/>
        <v>-32816.538567073178</v>
      </c>
      <c r="NY80" s="505">
        <f t="shared" si="472"/>
        <v>-32816.538567073178</v>
      </c>
      <c r="NZ80" s="505">
        <f t="shared" si="472"/>
        <v>-32816.538567073178</v>
      </c>
      <c r="OA80" s="505">
        <f t="shared" si="472"/>
        <v>-32816.538567073178</v>
      </c>
      <c r="OB80" s="505">
        <f t="shared" si="472"/>
        <v>-32816.538567073178</v>
      </c>
      <c r="OC80" s="505">
        <f t="shared" si="472"/>
        <v>-32816.538567073178</v>
      </c>
      <c r="OD80" s="505">
        <f t="shared" si="472"/>
        <v>-32816.538567073178</v>
      </c>
      <c r="OE80" s="505">
        <f t="shared" ref="OE80:OO80" si="473">SUM(OE75:OE79)</f>
        <v>-32816.538567073178</v>
      </c>
      <c r="OF80" s="505">
        <f t="shared" si="473"/>
        <v>-32816.538567073178</v>
      </c>
      <c r="OG80" s="505">
        <f t="shared" si="473"/>
        <v>-32816.538567073178</v>
      </c>
      <c r="OH80" s="505">
        <f t="shared" si="473"/>
        <v>-32816.538567073178</v>
      </c>
      <c r="OI80" s="505">
        <f t="shared" si="473"/>
        <v>-32816.538567073178</v>
      </c>
      <c r="OJ80" s="505">
        <f t="shared" si="473"/>
        <v>-32816.538567073178</v>
      </c>
      <c r="OK80" s="505">
        <f t="shared" si="473"/>
        <v>-32816.538567073178</v>
      </c>
      <c r="OL80" s="505">
        <f t="shared" si="473"/>
        <v>-32816.538567073178</v>
      </c>
      <c r="OM80" s="505">
        <f t="shared" si="473"/>
        <v>-32816.538567073178</v>
      </c>
      <c r="ON80" s="505">
        <f t="shared" si="473"/>
        <v>-32816.538567073178</v>
      </c>
      <c r="OO80" s="505">
        <f t="shared" si="473"/>
        <v>-32816.538567073178</v>
      </c>
    </row>
    <row r="81" spans="2:405">
      <c r="B81" s="476"/>
      <c r="C81" s="476"/>
      <c r="D81" s="171"/>
    </row>
    <row r="82" spans="2:405">
      <c r="B82" s="174" t="s">
        <v>404</v>
      </c>
      <c r="C82" s="174"/>
      <c r="D82" s="171"/>
    </row>
    <row r="83" spans="2:405">
      <c r="B83" s="7" t="s">
        <v>28</v>
      </c>
      <c r="D83" s="537">
        <f>D67+D75</f>
        <v>7364408.7932926826</v>
      </c>
      <c r="E83" s="507">
        <f>Assumptions!$C$13</f>
        <v>47330</v>
      </c>
      <c r="F83" s="507">
        <f>EOMONTH(E83,Assumptions!$C$14-1)</f>
        <v>58256</v>
      </c>
      <c r="G83" s="97">
        <f t="shared" ref="G83:G87" si="474">((YEAR(F83)-YEAR(E83))*12+MONTH(F83)-MONTH(E83)+1)</f>
        <v>360</v>
      </c>
      <c r="H83" s="97"/>
      <c r="J83" s="442">
        <f>J67+J75</f>
        <v>0</v>
      </c>
      <c r="K83" s="442">
        <f t="shared" ref="K83:BV83" si="475">K67+K75</f>
        <v>0</v>
      </c>
      <c r="L83" s="442">
        <f t="shared" si="475"/>
        <v>0</v>
      </c>
      <c r="M83" s="442">
        <f t="shared" si="475"/>
        <v>0</v>
      </c>
      <c r="N83" s="442">
        <f t="shared" si="475"/>
        <v>0</v>
      </c>
      <c r="O83" s="442">
        <f t="shared" si="475"/>
        <v>0</v>
      </c>
      <c r="P83" s="442">
        <f t="shared" si="475"/>
        <v>0</v>
      </c>
      <c r="Q83" s="442">
        <f t="shared" si="475"/>
        <v>0</v>
      </c>
      <c r="R83" s="442">
        <f t="shared" si="475"/>
        <v>0</v>
      </c>
      <c r="S83" s="442">
        <f t="shared" si="475"/>
        <v>0</v>
      </c>
      <c r="T83" s="442">
        <f t="shared" si="475"/>
        <v>0</v>
      </c>
      <c r="U83" s="442">
        <f t="shared" si="475"/>
        <v>0</v>
      </c>
      <c r="V83" s="442">
        <f t="shared" si="475"/>
        <v>0</v>
      </c>
      <c r="W83" s="442">
        <f t="shared" si="475"/>
        <v>0</v>
      </c>
      <c r="X83" s="442">
        <f t="shared" si="475"/>
        <v>0</v>
      </c>
      <c r="Y83" s="442">
        <f t="shared" si="475"/>
        <v>0</v>
      </c>
      <c r="Z83" s="442">
        <f t="shared" si="475"/>
        <v>0</v>
      </c>
      <c r="AA83" s="442">
        <f t="shared" si="475"/>
        <v>0</v>
      </c>
      <c r="AB83" s="442">
        <f t="shared" si="475"/>
        <v>0</v>
      </c>
      <c r="AC83" s="442">
        <f t="shared" si="475"/>
        <v>0</v>
      </c>
      <c r="AD83" s="442">
        <f t="shared" si="475"/>
        <v>0</v>
      </c>
      <c r="AE83" s="442">
        <f t="shared" si="475"/>
        <v>0</v>
      </c>
      <c r="AF83" s="442">
        <f t="shared" si="475"/>
        <v>0</v>
      </c>
      <c r="AG83" s="442">
        <f t="shared" si="475"/>
        <v>0</v>
      </c>
      <c r="AH83" s="442">
        <f t="shared" si="475"/>
        <v>0</v>
      </c>
      <c r="AI83" s="442">
        <f t="shared" si="475"/>
        <v>0</v>
      </c>
      <c r="AJ83" s="442">
        <f t="shared" si="475"/>
        <v>0</v>
      </c>
      <c r="AK83" s="442">
        <f t="shared" si="475"/>
        <v>0</v>
      </c>
      <c r="AL83" s="442">
        <f t="shared" si="475"/>
        <v>0</v>
      </c>
      <c r="AM83" s="442">
        <f t="shared" si="475"/>
        <v>0</v>
      </c>
      <c r="AN83" s="442">
        <f t="shared" si="475"/>
        <v>0</v>
      </c>
      <c r="AO83" s="442">
        <f t="shared" si="475"/>
        <v>0</v>
      </c>
      <c r="AP83" s="442">
        <f t="shared" si="475"/>
        <v>0</v>
      </c>
      <c r="AQ83" s="442">
        <f t="shared" si="475"/>
        <v>0</v>
      </c>
      <c r="AR83" s="442">
        <f t="shared" si="475"/>
        <v>0</v>
      </c>
      <c r="AS83" s="442">
        <f t="shared" si="475"/>
        <v>0</v>
      </c>
      <c r="AT83" s="442">
        <f t="shared" si="475"/>
        <v>613700.73277439026</v>
      </c>
      <c r="AU83" s="442">
        <f t="shared" si="475"/>
        <v>613700.73277439026</v>
      </c>
      <c r="AV83" s="442">
        <f t="shared" si="475"/>
        <v>613700.73277439026</v>
      </c>
      <c r="AW83" s="442">
        <f t="shared" si="475"/>
        <v>613700.73277439026</v>
      </c>
      <c r="AX83" s="442">
        <f t="shared" si="475"/>
        <v>613700.73277439026</v>
      </c>
      <c r="AY83" s="442">
        <f t="shared" si="475"/>
        <v>613700.73277439026</v>
      </c>
      <c r="AZ83" s="442">
        <f t="shared" si="475"/>
        <v>626620.74820121948</v>
      </c>
      <c r="BA83" s="442">
        <f t="shared" si="475"/>
        <v>626620.74820121948</v>
      </c>
      <c r="BB83" s="442">
        <f t="shared" si="475"/>
        <v>626620.74820121948</v>
      </c>
      <c r="BC83" s="442">
        <f t="shared" si="475"/>
        <v>626620.74820121948</v>
      </c>
      <c r="BD83" s="442">
        <f t="shared" si="475"/>
        <v>626620.74820121948</v>
      </c>
      <c r="BE83" s="442">
        <f t="shared" si="475"/>
        <v>626620.74820121948</v>
      </c>
      <c r="BF83" s="442">
        <f t="shared" si="475"/>
        <v>626620.74820121948</v>
      </c>
      <c r="BG83" s="442">
        <f t="shared" si="475"/>
        <v>626620.74820121948</v>
      </c>
      <c r="BH83" s="442">
        <f t="shared" si="475"/>
        <v>626620.74820121948</v>
      </c>
      <c r="BI83" s="442">
        <f t="shared" si="475"/>
        <v>626620.74820121948</v>
      </c>
      <c r="BJ83" s="442">
        <f t="shared" si="475"/>
        <v>626620.74820121948</v>
      </c>
      <c r="BK83" s="442">
        <f t="shared" si="475"/>
        <v>626620.74820121948</v>
      </c>
      <c r="BL83" s="442">
        <f t="shared" si="475"/>
        <v>639799.1639365853</v>
      </c>
      <c r="BM83" s="442">
        <f t="shared" si="475"/>
        <v>639799.1639365853</v>
      </c>
      <c r="BN83" s="442">
        <f t="shared" si="475"/>
        <v>639799.1639365853</v>
      </c>
      <c r="BO83" s="442">
        <f t="shared" si="475"/>
        <v>639799.1639365853</v>
      </c>
      <c r="BP83" s="442">
        <f t="shared" si="475"/>
        <v>639799.1639365853</v>
      </c>
      <c r="BQ83" s="442">
        <f t="shared" si="475"/>
        <v>639799.1639365853</v>
      </c>
      <c r="BR83" s="442">
        <f t="shared" si="475"/>
        <v>639799.1639365853</v>
      </c>
      <c r="BS83" s="442">
        <f t="shared" si="475"/>
        <v>639799.1639365853</v>
      </c>
      <c r="BT83" s="442">
        <f t="shared" si="475"/>
        <v>639799.1639365853</v>
      </c>
      <c r="BU83" s="442">
        <f t="shared" si="475"/>
        <v>639799.1639365853</v>
      </c>
      <c r="BV83" s="442">
        <f t="shared" si="475"/>
        <v>639799.1639365853</v>
      </c>
      <c r="BW83" s="442">
        <f t="shared" ref="BW83:EH83" si="476">BW67+BW75</f>
        <v>639799.1639365853</v>
      </c>
      <c r="BX83" s="442">
        <f t="shared" si="476"/>
        <v>653241.1479866585</v>
      </c>
      <c r="BY83" s="442">
        <f t="shared" si="476"/>
        <v>653241.1479866585</v>
      </c>
      <c r="BZ83" s="442">
        <f t="shared" si="476"/>
        <v>653241.1479866585</v>
      </c>
      <c r="CA83" s="442">
        <f t="shared" si="476"/>
        <v>653241.1479866585</v>
      </c>
      <c r="CB83" s="442">
        <f t="shared" si="476"/>
        <v>653241.1479866585</v>
      </c>
      <c r="CC83" s="442">
        <f t="shared" si="476"/>
        <v>653241.1479866585</v>
      </c>
      <c r="CD83" s="442">
        <f t="shared" si="476"/>
        <v>653241.1479866585</v>
      </c>
      <c r="CE83" s="442">
        <f t="shared" si="476"/>
        <v>653241.1479866585</v>
      </c>
      <c r="CF83" s="442">
        <f t="shared" si="476"/>
        <v>653241.1479866585</v>
      </c>
      <c r="CG83" s="442">
        <f t="shared" si="476"/>
        <v>653241.1479866585</v>
      </c>
      <c r="CH83" s="442">
        <f t="shared" si="476"/>
        <v>653241.1479866585</v>
      </c>
      <c r="CI83" s="442">
        <f t="shared" si="476"/>
        <v>653241.1479866585</v>
      </c>
      <c r="CJ83" s="442">
        <f t="shared" si="476"/>
        <v>666951.97171773307</v>
      </c>
      <c r="CK83" s="442">
        <f t="shared" si="476"/>
        <v>666951.97171773307</v>
      </c>
      <c r="CL83" s="442">
        <f t="shared" si="476"/>
        <v>666951.97171773307</v>
      </c>
      <c r="CM83" s="442">
        <f t="shared" si="476"/>
        <v>666951.97171773307</v>
      </c>
      <c r="CN83" s="442">
        <f t="shared" si="476"/>
        <v>666951.97171773307</v>
      </c>
      <c r="CO83" s="442">
        <f t="shared" si="476"/>
        <v>666951.97171773307</v>
      </c>
      <c r="CP83" s="442">
        <f t="shared" si="476"/>
        <v>666951.97171773307</v>
      </c>
      <c r="CQ83" s="442">
        <f t="shared" si="476"/>
        <v>666951.97171773307</v>
      </c>
      <c r="CR83" s="442">
        <f t="shared" si="476"/>
        <v>666951.97171773307</v>
      </c>
      <c r="CS83" s="442">
        <f t="shared" si="476"/>
        <v>666951.97171773307</v>
      </c>
      <c r="CT83" s="442">
        <f t="shared" si="476"/>
        <v>666951.97171773307</v>
      </c>
      <c r="CU83" s="442">
        <f t="shared" si="476"/>
        <v>666951.97171773307</v>
      </c>
      <c r="CV83" s="442">
        <f t="shared" si="476"/>
        <v>680937.01192342921</v>
      </c>
      <c r="CW83" s="442">
        <f t="shared" si="476"/>
        <v>680937.01192342921</v>
      </c>
      <c r="CX83" s="442">
        <f t="shared" si="476"/>
        <v>680937.01192342921</v>
      </c>
      <c r="CY83" s="442">
        <f t="shared" si="476"/>
        <v>680937.01192342921</v>
      </c>
      <c r="CZ83" s="442">
        <f t="shared" si="476"/>
        <v>680937.01192342921</v>
      </c>
      <c r="DA83" s="442">
        <f t="shared" si="476"/>
        <v>680937.01192342921</v>
      </c>
      <c r="DB83" s="442">
        <f t="shared" si="476"/>
        <v>680937.01192342921</v>
      </c>
      <c r="DC83" s="442">
        <f t="shared" si="476"/>
        <v>680937.01192342921</v>
      </c>
      <c r="DD83" s="442">
        <f t="shared" si="476"/>
        <v>680937.01192342921</v>
      </c>
      <c r="DE83" s="442">
        <f t="shared" si="476"/>
        <v>680937.01192342921</v>
      </c>
      <c r="DF83" s="442">
        <f t="shared" si="476"/>
        <v>680937.01192342921</v>
      </c>
      <c r="DG83" s="442">
        <f t="shared" si="476"/>
        <v>680937.01192342921</v>
      </c>
      <c r="DH83" s="442">
        <f t="shared" si="476"/>
        <v>695201.75293323945</v>
      </c>
      <c r="DI83" s="442">
        <f t="shared" si="476"/>
        <v>695201.75293323945</v>
      </c>
      <c r="DJ83" s="442">
        <f t="shared" si="476"/>
        <v>695201.75293323945</v>
      </c>
      <c r="DK83" s="442">
        <f t="shared" si="476"/>
        <v>695201.75293323945</v>
      </c>
      <c r="DL83" s="442">
        <f t="shared" si="476"/>
        <v>695201.75293323945</v>
      </c>
      <c r="DM83" s="442">
        <f t="shared" si="476"/>
        <v>695201.75293323945</v>
      </c>
      <c r="DN83" s="442">
        <f t="shared" si="476"/>
        <v>695201.75293323945</v>
      </c>
      <c r="DO83" s="442">
        <f t="shared" si="476"/>
        <v>695201.75293323945</v>
      </c>
      <c r="DP83" s="442">
        <f t="shared" si="476"/>
        <v>695201.75293323945</v>
      </c>
      <c r="DQ83" s="442">
        <f t="shared" si="476"/>
        <v>695201.75293323945</v>
      </c>
      <c r="DR83" s="442">
        <f t="shared" si="476"/>
        <v>695201.75293323945</v>
      </c>
      <c r="DS83" s="442">
        <f t="shared" si="476"/>
        <v>695201.75293323945</v>
      </c>
      <c r="DT83" s="442">
        <f t="shared" si="476"/>
        <v>709751.78876324545</v>
      </c>
      <c r="DU83" s="442">
        <f t="shared" si="476"/>
        <v>709751.78876324545</v>
      </c>
      <c r="DV83" s="442">
        <f t="shared" si="476"/>
        <v>709751.78876324545</v>
      </c>
      <c r="DW83" s="442">
        <f t="shared" si="476"/>
        <v>709751.78876324545</v>
      </c>
      <c r="DX83" s="442">
        <f t="shared" si="476"/>
        <v>709751.78876324545</v>
      </c>
      <c r="DY83" s="442">
        <f t="shared" si="476"/>
        <v>709751.78876324545</v>
      </c>
      <c r="DZ83" s="442">
        <f t="shared" si="476"/>
        <v>709751.78876324545</v>
      </c>
      <c r="EA83" s="442">
        <f t="shared" si="476"/>
        <v>709751.78876324545</v>
      </c>
      <c r="EB83" s="442">
        <f t="shared" si="476"/>
        <v>709751.78876324545</v>
      </c>
      <c r="EC83" s="442">
        <f t="shared" si="476"/>
        <v>709751.78876324545</v>
      </c>
      <c r="ED83" s="442">
        <f t="shared" si="476"/>
        <v>709751.78876324545</v>
      </c>
      <c r="EE83" s="442">
        <f t="shared" si="476"/>
        <v>709751.78876324545</v>
      </c>
      <c r="EF83" s="442">
        <f t="shared" si="476"/>
        <v>724592.82530985179</v>
      </c>
      <c r="EG83" s="442">
        <f t="shared" si="476"/>
        <v>724592.82530985179</v>
      </c>
      <c r="EH83" s="442">
        <f t="shared" si="476"/>
        <v>724592.82530985179</v>
      </c>
      <c r="EI83" s="442">
        <f t="shared" ref="EI83:GT83" si="477">EI67+EI75</f>
        <v>724592.82530985179</v>
      </c>
      <c r="EJ83" s="442">
        <f t="shared" si="477"/>
        <v>724592.82530985179</v>
      </c>
      <c r="EK83" s="442">
        <f t="shared" si="477"/>
        <v>724592.82530985179</v>
      </c>
      <c r="EL83" s="442">
        <f t="shared" si="477"/>
        <v>724592.82530985179</v>
      </c>
      <c r="EM83" s="442">
        <f t="shared" si="477"/>
        <v>724592.82530985179</v>
      </c>
      <c r="EN83" s="442">
        <f t="shared" si="477"/>
        <v>724592.82530985179</v>
      </c>
      <c r="EO83" s="442">
        <f t="shared" si="477"/>
        <v>724592.82530985179</v>
      </c>
      <c r="EP83" s="442">
        <f t="shared" si="477"/>
        <v>724592.82530985179</v>
      </c>
      <c r="EQ83" s="442">
        <f t="shared" si="477"/>
        <v>724592.82530985179</v>
      </c>
      <c r="ER83" s="442">
        <f t="shared" si="477"/>
        <v>739730.68258739042</v>
      </c>
      <c r="ES83" s="442">
        <f t="shared" si="477"/>
        <v>739730.68258739042</v>
      </c>
      <c r="ET83" s="442">
        <f t="shared" si="477"/>
        <v>739730.68258739042</v>
      </c>
      <c r="EU83" s="442">
        <f t="shared" si="477"/>
        <v>739730.68258739042</v>
      </c>
      <c r="EV83" s="442">
        <f t="shared" si="477"/>
        <v>739730.68258739042</v>
      </c>
      <c r="EW83" s="442">
        <f t="shared" si="477"/>
        <v>739730.68258739042</v>
      </c>
      <c r="EX83" s="442">
        <f t="shared" si="477"/>
        <v>739730.68258739042</v>
      </c>
      <c r="EY83" s="442">
        <f t="shared" si="477"/>
        <v>739730.68258739042</v>
      </c>
      <c r="EZ83" s="442">
        <f t="shared" si="477"/>
        <v>739730.68258739042</v>
      </c>
      <c r="FA83" s="442">
        <f t="shared" si="477"/>
        <v>739730.68258739042</v>
      </c>
      <c r="FB83" s="442">
        <f t="shared" si="477"/>
        <v>739730.68258739042</v>
      </c>
      <c r="FC83" s="442">
        <f t="shared" si="477"/>
        <v>739730.68258739042</v>
      </c>
      <c r="FD83" s="442">
        <f t="shared" si="477"/>
        <v>755171.29701047961</v>
      </c>
      <c r="FE83" s="442">
        <f t="shared" si="477"/>
        <v>755171.29701047961</v>
      </c>
      <c r="FF83" s="442">
        <f t="shared" si="477"/>
        <v>755171.29701047961</v>
      </c>
      <c r="FG83" s="442">
        <f t="shared" si="477"/>
        <v>755171.29701047961</v>
      </c>
      <c r="FH83" s="442">
        <f t="shared" si="477"/>
        <v>755171.29701047961</v>
      </c>
      <c r="FI83" s="442">
        <f t="shared" si="477"/>
        <v>755171.29701047961</v>
      </c>
      <c r="FJ83" s="442">
        <f t="shared" si="477"/>
        <v>755171.29701047961</v>
      </c>
      <c r="FK83" s="442">
        <f t="shared" si="477"/>
        <v>755171.29701047961</v>
      </c>
      <c r="FL83" s="442">
        <f t="shared" si="477"/>
        <v>755171.29701047961</v>
      </c>
      <c r="FM83" s="442">
        <f t="shared" si="477"/>
        <v>755171.29701047961</v>
      </c>
      <c r="FN83" s="442">
        <f t="shared" si="477"/>
        <v>755171.29701047961</v>
      </c>
      <c r="FO83" s="442">
        <f t="shared" si="477"/>
        <v>755171.29701047961</v>
      </c>
      <c r="FP83" s="442">
        <f t="shared" si="477"/>
        <v>770920.72372203053</v>
      </c>
      <c r="FQ83" s="442">
        <f t="shared" si="477"/>
        <v>770920.72372203053</v>
      </c>
      <c r="FR83" s="442">
        <f t="shared" si="477"/>
        <v>770920.72372203053</v>
      </c>
      <c r="FS83" s="442">
        <f t="shared" si="477"/>
        <v>770920.72372203053</v>
      </c>
      <c r="FT83" s="442">
        <f t="shared" si="477"/>
        <v>770920.72372203053</v>
      </c>
      <c r="FU83" s="442">
        <f t="shared" si="477"/>
        <v>770920.72372203053</v>
      </c>
      <c r="FV83" s="442">
        <f t="shared" si="477"/>
        <v>770920.72372203053</v>
      </c>
      <c r="FW83" s="442">
        <f t="shared" si="477"/>
        <v>770920.72372203053</v>
      </c>
      <c r="FX83" s="442">
        <f t="shared" si="477"/>
        <v>770920.72372203053</v>
      </c>
      <c r="FY83" s="442">
        <f t="shared" si="477"/>
        <v>770920.72372203053</v>
      </c>
      <c r="FZ83" s="442">
        <f t="shared" si="477"/>
        <v>770920.72372203053</v>
      </c>
      <c r="GA83" s="442">
        <f t="shared" si="477"/>
        <v>770920.72372203053</v>
      </c>
      <c r="GB83" s="442">
        <f t="shared" si="477"/>
        <v>786985.13896781288</v>
      </c>
      <c r="GC83" s="442">
        <f t="shared" si="477"/>
        <v>786985.13896781288</v>
      </c>
      <c r="GD83" s="442">
        <f t="shared" si="477"/>
        <v>786985.13896781288</v>
      </c>
      <c r="GE83" s="442">
        <f t="shared" si="477"/>
        <v>786985.13896781288</v>
      </c>
      <c r="GF83" s="442">
        <f t="shared" si="477"/>
        <v>786985.13896781288</v>
      </c>
      <c r="GG83" s="442">
        <f t="shared" si="477"/>
        <v>786985.13896781288</v>
      </c>
      <c r="GH83" s="442">
        <f t="shared" si="477"/>
        <v>786985.13896781288</v>
      </c>
      <c r="GI83" s="442">
        <f t="shared" si="477"/>
        <v>786985.13896781288</v>
      </c>
      <c r="GJ83" s="442">
        <f t="shared" si="477"/>
        <v>786985.13896781288</v>
      </c>
      <c r="GK83" s="442">
        <f t="shared" si="477"/>
        <v>786985.13896781288</v>
      </c>
      <c r="GL83" s="442">
        <f t="shared" si="477"/>
        <v>786985.13896781288</v>
      </c>
      <c r="GM83" s="442">
        <f t="shared" si="477"/>
        <v>786985.13896781288</v>
      </c>
      <c r="GN83" s="442">
        <f t="shared" si="477"/>
        <v>803370.84251851041</v>
      </c>
      <c r="GO83" s="442">
        <f t="shared" si="477"/>
        <v>803370.84251851041</v>
      </c>
      <c r="GP83" s="442">
        <f t="shared" si="477"/>
        <v>803370.84251851041</v>
      </c>
      <c r="GQ83" s="442">
        <f t="shared" si="477"/>
        <v>803370.84251851041</v>
      </c>
      <c r="GR83" s="442">
        <f t="shared" si="477"/>
        <v>803370.84251851041</v>
      </c>
      <c r="GS83" s="442">
        <f t="shared" si="477"/>
        <v>803370.84251851041</v>
      </c>
      <c r="GT83" s="442">
        <f t="shared" si="477"/>
        <v>803370.84251851041</v>
      </c>
      <c r="GU83" s="442">
        <f t="shared" ref="GU83:JF83" si="478">GU67+GU75</f>
        <v>803370.84251851041</v>
      </c>
      <c r="GV83" s="442">
        <f t="shared" si="478"/>
        <v>803370.84251851041</v>
      </c>
      <c r="GW83" s="442">
        <f t="shared" si="478"/>
        <v>803370.84251851041</v>
      </c>
      <c r="GX83" s="442">
        <f t="shared" si="478"/>
        <v>803370.84251851041</v>
      </c>
      <c r="GY83" s="442">
        <f t="shared" si="478"/>
        <v>803370.84251851041</v>
      </c>
      <c r="GZ83" s="442">
        <f t="shared" si="478"/>
        <v>820084.26014022215</v>
      </c>
      <c r="HA83" s="442">
        <f t="shared" si="478"/>
        <v>820084.26014022215</v>
      </c>
      <c r="HB83" s="442">
        <f t="shared" si="478"/>
        <v>820084.26014022215</v>
      </c>
      <c r="HC83" s="442">
        <f t="shared" si="478"/>
        <v>820084.26014022215</v>
      </c>
      <c r="HD83" s="442">
        <f t="shared" si="478"/>
        <v>820084.26014022215</v>
      </c>
      <c r="HE83" s="442">
        <f t="shared" si="478"/>
        <v>820084.26014022215</v>
      </c>
      <c r="HF83" s="442">
        <f t="shared" si="478"/>
        <v>820084.26014022215</v>
      </c>
      <c r="HG83" s="442">
        <f t="shared" si="478"/>
        <v>820084.26014022215</v>
      </c>
      <c r="HH83" s="442">
        <f t="shared" si="478"/>
        <v>820084.26014022215</v>
      </c>
      <c r="HI83" s="442">
        <f t="shared" si="478"/>
        <v>820084.26014022215</v>
      </c>
      <c r="HJ83" s="442">
        <f t="shared" si="478"/>
        <v>820084.26014022215</v>
      </c>
      <c r="HK83" s="442">
        <f t="shared" si="478"/>
        <v>820084.26014022215</v>
      </c>
      <c r="HL83" s="442">
        <f t="shared" si="478"/>
        <v>837131.94611436792</v>
      </c>
      <c r="HM83" s="442">
        <f t="shared" si="478"/>
        <v>837131.94611436792</v>
      </c>
      <c r="HN83" s="442">
        <f t="shared" si="478"/>
        <v>837131.94611436792</v>
      </c>
      <c r="HO83" s="442">
        <f t="shared" si="478"/>
        <v>837131.94611436792</v>
      </c>
      <c r="HP83" s="442">
        <f t="shared" si="478"/>
        <v>837131.94611436792</v>
      </c>
      <c r="HQ83" s="442">
        <f t="shared" si="478"/>
        <v>837131.94611436792</v>
      </c>
      <c r="HR83" s="442">
        <f t="shared" si="478"/>
        <v>837131.94611436792</v>
      </c>
      <c r="HS83" s="442">
        <f t="shared" si="478"/>
        <v>837131.94611436792</v>
      </c>
      <c r="HT83" s="442">
        <f t="shared" si="478"/>
        <v>837131.94611436792</v>
      </c>
      <c r="HU83" s="442">
        <f t="shared" si="478"/>
        <v>837131.94611436792</v>
      </c>
      <c r="HV83" s="442">
        <f t="shared" si="478"/>
        <v>837131.94611436792</v>
      </c>
      <c r="HW83" s="442">
        <f t="shared" si="478"/>
        <v>837131.94611436792</v>
      </c>
      <c r="HX83" s="442">
        <f t="shared" si="478"/>
        <v>854520.58580799692</v>
      </c>
      <c r="HY83" s="442">
        <f t="shared" si="478"/>
        <v>854520.58580799692</v>
      </c>
      <c r="HZ83" s="442">
        <f t="shared" si="478"/>
        <v>854520.58580799692</v>
      </c>
      <c r="IA83" s="442">
        <f t="shared" si="478"/>
        <v>854520.58580799692</v>
      </c>
      <c r="IB83" s="442">
        <f t="shared" si="478"/>
        <v>854520.58580799692</v>
      </c>
      <c r="IC83" s="442">
        <f t="shared" si="478"/>
        <v>854520.58580799692</v>
      </c>
      <c r="ID83" s="442">
        <f t="shared" si="478"/>
        <v>854520.58580799692</v>
      </c>
      <c r="IE83" s="442">
        <f t="shared" si="478"/>
        <v>854520.58580799692</v>
      </c>
      <c r="IF83" s="442">
        <f t="shared" si="478"/>
        <v>854520.58580799692</v>
      </c>
      <c r="IG83" s="442">
        <f t="shared" si="478"/>
        <v>854520.58580799692</v>
      </c>
      <c r="IH83" s="442">
        <f t="shared" si="478"/>
        <v>854520.58580799692</v>
      </c>
      <c r="II83" s="442">
        <f t="shared" si="478"/>
        <v>854520.58580799692</v>
      </c>
      <c r="IJ83" s="442">
        <f t="shared" si="478"/>
        <v>872256.99829549843</v>
      </c>
      <c r="IK83" s="442">
        <f t="shared" si="478"/>
        <v>872256.99829549843</v>
      </c>
      <c r="IL83" s="442">
        <f t="shared" si="478"/>
        <v>872256.99829549843</v>
      </c>
      <c r="IM83" s="442">
        <f t="shared" si="478"/>
        <v>872256.99829549843</v>
      </c>
      <c r="IN83" s="442">
        <f t="shared" si="478"/>
        <v>872256.99829549843</v>
      </c>
      <c r="IO83" s="442">
        <f t="shared" si="478"/>
        <v>872256.99829549843</v>
      </c>
      <c r="IP83" s="442">
        <f t="shared" si="478"/>
        <v>872256.99829549843</v>
      </c>
      <c r="IQ83" s="442">
        <f t="shared" si="478"/>
        <v>872256.99829549843</v>
      </c>
      <c r="IR83" s="442">
        <f t="shared" si="478"/>
        <v>872256.99829549843</v>
      </c>
      <c r="IS83" s="442">
        <f t="shared" si="478"/>
        <v>872256.99829549843</v>
      </c>
      <c r="IT83" s="442">
        <f t="shared" si="478"/>
        <v>872256.99829549843</v>
      </c>
      <c r="IU83" s="442">
        <f t="shared" si="478"/>
        <v>872256.99829549843</v>
      </c>
      <c r="IV83" s="442">
        <f t="shared" si="478"/>
        <v>890348.13903274981</v>
      </c>
      <c r="IW83" s="442">
        <f t="shared" si="478"/>
        <v>890348.13903274981</v>
      </c>
      <c r="IX83" s="442">
        <f t="shared" si="478"/>
        <v>890348.13903274981</v>
      </c>
      <c r="IY83" s="442">
        <f t="shared" si="478"/>
        <v>890348.13903274981</v>
      </c>
      <c r="IZ83" s="442">
        <f t="shared" si="478"/>
        <v>890348.13903274981</v>
      </c>
      <c r="JA83" s="442">
        <f t="shared" si="478"/>
        <v>890348.13903274981</v>
      </c>
      <c r="JB83" s="442">
        <f t="shared" si="478"/>
        <v>890348.13903274981</v>
      </c>
      <c r="JC83" s="442">
        <f t="shared" si="478"/>
        <v>890348.13903274981</v>
      </c>
      <c r="JD83" s="442">
        <f t="shared" si="478"/>
        <v>890348.13903274981</v>
      </c>
      <c r="JE83" s="442">
        <f t="shared" si="478"/>
        <v>890348.13903274981</v>
      </c>
      <c r="JF83" s="442">
        <f t="shared" si="478"/>
        <v>890348.13903274981</v>
      </c>
      <c r="JG83" s="442">
        <f t="shared" ref="JG83:LR83" si="479">JG67+JG75</f>
        <v>890348.13903274981</v>
      </c>
      <c r="JH83" s="442">
        <f t="shared" si="479"/>
        <v>908801.10258474608</v>
      </c>
      <c r="JI83" s="442">
        <f t="shared" si="479"/>
        <v>908801.10258474608</v>
      </c>
      <c r="JJ83" s="442">
        <f t="shared" si="479"/>
        <v>908801.10258474608</v>
      </c>
      <c r="JK83" s="442">
        <f t="shared" si="479"/>
        <v>908801.10258474608</v>
      </c>
      <c r="JL83" s="442">
        <f t="shared" si="479"/>
        <v>908801.10258474608</v>
      </c>
      <c r="JM83" s="442">
        <f t="shared" si="479"/>
        <v>908801.10258474608</v>
      </c>
      <c r="JN83" s="442">
        <f t="shared" si="479"/>
        <v>908801.10258474608</v>
      </c>
      <c r="JO83" s="442">
        <f t="shared" si="479"/>
        <v>908801.10258474608</v>
      </c>
      <c r="JP83" s="442">
        <f t="shared" si="479"/>
        <v>908801.10258474608</v>
      </c>
      <c r="JQ83" s="442">
        <f t="shared" si="479"/>
        <v>908801.10258474608</v>
      </c>
      <c r="JR83" s="442">
        <f t="shared" si="479"/>
        <v>908801.10258474608</v>
      </c>
      <c r="JS83" s="442">
        <f t="shared" si="479"/>
        <v>908801.10258474608</v>
      </c>
      <c r="JT83" s="442">
        <f t="shared" si="479"/>
        <v>927623.1254077825</v>
      </c>
      <c r="JU83" s="442">
        <f t="shared" si="479"/>
        <v>927623.1254077825</v>
      </c>
      <c r="JV83" s="442">
        <f t="shared" si="479"/>
        <v>927623.1254077825</v>
      </c>
      <c r="JW83" s="442">
        <f t="shared" si="479"/>
        <v>927623.1254077825</v>
      </c>
      <c r="JX83" s="442">
        <f t="shared" si="479"/>
        <v>927623.1254077825</v>
      </c>
      <c r="JY83" s="442">
        <f t="shared" si="479"/>
        <v>927623.1254077825</v>
      </c>
      <c r="JZ83" s="442">
        <f t="shared" si="479"/>
        <v>927623.1254077825</v>
      </c>
      <c r="KA83" s="442">
        <f t="shared" si="479"/>
        <v>927623.1254077825</v>
      </c>
      <c r="KB83" s="442">
        <f t="shared" si="479"/>
        <v>927623.1254077825</v>
      </c>
      <c r="KC83" s="442">
        <f t="shared" si="479"/>
        <v>927623.1254077825</v>
      </c>
      <c r="KD83" s="442">
        <f t="shared" si="479"/>
        <v>927623.1254077825</v>
      </c>
      <c r="KE83" s="442">
        <f t="shared" si="479"/>
        <v>927623.1254077825</v>
      </c>
      <c r="KF83" s="442">
        <f t="shared" si="479"/>
        <v>946821.58868727961</v>
      </c>
      <c r="KG83" s="442">
        <f t="shared" si="479"/>
        <v>946821.58868727961</v>
      </c>
      <c r="KH83" s="442">
        <f t="shared" si="479"/>
        <v>946821.58868727961</v>
      </c>
      <c r="KI83" s="442">
        <f t="shared" si="479"/>
        <v>946821.58868727961</v>
      </c>
      <c r="KJ83" s="442">
        <f t="shared" si="479"/>
        <v>946821.58868727961</v>
      </c>
      <c r="KK83" s="442">
        <f t="shared" si="479"/>
        <v>946821.58868727961</v>
      </c>
      <c r="KL83" s="442">
        <f t="shared" si="479"/>
        <v>946821.58868727961</v>
      </c>
      <c r="KM83" s="442">
        <f t="shared" si="479"/>
        <v>946821.58868727961</v>
      </c>
      <c r="KN83" s="442">
        <f t="shared" si="479"/>
        <v>946821.58868727961</v>
      </c>
      <c r="KO83" s="442">
        <f t="shared" si="479"/>
        <v>946821.58868727961</v>
      </c>
      <c r="KP83" s="442">
        <f t="shared" si="479"/>
        <v>946821.58868727961</v>
      </c>
      <c r="KQ83" s="442">
        <f t="shared" si="479"/>
        <v>946821.58868727961</v>
      </c>
      <c r="KR83" s="442">
        <f t="shared" si="479"/>
        <v>966404.02123236668</v>
      </c>
      <c r="KS83" s="442">
        <f t="shared" si="479"/>
        <v>966404.02123236668</v>
      </c>
      <c r="KT83" s="442">
        <f t="shared" si="479"/>
        <v>966404.02123236668</v>
      </c>
      <c r="KU83" s="442">
        <f t="shared" si="479"/>
        <v>966404.02123236668</v>
      </c>
      <c r="KV83" s="442">
        <f t="shared" si="479"/>
        <v>966404.02123236668</v>
      </c>
      <c r="KW83" s="442">
        <f t="shared" si="479"/>
        <v>966404.02123236668</v>
      </c>
      <c r="KX83" s="442">
        <f t="shared" si="479"/>
        <v>966404.02123236668</v>
      </c>
      <c r="KY83" s="442">
        <f t="shared" si="479"/>
        <v>966404.02123236668</v>
      </c>
      <c r="KZ83" s="442">
        <f t="shared" si="479"/>
        <v>966404.02123236668</v>
      </c>
      <c r="LA83" s="442">
        <f t="shared" si="479"/>
        <v>966404.02123236668</v>
      </c>
      <c r="LB83" s="442">
        <f t="shared" si="479"/>
        <v>966404.02123236668</v>
      </c>
      <c r="LC83" s="442">
        <f t="shared" si="479"/>
        <v>966404.02123236668</v>
      </c>
      <c r="LD83" s="442">
        <f t="shared" si="479"/>
        <v>986378.10242835537</v>
      </c>
      <c r="LE83" s="442">
        <f t="shared" si="479"/>
        <v>986378.10242835537</v>
      </c>
      <c r="LF83" s="442">
        <f t="shared" si="479"/>
        <v>986378.10242835537</v>
      </c>
      <c r="LG83" s="442">
        <f t="shared" si="479"/>
        <v>986378.10242835537</v>
      </c>
      <c r="LH83" s="442">
        <f t="shared" si="479"/>
        <v>986378.10242835537</v>
      </c>
      <c r="LI83" s="442">
        <f t="shared" si="479"/>
        <v>986378.10242835537</v>
      </c>
      <c r="LJ83" s="442">
        <f t="shared" si="479"/>
        <v>986378.10242835537</v>
      </c>
      <c r="LK83" s="442">
        <f t="shared" si="479"/>
        <v>986378.10242835537</v>
      </c>
      <c r="LL83" s="442">
        <f t="shared" si="479"/>
        <v>986378.10242835537</v>
      </c>
      <c r="LM83" s="442">
        <f t="shared" si="479"/>
        <v>986378.10242835537</v>
      </c>
      <c r="LN83" s="442">
        <f t="shared" si="479"/>
        <v>986378.10242835537</v>
      </c>
      <c r="LO83" s="442">
        <f t="shared" si="479"/>
        <v>986378.10242835537</v>
      </c>
      <c r="LP83" s="442">
        <f t="shared" si="479"/>
        <v>1006751.665248264</v>
      </c>
      <c r="LQ83" s="442">
        <f t="shared" si="479"/>
        <v>1006751.665248264</v>
      </c>
      <c r="LR83" s="442">
        <f t="shared" si="479"/>
        <v>1006751.665248264</v>
      </c>
      <c r="LS83" s="442">
        <f t="shared" ref="LS83:OD83" si="480">LS67+LS75</f>
        <v>1006751.665248264</v>
      </c>
      <c r="LT83" s="442">
        <f t="shared" si="480"/>
        <v>1006751.665248264</v>
      </c>
      <c r="LU83" s="442">
        <f t="shared" si="480"/>
        <v>1006751.665248264</v>
      </c>
      <c r="LV83" s="442">
        <f t="shared" si="480"/>
        <v>1006751.665248264</v>
      </c>
      <c r="LW83" s="442">
        <f t="shared" si="480"/>
        <v>1006751.665248264</v>
      </c>
      <c r="LX83" s="442">
        <f t="shared" si="480"/>
        <v>1006751.665248264</v>
      </c>
      <c r="LY83" s="442">
        <f t="shared" si="480"/>
        <v>1006751.665248264</v>
      </c>
      <c r="LZ83" s="442">
        <f t="shared" si="480"/>
        <v>1006751.665248264</v>
      </c>
      <c r="MA83" s="442">
        <f t="shared" si="480"/>
        <v>1006751.665248264</v>
      </c>
      <c r="MB83" s="442">
        <f t="shared" si="480"/>
        <v>1027532.6993245708</v>
      </c>
      <c r="MC83" s="442">
        <f t="shared" si="480"/>
        <v>1027532.6993245708</v>
      </c>
      <c r="MD83" s="442">
        <f t="shared" si="480"/>
        <v>1027532.6993245708</v>
      </c>
      <c r="ME83" s="442">
        <f t="shared" si="480"/>
        <v>1027532.6993245708</v>
      </c>
      <c r="MF83" s="442">
        <f t="shared" si="480"/>
        <v>1027532.6993245708</v>
      </c>
      <c r="MG83" s="442">
        <f t="shared" si="480"/>
        <v>1027532.6993245708</v>
      </c>
      <c r="MH83" s="442">
        <f t="shared" si="480"/>
        <v>1027532.6993245708</v>
      </c>
      <c r="MI83" s="442">
        <f t="shared" si="480"/>
        <v>1027532.6993245708</v>
      </c>
      <c r="MJ83" s="442">
        <f t="shared" si="480"/>
        <v>1027532.6993245708</v>
      </c>
      <c r="MK83" s="442">
        <f t="shared" si="480"/>
        <v>1027532.6993245708</v>
      </c>
      <c r="ML83" s="442">
        <f t="shared" si="480"/>
        <v>1027532.6993245708</v>
      </c>
      <c r="MM83" s="442">
        <f t="shared" si="480"/>
        <v>1027532.6993245708</v>
      </c>
      <c r="MN83" s="442">
        <f t="shared" si="480"/>
        <v>1048729.3540824037</v>
      </c>
      <c r="MO83" s="442">
        <f t="shared" si="480"/>
        <v>1048729.3540824037</v>
      </c>
      <c r="MP83" s="442">
        <f t="shared" si="480"/>
        <v>1048729.3540824037</v>
      </c>
      <c r="MQ83" s="442">
        <f t="shared" si="480"/>
        <v>1048729.3540824037</v>
      </c>
      <c r="MR83" s="442">
        <f t="shared" si="480"/>
        <v>1048729.3540824037</v>
      </c>
      <c r="MS83" s="442">
        <f t="shared" si="480"/>
        <v>1048729.3540824037</v>
      </c>
      <c r="MT83" s="442">
        <f t="shared" si="480"/>
        <v>1048729.3540824037</v>
      </c>
      <c r="MU83" s="442">
        <f t="shared" si="480"/>
        <v>1048729.3540824037</v>
      </c>
      <c r="MV83" s="442">
        <f t="shared" si="480"/>
        <v>1048729.3540824037</v>
      </c>
      <c r="MW83" s="442">
        <f t="shared" si="480"/>
        <v>1048729.3540824037</v>
      </c>
      <c r="MX83" s="442">
        <f t="shared" si="480"/>
        <v>1048729.3540824037</v>
      </c>
      <c r="MY83" s="442">
        <f t="shared" si="480"/>
        <v>1048729.3540824037</v>
      </c>
      <c r="MZ83" s="442">
        <f t="shared" si="480"/>
        <v>1070349.941935393</v>
      </c>
      <c r="NA83" s="442">
        <f t="shared" si="480"/>
        <v>1070349.941935393</v>
      </c>
      <c r="NB83" s="442">
        <f t="shared" si="480"/>
        <v>1070349.941935393</v>
      </c>
      <c r="NC83" s="442">
        <f t="shared" si="480"/>
        <v>1070349.941935393</v>
      </c>
      <c r="ND83" s="442">
        <f t="shared" si="480"/>
        <v>1070349.941935393</v>
      </c>
      <c r="NE83" s="442">
        <f t="shared" si="480"/>
        <v>1070349.941935393</v>
      </c>
      <c r="NF83" s="442">
        <f t="shared" si="480"/>
        <v>1070349.941935393</v>
      </c>
      <c r="NG83" s="442">
        <f t="shared" si="480"/>
        <v>1070349.941935393</v>
      </c>
      <c r="NH83" s="442">
        <f t="shared" si="480"/>
        <v>1070349.941935393</v>
      </c>
      <c r="NI83" s="442">
        <f t="shared" si="480"/>
        <v>1070349.941935393</v>
      </c>
      <c r="NJ83" s="442">
        <f t="shared" si="480"/>
        <v>1070349.941935393</v>
      </c>
      <c r="NK83" s="442">
        <f t="shared" si="480"/>
        <v>1070349.941935393</v>
      </c>
      <c r="NL83" s="442">
        <f t="shared" si="480"/>
        <v>1092402.9415454427</v>
      </c>
      <c r="NM83" s="442">
        <f t="shared" si="480"/>
        <v>1092402.9415454427</v>
      </c>
      <c r="NN83" s="442">
        <f t="shared" si="480"/>
        <v>1092402.9415454427</v>
      </c>
      <c r="NO83" s="442">
        <f t="shared" si="480"/>
        <v>1092402.9415454427</v>
      </c>
      <c r="NP83" s="442">
        <f t="shared" si="480"/>
        <v>1092402.9415454427</v>
      </c>
      <c r="NQ83" s="442">
        <f t="shared" si="480"/>
        <v>1092402.9415454427</v>
      </c>
      <c r="NR83" s="442">
        <f t="shared" si="480"/>
        <v>1092402.9415454427</v>
      </c>
      <c r="NS83" s="442">
        <f t="shared" si="480"/>
        <v>1092402.9415454427</v>
      </c>
      <c r="NT83" s="442">
        <f t="shared" si="480"/>
        <v>1092402.9415454427</v>
      </c>
      <c r="NU83" s="442">
        <f t="shared" si="480"/>
        <v>1092402.9415454427</v>
      </c>
      <c r="NV83" s="442">
        <f t="shared" si="480"/>
        <v>1092402.9415454427</v>
      </c>
      <c r="NW83" s="442">
        <f t="shared" si="480"/>
        <v>1092402.9415454427</v>
      </c>
      <c r="NX83" s="442">
        <f t="shared" si="480"/>
        <v>1114897.0011476928</v>
      </c>
      <c r="NY83" s="442">
        <f t="shared" si="480"/>
        <v>1114897.0011476928</v>
      </c>
      <c r="NZ83" s="442">
        <f t="shared" si="480"/>
        <v>1114897.0011476928</v>
      </c>
      <c r="OA83" s="442">
        <f t="shared" si="480"/>
        <v>1114897.0011476928</v>
      </c>
      <c r="OB83" s="442">
        <f t="shared" si="480"/>
        <v>1114897.0011476928</v>
      </c>
      <c r="OC83" s="442">
        <f t="shared" si="480"/>
        <v>1114897.0011476928</v>
      </c>
      <c r="OD83" s="442">
        <f t="shared" si="480"/>
        <v>1114897.0011476928</v>
      </c>
      <c r="OE83" s="442">
        <f t="shared" ref="OE83:OO83" si="481">OE67+OE75</f>
        <v>1114897.0011476928</v>
      </c>
      <c r="OF83" s="442">
        <f t="shared" si="481"/>
        <v>1114897.0011476928</v>
      </c>
      <c r="OG83" s="442">
        <f t="shared" si="481"/>
        <v>1114897.0011476928</v>
      </c>
      <c r="OH83" s="442">
        <f t="shared" si="481"/>
        <v>1114897.0011476928</v>
      </c>
      <c r="OI83" s="442">
        <f t="shared" si="481"/>
        <v>1114897.0011476928</v>
      </c>
      <c r="OJ83" s="442">
        <f t="shared" si="481"/>
        <v>1137840.9419419882</v>
      </c>
      <c r="OK83" s="442">
        <f t="shared" si="481"/>
        <v>1137840.9419419882</v>
      </c>
      <c r="OL83" s="442">
        <f t="shared" si="481"/>
        <v>1137840.9419419882</v>
      </c>
      <c r="OM83" s="442">
        <f t="shared" si="481"/>
        <v>1137840.9419419882</v>
      </c>
      <c r="ON83" s="442">
        <f t="shared" si="481"/>
        <v>1137840.9419419882</v>
      </c>
      <c r="OO83" s="442">
        <f t="shared" si="481"/>
        <v>1137840.9419419882</v>
      </c>
    </row>
    <row r="84" spans="2:405">
      <c r="B84" s="7" t="s">
        <v>16</v>
      </c>
      <c r="D84" s="537">
        <f t="shared" ref="D84:D87" si="482">D68+D76</f>
        <v>42750</v>
      </c>
      <c r="E84" s="507">
        <f>Assumptions!$C$13</f>
        <v>47330</v>
      </c>
      <c r="F84" s="507">
        <f>EOMONTH(E84,Assumptions!$C$14-1)</f>
        <v>58256</v>
      </c>
      <c r="G84" s="97">
        <f t="shared" si="474"/>
        <v>360</v>
      </c>
      <c r="H84" s="97"/>
      <c r="J84" s="442">
        <f t="shared" ref="J84:BU84" si="483">J68+J76</f>
        <v>0</v>
      </c>
      <c r="K84" s="442">
        <f t="shared" si="483"/>
        <v>0</v>
      </c>
      <c r="L84" s="442">
        <f t="shared" si="483"/>
        <v>0</v>
      </c>
      <c r="M84" s="442">
        <f t="shared" si="483"/>
        <v>0</v>
      </c>
      <c r="N84" s="442">
        <f t="shared" si="483"/>
        <v>0</v>
      </c>
      <c r="O84" s="442">
        <f t="shared" si="483"/>
        <v>0</v>
      </c>
      <c r="P84" s="442">
        <f t="shared" si="483"/>
        <v>0</v>
      </c>
      <c r="Q84" s="442">
        <f t="shared" si="483"/>
        <v>0</v>
      </c>
      <c r="R84" s="442">
        <f t="shared" si="483"/>
        <v>0</v>
      </c>
      <c r="S84" s="442">
        <f t="shared" si="483"/>
        <v>0</v>
      </c>
      <c r="T84" s="442">
        <f t="shared" si="483"/>
        <v>0</v>
      </c>
      <c r="U84" s="442">
        <f t="shared" si="483"/>
        <v>0</v>
      </c>
      <c r="V84" s="442">
        <f t="shared" si="483"/>
        <v>0</v>
      </c>
      <c r="W84" s="442">
        <f t="shared" si="483"/>
        <v>0</v>
      </c>
      <c r="X84" s="442">
        <f t="shared" si="483"/>
        <v>0</v>
      </c>
      <c r="Y84" s="442">
        <f t="shared" si="483"/>
        <v>0</v>
      </c>
      <c r="Z84" s="442">
        <f t="shared" si="483"/>
        <v>0</v>
      </c>
      <c r="AA84" s="442">
        <f t="shared" si="483"/>
        <v>0</v>
      </c>
      <c r="AB84" s="442">
        <f t="shared" si="483"/>
        <v>0</v>
      </c>
      <c r="AC84" s="442">
        <f t="shared" si="483"/>
        <v>0</v>
      </c>
      <c r="AD84" s="442">
        <f t="shared" si="483"/>
        <v>0</v>
      </c>
      <c r="AE84" s="442">
        <f t="shared" si="483"/>
        <v>0</v>
      </c>
      <c r="AF84" s="442">
        <f t="shared" si="483"/>
        <v>0</v>
      </c>
      <c r="AG84" s="442">
        <f t="shared" si="483"/>
        <v>0</v>
      </c>
      <c r="AH84" s="442">
        <f t="shared" si="483"/>
        <v>0</v>
      </c>
      <c r="AI84" s="442">
        <f t="shared" si="483"/>
        <v>0</v>
      </c>
      <c r="AJ84" s="442">
        <f t="shared" si="483"/>
        <v>0</v>
      </c>
      <c r="AK84" s="442">
        <f t="shared" si="483"/>
        <v>0</v>
      </c>
      <c r="AL84" s="442">
        <f t="shared" si="483"/>
        <v>0</v>
      </c>
      <c r="AM84" s="442">
        <f t="shared" si="483"/>
        <v>0</v>
      </c>
      <c r="AN84" s="442">
        <f t="shared" si="483"/>
        <v>0</v>
      </c>
      <c r="AO84" s="442">
        <f t="shared" si="483"/>
        <v>0</v>
      </c>
      <c r="AP84" s="442">
        <f t="shared" si="483"/>
        <v>0</v>
      </c>
      <c r="AQ84" s="442">
        <f t="shared" si="483"/>
        <v>0</v>
      </c>
      <c r="AR84" s="442">
        <f t="shared" si="483"/>
        <v>0</v>
      </c>
      <c r="AS84" s="442">
        <f t="shared" si="483"/>
        <v>0</v>
      </c>
      <c r="AT84" s="442">
        <f t="shared" si="483"/>
        <v>3562.5</v>
      </c>
      <c r="AU84" s="442">
        <f t="shared" si="483"/>
        <v>3562.5</v>
      </c>
      <c r="AV84" s="442">
        <f t="shared" si="483"/>
        <v>3562.5</v>
      </c>
      <c r="AW84" s="442">
        <f t="shared" si="483"/>
        <v>3562.5</v>
      </c>
      <c r="AX84" s="442">
        <f t="shared" si="483"/>
        <v>3562.5</v>
      </c>
      <c r="AY84" s="442">
        <f t="shared" si="483"/>
        <v>3562.5</v>
      </c>
      <c r="AZ84" s="442">
        <f t="shared" si="483"/>
        <v>3637.5</v>
      </c>
      <c r="BA84" s="442">
        <f t="shared" si="483"/>
        <v>3637.5</v>
      </c>
      <c r="BB84" s="442">
        <f t="shared" si="483"/>
        <v>3637.5</v>
      </c>
      <c r="BC84" s="442">
        <f t="shared" si="483"/>
        <v>3637.5</v>
      </c>
      <c r="BD84" s="442">
        <f t="shared" si="483"/>
        <v>3637.5</v>
      </c>
      <c r="BE84" s="442">
        <f t="shared" si="483"/>
        <v>3637.5</v>
      </c>
      <c r="BF84" s="442">
        <f t="shared" si="483"/>
        <v>3637.5</v>
      </c>
      <c r="BG84" s="442">
        <f t="shared" si="483"/>
        <v>3637.5</v>
      </c>
      <c r="BH84" s="442">
        <f t="shared" si="483"/>
        <v>3637.5</v>
      </c>
      <c r="BI84" s="442">
        <f t="shared" si="483"/>
        <v>3637.5</v>
      </c>
      <c r="BJ84" s="442">
        <f t="shared" si="483"/>
        <v>3637.5</v>
      </c>
      <c r="BK84" s="442">
        <f t="shared" si="483"/>
        <v>3637.5</v>
      </c>
      <c r="BL84" s="442">
        <f t="shared" si="483"/>
        <v>3714</v>
      </c>
      <c r="BM84" s="442">
        <f t="shared" si="483"/>
        <v>3714</v>
      </c>
      <c r="BN84" s="442">
        <f t="shared" si="483"/>
        <v>3714</v>
      </c>
      <c r="BO84" s="442">
        <f t="shared" si="483"/>
        <v>3714</v>
      </c>
      <c r="BP84" s="442">
        <f t="shared" si="483"/>
        <v>3714</v>
      </c>
      <c r="BQ84" s="442">
        <f t="shared" si="483"/>
        <v>3714</v>
      </c>
      <c r="BR84" s="442">
        <f t="shared" si="483"/>
        <v>3714</v>
      </c>
      <c r="BS84" s="442">
        <f t="shared" si="483"/>
        <v>3714</v>
      </c>
      <c r="BT84" s="442">
        <f t="shared" si="483"/>
        <v>3714</v>
      </c>
      <c r="BU84" s="442">
        <f t="shared" si="483"/>
        <v>3714</v>
      </c>
      <c r="BV84" s="442">
        <f t="shared" ref="BV84:EG84" si="484">BV68+BV76</f>
        <v>3714</v>
      </c>
      <c r="BW84" s="442">
        <f t="shared" si="484"/>
        <v>3714</v>
      </c>
      <c r="BX84" s="442">
        <f t="shared" si="484"/>
        <v>3792.0299999999993</v>
      </c>
      <c r="BY84" s="442">
        <f t="shared" si="484"/>
        <v>3792.0299999999993</v>
      </c>
      <c r="BZ84" s="442">
        <f t="shared" si="484"/>
        <v>3792.0299999999993</v>
      </c>
      <c r="CA84" s="442">
        <f t="shared" si="484"/>
        <v>3792.0299999999993</v>
      </c>
      <c r="CB84" s="442">
        <f t="shared" si="484"/>
        <v>3792.0299999999993</v>
      </c>
      <c r="CC84" s="442">
        <f t="shared" si="484"/>
        <v>3792.0299999999993</v>
      </c>
      <c r="CD84" s="442">
        <f t="shared" si="484"/>
        <v>3792.0299999999993</v>
      </c>
      <c r="CE84" s="442">
        <f t="shared" si="484"/>
        <v>3792.0299999999993</v>
      </c>
      <c r="CF84" s="442">
        <f t="shared" si="484"/>
        <v>3792.0299999999993</v>
      </c>
      <c r="CG84" s="442">
        <f t="shared" si="484"/>
        <v>3792.0299999999993</v>
      </c>
      <c r="CH84" s="442">
        <f t="shared" si="484"/>
        <v>3792.0299999999993</v>
      </c>
      <c r="CI84" s="442">
        <f t="shared" si="484"/>
        <v>3792.0299999999993</v>
      </c>
      <c r="CJ84" s="442">
        <f t="shared" si="484"/>
        <v>3871.6206000000002</v>
      </c>
      <c r="CK84" s="442">
        <f t="shared" si="484"/>
        <v>3871.6206000000002</v>
      </c>
      <c r="CL84" s="442">
        <f t="shared" si="484"/>
        <v>3871.6206000000002</v>
      </c>
      <c r="CM84" s="442">
        <f t="shared" si="484"/>
        <v>3871.6206000000002</v>
      </c>
      <c r="CN84" s="442">
        <f t="shared" si="484"/>
        <v>3871.6206000000002</v>
      </c>
      <c r="CO84" s="442">
        <f t="shared" si="484"/>
        <v>3871.6206000000002</v>
      </c>
      <c r="CP84" s="442">
        <f t="shared" si="484"/>
        <v>3871.6206000000002</v>
      </c>
      <c r="CQ84" s="442">
        <f t="shared" si="484"/>
        <v>3871.6206000000002</v>
      </c>
      <c r="CR84" s="442">
        <f t="shared" si="484"/>
        <v>3871.6206000000002</v>
      </c>
      <c r="CS84" s="442">
        <f t="shared" si="484"/>
        <v>3871.6206000000002</v>
      </c>
      <c r="CT84" s="442">
        <f t="shared" si="484"/>
        <v>3871.6206000000002</v>
      </c>
      <c r="CU84" s="442">
        <f t="shared" si="484"/>
        <v>3871.6206000000002</v>
      </c>
      <c r="CV84" s="442">
        <f t="shared" si="484"/>
        <v>3952.8030120000003</v>
      </c>
      <c r="CW84" s="442">
        <f t="shared" si="484"/>
        <v>3952.8030120000003</v>
      </c>
      <c r="CX84" s="442">
        <f t="shared" si="484"/>
        <v>3952.8030120000003</v>
      </c>
      <c r="CY84" s="442">
        <f t="shared" si="484"/>
        <v>3952.8030120000003</v>
      </c>
      <c r="CZ84" s="442">
        <f t="shared" si="484"/>
        <v>3952.8030120000003</v>
      </c>
      <c r="DA84" s="442">
        <f t="shared" si="484"/>
        <v>3952.8030120000003</v>
      </c>
      <c r="DB84" s="442">
        <f t="shared" si="484"/>
        <v>3952.8030120000003</v>
      </c>
      <c r="DC84" s="442">
        <f t="shared" si="484"/>
        <v>3952.8030120000003</v>
      </c>
      <c r="DD84" s="442">
        <f t="shared" si="484"/>
        <v>3952.8030120000003</v>
      </c>
      <c r="DE84" s="442">
        <f t="shared" si="484"/>
        <v>3952.8030120000003</v>
      </c>
      <c r="DF84" s="442">
        <f t="shared" si="484"/>
        <v>3952.8030120000003</v>
      </c>
      <c r="DG84" s="442">
        <f t="shared" si="484"/>
        <v>3952.8030120000003</v>
      </c>
      <c r="DH84" s="442">
        <f t="shared" si="484"/>
        <v>4035.6090722400004</v>
      </c>
      <c r="DI84" s="442">
        <f t="shared" si="484"/>
        <v>4035.6090722400004</v>
      </c>
      <c r="DJ84" s="442">
        <f t="shared" si="484"/>
        <v>4035.6090722400004</v>
      </c>
      <c r="DK84" s="442">
        <f t="shared" si="484"/>
        <v>4035.6090722400004</v>
      </c>
      <c r="DL84" s="442">
        <f t="shared" si="484"/>
        <v>4035.6090722400004</v>
      </c>
      <c r="DM84" s="442">
        <f t="shared" si="484"/>
        <v>4035.6090722400004</v>
      </c>
      <c r="DN84" s="442">
        <f t="shared" si="484"/>
        <v>4035.6090722400004</v>
      </c>
      <c r="DO84" s="442">
        <f t="shared" si="484"/>
        <v>4035.6090722400004</v>
      </c>
      <c r="DP84" s="442">
        <f t="shared" si="484"/>
        <v>4035.6090722400004</v>
      </c>
      <c r="DQ84" s="442">
        <f t="shared" si="484"/>
        <v>4035.6090722400004</v>
      </c>
      <c r="DR84" s="442">
        <f t="shared" si="484"/>
        <v>4035.6090722400004</v>
      </c>
      <c r="DS84" s="442">
        <f t="shared" si="484"/>
        <v>4035.6090722400004</v>
      </c>
      <c r="DT84" s="442">
        <f t="shared" si="484"/>
        <v>4120.0712536847996</v>
      </c>
      <c r="DU84" s="442">
        <f t="shared" si="484"/>
        <v>4120.0712536847996</v>
      </c>
      <c r="DV84" s="442">
        <f t="shared" si="484"/>
        <v>4120.0712536847996</v>
      </c>
      <c r="DW84" s="442">
        <f t="shared" si="484"/>
        <v>4120.0712536847996</v>
      </c>
      <c r="DX84" s="442">
        <f t="shared" si="484"/>
        <v>4120.0712536847996</v>
      </c>
      <c r="DY84" s="442">
        <f t="shared" si="484"/>
        <v>4120.0712536847996</v>
      </c>
      <c r="DZ84" s="442">
        <f t="shared" si="484"/>
        <v>4120.0712536847996</v>
      </c>
      <c r="EA84" s="442">
        <f t="shared" si="484"/>
        <v>4120.0712536847996</v>
      </c>
      <c r="EB84" s="442">
        <f t="shared" si="484"/>
        <v>4120.0712536847996</v>
      </c>
      <c r="EC84" s="442">
        <f t="shared" si="484"/>
        <v>4120.0712536847996</v>
      </c>
      <c r="ED84" s="442">
        <f t="shared" si="484"/>
        <v>4120.0712536847996</v>
      </c>
      <c r="EE84" s="442">
        <f t="shared" si="484"/>
        <v>4120.0712536847996</v>
      </c>
      <c r="EF84" s="442">
        <f t="shared" si="484"/>
        <v>4206.2226787584959</v>
      </c>
      <c r="EG84" s="442">
        <f t="shared" si="484"/>
        <v>4206.2226787584959</v>
      </c>
      <c r="EH84" s="442">
        <f t="shared" ref="EH84:GS84" si="485">EH68+EH76</f>
        <v>4206.2226787584959</v>
      </c>
      <c r="EI84" s="442">
        <f t="shared" si="485"/>
        <v>4206.2226787584959</v>
      </c>
      <c r="EJ84" s="442">
        <f t="shared" si="485"/>
        <v>4206.2226787584959</v>
      </c>
      <c r="EK84" s="442">
        <f t="shared" si="485"/>
        <v>4206.2226787584959</v>
      </c>
      <c r="EL84" s="442">
        <f t="shared" si="485"/>
        <v>4206.2226787584959</v>
      </c>
      <c r="EM84" s="442">
        <f t="shared" si="485"/>
        <v>4206.2226787584959</v>
      </c>
      <c r="EN84" s="442">
        <f t="shared" si="485"/>
        <v>4206.2226787584959</v>
      </c>
      <c r="EO84" s="442">
        <f t="shared" si="485"/>
        <v>4206.2226787584959</v>
      </c>
      <c r="EP84" s="442">
        <f t="shared" si="485"/>
        <v>4206.2226787584959</v>
      </c>
      <c r="EQ84" s="442">
        <f t="shared" si="485"/>
        <v>4206.2226787584959</v>
      </c>
      <c r="ER84" s="442">
        <f t="shared" si="485"/>
        <v>4294.0971323336662</v>
      </c>
      <c r="ES84" s="442">
        <f t="shared" si="485"/>
        <v>4294.0971323336662</v>
      </c>
      <c r="ET84" s="442">
        <f t="shared" si="485"/>
        <v>4294.0971323336662</v>
      </c>
      <c r="EU84" s="442">
        <f t="shared" si="485"/>
        <v>4294.0971323336662</v>
      </c>
      <c r="EV84" s="442">
        <f t="shared" si="485"/>
        <v>4294.0971323336662</v>
      </c>
      <c r="EW84" s="442">
        <f t="shared" si="485"/>
        <v>4294.0971323336662</v>
      </c>
      <c r="EX84" s="442">
        <f t="shared" si="485"/>
        <v>4294.0971323336662</v>
      </c>
      <c r="EY84" s="442">
        <f t="shared" si="485"/>
        <v>4294.0971323336662</v>
      </c>
      <c r="EZ84" s="442">
        <f t="shared" si="485"/>
        <v>4294.0971323336662</v>
      </c>
      <c r="FA84" s="442">
        <f t="shared" si="485"/>
        <v>4294.0971323336662</v>
      </c>
      <c r="FB84" s="442">
        <f t="shared" si="485"/>
        <v>4294.0971323336662</v>
      </c>
      <c r="FC84" s="442">
        <f t="shared" si="485"/>
        <v>4294.0971323336662</v>
      </c>
      <c r="FD84" s="442">
        <f t="shared" si="485"/>
        <v>4383.7290749803387</v>
      </c>
      <c r="FE84" s="442">
        <f t="shared" si="485"/>
        <v>4383.7290749803387</v>
      </c>
      <c r="FF84" s="442">
        <f t="shared" si="485"/>
        <v>4383.7290749803387</v>
      </c>
      <c r="FG84" s="442">
        <f t="shared" si="485"/>
        <v>4383.7290749803387</v>
      </c>
      <c r="FH84" s="442">
        <f t="shared" si="485"/>
        <v>4383.7290749803387</v>
      </c>
      <c r="FI84" s="442">
        <f t="shared" si="485"/>
        <v>4383.7290749803387</v>
      </c>
      <c r="FJ84" s="442">
        <f t="shared" si="485"/>
        <v>4383.7290749803387</v>
      </c>
      <c r="FK84" s="442">
        <f t="shared" si="485"/>
        <v>4383.7290749803387</v>
      </c>
      <c r="FL84" s="442">
        <f t="shared" si="485"/>
        <v>4383.7290749803387</v>
      </c>
      <c r="FM84" s="442">
        <f t="shared" si="485"/>
        <v>4383.7290749803387</v>
      </c>
      <c r="FN84" s="442">
        <f t="shared" si="485"/>
        <v>4383.7290749803387</v>
      </c>
      <c r="FO84" s="442">
        <f t="shared" si="485"/>
        <v>4383.7290749803387</v>
      </c>
      <c r="FP84" s="442">
        <f t="shared" si="485"/>
        <v>4475.1536564799453</v>
      </c>
      <c r="FQ84" s="442">
        <f t="shared" si="485"/>
        <v>4475.1536564799453</v>
      </c>
      <c r="FR84" s="442">
        <f t="shared" si="485"/>
        <v>4475.1536564799453</v>
      </c>
      <c r="FS84" s="442">
        <f t="shared" si="485"/>
        <v>4475.1536564799453</v>
      </c>
      <c r="FT84" s="442">
        <f t="shared" si="485"/>
        <v>4475.1536564799453</v>
      </c>
      <c r="FU84" s="442">
        <f t="shared" si="485"/>
        <v>4475.1536564799453</v>
      </c>
      <c r="FV84" s="442">
        <f t="shared" si="485"/>
        <v>4475.1536564799453</v>
      </c>
      <c r="FW84" s="442">
        <f t="shared" si="485"/>
        <v>4475.1536564799453</v>
      </c>
      <c r="FX84" s="442">
        <f t="shared" si="485"/>
        <v>4475.1536564799453</v>
      </c>
      <c r="FY84" s="442">
        <f t="shared" si="485"/>
        <v>4475.1536564799453</v>
      </c>
      <c r="FZ84" s="442">
        <f t="shared" si="485"/>
        <v>4475.1536564799453</v>
      </c>
      <c r="GA84" s="442">
        <f t="shared" si="485"/>
        <v>4475.1536564799453</v>
      </c>
      <c r="GB84" s="442">
        <f t="shared" si="485"/>
        <v>4568.4067296095445</v>
      </c>
      <c r="GC84" s="442">
        <f t="shared" si="485"/>
        <v>4568.4067296095445</v>
      </c>
      <c r="GD84" s="442">
        <f t="shared" si="485"/>
        <v>4568.4067296095445</v>
      </c>
      <c r="GE84" s="442">
        <f t="shared" si="485"/>
        <v>4568.4067296095445</v>
      </c>
      <c r="GF84" s="442">
        <f t="shared" si="485"/>
        <v>4568.4067296095445</v>
      </c>
      <c r="GG84" s="442">
        <f t="shared" si="485"/>
        <v>4568.4067296095445</v>
      </c>
      <c r="GH84" s="442">
        <f t="shared" si="485"/>
        <v>4568.4067296095445</v>
      </c>
      <c r="GI84" s="442">
        <f t="shared" si="485"/>
        <v>4568.4067296095445</v>
      </c>
      <c r="GJ84" s="442">
        <f t="shared" si="485"/>
        <v>4568.4067296095445</v>
      </c>
      <c r="GK84" s="442">
        <f t="shared" si="485"/>
        <v>4568.4067296095445</v>
      </c>
      <c r="GL84" s="442">
        <f t="shared" si="485"/>
        <v>4568.4067296095445</v>
      </c>
      <c r="GM84" s="442">
        <f t="shared" si="485"/>
        <v>4568.4067296095445</v>
      </c>
      <c r="GN84" s="442">
        <f t="shared" si="485"/>
        <v>4663.524864201735</v>
      </c>
      <c r="GO84" s="442">
        <f t="shared" si="485"/>
        <v>4663.524864201735</v>
      </c>
      <c r="GP84" s="442">
        <f t="shared" si="485"/>
        <v>4663.524864201735</v>
      </c>
      <c r="GQ84" s="442">
        <f t="shared" si="485"/>
        <v>4663.524864201735</v>
      </c>
      <c r="GR84" s="442">
        <f t="shared" si="485"/>
        <v>4663.524864201735</v>
      </c>
      <c r="GS84" s="442">
        <f t="shared" si="485"/>
        <v>4663.524864201735</v>
      </c>
      <c r="GT84" s="442">
        <f t="shared" ref="GT84:JE84" si="486">GT68+GT76</f>
        <v>4663.524864201735</v>
      </c>
      <c r="GU84" s="442">
        <f t="shared" si="486"/>
        <v>4663.524864201735</v>
      </c>
      <c r="GV84" s="442">
        <f t="shared" si="486"/>
        <v>4663.524864201735</v>
      </c>
      <c r="GW84" s="442">
        <f t="shared" si="486"/>
        <v>4663.524864201735</v>
      </c>
      <c r="GX84" s="442">
        <f t="shared" si="486"/>
        <v>4663.524864201735</v>
      </c>
      <c r="GY84" s="442">
        <f t="shared" si="486"/>
        <v>4663.524864201735</v>
      </c>
      <c r="GZ84" s="442">
        <f t="shared" si="486"/>
        <v>4760.5453614857706</v>
      </c>
      <c r="HA84" s="442">
        <f t="shared" si="486"/>
        <v>4760.5453614857706</v>
      </c>
      <c r="HB84" s="442">
        <f t="shared" si="486"/>
        <v>4760.5453614857706</v>
      </c>
      <c r="HC84" s="442">
        <f t="shared" si="486"/>
        <v>4760.5453614857706</v>
      </c>
      <c r="HD84" s="442">
        <f t="shared" si="486"/>
        <v>4760.5453614857706</v>
      </c>
      <c r="HE84" s="442">
        <f t="shared" si="486"/>
        <v>4760.5453614857706</v>
      </c>
      <c r="HF84" s="442">
        <f t="shared" si="486"/>
        <v>4760.5453614857706</v>
      </c>
      <c r="HG84" s="442">
        <f t="shared" si="486"/>
        <v>4760.5453614857706</v>
      </c>
      <c r="HH84" s="442">
        <f t="shared" si="486"/>
        <v>4760.5453614857706</v>
      </c>
      <c r="HI84" s="442">
        <f t="shared" si="486"/>
        <v>4760.5453614857706</v>
      </c>
      <c r="HJ84" s="442">
        <f t="shared" si="486"/>
        <v>4760.5453614857706</v>
      </c>
      <c r="HK84" s="442">
        <f t="shared" si="486"/>
        <v>4760.5453614857706</v>
      </c>
      <c r="HL84" s="442">
        <f t="shared" si="486"/>
        <v>4859.506268715485</v>
      </c>
      <c r="HM84" s="442">
        <f t="shared" si="486"/>
        <v>4859.506268715485</v>
      </c>
      <c r="HN84" s="442">
        <f t="shared" si="486"/>
        <v>4859.506268715485</v>
      </c>
      <c r="HO84" s="442">
        <f t="shared" si="486"/>
        <v>4859.506268715485</v>
      </c>
      <c r="HP84" s="442">
        <f t="shared" si="486"/>
        <v>4859.506268715485</v>
      </c>
      <c r="HQ84" s="442">
        <f t="shared" si="486"/>
        <v>4859.506268715485</v>
      </c>
      <c r="HR84" s="442">
        <f t="shared" si="486"/>
        <v>4859.506268715485</v>
      </c>
      <c r="HS84" s="442">
        <f t="shared" si="486"/>
        <v>4859.506268715485</v>
      </c>
      <c r="HT84" s="442">
        <f t="shared" si="486"/>
        <v>4859.506268715485</v>
      </c>
      <c r="HU84" s="442">
        <f t="shared" si="486"/>
        <v>4859.506268715485</v>
      </c>
      <c r="HV84" s="442">
        <f t="shared" si="486"/>
        <v>4859.506268715485</v>
      </c>
      <c r="HW84" s="442">
        <f t="shared" si="486"/>
        <v>4859.506268715485</v>
      </c>
      <c r="HX84" s="442">
        <f t="shared" si="486"/>
        <v>4960.4463940897949</v>
      </c>
      <c r="HY84" s="442">
        <f t="shared" si="486"/>
        <v>4960.4463940897949</v>
      </c>
      <c r="HZ84" s="442">
        <f t="shared" si="486"/>
        <v>4960.4463940897949</v>
      </c>
      <c r="IA84" s="442">
        <f t="shared" si="486"/>
        <v>4960.4463940897949</v>
      </c>
      <c r="IB84" s="442">
        <f t="shared" si="486"/>
        <v>4960.4463940897949</v>
      </c>
      <c r="IC84" s="442">
        <f t="shared" si="486"/>
        <v>4960.4463940897949</v>
      </c>
      <c r="ID84" s="442">
        <f t="shared" si="486"/>
        <v>4960.4463940897949</v>
      </c>
      <c r="IE84" s="442">
        <f t="shared" si="486"/>
        <v>4960.4463940897949</v>
      </c>
      <c r="IF84" s="442">
        <f t="shared" si="486"/>
        <v>4960.4463940897949</v>
      </c>
      <c r="IG84" s="442">
        <f t="shared" si="486"/>
        <v>4960.4463940897949</v>
      </c>
      <c r="IH84" s="442">
        <f t="shared" si="486"/>
        <v>4960.4463940897949</v>
      </c>
      <c r="II84" s="442">
        <f t="shared" si="486"/>
        <v>4960.4463940897949</v>
      </c>
      <c r="IJ84" s="442">
        <f t="shared" si="486"/>
        <v>5063.4053219715915</v>
      </c>
      <c r="IK84" s="442">
        <f t="shared" si="486"/>
        <v>5063.4053219715915</v>
      </c>
      <c r="IL84" s="442">
        <f t="shared" si="486"/>
        <v>5063.4053219715915</v>
      </c>
      <c r="IM84" s="442">
        <f t="shared" si="486"/>
        <v>5063.4053219715915</v>
      </c>
      <c r="IN84" s="442">
        <f t="shared" si="486"/>
        <v>5063.4053219715915</v>
      </c>
      <c r="IO84" s="442">
        <f t="shared" si="486"/>
        <v>5063.4053219715915</v>
      </c>
      <c r="IP84" s="442">
        <f t="shared" si="486"/>
        <v>5063.4053219715915</v>
      </c>
      <c r="IQ84" s="442">
        <f t="shared" si="486"/>
        <v>5063.4053219715915</v>
      </c>
      <c r="IR84" s="442">
        <f t="shared" si="486"/>
        <v>5063.4053219715915</v>
      </c>
      <c r="IS84" s="442">
        <f t="shared" si="486"/>
        <v>5063.4053219715915</v>
      </c>
      <c r="IT84" s="442">
        <f t="shared" si="486"/>
        <v>5063.4053219715915</v>
      </c>
      <c r="IU84" s="442">
        <f t="shared" si="486"/>
        <v>5063.4053219715915</v>
      </c>
      <c r="IV84" s="442">
        <f t="shared" si="486"/>
        <v>5168.4234284110225</v>
      </c>
      <c r="IW84" s="442">
        <f t="shared" si="486"/>
        <v>5168.4234284110225</v>
      </c>
      <c r="IX84" s="442">
        <f t="shared" si="486"/>
        <v>5168.4234284110225</v>
      </c>
      <c r="IY84" s="442">
        <f t="shared" si="486"/>
        <v>5168.4234284110225</v>
      </c>
      <c r="IZ84" s="442">
        <f t="shared" si="486"/>
        <v>5168.4234284110225</v>
      </c>
      <c r="JA84" s="442">
        <f t="shared" si="486"/>
        <v>5168.4234284110225</v>
      </c>
      <c r="JB84" s="442">
        <f t="shared" si="486"/>
        <v>5168.4234284110225</v>
      </c>
      <c r="JC84" s="442">
        <f t="shared" si="486"/>
        <v>5168.4234284110225</v>
      </c>
      <c r="JD84" s="442">
        <f t="shared" si="486"/>
        <v>5168.4234284110225</v>
      </c>
      <c r="JE84" s="442">
        <f t="shared" si="486"/>
        <v>5168.4234284110225</v>
      </c>
      <c r="JF84" s="442">
        <f t="shared" ref="JF84:LQ84" si="487">JF68+JF76</f>
        <v>5168.4234284110225</v>
      </c>
      <c r="JG84" s="442">
        <f t="shared" si="487"/>
        <v>5168.4234284110225</v>
      </c>
      <c r="JH84" s="442">
        <f t="shared" si="487"/>
        <v>5275.5418969792436</v>
      </c>
      <c r="JI84" s="442">
        <f t="shared" si="487"/>
        <v>5275.5418969792436</v>
      </c>
      <c r="JJ84" s="442">
        <f t="shared" si="487"/>
        <v>5275.5418969792436</v>
      </c>
      <c r="JK84" s="442">
        <f t="shared" si="487"/>
        <v>5275.5418969792436</v>
      </c>
      <c r="JL84" s="442">
        <f t="shared" si="487"/>
        <v>5275.5418969792436</v>
      </c>
      <c r="JM84" s="442">
        <f t="shared" si="487"/>
        <v>5275.5418969792436</v>
      </c>
      <c r="JN84" s="442">
        <f t="shared" si="487"/>
        <v>5275.5418969792436</v>
      </c>
      <c r="JO84" s="442">
        <f t="shared" si="487"/>
        <v>5275.5418969792436</v>
      </c>
      <c r="JP84" s="442">
        <f t="shared" si="487"/>
        <v>5275.5418969792436</v>
      </c>
      <c r="JQ84" s="442">
        <f t="shared" si="487"/>
        <v>5275.5418969792436</v>
      </c>
      <c r="JR84" s="442">
        <f t="shared" si="487"/>
        <v>5275.5418969792436</v>
      </c>
      <c r="JS84" s="442">
        <f t="shared" si="487"/>
        <v>5275.5418969792436</v>
      </c>
      <c r="JT84" s="442">
        <f t="shared" si="487"/>
        <v>5384.8027349188278</v>
      </c>
      <c r="JU84" s="442">
        <f t="shared" si="487"/>
        <v>5384.8027349188278</v>
      </c>
      <c r="JV84" s="442">
        <f t="shared" si="487"/>
        <v>5384.8027349188278</v>
      </c>
      <c r="JW84" s="442">
        <f t="shared" si="487"/>
        <v>5384.8027349188278</v>
      </c>
      <c r="JX84" s="442">
        <f t="shared" si="487"/>
        <v>5384.8027349188278</v>
      </c>
      <c r="JY84" s="442">
        <f t="shared" si="487"/>
        <v>5384.8027349188278</v>
      </c>
      <c r="JZ84" s="442">
        <f t="shared" si="487"/>
        <v>5384.8027349188278</v>
      </c>
      <c r="KA84" s="442">
        <f t="shared" si="487"/>
        <v>5384.8027349188278</v>
      </c>
      <c r="KB84" s="442">
        <f t="shared" si="487"/>
        <v>5384.8027349188278</v>
      </c>
      <c r="KC84" s="442">
        <f t="shared" si="487"/>
        <v>5384.8027349188278</v>
      </c>
      <c r="KD84" s="442">
        <f t="shared" si="487"/>
        <v>5384.8027349188278</v>
      </c>
      <c r="KE84" s="442">
        <f t="shared" si="487"/>
        <v>5384.8027349188278</v>
      </c>
      <c r="KF84" s="442">
        <f t="shared" si="487"/>
        <v>5496.2487896172051</v>
      </c>
      <c r="KG84" s="442">
        <f t="shared" si="487"/>
        <v>5496.2487896172051</v>
      </c>
      <c r="KH84" s="442">
        <f t="shared" si="487"/>
        <v>5496.2487896172051</v>
      </c>
      <c r="KI84" s="442">
        <f t="shared" si="487"/>
        <v>5496.2487896172051</v>
      </c>
      <c r="KJ84" s="442">
        <f t="shared" si="487"/>
        <v>5496.2487896172051</v>
      </c>
      <c r="KK84" s="442">
        <f t="shared" si="487"/>
        <v>5496.2487896172051</v>
      </c>
      <c r="KL84" s="442">
        <f t="shared" si="487"/>
        <v>5496.2487896172051</v>
      </c>
      <c r="KM84" s="442">
        <f t="shared" si="487"/>
        <v>5496.2487896172051</v>
      </c>
      <c r="KN84" s="442">
        <f t="shared" si="487"/>
        <v>5496.2487896172051</v>
      </c>
      <c r="KO84" s="442">
        <f t="shared" si="487"/>
        <v>5496.2487896172051</v>
      </c>
      <c r="KP84" s="442">
        <f t="shared" si="487"/>
        <v>5496.2487896172051</v>
      </c>
      <c r="KQ84" s="442">
        <f t="shared" si="487"/>
        <v>5496.2487896172051</v>
      </c>
      <c r="KR84" s="442">
        <f t="shared" si="487"/>
        <v>5609.9237654095487</v>
      </c>
      <c r="KS84" s="442">
        <f t="shared" si="487"/>
        <v>5609.9237654095487</v>
      </c>
      <c r="KT84" s="442">
        <f t="shared" si="487"/>
        <v>5609.9237654095487</v>
      </c>
      <c r="KU84" s="442">
        <f t="shared" si="487"/>
        <v>5609.9237654095487</v>
      </c>
      <c r="KV84" s="442">
        <f t="shared" si="487"/>
        <v>5609.9237654095487</v>
      </c>
      <c r="KW84" s="442">
        <f t="shared" si="487"/>
        <v>5609.9237654095487</v>
      </c>
      <c r="KX84" s="442">
        <f t="shared" si="487"/>
        <v>5609.9237654095487</v>
      </c>
      <c r="KY84" s="442">
        <f t="shared" si="487"/>
        <v>5609.9237654095487</v>
      </c>
      <c r="KZ84" s="442">
        <f t="shared" si="487"/>
        <v>5609.9237654095487</v>
      </c>
      <c r="LA84" s="442">
        <f t="shared" si="487"/>
        <v>5609.9237654095487</v>
      </c>
      <c r="LB84" s="442">
        <f t="shared" si="487"/>
        <v>5609.9237654095487</v>
      </c>
      <c r="LC84" s="442">
        <f t="shared" si="487"/>
        <v>5609.9237654095487</v>
      </c>
      <c r="LD84" s="442">
        <f t="shared" si="487"/>
        <v>5725.8722407177384</v>
      </c>
      <c r="LE84" s="442">
        <f t="shared" si="487"/>
        <v>5725.8722407177384</v>
      </c>
      <c r="LF84" s="442">
        <f t="shared" si="487"/>
        <v>5725.8722407177384</v>
      </c>
      <c r="LG84" s="442">
        <f t="shared" si="487"/>
        <v>5725.8722407177384</v>
      </c>
      <c r="LH84" s="442">
        <f t="shared" si="487"/>
        <v>5725.8722407177384</v>
      </c>
      <c r="LI84" s="442">
        <f t="shared" si="487"/>
        <v>5725.8722407177384</v>
      </c>
      <c r="LJ84" s="442">
        <f t="shared" si="487"/>
        <v>5725.8722407177384</v>
      </c>
      <c r="LK84" s="442">
        <f t="shared" si="487"/>
        <v>5725.8722407177384</v>
      </c>
      <c r="LL84" s="442">
        <f t="shared" si="487"/>
        <v>5725.8722407177384</v>
      </c>
      <c r="LM84" s="442">
        <f t="shared" si="487"/>
        <v>5725.8722407177384</v>
      </c>
      <c r="LN84" s="442">
        <f t="shared" si="487"/>
        <v>5725.8722407177384</v>
      </c>
      <c r="LO84" s="442">
        <f t="shared" si="487"/>
        <v>5725.8722407177384</v>
      </c>
      <c r="LP84" s="442">
        <f t="shared" si="487"/>
        <v>5844.1396855320936</v>
      </c>
      <c r="LQ84" s="442">
        <f t="shared" si="487"/>
        <v>5844.1396855320936</v>
      </c>
      <c r="LR84" s="442">
        <f t="shared" ref="LR84:OC84" si="488">LR68+LR76</f>
        <v>5844.1396855320936</v>
      </c>
      <c r="LS84" s="442">
        <f t="shared" si="488"/>
        <v>5844.1396855320936</v>
      </c>
      <c r="LT84" s="442">
        <f t="shared" si="488"/>
        <v>5844.1396855320936</v>
      </c>
      <c r="LU84" s="442">
        <f t="shared" si="488"/>
        <v>5844.1396855320936</v>
      </c>
      <c r="LV84" s="442">
        <f t="shared" si="488"/>
        <v>5844.1396855320936</v>
      </c>
      <c r="LW84" s="442">
        <f t="shared" si="488"/>
        <v>5844.1396855320936</v>
      </c>
      <c r="LX84" s="442">
        <f t="shared" si="488"/>
        <v>5844.1396855320936</v>
      </c>
      <c r="LY84" s="442">
        <f t="shared" si="488"/>
        <v>5844.1396855320936</v>
      </c>
      <c r="LZ84" s="442">
        <f t="shared" si="488"/>
        <v>5844.1396855320936</v>
      </c>
      <c r="MA84" s="442">
        <f t="shared" si="488"/>
        <v>5844.1396855320936</v>
      </c>
      <c r="MB84" s="442">
        <f t="shared" si="488"/>
        <v>5964.7724792427362</v>
      </c>
      <c r="MC84" s="442">
        <f t="shared" si="488"/>
        <v>5964.7724792427362</v>
      </c>
      <c r="MD84" s="442">
        <f t="shared" si="488"/>
        <v>5964.7724792427362</v>
      </c>
      <c r="ME84" s="442">
        <f t="shared" si="488"/>
        <v>5964.7724792427362</v>
      </c>
      <c r="MF84" s="442">
        <f t="shared" si="488"/>
        <v>5964.7724792427362</v>
      </c>
      <c r="MG84" s="442">
        <f t="shared" si="488"/>
        <v>5964.7724792427362</v>
      </c>
      <c r="MH84" s="442">
        <f t="shared" si="488"/>
        <v>5964.7724792427362</v>
      </c>
      <c r="MI84" s="442">
        <f t="shared" si="488"/>
        <v>5964.7724792427362</v>
      </c>
      <c r="MJ84" s="442">
        <f t="shared" si="488"/>
        <v>5964.7724792427362</v>
      </c>
      <c r="MK84" s="442">
        <f t="shared" si="488"/>
        <v>5964.7724792427362</v>
      </c>
      <c r="ML84" s="442">
        <f t="shared" si="488"/>
        <v>5964.7724792427362</v>
      </c>
      <c r="MM84" s="442">
        <f t="shared" si="488"/>
        <v>5964.7724792427362</v>
      </c>
      <c r="MN84" s="442">
        <f t="shared" si="488"/>
        <v>6087.8179288275905</v>
      </c>
      <c r="MO84" s="442">
        <f t="shared" si="488"/>
        <v>6087.8179288275905</v>
      </c>
      <c r="MP84" s="442">
        <f t="shared" si="488"/>
        <v>6087.8179288275905</v>
      </c>
      <c r="MQ84" s="442">
        <f t="shared" si="488"/>
        <v>6087.8179288275905</v>
      </c>
      <c r="MR84" s="442">
        <f t="shared" si="488"/>
        <v>6087.8179288275905</v>
      </c>
      <c r="MS84" s="442">
        <f t="shared" si="488"/>
        <v>6087.8179288275905</v>
      </c>
      <c r="MT84" s="442">
        <f t="shared" si="488"/>
        <v>6087.8179288275905</v>
      </c>
      <c r="MU84" s="442">
        <f t="shared" si="488"/>
        <v>6087.8179288275905</v>
      </c>
      <c r="MV84" s="442">
        <f t="shared" si="488"/>
        <v>6087.8179288275905</v>
      </c>
      <c r="MW84" s="442">
        <f t="shared" si="488"/>
        <v>6087.8179288275905</v>
      </c>
      <c r="MX84" s="442">
        <f t="shared" si="488"/>
        <v>6087.8179288275905</v>
      </c>
      <c r="MY84" s="442">
        <f t="shared" si="488"/>
        <v>6087.8179288275905</v>
      </c>
      <c r="MZ84" s="442">
        <f t="shared" si="488"/>
        <v>6213.3242874041416</v>
      </c>
      <c r="NA84" s="442">
        <f t="shared" si="488"/>
        <v>6213.3242874041416</v>
      </c>
      <c r="NB84" s="442">
        <f t="shared" si="488"/>
        <v>6213.3242874041416</v>
      </c>
      <c r="NC84" s="442">
        <f t="shared" si="488"/>
        <v>6213.3242874041416</v>
      </c>
      <c r="ND84" s="442">
        <f t="shared" si="488"/>
        <v>6213.3242874041416</v>
      </c>
      <c r="NE84" s="442">
        <f t="shared" si="488"/>
        <v>6213.3242874041416</v>
      </c>
      <c r="NF84" s="442">
        <f t="shared" si="488"/>
        <v>6213.3242874041416</v>
      </c>
      <c r="NG84" s="442">
        <f t="shared" si="488"/>
        <v>6213.3242874041416</v>
      </c>
      <c r="NH84" s="442">
        <f t="shared" si="488"/>
        <v>6213.3242874041416</v>
      </c>
      <c r="NI84" s="442">
        <f t="shared" si="488"/>
        <v>6213.3242874041416</v>
      </c>
      <c r="NJ84" s="442">
        <f t="shared" si="488"/>
        <v>6213.3242874041416</v>
      </c>
      <c r="NK84" s="442">
        <f t="shared" si="488"/>
        <v>6213.3242874041416</v>
      </c>
      <c r="NL84" s="442">
        <f t="shared" si="488"/>
        <v>6341.3407731522266</v>
      </c>
      <c r="NM84" s="442">
        <f t="shared" si="488"/>
        <v>6341.3407731522266</v>
      </c>
      <c r="NN84" s="442">
        <f t="shared" si="488"/>
        <v>6341.3407731522266</v>
      </c>
      <c r="NO84" s="442">
        <f t="shared" si="488"/>
        <v>6341.3407731522266</v>
      </c>
      <c r="NP84" s="442">
        <f t="shared" si="488"/>
        <v>6341.3407731522266</v>
      </c>
      <c r="NQ84" s="442">
        <f t="shared" si="488"/>
        <v>6341.3407731522266</v>
      </c>
      <c r="NR84" s="442">
        <f t="shared" si="488"/>
        <v>6341.3407731522266</v>
      </c>
      <c r="NS84" s="442">
        <f t="shared" si="488"/>
        <v>6341.3407731522266</v>
      </c>
      <c r="NT84" s="442">
        <f t="shared" si="488"/>
        <v>6341.3407731522266</v>
      </c>
      <c r="NU84" s="442">
        <f t="shared" si="488"/>
        <v>6341.3407731522266</v>
      </c>
      <c r="NV84" s="442">
        <f t="shared" si="488"/>
        <v>6341.3407731522266</v>
      </c>
      <c r="NW84" s="442">
        <f t="shared" si="488"/>
        <v>6341.3407731522266</v>
      </c>
      <c r="NX84" s="442">
        <f t="shared" si="488"/>
        <v>6471.9175886152698</v>
      </c>
      <c r="NY84" s="442">
        <f t="shared" si="488"/>
        <v>6471.9175886152698</v>
      </c>
      <c r="NZ84" s="442">
        <f t="shared" si="488"/>
        <v>6471.9175886152698</v>
      </c>
      <c r="OA84" s="442">
        <f t="shared" si="488"/>
        <v>6471.9175886152698</v>
      </c>
      <c r="OB84" s="442">
        <f t="shared" si="488"/>
        <v>6471.9175886152698</v>
      </c>
      <c r="OC84" s="442">
        <f t="shared" si="488"/>
        <v>6471.9175886152698</v>
      </c>
      <c r="OD84" s="442">
        <f t="shared" ref="OD84:OO84" si="489">OD68+OD76</f>
        <v>6471.9175886152698</v>
      </c>
      <c r="OE84" s="442">
        <f t="shared" si="489"/>
        <v>6471.9175886152698</v>
      </c>
      <c r="OF84" s="442">
        <f t="shared" si="489"/>
        <v>6471.9175886152698</v>
      </c>
      <c r="OG84" s="442">
        <f t="shared" si="489"/>
        <v>6471.9175886152698</v>
      </c>
      <c r="OH84" s="442">
        <f t="shared" si="489"/>
        <v>6471.9175886152698</v>
      </c>
      <c r="OI84" s="442">
        <f t="shared" si="489"/>
        <v>6471.9175886152698</v>
      </c>
      <c r="OJ84" s="442">
        <f t="shared" si="489"/>
        <v>6605.1059403875761</v>
      </c>
      <c r="OK84" s="442">
        <f t="shared" si="489"/>
        <v>6605.1059403875761</v>
      </c>
      <c r="OL84" s="442">
        <f t="shared" si="489"/>
        <v>6605.1059403875761</v>
      </c>
      <c r="OM84" s="442">
        <f t="shared" si="489"/>
        <v>6605.1059403875761</v>
      </c>
      <c r="ON84" s="442">
        <f t="shared" si="489"/>
        <v>6605.1059403875761</v>
      </c>
      <c r="OO84" s="442">
        <f t="shared" si="489"/>
        <v>6605.1059403875761</v>
      </c>
    </row>
    <row r="85" spans="2:405">
      <c r="B85" s="7" t="s">
        <v>68</v>
      </c>
      <c r="D85" s="537">
        <f t="shared" si="482"/>
        <v>0</v>
      </c>
      <c r="E85" s="507">
        <f>Assumptions!$C$13</f>
        <v>47330</v>
      </c>
      <c r="F85" s="507">
        <f>EOMONTH(E85,Assumptions!$C$14-1)</f>
        <v>58256</v>
      </c>
      <c r="G85" s="97">
        <f t="shared" si="474"/>
        <v>360</v>
      </c>
      <c r="H85" s="97"/>
      <c r="J85" s="442">
        <f t="shared" ref="J85:BU85" si="490">J69+J77</f>
        <v>0</v>
      </c>
      <c r="K85" s="442">
        <f t="shared" si="490"/>
        <v>0</v>
      </c>
      <c r="L85" s="442">
        <f t="shared" si="490"/>
        <v>0</v>
      </c>
      <c r="M85" s="442">
        <f t="shared" si="490"/>
        <v>0</v>
      </c>
      <c r="N85" s="442">
        <f t="shared" si="490"/>
        <v>0</v>
      </c>
      <c r="O85" s="442">
        <f t="shared" si="490"/>
        <v>0</v>
      </c>
      <c r="P85" s="442">
        <f t="shared" si="490"/>
        <v>0</v>
      </c>
      <c r="Q85" s="442">
        <f t="shared" si="490"/>
        <v>0</v>
      </c>
      <c r="R85" s="442">
        <f t="shared" si="490"/>
        <v>0</v>
      </c>
      <c r="S85" s="442">
        <f t="shared" si="490"/>
        <v>0</v>
      </c>
      <c r="T85" s="442">
        <f t="shared" si="490"/>
        <v>0</v>
      </c>
      <c r="U85" s="442">
        <f t="shared" si="490"/>
        <v>0</v>
      </c>
      <c r="V85" s="442">
        <f t="shared" si="490"/>
        <v>0</v>
      </c>
      <c r="W85" s="442">
        <f t="shared" si="490"/>
        <v>0</v>
      </c>
      <c r="X85" s="442">
        <f t="shared" si="490"/>
        <v>0</v>
      </c>
      <c r="Y85" s="442">
        <f t="shared" si="490"/>
        <v>0</v>
      </c>
      <c r="Z85" s="442">
        <f t="shared" si="490"/>
        <v>0</v>
      </c>
      <c r="AA85" s="442">
        <f t="shared" si="490"/>
        <v>0</v>
      </c>
      <c r="AB85" s="442">
        <f t="shared" si="490"/>
        <v>0</v>
      </c>
      <c r="AC85" s="442">
        <f t="shared" si="490"/>
        <v>0</v>
      </c>
      <c r="AD85" s="442">
        <f t="shared" si="490"/>
        <v>0</v>
      </c>
      <c r="AE85" s="442">
        <f t="shared" si="490"/>
        <v>0</v>
      </c>
      <c r="AF85" s="442">
        <f t="shared" si="490"/>
        <v>0</v>
      </c>
      <c r="AG85" s="442">
        <f t="shared" si="490"/>
        <v>0</v>
      </c>
      <c r="AH85" s="442">
        <f t="shared" si="490"/>
        <v>0</v>
      </c>
      <c r="AI85" s="442">
        <f t="shared" si="490"/>
        <v>0</v>
      </c>
      <c r="AJ85" s="442">
        <f t="shared" si="490"/>
        <v>0</v>
      </c>
      <c r="AK85" s="442">
        <f t="shared" si="490"/>
        <v>0</v>
      </c>
      <c r="AL85" s="442">
        <f t="shared" si="490"/>
        <v>0</v>
      </c>
      <c r="AM85" s="442">
        <f t="shared" si="490"/>
        <v>0</v>
      </c>
      <c r="AN85" s="442">
        <f t="shared" si="490"/>
        <v>0</v>
      </c>
      <c r="AO85" s="442">
        <f t="shared" si="490"/>
        <v>0</v>
      </c>
      <c r="AP85" s="442">
        <f t="shared" si="490"/>
        <v>0</v>
      </c>
      <c r="AQ85" s="442">
        <f t="shared" si="490"/>
        <v>0</v>
      </c>
      <c r="AR85" s="442">
        <f t="shared" si="490"/>
        <v>0</v>
      </c>
      <c r="AS85" s="442">
        <f t="shared" si="490"/>
        <v>0</v>
      </c>
      <c r="AT85" s="442">
        <f t="shared" si="490"/>
        <v>0</v>
      </c>
      <c r="AU85" s="442">
        <f t="shared" si="490"/>
        <v>0</v>
      </c>
      <c r="AV85" s="442">
        <f t="shared" si="490"/>
        <v>0</v>
      </c>
      <c r="AW85" s="442">
        <f t="shared" si="490"/>
        <v>0</v>
      </c>
      <c r="AX85" s="442">
        <f t="shared" si="490"/>
        <v>0</v>
      </c>
      <c r="AY85" s="442">
        <f t="shared" si="490"/>
        <v>0</v>
      </c>
      <c r="AZ85" s="442">
        <f t="shared" si="490"/>
        <v>0</v>
      </c>
      <c r="BA85" s="442">
        <f t="shared" si="490"/>
        <v>0</v>
      </c>
      <c r="BB85" s="442">
        <f t="shared" si="490"/>
        <v>0</v>
      </c>
      <c r="BC85" s="442">
        <f t="shared" si="490"/>
        <v>0</v>
      </c>
      <c r="BD85" s="442">
        <f t="shared" si="490"/>
        <v>0</v>
      </c>
      <c r="BE85" s="442">
        <f t="shared" si="490"/>
        <v>0</v>
      </c>
      <c r="BF85" s="442">
        <f t="shared" si="490"/>
        <v>0</v>
      </c>
      <c r="BG85" s="442">
        <f t="shared" si="490"/>
        <v>0</v>
      </c>
      <c r="BH85" s="442">
        <f t="shared" si="490"/>
        <v>0</v>
      </c>
      <c r="BI85" s="442">
        <f t="shared" si="490"/>
        <v>0</v>
      </c>
      <c r="BJ85" s="442">
        <f t="shared" si="490"/>
        <v>0</v>
      </c>
      <c r="BK85" s="442">
        <f t="shared" si="490"/>
        <v>0</v>
      </c>
      <c r="BL85" s="442">
        <f t="shared" si="490"/>
        <v>0</v>
      </c>
      <c r="BM85" s="442">
        <f t="shared" si="490"/>
        <v>0</v>
      </c>
      <c r="BN85" s="442">
        <f t="shared" si="490"/>
        <v>0</v>
      </c>
      <c r="BO85" s="442">
        <f t="shared" si="490"/>
        <v>0</v>
      </c>
      <c r="BP85" s="442">
        <f t="shared" si="490"/>
        <v>0</v>
      </c>
      <c r="BQ85" s="442">
        <f t="shared" si="490"/>
        <v>0</v>
      </c>
      <c r="BR85" s="442">
        <f t="shared" si="490"/>
        <v>0</v>
      </c>
      <c r="BS85" s="442">
        <f t="shared" si="490"/>
        <v>0</v>
      </c>
      <c r="BT85" s="442">
        <f t="shared" si="490"/>
        <v>0</v>
      </c>
      <c r="BU85" s="442">
        <f t="shared" si="490"/>
        <v>0</v>
      </c>
      <c r="BV85" s="442">
        <f t="shared" ref="BV85:EG85" si="491">BV69+BV77</f>
        <v>0</v>
      </c>
      <c r="BW85" s="442">
        <f t="shared" si="491"/>
        <v>0</v>
      </c>
      <c r="BX85" s="442">
        <f t="shared" si="491"/>
        <v>0</v>
      </c>
      <c r="BY85" s="442">
        <f t="shared" si="491"/>
        <v>0</v>
      </c>
      <c r="BZ85" s="442">
        <f t="shared" si="491"/>
        <v>0</v>
      </c>
      <c r="CA85" s="442">
        <f t="shared" si="491"/>
        <v>0</v>
      </c>
      <c r="CB85" s="442">
        <f t="shared" si="491"/>
        <v>0</v>
      </c>
      <c r="CC85" s="442">
        <f t="shared" si="491"/>
        <v>0</v>
      </c>
      <c r="CD85" s="442">
        <f t="shared" si="491"/>
        <v>0</v>
      </c>
      <c r="CE85" s="442">
        <f t="shared" si="491"/>
        <v>0</v>
      </c>
      <c r="CF85" s="442">
        <f t="shared" si="491"/>
        <v>0</v>
      </c>
      <c r="CG85" s="442">
        <f t="shared" si="491"/>
        <v>0</v>
      </c>
      <c r="CH85" s="442">
        <f t="shared" si="491"/>
        <v>0</v>
      </c>
      <c r="CI85" s="442">
        <f t="shared" si="491"/>
        <v>0</v>
      </c>
      <c r="CJ85" s="442">
        <f t="shared" si="491"/>
        <v>0</v>
      </c>
      <c r="CK85" s="442">
        <f t="shared" si="491"/>
        <v>0</v>
      </c>
      <c r="CL85" s="442">
        <f t="shared" si="491"/>
        <v>0</v>
      </c>
      <c r="CM85" s="442">
        <f t="shared" si="491"/>
        <v>0</v>
      </c>
      <c r="CN85" s="442">
        <f t="shared" si="491"/>
        <v>0</v>
      </c>
      <c r="CO85" s="442">
        <f t="shared" si="491"/>
        <v>0</v>
      </c>
      <c r="CP85" s="442">
        <f t="shared" si="491"/>
        <v>0</v>
      </c>
      <c r="CQ85" s="442">
        <f t="shared" si="491"/>
        <v>0</v>
      </c>
      <c r="CR85" s="442">
        <f t="shared" si="491"/>
        <v>0</v>
      </c>
      <c r="CS85" s="442">
        <f t="shared" si="491"/>
        <v>0</v>
      </c>
      <c r="CT85" s="442">
        <f t="shared" si="491"/>
        <v>0</v>
      </c>
      <c r="CU85" s="442">
        <f t="shared" si="491"/>
        <v>0</v>
      </c>
      <c r="CV85" s="442">
        <f t="shared" si="491"/>
        <v>0</v>
      </c>
      <c r="CW85" s="442">
        <f t="shared" si="491"/>
        <v>0</v>
      </c>
      <c r="CX85" s="442">
        <f t="shared" si="491"/>
        <v>0</v>
      </c>
      <c r="CY85" s="442">
        <f t="shared" si="491"/>
        <v>0</v>
      </c>
      <c r="CZ85" s="442">
        <f t="shared" si="491"/>
        <v>0</v>
      </c>
      <c r="DA85" s="442">
        <f t="shared" si="491"/>
        <v>0</v>
      </c>
      <c r="DB85" s="442">
        <f t="shared" si="491"/>
        <v>0</v>
      </c>
      <c r="DC85" s="442">
        <f t="shared" si="491"/>
        <v>0</v>
      </c>
      <c r="DD85" s="442">
        <f t="shared" si="491"/>
        <v>0</v>
      </c>
      <c r="DE85" s="442">
        <f t="shared" si="491"/>
        <v>0</v>
      </c>
      <c r="DF85" s="442">
        <f t="shared" si="491"/>
        <v>0</v>
      </c>
      <c r="DG85" s="442">
        <f t="shared" si="491"/>
        <v>0</v>
      </c>
      <c r="DH85" s="442">
        <f t="shared" si="491"/>
        <v>0</v>
      </c>
      <c r="DI85" s="442">
        <f t="shared" si="491"/>
        <v>0</v>
      </c>
      <c r="DJ85" s="442">
        <f t="shared" si="491"/>
        <v>0</v>
      </c>
      <c r="DK85" s="442">
        <f t="shared" si="491"/>
        <v>0</v>
      </c>
      <c r="DL85" s="442">
        <f t="shared" si="491"/>
        <v>0</v>
      </c>
      <c r="DM85" s="442">
        <f t="shared" si="491"/>
        <v>0</v>
      </c>
      <c r="DN85" s="442">
        <f t="shared" si="491"/>
        <v>0</v>
      </c>
      <c r="DO85" s="442">
        <f t="shared" si="491"/>
        <v>0</v>
      </c>
      <c r="DP85" s="442">
        <f t="shared" si="491"/>
        <v>0</v>
      </c>
      <c r="DQ85" s="442">
        <f t="shared" si="491"/>
        <v>0</v>
      </c>
      <c r="DR85" s="442">
        <f t="shared" si="491"/>
        <v>0</v>
      </c>
      <c r="DS85" s="442">
        <f t="shared" si="491"/>
        <v>0</v>
      </c>
      <c r="DT85" s="442">
        <f t="shared" si="491"/>
        <v>0</v>
      </c>
      <c r="DU85" s="442">
        <f t="shared" si="491"/>
        <v>0</v>
      </c>
      <c r="DV85" s="442">
        <f t="shared" si="491"/>
        <v>0</v>
      </c>
      <c r="DW85" s="442">
        <f t="shared" si="491"/>
        <v>0</v>
      </c>
      <c r="DX85" s="442">
        <f t="shared" si="491"/>
        <v>0</v>
      </c>
      <c r="DY85" s="442">
        <f t="shared" si="491"/>
        <v>0</v>
      </c>
      <c r="DZ85" s="442">
        <f t="shared" si="491"/>
        <v>0</v>
      </c>
      <c r="EA85" s="442">
        <f t="shared" si="491"/>
        <v>0</v>
      </c>
      <c r="EB85" s="442">
        <f t="shared" si="491"/>
        <v>0</v>
      </c>
      <c r="EC85" s="442">
        <f t="shared" si="491"/>
        <v>0</v>
      </c>
      <c r="ED85" s="442">
        <f t="shared" si="491"/>
        <v>0</v>
      </c>
      <c r="EE85" s="442">
        <f t="shared" si="491"/>
        <v>0</v>
      </c>
      <c r="EF85" s="442">
        <f t="shared" si="491"/>
        <v>0</v>
      </c>
      <c r="EG85" s="442">
        <f t="shared" si="491"/>
        <v>0</v>
      </c>
      <c r="EH85" s="442">
        <f t="shared" ref="EH85:GS85" si="492">EH69+EH77</f>
        <v>0</v>
      </c>
      <c r="EI85" s="442">
        <f t="shared" si="492"/>
        <v>0</v>
      </c>
      <c r="EJ85" s="442">
        <f t="shared" si="492"/>
        <v>0</v>
      </c>
      <c r="EK85" s="442">
        <f t="shared" si="492"/>
        <v>0</v>
      </c>
      <c r="EL85" s="442">
        <f t="shared" si="492"/>
        <v>0</v>
      </c>
      <c r="EM85" s="442">
        <f t="shared" si="492"/>
        <v>0</v>
      </c>
      <c r="EN85" s="442">
        <f t="shared" si="492"/>
        <v>0</v>
      </c>
      <c r="EO85" s="442">
        <f t="shared" si="492"/>
        <v>0</v>
      </c>
      <c r="EP85" s="442">
        <f t="shared" si="492"/>
        <v>0</v>
      </c>
      <c r="EQ85" s="442">
        <f t="shared" si="492"/>
        <v>0</v>
      </c>
      <c r="ER85" s="442">
        <f t="shared" si="492"/>
        <v>0</v>
      </c>
      <c r="ES85" s="442">
        <f t="shared" si="492"/>
        <v>0</v>
      </c>
      <c r="ET85" s="442">
        <f t="shared" si="492"/>
        <v>0</v>
      </c>
      <c r="EU85" s="442">
        <f t="shared" si="492"/>
        <v>0</v>
      </c>
      <c r="EV85" s="442">
        <f t="shared" si="492"/>
        <v>0</v>
      </c>
      <c r="EW85" s="442">
        <f t="shared" si="492"/>
        <v>0</v>
      </c>
      <c r="EX85" s="442">
        <f t="shared" si="492"/>
        <v>0</v>
      </c>
      <c r="EY85" s="442">
        <f t="shared" si="492"/>
        <v>0</v>
      </c>
      <c r="EZ85" s="442">
        <f t="shared" si="492"/>
        <v>0</v>
      </c>
      <c r="FA85" s="442">
        <f t="shared" si="492"/>
        <v>0</v>
      </c>
      <c r="FB85" s="442">
        <f t="shared" si="492"/>
        <v>0</v>
      </c>
      <c r="FC85" s="442">
        <f t="shared" si="492"/>
        <v>0</v>
      </c>
      <c r="FD85" s="442">
        <f t="shared" si="492"/>
        <v>0</v>
      </c>
      <c r="FE85" s="442">
        <f t="shared" si="492"/>
        <v>0</v>
      </c>
      <c r="FF85" s="442">
        <f t="shared" si="492"/>
        <v>0</v>
      </c>
      <c r="FG85" s="442">
        <f t="shared" si="492"/>
        <v>0</v>
      </c>
      <c r="FH85" s="442">
        <f t="shared" si="492"/>
        <v>0</v>
      </c>
      <c r="FI85" s="442">
        <f t="shared" si="492"/>
        <v>0</v>
      </c>
      <c r="FJ85" s="442">
        <f t="shared" si="492"/>
        <v>0</v>
      </c>
      <c r="FK85" s="442">
        <f t="shared" si="492"/>
        <v>0</v>
      </c>
      <c r="FL85" s="442">
        <f t="shared" si="492"/>
        <v>0</v>
      </c>
      <c r="FM85" s="442">
        <f t="shared" si="492"/>
        <v>0</v>
      </c>
      <c r="FN85" s="442">
        <f t="shared" si="492"/>
        <v>0</v>
      </c>
      <c r="FO85" s="442">
        <f t="shared" si="492"/>
        <v>0</v>
      </c>
      <c r="FP85" s="442">
        <f t="shared" si="492"/>
        <v>0</v>
      </c>
      <c r="FQ85" s="442">
        <f t="shared" si="492"/>
        <v>0</v>
      </c>
      <c r="FR85" s="442">
        <f t="shared" si="492"/>
        <v>0</v>
      </c>
      <c r="FS85" s="442">
        <f t="shared" si="492"/>
        <v>0</v>
      </c>
      <c r="FT85" s="442">
        <f t="shared" si="492"/>
        <v>0</v>
      </c>
      <c r="FU85" s="442">
        <f t="shared" si="492"/>
        <v>0</v>
      </c>
      <c r="FV85" s="442">
        <f t="shared" si="492"/>
        <v>0</v>
      </c>
      <c r="FW85" s="442">
        <f t="shared" si="492"/>
        <v>0</v>
      </c>
      <c r="FX85" s="442">
        <f t="shared" si="492"/>
        <v>0</v>
      </c>
      <c r="FY85" s="442">
        <f t="shared" si="492"/>
        <v>0</v>
      </c>
      <c r="FZ85" s="442">
        <f t="shared" si="492"/>
        <v>0</v>
      </c>
      <c r="GA85" s="442">
        <f t="shared" si="492"/>
        <v>0</v>
      </c>
      <c r="GB85" s="442">
        <f t="shared" si="492"/>
        <v>0</v>
      </c>
      <c r="GC85" s="442">
        <f t="shared" si="492"/>
        <v>0</v>
      </c>
      <c r="GD85" s="442">
        <f t="shared" si="492"/>
        <v>0</v>
      </c>
      <c r="GE85" s="442">
        <f t="shared" si="492"/>
        <v>0</v>
      </c>
      <c r="GF85" s="442">
        <f t="shared" si="492"/>
        <v>0</v>
      </c>
      <c r="GG85" s="442">
        <f t="shared" si="492"/>
        <v>0</v>
      </c>
      <c r="GH85" s="442">
        <f t="shared" si="492"/>
        <v>0</v>
      </c>
      <c r="GI85" s="442">
        <f t="shared" si="492"/>
        <v>0</v>
      </c>
      <c r="GJ85" s="442">
        <f t="shared" si="492"/>
        <v>0</v>
      </c>
      <c r="GK85" s="442">
        <f t="shared" si="492"/>
        <v>0</v>
      </c>
      <c r="GL85" s="442">
        <f t="shared" si="492"/>
        <v>0</v>
      </c>
      <c r="GM85" s="442">
        <f t="shared" si="492"/>
        <v>0</v>
      </c>
      <c r="GN85" s="442">
        <f t="shared" si="492"/>
        <v>0</v>
      </c>
      <c r="GO85" s="442">
        <f t="shared" si="492"/>
        <v>0</v>
      </c>
      <c r="GP85" s="442">
        <f t="shared" si="492"/>
        <v>0</v>
      </c>
      <c r="GQ85" s="442">
        <f t="shared" si="492"/>
        <v>0</v>
      </c>
      <c r="GR85" s="442">
        <f t="shared" si="492"/>
        <v>0</v>
      </c>
      <c r="GS85" s="442">
        <f t="shared" si="492"/>
        <v>0</v>
      </c>
      <c r="GT85" s="442">
        <f t="shared" ref="GT85:JE85" si="493">GT69+GT77</f>
        <v>0</v>
      </c>
      <c r="GU85" s="442">
        <f t="shared" si="493"/>
        <v>0</v>
      </c>
      <c r="GV85" s="442">
        <f t="shared" si="493"/>
        <v>0</v>
      </c>
      <c r="GW85" s="442">
        <f t="shared" si="493"/>
        <v>0</v>
      </c>
      <c r="GX85" s="442">
        <f t="shared" si="493"/>
        <v>0</v>
      </c>
      <c r="GY85" s="442">
        <f t="shared" si="493"/>
        <v>0</v>
      </c>
      <c r="GZ85" s="442">
        <f t="shared" si="493"/>
        <v>0</v>
      </c>
      <c r="HA85" s="442">
        <f t="shared" si="493"/>
        <v>0</v>
      </c>
      <c r="HB85" s="442">
        <f t="shared" si="493"/>
        <v>0</v>
      </c>
      <c r="HC85" s="442">
        <f t="shared" si="493"/>
        <v>0</v>
      </c>
      <c r="HD85" s="442">
        <f t="shared" si="493"/>
        <v>0</v>
      </c>
      <c r="HE85" s="442">
        <f t="shared" si="493"/>
        <v>0</v>
      </c>
      <c r="HF85" s="442">
        <f t="shared" si="493"/>
        <v>0</v>
      </c>
      <c r="HG85" s="442">
        <f t="shared" si="493"/>
        <v>0</v>
      </c>
      <c r="HH85" s="442">
        <f t="shared" si="493"/>
        <v>0</v>
      </c>
      <c r="HI85" s="442">
        <f t="shared" si="493"/>
        <v>0</v>
      </c>
      <c r="HJ85" s="442">
        <f t="shared" si="493"/>
        <v>0</v>
      </c>
      <c r="HK85" s="442">
        <f t="shared" si="493"/>
        <v>0</v>
      </c>
      <c r="HL85" s="442">
        <f t="shared" si="493"/>
        <v>0</v>
      </c>
      <c r="HM85" s="442">
        <f t="shared" si="493"/>
        <v>0</v>
      </c>
      <c r="HN85" s="442">
        <f t="shared" si="493"/>
        <v>0</v>
      </c>
      <c r="HO85" s="442">
        <f t="shared" si="493"/>
        <v>0</v>
      </c>
      <c r="HP85" s="442">
        <f t="shared" si="493"/>
        <v>0</v>
      </c>
      <c r="HQ85" s="442">
        <f t="shared" si="493"/>
        <v>0</v>
      </c>
      <c r="HR85" s="442">
        <f t="shared" si="493"/>
        <v>0</v>
      </c>
      <c r="HS85" s="442">
        <f t="shared" si="493"/>
        <v>0</v>
      </c>
      <c r="HT85" s="442">
        <f t="shared" si="493"/>
        <v>0</v>
      </c>
      <c r="HU85" s="442">
        <f t="shared" si="493"/>
        <v>0</v>
      </c>
      <c r="HV85" s="442">
        <f t="shared" si="493"/>
        <v>0</v>
      </c>
      <c r="HW85" s="442">
        <f t="shared" si="493"/>
        <v>0</v>
      </c>
      <c r="HX85" s="442">
        <f t="shared" si="493"/>
        <v>0</v>
      </c>
      <c r="HY85" s="442">
        <f t="shared" si="493"/>
        <v>0</v>
      </c>
      <c r="HZ85" s="442">
        <f t="shared" si="493"/>
        <v>0</v>
      </c>
      <c r="IA85" s="442">
        <f t="shared" si="493"/>
        <v>0</v>
      </c>
      <c r="IB85" s="442">
        <f t="shared" si="493"/>
        <v>0</v>
      </c>
      <c r="IC85" s="442">
        <f t="shared" si="493"/>
        <v>0</v>
      </c>
      <c r="ID85" s="442">
        <f t="shared" si="493"/>
        <v>0</v>
      </c>
      <c r="IE85" s="442">
        <f t="shared" si="493"/>
        <v>0</v>
      </c>
      <c r="IF85" s="442">
        <f t="shared" si="493"/>
        <v>0</v>
      </c>
      <c r="IG85" s="442">
        <f t="shared" si="493"/>
        <v>0</v>
      </c>
      <c r="IH85" s="442">
        <f t="shared" si="493"/>
        <v>0</v>
      </c>
      <c r="II85" s="442">
        <f t="shared" si="493"/>
        <v>0</v>
      </c>
      <c r="IJ85" s="442">
        <f t="shared" si="493"/>
        <v>0</v>
      </c>
      <c r="IK85" s="442">
        <f t="shared" si="493"/>
        <v>0</v>
      </c>
      <c r="IL85" s="442">
        <f t="shared" si="493"/>
        <v>0</v>
      </c>
      <c r="IM85" s="442">
        <f t="shared" si="493"/>
        <v>0</v>
      </c>
      <c r="IN85" s="442">
        <f t="shared" si="493"/>
        <v>0</v>
      </c>
      <c r="IO85" s="442">
        <f t="shared" si="493"/>
        <v>0</v>
      </c>
      <c r="IP85" s="442">
        <f t="shared" si="493"/>
        <v>0</v>
      </c>
      <c r="IQ85" s="442">
        <f t="shared" si="493"/>
        <v>0</v>
      </c>
      <c r="IR85" s="442">
        <f t="shared" si="493"/>
        <v>0</v>
      </c>
      <c r="IS85" s="442">
        <f t="shared" si="493"/>
        <v>0</v>
      </c>
      <c r="IT85" s="442">
        <f t="shared" si="493"/>
        <v>0</v>
      </c>
      <c r="IU85" s="442">
        <f t="shared" si="493"/>
        <v>0</v>
      </c>
      <c r="IV85" s="442">
        <f t="shared" si="493"/>
        <v>0</v>
      </c>
      <c r="IW85" s="442">
        <f t="shared" si="493"/>
        <v>0</v>
      </c>
      <c r="IX85" s="442">
        <f t="shared" si="493"/>
        <v>0</v>
      </c>
      <c r="IY85" s="442">
        <f t="shared" si="493"/>
        <v>0</v>
      </c>
      <c r="IZ85" s="442">
        <f t="shared" si="493"/>
        <v>0</v>
      </c>
      <c r="JA85" s="442">
        <f t="shared" si="493"/>
        <v>0</v>
      </c>
      <c r="JB85" s="442">
        <f t="shared" si="493"/>
        <v>0</v>
      </c>
      <c r="JC85" s="442">
        <f t="shared" si="493"/>
        <v>0</v>
      </c>
      <c r="JD85" s="442">
        <f t="shared" si="493"/>
        <v>0</v>
      </c>
      <c r="JE85" s="442">
        <f t="shared" si="493"/>
        <v>0</v>
      </c>
      <c r="JF85" s="442">
        <f t="shared" ref="JF85:LQ85" si="494">JF69+JF77</f>
        <v>0</v>
      </c>
      <c r="JG85" s="442">
        <f t="shared" si="494"/>
        <v>0</v>
      </c>
      <c r="JH85" s="442">
        <f t="shared" si="494"/>
        <v>0</v>
      </c>
      <c r="JI85" s="442">
        <f t="shared" si="494"/>
        <v>0</v>
      </c>
      <c r="JJ85" s="442">
        <f t="shared" si="494"/>
        <v>0</v>
      </c>
      <c r="JK85" s="442">
        <f t="shared" si="494"/>
        <v>0</v>
      </c>
      <c r="JL85" s="442">
        <f t="shared" si="494"/>
        <v>0</v>
      </c>
      <c r="JM85" s="442">
        <f t="shared" si="494"/>
        <v>0</v>
      </c>
      <c r="JN85" s="442">
        <f t="shared" si="494"/>
        <v>0</v>
      </c>
      <c r="JO85" s="442">
        <f t="shared" si="494"/>
        <v>0</v>
      </c>
      <c r="JP85" s="442">
        <f t="shared" si="494"/>
        <v>0</v>
      </c>
      <c r="JQ85" s="442">
        <f t="shared" si="494"/>
        <v>0</v>
      </c>
      <c r="JR85" s="442">
        <f t="shared" si="494"/>
        <v>0</v>
      </c>
      <c r="JS85" s="442">
        <f t="shared" si="494"/>
        <v>0</v>
      </c>
      <c r="JT85" s="442">
        <f t="shared" si="494"/>
        <v>0</v>
      </c>
      <c r="JU85" s="442">
        <f t="shared" si="494"/>
        <v>0</v>
      </c>
      <c r="JV85" s="442">
        <f t="shared" si="494"/>
        <v>0</v>
      </c>
      <c r="JW85" s="442">
        <f t="shared" si="494"/>
        <v>0</v>
      </c>
      <c r="JX85" s="442">
        <f t="shared" si="494"/>
        <v>0</v>
      </c>
      <c r="JY85" s="442">
        <f t="shared" si="494"/>
        <v>0</v>
      </c>
      <c r="JZ85" s="442">
        <f t="shared" si="494"/>
        <v>0</v>
      </c>
      <c r="KA85" s="442">
        <f t="shared" si="494"/>
        <v>0</v>
      </c>
      <c r="KB85" s="442">
        <f t="shared" si="494"/>
        <v>0</v>
      </c>
      <c r="KC85" s="442">
        <f t="shared" si="494"/>
        <v>0</v>
      </c>
      <c r="KD85" s="442">
        <f t="shared" si="494"/>
        <v>0</v>
      </c>
      <c r="KE85" s="442">
        <f t="shared" si="494"/>
        <v>0</v>
      </c>
      <c r="KF85" s="442">
        <f t="shared" si="494"/>
        <v>0</v>
      </c>
      <c r="KG85" s="442">
        <f t="shared" si="494"/>
        <v>0</v>
      </c>
      <c r="KH85" s="442">
        <f t="shared" si="494"/>
        <v>0</v>
      </c>
      <c r="KI85" s="442">
        <f t="shared" si="494"/>
        <v>0</v>
      </c>
      <c r="KJ85" s="442">
        <f t="shared" si="494"/>
        <v>0</v>
      </c>
      <c r="KK85" s="442">
        <f t="shared" si="494"/>
        <v>0</v>
      </c>
      <c r="KL85" s="442">
        <f t="shared" si="494"/>
        <v>0</v>
      </c>
      <c r="KM85" s="442">
        <f t="shared" si="494"/>
        <v>0</v>
      </c>
      <c r="KN85" s="442">
        <f t="shared" si="494"/>
        <v>0</v>
      </c>
      <c r="KO85" s="442">
        <f t="shared" si="494"/>
        <v>0</v>
      </c>
      <c r="KP85" s="442">
        <f t="shared" si="494"/>
        <v>0</v>
      </c>
      <c r="KQ85" s="442">
        <f t="shared" si="494"/>
        <v>0</v>
      </c>
      <c r="KR85" s="442">
        <f t="shared" si="494"/>
        <v>0</v>
      </c>
      <c r="KS85" s="442">
        <f t="shared" si="494"/>
        <v>0</v>
      </c>
      <c r="KT85" s="442">
        <f t="shared" si="494"/>
        <v>0</v>
      </c>
      <c r="KU85" s="442">
        <f t="shared" si="494"/>
        <v>0</v>
      </c>
      <c r="KV85" s="442">
        <f t="shared" si="494"/>
        <v>0</v>
      </c>
      <c r="KW85" s="442">
        <f t="shared" si="494"/>
        <v>0</v>
      </c>
      <c r="KX85" s="442">
        <f t="shared" si="494"/>
        <v>0</v>
      </c>
      <c r="KY85" s="442">
        <f t="shared" si="494"/>
        <v>0</v>
      </c>
      <c r="KZ85" s="442">
        <f t="shared" si="494"/>
        <v>0</v>
      </c>
      <c r="LA85" s="442">
        <f t="shared" si="494"/>
        <v>0</v>
      </c>
      <c r="LB85" s="442">
        <f t="shared" si="494"/>
        <v>0</v>
      </c>
      <c r="LC85" s="442">
        <f t="shared" si="494"/>
        <v>0</v>
      </c>
      <c r="LD85" s="442">
        <f t="shared" si="494"/>
        <v>0</v>
      </c>
      <c r="LE85" s="442">
        <f t="shared" si="494"/>
        <v>0</v>
      </c>
      <c r="LF85" s="442">
        <f t="shared" si="494"/>
        <v>0</v>
      </c>
      <c r="LG85" s="442">
        <f t="shared" si="494"/>
        <v>0</v>
      </c>
      <c r="LH85" s="442">
        <f t="shared" si="494"/>
        <v>0</v>
      </c>
      <c r="LI85" s="442">
        <f t="shared" si="494"/>
        <v>0</v>
      </c>
      <c r="LJ85" s="442">
        <f t="shared" si="494"/>
        <v>0</v>
      </c>
      <c r="LK85" s="442">
        <f t="shared" si="494"/>
        <v>0</v>
      </c>
      <c r="LL85" s="442">
        <f t="shared" si="494"/>
        <v>0</v>
      </c>
      <c r="LM85" s="442">
        <f t="shared" si="494"/>
        <v>0</v>
      </c>
      <c r="LN85" s="442">
        <f t="shared" si="494"/>
        <v>0</v>
      </c>
      <c r="LO85" s="442">
        <f t="shared" si="494"/>
        <v>0</v>
      </c>
      <c r="LP85" s="442">
        <f t="shared" si="494"/>
        <v>0</v>
      </c>
      <c r="LQ85" s="442">
        <f t="shared" si="494"/>
        <v>0</v>
      </c>
      <c r="LR85" s="442">
        <f t="shared" ref="LR85:OC85" si="495">LR69+LR77</f>
        <v>0</v>
      </c>
      <c r="LS85" s="442">
        <f t="shared" si="495"/>
        <v>0</v>
      </c>
      <c r="LT85" s="442">
        <f t="shared" si="495"/>
        <v>0</v>
      </c>
      <c r="LU85" s="442">
        <f t="shared" si="495"/>
        <v>0</v>
      </c>
      <c r="LV85" s="442">
        <f t="shared" si="495"/>
        <v>0</v>
      </c>
      <c r="LW85" s="442">
        <f t="shared" si="495"/>
        <v>0</v>
      </c>
      <c r="LX85" s="442">
        <f t="shared" si="495"/>
        <v>0</v>
      </c>
      <c r="LY85" s="442">
        <f t="shared" si="495"/>
        <v>0</v>
      </c>
      <c r="LZ85" s="442">
        <f t="shared" si="495"/>
        <v>0</v>
      </c>
      <c r="MA85" s="442">
        <f t="shared" si="495"/>
        <v>0</v>
      </c>
      <c r="MB85" s="442">
        <f t="shared" si="495"/>
        <v>0</v>
      </c>
      <c r="MC85" s="442">
        <f t="shared" si="495"/>
        <v>0</v>
      </c>
      <c r="MD85" s="442">
        <f t="shared" si="495"/>
        <v>0</v>
      </c>
      <c r="ME85" s="442">
        <f t="shared" si="495"/>
        <v>0</v>
      </c>
      <c r="MF85" s="442">
        <f t="shared" si="495"/>
        <v>0</v>
      </c>
      <c r="MG85" s="442">
        <f t="shared" si="495"/>
        <v>0</v>
      </c>
      <c r="MH85" s="442">
        <f t="shared" si="495"/>
        <v>0</v>
      </c>
      <c r="MI85" s="442">
        <f t="shared" si="495"/>
        <v>0</v>
      </c>
      <c r="MJ85" s="442">
        <f t="shared" si="495"/>
        <v>0</v>
      </c>
      <c r="MK85" s="442">
        <f t="shared" si="495"/>
        <v>0</v>
      </c>
      <c r="ML85" s="442">
        <f t="shared" si="495"/>
        <v>0</v>
      </c>
      <c r="MM85" s="442">
        <f t="shared" si="495"/>
        <v>0</v>
      </c>
      <c r="MN85" s="442">
        <f t="shared" si="495"/>
        <v>0</v>
      </c>
      <c r="MO85" s="442">
        <f t="shared" si="495"/>
        <v>0</v>
      </c>
      <c r="MP85" s="442">
        <f t="shared" si="495"/>
        <v>0</v>
      </c>
      <c r="MQ85" s="442">
        <f t="shared" si="495"/>
        <v>0</v>
      </c>
      <c r="MR85" s="442">
        <f t="shared" si="495"/>
        <v>0</v>
      </c>
      <c r="MS85" s="442">
        <f t="shared" si="495"/>
        <v>0</v>
      </c>
      <c r="MT85" s="442">
        <f t="shared" si="495"/>
        <v>0</v>
      </c>
      <c r="MU85" s="442">
        <f t="shared" si="495"/>
        <v>0</v>
      </c>
      <c r="MV85" s="442">
        <f t="shared" si="495"/>
        <v>0</v>
      </c>
      <c r="MW85" s="442">
        <f t="shared" si="495"/>
        <v>0</v>
      </c>
      <c r="MX85" s="442">
        <f t="shared" si="495"/>
        <v>0</v>
      </c>
      <c r="MY85" s="442">
        <f t="shared" si="495"/>
        <v>0</v>
      </c>
      <c r="MZ85" s="442">
        <f t="shared" si="495"/>
        <v>0</v>
      </c>
      <c r="NA85" s="442">
        <f t="shared" si="495"/>
        <v>0</v>
      </c>
      <c r="NB85" s="442">
        <f t="shared" si="495"/>
        <v>0</v>
      </c>
      <c r="NC85" s="442">
        <f t="shared" si="495"/>
        <v>0</v>
      </c>
      <c r="ND85" s="442">
        <f t="shared" si="495"/>
        <v>0</v>
      </c>
      <c r="NE85" s="442">
        <f t="shared" si="495"/>
        <v>0</v>
      </c>
      <c r="NF85" s="442">
        <f t="shared" si="495"/>
        <v>0</v>
      </c>
      <c r="NG85" s="442">
        <f t="shared" si="495"/>
        <v>0</v>
      </c>
      <c r="NH85" s="442">
        <f t="shared" si="495"/>
        <v>0</v>
      </c>
      <c r="NI85" s="442">
        <f t="shared" si="495"/>
        <v>0</v>
      </c>
      <c r="NJ85" s="442">
        <f t="shared" si="495"/>
        <v>0</v>
      </c>
      <c r="NK85" s="442">
        <f t="shared" si="495"/>
        <v>0</v>
      </c>
      <c r="NL85" s="442">
        <f t="shared" si="495"/>
        <v>0</v>
      </c>
      <c r="NM85" s="442">
        <f t="shared" si="495"/>
        <v>0</v>
      </c>
      <c r="NN85" s="442">
        <f t="shared" si="495"/>
        <v>0</v>
      </c>
      <c r="NO85" s="442">
        <f t="shared" si="495"/>
        <v>0</v>
      </c>
      <c r="NP85" s="442">
        <f t="shared" si="495"/>
        <v>0</v>
      </c>
      <c r="NQ85" s="442">
        <f t="shared" si="495"/>
        <v>0</v>
      </c>
      <c r="NR85" s="442">
        <f t="shared" si="495"/>
        <v>0</v>
      </c>
      <c r="NS85" s="442">
        <f t="shared" si="495"/>
        <v>0</v>
      </c>
      <c r="NT85" s="442">
        <f t="shared" si="495"/>
        <v>0</v>
      </c>
      <c r="NU85" s="442">
        <f t="shared" si="495"/>
        <v>0</v>
      </c>
      <c r="NV85" s="442">
        <f t="shared" si="495"/>
        <v>0</v>
      </c>
      <c r="NW85" s="442">
        <f t="shared" si="495"/>
        <v>0</v>
      </c>
      <c r="NX85" s="442">
        <f t="shared" si="495"/>
        <v>0</v>
      </c>
      <c r="NY85" s="442">
        <f t="shared" si="495"/>
        <v>0</v>
      </c>
      <c r="NZ85" s="442">
        <f t="shared" si="495"/>
        <v>0</v>
      </c>
      <c r="OA85" s="442">
        <f t="shared" si="495"/>
        <v>0</v>
      </c>
      <c r="OB85" s="442">
        <f t="shared" si="495"/>
        <v>0</v>
      </c>
      <c r="OC85" s="442">
        <f t="shared" si="495"/>
        <v>0</v>
      </c>
      <c r="OD85" s="442">
        <f t="shared" ref="OD85:OO85" si="496">OD69+OD77</f>
        <v>0</v>
      </c>
      <c r="OE85" s="442">
        <f t="shared" si="496"/>
        <v>0</v>
      </c>
      <c r="OF85" s="442">
        <f t="shared" si="496"/>
        <v>0</v>
      </c>
      <c r="OG85" s="442">
        <f t="shared" si="496"/>
        <v>0</v>
      </c>
      <c r="OH85" s="442">
        <f t="shared" si="496"/>
        <v>0</v>
      </c>
      <c r="OI85" s="442">
        <f t="shared" si="496"/>
        <v>0</v>
      </c>
      <c r="OJ85" s="442">
        <f t="shared" si="496"/>
        <v>0</v>
      </c>
      <c r="OK85" s="442">
        <f t="shared" si="496"/>
        <v>0</v>
      </c>
      <c r="OL85" s="442">
        <f t="shared" si="496"/>
        <v>0</v>
      </c>
      <c r="OM85" s="442">
        <f t="shared" si="496"/>
        <v>0</v>
      </c>
      <c r="ON85" s="442">
        <f t="shared" si="496"/>
        <v>0</v>
      </c>
      <c r="OO85" s="442">
        <f t="shared" si="496"/>
        <v>0</v>
      </c>
    </row>
    <row r="86" spans="2:405">
      <c r="B86" s="7" t="s">
        <v>69</v>
      </c>
      <c r="D86" s="537">
        <f t="shared" si="482"/>
        <v>0</v>
      </c>
      <c r="E86" s="507">
        <f>Assumptions!$C$13</f>
        <v>47330</v>
      </c>
      <c r="F86" s="507">
        <f>EOMONTH(E86,Assumptions!$C$14-1)</f>
        <v>58256</v>
      </c>
      <c r="G86" s="97">
        <f t="shared" si="474"/>
        <v>360</v>
      </c>
      <c r="H86" s="97"/>
      <c r="J86" s="442">
        <f t="shared" ref="J86:BU86" si="497">J70+J78</f>
        <v>0</v>
      </c>
      <c r="K86" s="442">
        <f t="shared" si="497"/>
        <v>0</v>
      </c>
      <c r="L86" s="442">
        <f t="shared" si="497"/>
        <v>0</v>
      </c>
      <c r="M86" s="442">
        <f t="shared" si="497"/>
        <v>0</v>
      </c>
      <c r="N86" s="442">
        <f t="shared" si="497"/>
        <v>0</v>
      </c>
      <c r="O86" s="442">
        <f t="shared" si="497"/>
        <v>0</v>
      </c>
      <c r="P86" s="442">
        <f t="shared" si="497"/>
        <v>0</v>
      </c>
      <c r="Q86" s="442">
        <f t="shared" si="497"/>
        <v>0</v>
      </c>
      <c r="R86" s="442">
        <f t="shared" si="497"/>
        <v>0</v>
      </c>
      <c r="S86" s="442">
        <f t="shared" si="497"/>
        <v>0</v>
      </c>
      <c r="T86" s="442">
        <f t="shared" si="497"/>
        <v>0</v>
      </c>
      <c r="U86" s="442">
        <f t="shared" si="497"/>
        <v>0</v>
      </c>
      <c r="V86" s="442">
        <f t="shared" si="497"/>
        <v>0</v>
      </c>
      <c r="W86" s="442">
        <f t="shared" si="497"/>
        <v>0</v>
      </c>
      <c r="X86" s="442">
        <f t="shared" si="497"/>
        <v>0</v>
      </c>
      <c r="Y86" s="442">
        <f t="shared" si="497"/>
        <v>0</v>
      </c>
      <c r="Z86" s="442">
        <f t="shared" si="497"/>
        <v>0</v>
      </c>
      <c r="AA86" s="442">
        <f t="shared" si="497"/>
        <v>0</v>
      </c>
      <c r="AB86" s="442">
        <f t="shared" si="497"/>
        <v>0</v>
      </c>
      <c r="AC86" s="442">
        <f t="shared" si="497"/>
        <v>0</v>
      </c>
      <c r="AD86" s="442">
        <f t="shared" si="497"/>
        <v>0</v>
      </c>
      <c r="AE86" s="442">
        <f t="shared" si="497"/>
        <v>0</v>
      </c>
      <c r="AF86" s="442">
        <f t="shared" si="497"/>
        <v>0</v>
      </c>
      <c r="AG86" s="442">
        <f t="shared" si="497"/>
        <v>0</v>
      </c>
      <c r="AH86" s="442">
        <f t="shared" si="497"/>
        <v>0</v>
      </c>
      <c r="AI86" s="442">
        <f t="shared" si="497"/>
        <v>0</v>
      </c>
      <c r="AJ86" s="442">
        <f t="shared" si="497"/>
        <v>0</v>
      </c>
      <c r="AK86" s="442">
        <f t="shared" si="497"/>
        <v>0</v>
      </c>
      <c r="AL86" s="442">
        <f t="shared" si="497"/>
        <v>0</v>
      </c>
      <c r="AM86" s="442">
        <f t="shared" si="497"/>
        <v>0</v>
      </c>
      <c r="AN86" s="442">
        <f t="shared" si="497"/>
        <v>0</v>
      </c>
      <c r="AO86" s="442">
        <f t="shared" si="497"/>
        <v>0</v>
      </c>
      <c r="AP86" s="442">
        <f t="shared" si="497"/>
        <v>0</v>
      </c>
      <c r="AQ86" s="442">
        <f t="shared" si="497"/>
        <v>0</v>
      </c>
      <c r="AR86" s="442">
        <f t="shared" si="497"/>
        <v>0</v>
      </c>
      <c r="AS86" s="442">
        <f t="shared" si="497"/>
        <v>0</v>
      </c>
      <c r="AT86" s="442">
        <f t="shared" si="497"/>
        <v>0</v>
      </c>
      <c r="AU86" s="442">
        <f t="shared" si="497"/>
        <v>0</v>
      </c>
      <c r="AV86" s="442">
        <f t="shared" si="497"/>
        <v>0</v>
      </c>
      <c r="AW86" s="442">
        <f t="shared" si="497"/>
        <v>0</v>
      </c>
      <c r="AX86" s="442">
        <f t="shared" si="497"/>
        <v>0</v>
      </c>
      <c r="AY86" s="442">
        <f t="shared" si="497"/>
        <v>0</v>
      </c>
      <c r="AZ86" s="442">
        <f t="shared" si="497"/>
        <v>0</v>
      </c>
      <c r="BA86" s="442">
        <f t="shared" si="497"/>
        <v>0</v>
      </c>
      <c r="BB86" s="442">
        <f t="shared" si="497"/>
        <v>0</v>
      </c>
      <c r="BC86" s="442">
        <f t="shared" si="497"/>
        <v>0</v>
      </c>
      <c r="BD86" s="442">
        <f t="shared" si="497"/>
        <v>0</v>
      </c>
      <c r="BE86" s="442">
        <f t="shared" si="497"/>
        <v>0</v>
      </c>
      <c r="BF86" s="442">
        <f t="shared" si="497"/>
        <v>0</v>
      </c>
      <c r="BG86" s="442">
        <f t="shared" si="497"/>
        <v>0</v>
      </c>
      <c r="BH86" s="442">
        <f t="shared" si="497"/>
        <v>0</v>
      </c>
      <c r="BI86" s="442">
        <f t="shared" si="497"/>
        <v>0</v>
      </c>
      <c r="BJ86" s="442">
        <f t="shared" si="497"/>
        <v>0</v>
      </c>
      <c r="BK86" s="442">
        <f t="shared" si="497"/>
        <v>0</v>
      </c>
      <c r="BL86" s="442">
        <f t="shared" si="497"/>
        <v>0</v>
      </c>
      <c r="BM86" s="442">
        <f t="shared" si="497"/>
        <v>0</v>
      </c>
      <c r="BN86" s="442">
        <f t="shared" si="497"/>
        <v>0</v>
      </c>
      <c r="BO86" s="442">
        <f t="shared" si="497"/>
        <v>0</v>
      </c>
      <c r="BP86" s="442">
        <f t="shared" si="497"/>
        <v>0</v>
      </c>
      <c r="BQ86" s="442">
        <f t="shared" si="497"/>
        <v>0</v>
      </c>
      <c r="BR86" s="442">
        <f t="shared" si="497"/>
        <v>0</v>
      </c>
      <c r="BS86" s="442">
        <f t="shared" si="497"/>
        <v>0</v>
      </c>
      <c r="BT86" s="442">
        <f t="shared" si="497"/>
        <v>0</v>
      </c>
      <c r="BU86" s="442">
        <f t="shared" si="497"/>
        <v>0</v>
      </c>
      <c r="BV86" s="442">
        <f t="shared" ref="BV86:EG86" si="498">BV70+BV78</f>
        <v>0</v>
      </c>
      <c r="BW86" s="442">
        <f t="shared" si="498"/>
        <v>0</v>
      </c>
      <c r="BX86" s="442">
        <f t="shared" si="498"/>
        <v>0</v>
      </c>
      <c r="BY86" s="442">
        <f t="shared" si="498"/>
        <v>0</v>
      </c>
      <c r="BZ86" s="442">
        <f t="shared" si="498"/>
        <v>0</v>
      </c>
      <c r="CA86" s="442">
        <f t="shared" si="498"/>
        <v>0</v>
      </c>
      <c r="CB86" s="442">
        <f t="shared" si="498"/>
        <v>0</v>
      </c>
      <c r="CC86" s="442">
        <f t="shared" si="498"/>
        <v>0</v>
      </c>
      <c r="CD86" s="442">
        <f t="shared" si="498"/>
        <v>0</v>
      </c>
      <c r="CE86" s="442">
        <f t="shared" si="498"/>
        <v>0</v>
      </c>
      <c r="CF86" s="442">
        <f t="shared" si="498"/>
        <v>0</v>
      </c>
      <c r="CG86" s="442">
        <f t="shared" si="498"/>
        <v>0</v>
      </c>
      <c r="CH86" s="442">
        <f t="shared" si="498"/>
        <v>0</v>
      </c>
      <c r="CI86" s="442">
        <f t="shared" si="498"/>
        <v>0</v>
      </c>
      <c r="CJ86" s="442">
        <f t="shared" si="498"/>
        <v>0</v>
      </c>
      <c r="CK86" s="442">
        <f t="shared" si="498"/>
        <v>0</v>
      </c>
      <c r="CL86" s="442">
        <f t="shared" si="498"/>
        <v>0</v>
      </c>
      <c r="CM86" s="442">
        <f t="shared" si="498"/>
        <v>0</v>
      </c>
      <c r="CN86" s="442">
        <f t="shared" si="498"/>
        <v>0</v>
      </c>
      <c r="CO86" s="442">
        <f t="shared" si="498"/>
        <v>0</v>
      </c>
      <c r="CP86" s="442">
        <f t="shared" si="498"/>
        <v>0</v>
      </c>
      <c r="CQ86" s="442">
        <f t="shared" si="498"/>
        <v>0</v>
      </c>
      <c r="CR86" s="442">
        <f t="shared" si="498"/>
        <v>0</v>
      </c>
      <c r="CS86" s="442">
        <f t="shared" si="498"/>
        <v>0</v>
      </c>
      <c r="CT86" s="442">
        <f t="shared" si="498"/>
        <v>0</v>
      </c>
      <c r="CU86" s="442">
        <f t="shared" si="498"/>
        <v>0</v>
      </c>
      <c r="CV86" s="442">
        <f t="shared" si="498"/>
        <v>0</v>
      </c>
      <c r="CW86" s="442">
        <f t="shared" si="498"/>
        <v>0</v>
      </c>
      <c r="CX86" s="442">
        <f t="shared" si="498"/>
        <v>0</v>
      </c>
      <c r="CY86" s="442">
        <f t="shared" si="498"/>
        <v>0</v>
      </c>
      <c r="CZ86" s="442">
        <f t="shared" si="498"/>
        <v>0</v>
      </c>
      <c r="DA86" s="442">
        <f t="shared" si="498"/>
        <v>0</v>
      </c>
      <c r="DB86" s="442">
        <f t="shared" si="498"/>
        <v>0</v>
      </c>
      <c r="DC86" s="442">
        <f t="shared" si="498"/>
        <v>0</v>
      </c>
      <c r="DD86" s="442">
        <f t="shared" si="498"/>
        <v>0</v>
      </c>
      <c r="DE86" s="442">
        <f t="shared" si="498"/>
        <v>0</v>
      </c>
      <c r="DF86" s="442">
        <f t="shared" si="498"/>
        <v>0</v>
      </c>
      <c r="DG86" s="442">
        <f t="shared" si="498"/>
        <v>0</v>
      </c>
      <c r="DH86" s="442">
        <f t="shared" si="498"/>
        <v>0</v>
      </c>
      <c r="DI86" s="442">
        <f t="shared" si="498"/>
        <v>0</v>
      </c>
      <c r="DJ86" s="442">
        <f t="shared" si="498"/>
        <v>0</v>
      </c>
      <c r="DK86" s="442">
        <f t="shared" si="498"/>
        <v>0</v>
      </c>
      <c r="DL86" s="442">
        <f t="shared" si="498"/>
        <v>0</v>
      </c>
      <c r="DM86" s="442">
        <f t="shared" si="498"/>
        <v>0</v>
      </c>
      <c r="DN86" s="442">
        <f t="shared" si="498"/>
        <v>0</v>
      </c>
      <c r="DO86" s="442">
        <f t="shared" si="498"/>
        <v>0</v>
      </c>
      <c r="DP86" s="442">
        <f t="shared" si="498"/>
        <v>0</v>
      </c>
      <c r="DQ86" s="442">
        <f t="shared" si="498"/>
        <v>0</v>
      </c>
      <c r="DR86" s="442">
        <f t="shared" si="498"/>
        <v>0</v>
      </c>
      <c r="DS86" s="442">
        <f t="shared" si="498"/>
        <v>0</v>
      </c>
      <c r="DT86" s="442">
        <f t="shared" si="498"/>
        <v>0</v>
      </c>
      <c r="DU86" s="442">
        <f t="shared" si="498"/>
        <v>0</v>
      </c>
      <c r="DV86" s="442">
        <f t="shared" si="498"/>
        <v>0</v>
      </c>
      <c r="DW86" s="442">
        <f t="shared" si="498"/>
        <v>0</v>
      </c>
      <c r="DX86" s="442">
        <f t="shared" si="498"/>
        <v>0</v>
      </c>
      <c r="DY86" s="442">
        <f t="shared" si="498"/>
        <v>0</v>
      </c>
      <c r="DZ86" s="442">
        <f t="shared" si="498"/>
        <v>0</v>
      </c>
      <c r="EA86" s="442">
        <f t="shared" si="498"/>
        <v>0</v>
      </c>
      <c r="EB86" s="442">
        <f t="shared" si="498"/>
        <v>0</v>
      </c>
      <c r="EC86" s="442">
        <f t="shared" si="498"/>
        <v>0</v>
      </c>
      <c r="ED86" s="442">
        <f t="shared" si="498"/>
        <v>0</v>
      </c>
      <c r="EE86" s="442">
        <f t="shared" si="498"/>
        <v>0</v>
      </c>
      <c r="EF86" s="442">
        <f t="shared" si="498"/>
        <v>0</v>
      </c>
      <c r="EG86" s="442">
        <f t="shared" si="498"/>
        <v>0</v>
      </c>
      <c r="EH86" s="442">
        <f t="shared" ref="EH86:GS86" si="499">EH70+EH78</f>
        <v>0</v>
      </c>
      <c r="EI86" s="442">
        <f t="shared" si="499"/>
        <v>0</v>
      </c>
      <c r="EJ86" s="442">
        <f t="shared" si="499"/>
        <v>0</v>
      </c>
      <c r="EK86" s="442">
        <f t="shared" si="499"/>
        <v>0</v>
      </c>
      <c r="EL86" s="442">
        <f t="shared" si="499"/>
        <v>0</v>
      </c>
      <c r="EM86" s="442">
        <f t="shared" si="499"/>
        <v>0</v>
      </c>
      <c r="EN86" s="442">
        <f t="shared" si="499"/>
        <v>0</v>
      </c>
      <c r="EO86" s="442">
        <f t="shared" si="499"/>
        <v>0</v>
      </c>
      <c r="EP86" s="442">
        <f t="shared" si="499"/>
        <v>0</v>
      </c>
      <c r="EQ86" s="442">
        <f t="shared" si="499"/>
        <v>0</v>
      </c>
      <c r="ER86" s="442">
        <f t="shared" si="499"/>
        <v>0</v>
      </c>
      <c r="ES86" s="442">
        <f t="shared" si="499"/>
        <v>0</v>
      </c>
      <c r="ET86" s="442">
        <f t="shared" si="499"/>
        <v>0</v>
      </c>
      <c r="EU86" s="442">
        <f t="shared" si="499"/>
        <v>0</v>
      </c>
      <c r="EV86" s="442">
        <f t="shared" si="499"/>
        <v>0</v>
      </c>
      <c r="EW86" s="442">
        <f t="shared" si="499"/>
        <v>0</v>
      </c>
      <c r="EX86" s="442">
        <f t="shared" si="499"/>
        <v>0</v>
      </c>
      <c r="EY86" s="442">
        <f t="shared" si="499"/>
        <v>0</v>
      </c>
      <c r="EZ86" s="442">
        <f t="shared" si="499"/>
        <v>0</v>
      </c>
      <c r="FA86" s="442">
        <f t="shared" si="499"/>
        <v>0</v>
      </c>
      <c r="FB86" s="442">
        <f t="shared" si="499"/>
        <v>0</v>
      </c>
      <c r="FC86" s="442">
        <f t="shared" si="499"/>
        <v>0</v>
      </c>
      <c r="FD86" s="442">
        <f t="shared" si="499"/>
        <v>0</v>
      </c>
      <c r="FE86" s="442">
        <f t="shared" si="499"/>
        <v>0</v>
      </c>
      <c r="FF86" s="442">
        <f t="shared" si="499"/>
        <v>0</v>
      </c>
      <c r="FG86" s="442">
        <f t="shared" si="499"/>
        <v>0</v>
      </c>
      <c r="FH86" s="442">
        <f t="shared" si="499"/>
        <v>0</v>
      </c>
      <c r="FI86" s="442">
        <f t="shared" si="499"/>
        <v>0</v>
      </c>
      <c r="FJ86" s="442">
        <f t="shared" si="499"/>
        <v>0</v>
      </c>
      <c r="FK86" s="442">
        <f t="shared" si="499"/>
        <v>0</v>
      </c>
      <c r="FL86" s="442">
        <f t="shared" si="499"/>
        <v>0</v>
      </c>
      <c r="FM86" s="442">
        <f t="shared" si="499"/>
        <v>0</v>
      </c>
      <c r="FN86" s="442">
        <f t="shared" si="499"/>
        <v>0</v>
      </c>
      <c r="FO86" s="442">
        <f t="shared" si="499"/>
        <v>0</v>
      </c>
      <c r="FP86" s="442">
        <f t="shared" si="499"/>
        <v>0</v>
      </c>
      <c r="FQ86" s="442">
        <f t="shared" si="499"/>
        <v>0</v>
      </c>
      <c r="FR86" s="442">
        <f t="shared" si="499"/>
        <v>0</v>
      </c>
      <c r="FS86" s="442">
        <f t="shared" si="499"/>
        <v>0</v>
      </c>
      <c r="FT86" s="442">
        <f t="shared" si="499"/>
        <v>0</v>
      </c>
      <c r="FU86" s="442">
        <f t="shared" si="499"/>
        <v>0</v>
      </c>
      <c r="FV86" s="442">
        <f t="shared" si="499"/>
        <v>0</v>
      </c>
      <c r="FW86" s="442">
        <f t="shared" si="499"/>
        <v>0</v>
      </c>
      <c r="FX86" s="442">
        <f t="shared" si="499"/>
        <v>0</v>
      </c>
      <c r="FY86" s="442">
        <f t="shared" si="499"/>
        <v>0</v>
      </c>
      <c r="FZ86" s="442">
        <f t="shared" si="499"/>
        <v>0</v>
      </c>
      <c r="GA86" s="442">
        <f t="shared" si="499"/>
        <v>0</v>
      </c>
      <c r="GB86" s="442">
        <f t="shared" si="499"/>
        <v>0</v>
      </c>
      <c r="GC86" s="442">
        <f t="shared" si="499"/>
        <v>0</v>
      </c>
      <c r="GD86" s="442">
        <f t="shared" si="499"/>
        <v>0</v>
      </c>
      <c r="GE86" s="442">
        <f t="shared" si="499"/>
        <v>0</v>
      </c>
      <c r="GF86" s="442">
        <f t="shared" si="499"/>
        <v>0</v>
      </c>
      <c r="GG86" s="442">
        <f t="shared" si="499"/>
        <v>0</v>
      </c>
      <c r="GH86" s="442">
        <f t="shared" si="499"/>
        <v>0</v>
      </c>
      <c r="GI86" s="442">
        <f t="shared" si="499"/>
        <v>0</v>
      </c>
      <c r="GJ86" s="442">
        <f t="shared" si="499"/>
        <v>0</v>
      </c>
      <c r="GK86" s="442">
        <f t="shared" si="499"/>
        <v>0</v>
      </c>
      <c r="GL86" s="442">
        <f t="shared" si="499"/>
        <v>0</v>
      </c>
      <c r="GM86" s="442">
        <f t="shared" si="499"/>
        <v>0</v>
      </c>
      <c r="GN86" s="442">
        <f t="shared" si="499"/>
        <v>0</v>
      </c>
      <c r="GO86" s="442">
        <f t="shared" si="499"/>
        <v>0</v>
      </c>
      <c r="GP86" s="442">
        <f t="shared" si="499"/>
        <v>0</v>
      </c>
      <c r="GQ86" s="442">
        <f t="shared" si="499"/>
        <v>0</v>
      </c>
      <c r="GR86" s="442">
        <f t="shared" si="499"/>
        <v>0</v>
      </c>
      <c r="GS86" s="442">
        <f t="shared" si="499"/>
        <v>0</v>
      </c>
      <c r="GT86" s="442">
        <f t="shared" ref="GT86:JE86" si="500">GT70+GT78</f>
        <v>0</v>
      </c>
      <c r="GU86" s="442">
        <f t="shared" si="500"/>
        <v>0</v>
      </c>
      <c r="GV86" s="442">
        <f t="shared" si="500"/>
        <v>0</v>
      </c>
      <c r="GW86" s="442">
        <f t="shared" si="500"/>
        <v>0</v>
      </c>
      <c r="GX86" s="442">
        <f t="shared" si="500"/>
        <v>0</v>
      </c>
      <c r="GY86" s="442">
        <f t="shared" si="500"/>
        <v>0</v>
      </c>
      <c r="GZ86" s="442">
        <f t="shared" si="500"/>
        <v>0</v>
      </c>
      <c r="HA86" s="442">
        <f t="shared" si="500"/>
        <v>0</v>
      </c>
      <c r="HB86" s="442">
        <f t="shared" si="500"/>
        <v>0</v>
      </c>
      <c r="HC86" s="442">
        <f t="shared" si="500"/>
        <v>0</v>
      </c>
      <c r="HD86" s="442">
        <f t="shared" si="500"/>
        <v>0</v>
      </c>
      <c r="HE86" s="442">
        <f t="shared" si="500"/>
        <v>0</v>
      </c>
      <c r="HF86" s="442">
        <f t="shared" si="500"/>
        <v>0</v>
      </c>
      <c r="HG86" s="442">
        <f t="shared" si="500"/>
        <v>0</v>
      </c>
      <c r="HH86" s="442">
        <f t="shared" si="500"/>
        <v>0</v>
      </c>
      <c r="HI86" s="442">
        <f t="shared" si="500"/>
        <v>0</v>
      </c>
      <c r="HJ86" s="442">
        <f t="shared" si="500"/>
        <v>0</v>
      </c>
      <c r="HK86" s="442">
        <f t="shared" si="500"/>
        <v>0</v>
      </c>
      <c r="HL86" s="442">
        <f t="shared" si="500"/>
        <v>0</v>
      </c>
      <c r="HM86" s="442">
        <f t="shared" si="500"/>
        <v>0</v>
      </c>
      <c r="HN86" s="442">
        <f t="shared" si="500"/>
        <v>0</v>
      </c>
      <c r="HO86" s="442">
        <f t="shared" si="500"/>
        <v>0</v>
      </c>
      <c r="HP86" s="442">
        <f t="shared" si="500"/>
        <v>0</v>
      </c>
      <c r="HQ86" s="442">
        <f t="shared" si="500"/>
        <v>0</v>
      </c>
      <c r="HR86" s="442">
        <f t="shared" si="500"/>
        <v>0</v>
      </c>
      <c r="HS86" s="442">
        <f t="shared" si="500"/>
        <v>0</v>
      </c>
      <c r="HT86" s="442">
        <f t="shared" si="500"/>
        <v>0</v>
      </c>
      <c r="HU86" s="442">
        <f t="shared" si="500"/>
        <v>0</v>
      </c>
      <c r="HV86" s="442">
        <f t="shared" si="500"/>
        <v>0</v>
      </c>
      <c r="HW86" s="442">
        <f t="shared" si="500"/>
        <v>0</v>
      </c>
      <c r="HX86" s="442">
        <f t="shared" si="500"/>
        <v>0</v>
      </c>
      <c r="HY86" s="442">
        <f t="shared" si="500"/>
        <v>0</v>
      </c>
      <c r="HZ86" s="442">
        <f t="shared" si="500"/>
        <v>0</v>
      </c>
      <c r="IA86" s="442">
        <f t="shared" si="500"/>
        <v>0</v>
      </c>
      <c r="IB86" s="442">
        <f t="shared" si="500"/>
        <v>0</v>
      </c>
      <c r="IC86" s="442">
        <f t="shared" si="500"/>
        <v>0</v>
      </c>
      <c r="ID86" s="442">
        <f t="shared" si="500"/>
        <v>0</v>
      </c>
      <c r="IE86" s="442">
        <f t="shared" si="500"/>
        <v>0</v>
      </c>
      <c r="IF86" s="442">
        <f t="shared" si="500"/>
        <v>0</v>
      </c>
      <c r="IG86" s="442">
        <f t="shared" si="500"/>
        <v>0</v>
      </c>
      <c r="IH86" s="442">
        <f t="shared" si="500"/>
        <v>0</v>
      </c>
      <c r="II86" s="442">
        <f t="shared" si="500"/>
        <v>0</v>
      </c>
      <c r="IJ86" s="442">
        <f t="shared" si="500"/>
        <v>0</v>
      </c>
      <c r="IK86" s="442">
        <f t="shared" si="500"/>
        <v>0</v>
      </c>
      <c r="IL86" s="442">
        <f t="shared" si="500"/>
        <v>0</v>
      </c>
      <c r="IM86" s="442">
        <f t="shared" si="500"/>
        <v>0</v>
      </c>
      <c r="IN86" s="442">
        <f t="shared" si="500"/>
        <v>0</v>
      </c>
      <c r="IO86" s="442">
        <f t="shared" si="500"/>
        <v>0</v>
      </c>
      <c r="IP86" s="442">
        <f t="shared" si="500"/>
        <v>0</v>
      </c>
      <c r="IQ86" s="442">
        <f t="shared" si="500"/>
        <v>0</v>
      </c>
      <c r="IR86" s="442">
        <f t="shared" si="500"/>
        <v>0</v>
      </c>
      <c r="IS86" s="442">
        <f t="shared" si="500"/>
        <v>0</v>
      </c>
      <c r="IT86" s="442">
        <f t="shared" si="500"/>
        <v>0</v>
      </c>
      <c r="IU86" s="442">
        <f t="shared" si="500"/>
        <v>0</v>
      </c>
      <c r="IV86" s="442">
        <f t="shared" si="500"/>
        <v>0</v>
      </c>
      <c r="IW86" s="442">
        <f t="shared" si="500"/>
        <v>0</v>
      </c>
      <c r="IX86" s="442">
        <f t="shared" si="500"/>
        <v>0</v>
      </c>
      <c r="IY86" s="442">
        <f t="shared" si="500"/>
        <v>0</v>
      </c>
      <c r="IZ86" s="442">
        <f t="shared" si="500"/>
        <v>0</v>
      </c>
      <c r="JA86" s="442">
        <f t="shared" si="500"/>
        <v>0</v>
      </c>
      <c r="JB86" s="442">
        <f t="shared" si="500"/>
        <v>0</v>
      </c>
      <c r="JC86" s="442">
        <f t="shared" si="500"/>
        <v>0</v>
      </c>
      <c r="JD86" s="442">
        <f t="shared" si="500"/>
        <v>0</v>
      </c>
      <c r="JE86" s="442">
        <f t="shared" si="500"/>
        <v>0</v>
      </c>
      <c r="JF86" s="442">
        <f t="shared" ref="JF86:LQ86" si="501">JF70+JF78</f>
        <v>0</v>
      </c>
      <c r="JG86" s="442">
        <f t="shared" si="501"/>
        <v>0</v>
      </c>
      <c r="JH86" s="442">
        <f t="shared" si="501"/>
        <v>0</v>
      </c>
      <c r="JI86" s="442">
        <f t="shared" si="501"/>
        <v>0</v>
      </c>
      <c r="JJ86" s="442">
        <f t="shared" si="501"/>
        <v>0</v>
      </c>
      <c r="JK86" s="442">
        <f t="shared" si="501"/>
        <v>0</v>
      </c>
      <c r="JL86" s="442">
        <f t="shared" si="501"/>
        <v>0</v>
      </c>
      <c r="JM86" s="442">
        <f t="shared" si="501"/>
        <v>0</v>
      </c>
      <c r="JN86" s="442">
        <f t="shared" si="501"/>
        <v>0</v>
      </c>
      <c r="JO86" s="442">
        <f t="shared" si="501"/>
        <v>0</v>
      </c>
      <c r="JP86" s="442">
        <f t="shared" si="501"/>
        <v>0</v>
      </c>
      <c r="JQ86" s="442">
        <f t="shared" si="501"/>
        <v>0</v>
      </c>
      <c r="JR86" s="442">
        <f t="shared" si="501"/>
        <v>0</v>
      </c>
      <c r="JS86" s="442">
        <f t="shared" si="501"/>
        <v>0</v>
      </c>
      <c r="JT86" s="442">
        <f t="shared" si="501"/>
        <v>0</v>
      </c>
      <c r="JU86" s="442">
        <f t="shared" si="501"/>
        <v>0</v>
      </c>
      <c r="JV86" s="442">
        <f t="shared" si="501"/>
        <v>0</v>
      </c>
      <c r="JW86" s="442">
        <f t="shared" si="501"/>
        <v>0</v>
      </c>
      <c r="JX86" s="442">
        <f t="shared" si="501"/>
        <v>0</v>
      </c>
      <c r="JY86" s="442">
        <f t="shared" si="501"/>
        <v>0</v>
      </c>
      <c r="JZ86" s="442">
        <f t="shared" si="501"/>
        <v>0</v>
      </c>
      <c r="KA86" s="442">
        <f t="shared" si="501"/>
        <v>0</v>
      </c>
      <c r="KB86" s="442">
        <f t="shared" si="501"/>
        <v>0</v>
      </c>
      <c r="KC86" s="442">
        <f t="shared" si="501"/>
        <v>0</v>
      </c>
      <c r="KD86" s="442">
        <f t="shared" si="501"/>
        <v>0</v>
      </c>
      <c r="KE86" s="442">
        <f t="shared" si="501"/>
        <v>0</v>
      </c>
      <c r="KF86" s="442">
        <f t="shared" si="501"/>
        <v>0</v>
      </c>
      <c r="KG86" s="442">
        <f t="shared" si="501"/>
        <v>0</v>
      </c>
      <c r="KH86" s="442">
        <f t="shared" si="501"/>
        <v>0</v>
      </c>
      <c r="KI86" s="442">
        <f t="shared" si="501"/>
        <v>0</v>
      </c>
      <c r="KJ86" s="442">
        <f t="shared" si="501"/>
        <v>0</v>
      </c>
      <c r="KK86" s="442">
        <f t="shared" si="501"/>
        <v>0</v>
      </c>
      <c r="KL86" s="442">
        <f t="shared" si="501"/>
        <v>0</v>
      </c>
      <c r="KM86" s="442">
        <f t="shared" si="501"/>
        <v>0</v>
      </c>
      <c r="KN86" s="442">
        <f t="shared" si="501"/>
        <v>0</v>
      </c>
      <c r="KO86" s="442">
        <f t="shared" si="501"/>
        <v>0</v>
      </c>
      <c r="KP86" s="442">
        <f t="shared" si="501"/>
        <v>0</v>
      </c>
      <c r="KQ86" s="442">
        <f t="shared" si="501"/>
        <v>0</v>
      </c>
      <c r="KR86" s="442">
        <f t="shared" si="501"/>
        <v>0</v>
      </c>
      <c r="KS86" s="442">
        <f t="shared" si="501"/>
        <v>0</v>
      </c>
      <c r="KT86" s="442">
        <f t="shared" si="501"/>
        <v>0</v>
      </c>
      <c r="KU86" s="442">
        <f t="shared" si="501"/>
        <v>0</v>
      </c>
      <c r="KV86" s="442">
        <f t="shared" si="501"/>
        <v>0</v>
      </c>
      <c r="KW86" s="442">
        <f t="shared" si="501"/>
        <v>0</v>
      </c>
      <c r="KX86" s="442">
        <f t="shared" si="501"/>
        <v>0</v>
      </c>
      <c r="KY86" s="442">
        <f t="shared" si="501"/>
        <v>0</v>
      </c>
      <c r="KZ86" s="442">
        <f t="shared" si="501"/>
        <v>0</v>
      </c>
      <c r="LA86" s="442">
        <f t="shared" si="501"/>
        <v>0</v>
      </c>
      <c r="LB86" s="442">
        <f t="shared" si="501"/>
        <v>0</v>
      </c>
      <c r="LC86" s="442">
        <f t="shared" si="501"/>
        <v>0</v>
      </c>
      <c r="LD86" s="442">
        <f t="shared" si="501"/>
        <v>0</v>
      </c>
      <c r="LE86" s="442">
        <f t="shared" si="501"/>
        <v>0</v>
      </c>
      <c r="LF86" s="442">
        <f t="shared" si="501"/>
        <v>0</v>
      </c>
      <c r="LG86" s="442">
        <f t="shared" si="501"/>
        <v>0</v>
      </c>
      <c r="LH86" s="442">
        <f t="shared" si="501"/>
        <v>0</v>
      </c>
      <c r="LI86" s="442">
        <f t="shared" si="501"/>
        <v>0</v>
      </c>
      <c r="LJ86" s="442">
        <f t="shared" si="501"/>
        <v>0</v>
      </c>
      <c r="LK86" s="442">
        <f t="shared" si="501"/>
        <v>0</v>
      </c>
      <c r="LL86" s="442">
        <f t="shared" si="501"/>
        <v>0</v>
      </c>
      <c r="LM86" s="442">
        <f t="shared" si="501"/>
        <v>0</v>
      </c>
      <c r="LN86" s="442">
        <f t="shared" si="501"/>
        <v>0</v>
      </c>
      <c r="LO86" s="442">
        <f t="shared" si="501"/>
        <v>0</v>
      </c>
      <c r="LP86" s="442">
        <f t="shared" si="501"/>
        <v>0</v>
      </c>
      <c r="LQ86" s="442">
        <f t="shared" si="501"/>
        <v>0</v>
      </c>
      <c r="LR86" s="442">
        <f t="shared" ref="LR86:OC86" si="502">LR70+LR78</f>
        <v>0</v>
      </c>
      <c r="LS86" s="442">
        <f t="shared" si="502"/>
        <v>0</v>
      </c>
      <c r="LT86" s="442">
        <f t="shared" si="502"/>
        <v>0</v>
      </c>
      <c r="LU86" s="442">
        <f t="shared" si="502"/>
        <v>0</v>
      </c>
      <c r="LV86" s="442">
        <f t="shared" si="502"/>
        <v>0</v>
      </c>
      <c r="LW86" s="442">
        <f t="shared" si="502"/>
        <v>0</v>
      </c>
      <c r="LX86" s="442">
        <f t="shared" si="502"/>
        <v>0</v>
      </c>
      <c r="LY86" s="442">
        <f t="shared" si="502"/>
        <v>0</v>
      </c>
      <c r="LZ86" s="442">
        <f t="shared" si="502"/>
        <v>0</v>
      </c>
      <c r="MA86" s="442">
        <f t="shared" si="502"/>
        <v>0</v>
      </c>
      <c r="MB86" s="442">
        <f t="shared" si="502"/>
        <v>0</v>
      </c>
      <c r="MC86" s="442">
        <f t="shared" si="502"/>
        <v>0</v>
      </c>
      <c r="MD86" s="442">
        <f t="shared" si="502"/>
        <v>0</v>
      </c>
      <c r="ME86" s="442">
        <f t="shared" si="502"/>
        <v>0</v>
      </c>
      <c r="MF86" s="442">
        <f t="shared" si="502"/>
        <v>0</v>
      </c>
      <c r="MG86" s="442">
        <f t="shared" si="502"/>
        <v>0</v>
      </c>
      <c r="MH86" s="442">
        <f t="shared" si="502"/>
        <v>0</v>
      </c>
      <c r="MI86" s="442">
        <f t="shared" si="502"/>
        <v>0</v>
      </c>
      <c r="MJ86" s="442">
        <f t="shared" si="502"/>
        <v>0</v>
      </c>
      <c r="MK86" s="442">
        <f t="shared" si="502"/>
        <v>0</v>
      </c>
      <c r="ML86" s="442">
        <f t="shared" si="502"/>
        <v>0</v>
      </c>
      <c r="MM86" s="442">
        <f t="shared" si="502"/>
        <v>0</v>
      </c>
      <c r="MN86" s="442">
        <f t="shared" si="502"/>
        <v>0</v>
      </c>
      <c r="MO86" s="442">
        <f t="shared" si="502"/>
        <v>0</v>
      </c>
      <c r="MP86" s="442">
        <f t="shared" si="502"/>
        <v>0</v>
      </c>
      <c r="MQ86" s="442">
        <f t="shared" si="502"/>
        <v>0</v>
      </c>
      <c r="MR86" s="442">
        <f t="shared" si="502"/>
        <v>0</v>
      </c>
      <c r="MS86" s="442">
        <f t="shared" si="502"/>
        <v>0</v>
      </c>
      <c r="MT86" s="442">
        <f t="shared" si="502"/>
        <v>0</v>
      </c>
      <c r="MU86" s="442">
        <f t="shared" si="502"/>
        <v>0</v>
      </c>
      <c r="MV86" s="442">
        <f t="shared" si="502"/>
        <v>0</v>
      </c>
      <c r="MW86" s="442">
        <f t="shared" si="502"/>
        <v>0</v>
      </c>
      <c r="MX86" s="442">
        <f t="shared" si="502"/>
        <v>0</v>
      </c>
      <c r="MY86" s="442">
        <f t="shared" si="502"/>
        <v>0</v>
      </c>
      <c r="MZ86" s="442">
        <f t="shared" si="502"/>
        <v>0</v>
      </c>
      <c r="NA86" s="442">
        <f t="shared" si="502"/>
        <v>0</v>
      </c>
      <c r="NB86" s="442">
        <f t="shared" si="502"/>
        <v>0</v>
      </c>
      <c r="NC86" s="442">
        <f t="shared" si="502"/>
        <v>0</v>
      </c>
      <c r="ND86" s="442">
        <f t="shared" si="502"/>
        <v>0</v>
      </c>
      <c r="NE86" s="442">
        <f t="shared" si="502"/>
        <v>0</v>
      </c>
      <c r="NF86" s="442">
        <f t="shared" si="502"/>
        <v>0</v>
      </c>
      <c r="NG86" s="442">
        <f t="shared" si="502"/>
        <v>0</v>
      </c>
      <c r="NH86" s="442">
        <f t="shared" si="502"/>
        <v>0</v>
      </c>
      <c r="NI86" s="442">
        <f t="shared" si="502"/>
        <v>0</v>
      </c>
      <c r="NJ86" s="442">
        <f t="shared" si="502"/>
        <v>0</v>
      </c>
      <c r="NK86" s="442">
        <f t="shared" si="502"/>
        <v>0</v>
      </c>
      <c r="NL86" s="442">
        <f t="shared" si="502"/>
        <v>0</v>
      </c>
      <c r="NM86" s="442">
        <f t="shared" si="502"/>
        <v>0</v>
      </c>
      <c r="NN86" s="442">
        <f t="shared" si="502"/>
        <v>0</v>
      </c>
      <c r="NO86" s="442">
        <f t="shared" si="502"/>
        <v>0</v>
      </c>
      <c r="NP86" s="442">
        <f t="shared" si="502"/>
        <v>0</v>
      </c>
      <c r="NQ86" s="442">
        <f t="shared" si="502"/>
        <v>0</v>
      </c>
      <c r="NR86" s="442">
        <f t="shared" si="502"/>
        <v>0</v>
      </c>
      <c r="NS86" s="442">
        <f t="shared" si="502"/>
        <v>0</v>
      </c>
      <c r="NT86" s="442">
        <f t="shared" si="502"/>
        <v>0</v>
      </c>
      <c r="NU86" s="442">
        <f t="shared" si="502"/>
        <v>0</v>
      </c>
      <c r="NV86" s="442">
        <f t="shared" si="502"/>
        <v>0</v>
      </c>
      <c r="NW86" s="442">
        <f t="shared" si="502"/>
        <v>0</v>
      </c>
      <c r="NX86" s="442">
        <f t="shared" si="502"/>
        <v>0</v>
      </c>
      <c r="NY86" s="442">
        <f t="shared" si="502"/>
        <v>0</v>
      </c>
      <c r="NZ86" s="442">
        <f t="shared" si="502"/>
        <v>0</v>
      </c>
      <c r="OA86" s="442">
        <f t="shared" si="502"/>
        <v>0</v>
      </c>
      <c r="OB86" s="442">
        <f t="shared" si="502"/>
        <v>0</v>
      </c>
      <c r="OC86" s="442">
        <f t="shared" si="502"/>
        <v>0</v>
      </c>
      <c r="OD86" s="442">
        <f t="shared" ref="OD86:OO86" si="503">OD70+OD78</f>
        <v>0</v>
      </c>
      <c r="OE86" s="442">
        <f t="shared" si="503"/>
        <v>0</v>
      </c>
      <c r="OF86" s="442">
        <f t="shared" si="503"/>
        <v>0</v>
      </c>
      <c r="OG86" s="442">
        <f t="shared" si="503"/>
        <v>0</v>
      </c>
      <c r="OH86" s="442">
        <f t="shared" si="503"/>
        <v>0</v>
      </c>
      <c r="OI86" s="442">
        <f t="shared" si="503"/>
        <v>0</v>
      </c>
      <c r="OJ86" s="442">
        <f t="shared" si="503"/>
        <v>0</v>
      </c>
      <c r="OK86" s="442">
        <f t="shared" si="503"/>
        <v>0</v>
      </c>
      <c r="OL86" s="442">
        <f t="shared" si="503"/>
        <v>0</v>
      </c>
      <c r="OM86" s="442">
        <f t="shared" si="503"/>
        <v>0</v>
      </c>
      <c r="ON86" s="442">
        <f t="shared" si="503"/>
        <v>0</v>
      </c>
      <c r="OO86" s="442">
        <f t="shared" si="503"/>
        <v>0</v>
      </c>
    </row>
    <row r="87" spans="2:405">
      <c r="B87" s="7" t="s">
        <v>70</v>
      </c>
      <c r="D87" s="537">
        <f t="shared" si="482"/>
        <v>35532</v>
      </c>
      <c r="E87" s="507">
        <f>Assumptions!$C$13</f>
        <v>47330</v>
      </c>
      <c r="F87" s="507">
        <f>EOMONTH(E87,Assumptions!$C$14-1)</f>
        <v>58256</v>
      </c>
      <c r="G87" s="97">
        <f t="shared" si="474"/>
        <v>360</v>
      </c>
      <c r="H87" s="97"/>
      <c r="J87" s="442">
        <f t="shared" ref="J87:BU87" si="504">J71+J79</f>
        <v>0</v>
      </c>
      <c r="K87" s="442">
        <f t="shared" si="504"/>
        <v>0</v>
      </c>
      <c r="L87" s="442">
        <f t="shared" si="504"/>
        <v>0</v>
      </c>
      <c r="M87" s="442">
        <f t="shared" si="504"/>
        <v>0</v>
      </c>
      <c r="N87" s="442">
        <f t="shared" si="504"/>
        <v>0</v>
      </c>
      <c r="O87" s="442">
        <f t="shared" si="504"/>
        <v>0</v>
      </c>
      <c r="P87" s="442">
        <f t="shared" si="504"/>
        <v>0</v>
      </c>
      <c r="Q87" s="442">
        <f t="shared" si="504"/>
        <v>0</v>
      </c>
      <c r="R87" s="442">
        <f t="shared" si="504"/>
        <v>0</v>
      </c>
      <c r="S87" s="442">
        <f t="shared" si="504"/>
        <v>0</v>
      </c>
      <c r="T87" s="442">
        <f t="shared" si="504"/>
        <v>0</v>
      </c>
      <c r="U87" s="442">
        <f t="shared" si="504"/>
        <v>0</v>
      </c>
      <c r="V87" s="442">
        <f t="shared" si="504"/>
        <v>0</v>
      </c>
      <c r="W87" s="442">
        <f t="shared" si="504"/>
        <v>0</v>
      </c>
      <c r="X87" s="442">
        <f t="shared" si="504"/>
        <v>0</v>
      </c>
      <c r="Y87" s="442">
        <f t="shared" si="504"/>
        <v>0</v>
      </c>
      <c r="Z87" s="442">
        <f t="shared" si="504"/>
        <v>0</v>
      </c>
      <c r="AA87" s="442">
        <f t="shared" si="504"/>
        <v>0</v>
      </c>
      <c r="AB87" s="442">
        <f t="shared" si="504"/>
        <v>0</v>
      </c>
      <c r="AC87" s="442">
        <f t="shared" si="504"/>
        <v>0</v>
      </c>
      <c r="AD87" s="442">
        <f t="shared" si="504"/>
        <v>0</v>
      </c>
      <c r="AE87" s="442">
        <f t="shared" si="504"/>
        <v>0</v>
      </c>
      <c r="AF87" s="442">
        <f t="shared" si="504"/>
        <v>0</v>
      </c>
      <c r="AG87" s="442">
        <f t="shared" si="504"/>
        <v>0</v>
      </c>
      <c r="AH87" s="442">
        <f t="shared" si="504"/>
        <v>0</v>
      </c>
      <c r="AI87" s="442">
        <f t="shared" si="504"/>
        <v>0</v>
      </c>
      <c r="AJ87" s="442">
        <f t="shared" si="504"/>
        <v>0</v>
      </c>
      <c r="AK87" s="442">
        <f t="shared" si="504"/>
        <v>0</v>
      </c>
      <c r="AL87" s="442">
        <f t="shared" si="504"/>
        <v>0</v>
      </c>
      <c r="AM87" s="442">
        <f t="shared" si="504"/>
        <v>0</v>
      </c>
      <c r="AN87" s="442">
        <f t="shared" si="504"/>
        <v>0</v>
      </c>
      <c r="AO87" s="442">
        <f t="shared" si="504"/>
        <v>0</v>
      </c>
      <c r="AP87" s="442">
        <f t="shared" si="504"/>
        <v>0</v>
      </c>
      <c r="AQ87" s="442">
        <f t="shared" si="504"/>
        <v>0</v>
      </c>
      <c r="AR87" s="442">
        <f t="shared" si="504"/>
        <v>0</v>
      </c>
      <c r="AS87" s="442">
        <f t="shared" si="504"/>
        <v>0</v>
      </c>
      <c r="AT87" s="442">
        <f t="shared" si="504"/>
        <v>2961</v>
      </c>
      <c r="AU87" s="442">
        <f t="shared" si="504"/>
        <v>2961</v>
      </c>
      <c r="AV87" s="442">
        <f t="shared" si="504"/>
        <v>2961</v>
      </c>
      <c r="AW87" s="442">
        <f t="shared" si="504"/>
        <v>2961</v>
      </c>
      <c r="AX87" s="442">
        <f t="shared" si="504"/>
        <v>2961</v>
      </c>
      <c r="AY87" s="442">
        <f t="shared" si="504"/>
        <v>2961</v>
      </c>
      <c r="AZ87" s="442">
        <f t="shared" si="504"/>
        <v>3026.7999999999997</v>
      </c>
      <c r="BA87" s="442">
        <f t="shared" si="504"/>
        <v>3026.7999999999997</v>
      </c>
      <c r="BB87" s="442">
        <f t="shared" si="504"/>
        <v>3026.7999999999997</v>
      </c>
      <c r="BC87" s="442">
        <f t="shared" si="504"/>
        <v>3026.7999999999997</v>
      </c>
      <c r="BD87" s="442">
        <f t="shared" si="504"/>
        <v>3026.7999999999997</v>
      </c>
      <c r="BE87" s="442">
        <f t="shared" si="504"/>
        <v>3026.7999999999997</v>
      </c>
      <c r="BF87" s="442">
        <f t="shared" si="504"/>
        <v>3026.7999999999997</v>
      </c>
      <c r="BG87" s="442">
        <f t="shared" si="504"/>
        <v>3026.7999999999997</v>
      </c>
      <c r="BH87" s="442">
        <f t="shared" si="504"/>
        <v>3026.7999999999997</v>
      </c>
      <c r="BI87" s="442">
        <f t="shared" si="504"/>
        <v>3026.7999999999997</v>
      </c>
      <c r="BJ87" s="442">
        <f t="shared" si="504"/>
        <v>3026.7999999999997</v>
      </c>
      <c r="BK87" s="442">
        <f t="shared" si="504"/>
        <v>3026.7999999999997</v>
      </c>
      <c r="BL87" s="442">
        <f t="shared" si="504"/>
        <v>3093.9159999999997</v>
      </c>
      <c r="BM87" s="442">
        <f t="shared" si="504"/>
        <v>3093.9159999999997</v>
      </c>
      <c r="BN87" s="442">
        <f t="shared" si="504"/>
        <v>3093.9159999999997</v>
      </c>
      <c r="BO87" s="442">
        <f t="shared" si="504"/>
        <v>3093.9159999999997</v>
      </c>
      <c r="BP87" s="442">
        <f t="shared" si="504"/>
        <v>3093.9159999999997</v>
      </c>
      <c r="BQ87" s="442">
        <f t="shared" si="504"/>
        <v>3093.9159999999997</v>
      </c>
      <c r="BR87" s="442">
        <f t="shared" si="504"/>
        <v>3093.9159999999997</v>
      </c>
      <c r="BS87" s="442">
        <f t="shared" si="504"/>
        <v>3093.9159999999997</v>
      </c>
      <c r="BT87" s="442">
        <f t="shared" si="504"/>
        <v>3093.9159999999997</v>
      </c>
      <c r="BU87" s="442">
        <f t="shared" si="504"/>
        <v>3093.9159999999997</v>
      </c>
      <c r="BV87" s="442">
        <f t="shared" ref="BV87:EG87" si="505">BV71+BV79</f>
        <v>3093.9159999999997</v>
      </c>
      <c r="BW87" s="442">
        <f t="shared" si="505"/>
        <v>3093.9159999999997</v>
      </c>
      <c r="BX87" s="442">
        <f t="shared" si="505"/>
        <v>3162.3743199999994</v>
      </c>
      <c r="BY87" s="442">
        <f t="shared" si="505"/>
        <v>3162.3743199999994</v>
      </c>
      <c r="BZ87" s="442">
        <f t="shared" si="505"/>
        <v>3162.3743199999994</v>
      </c>
      <c r="CA87" s="442">
        <f t="shared" si="505"/>
        <v>3162.3743199999994</v>
      </c>
      <c r="CB87" s="442">
        <f t="shared" si="505"/>
        <v>3162.3743199999994</v>
      </c>
      <c r="CC87" s="442">
        <f t="shared" si="505"/>
        <v>3162.3743199999994</v>
      </c>
      <c r="CD87" s="442">
        <f t="shared" si="505"/>
        <v>3162.3743199999994</v>
      </c>
      <c r="CE87" s="442">
        <f t="shared" si="505"/>
        <v>3162.3743199999994</v>
      </c>
      <c r="CF87" s="442">
        <f t="shared" si="505"/>
        <v>3162.3743199999994</v>
      </c>
      <c r="CG87" s="442">
        <f t="shared" si="505"/>
        <v>3162.3743199999994</v>
      </c>
      <c r="CH87" s="442">
        <f t="shared" si="505"/>
        <v>3162.3743199999994</v>
      </c>
      <c r="CI87" s="442">
        <f t="shared" si="505"/>
        <v>3162.3743199999994</v>
      </c>
      <c r="CJ87" s="442">
        <f t="shared" si="505"/>
        <v>3232.2018063999999</v>
      </c>
      <c r="CK87" s="442">
        <f t="shared" si="505"/>
        <v>3232.2018063999999</v>
      </c>
      <c r="CL87" s="442">
        <f t="shared" si="505"/>
        <v>3232.2018063999999</v>
      </c>
      <c r="CM87" s="442">
        <f t="shared" si="505"/>
        <v>3232.2018063999999</v>
      </c>
      <c r="CN87" s="442">
        <f t="shared" si="505"/>
        <v>3232.2018063999999</v>
      </c>
      <c r="CO87" s="442">
        <f t="shared" si="505"/>
        <v>3232.2018063999999</v>
      </c>
      <c r="CP87" s="442">
        <f t="shared" si="505"/>
        <v>3232.2018063999999</v>
      </c>
      <c r="CQ87" s="442">
        <f t="shared" si="505"/>
        <v>3232.2018063999999</v>
      </c>
      <c r="CR87" s="442">
        <f t="shared" si="505"/>
        <v>3232.2018063999999</v>
      </c>
      <c r="CS87" s="442">
        <f t="shared" si="505"/>
        <v>3232.2018063999999</v>
      </c>
      <c r="CT87" s="442">
        <f t="shared" si="505"/>
        <v>3232.2018063999999</v>
      </c>
      <c r="CU87" s="442">
        <f t="shared" si="505"/>
        <v>3232.2018063999999</v>
      </c>
      <c r="CV87" s="442">
        <f t="shared" si="505"/>
        <v>3303.425842528</v>
      </c>
      <c r="CW87" s="442">
        <f t="shared" si="505"/>
        <v>3303.425842528</v>
      </c>
      <c r="CX87" s="442">
        <f t="shared" si="505"/>
        <v>3303.425842528</v>
      </c>
      <c r="CY87" s="442">
        <f t="shared" si="505"/>
        <v>3303.425842528</v>
      </c>
      <c r="CZ87" s="442">
        <f t="shared" si="505"/>
        <v>3303.425842528</v>
      </c>
      <c r="DA87" s="442">
        <f t="shared" si="505"/>
        <v>3303.425842528</v>
      </c>
      <c r="DB87" s="442">
        <f t="shared" si="505"/>
        <v>3303.425842528</v>
      </c>
      <c r="DC87" s="442">
        <f t="shared" si="505"/>
        <v>3303.425842528</v>
      </c>
      <c r="DD87" s="442">
        <f t="shared" si="505"/>
        <v>3303.425842528</v>
      </c>
      <c r="DE87" s="442">
        <f t="shared" si="505"/>
        <v>3303.425842528</v>
      </c>
      <c r="DF87" s="442">
        <f t="shared" si="505"/>
        <v>3303.425842528</v>
      </c>
      <c r="DG87" s="442">
        <f t="shared" si="505"/>
        <v>3303.425842528</v>
      </c>
      <c r="DH87" s="442">
        <f t="shared" si="505"/>
        <v>3376.0743593785605</v>
      </c>
      <c r="DI87" s="442">
        <f t="shared" si="505"/>
        <v>3376.0743593785605</v>
      </c>
      <c r="DJ87" s="442">
        <f t="shared" si="505"/>
        <v>3376.0743593785605</v>
      </c>
      <c r="DK87" s="442">
        <f t="shared" si="505"/>
        <v>3376.0743593785605</v>
      </c>
      <c r="DL87" s="442">
        <f t="shared" si="505"/>
        <v>3376.0743593785605</v>
      </c>
      <c r="DM87" s="442">
        <f t="shared" si="505"/>
        <v>3376.0743593785605</v>
      </c>
      <c r="DN87" s="442">
        <f t="shared" si="505"/>
        <v>3376.0743593785605</v>
      </c>
      <c r="DO87" s="442">
        <f t="shared" si="505"/>
        <v>3376.0743593785605</v>
      </c>
      <c r="DP87" s="442">
        <f t="shared" si="505"/>
        <v>3376.0743593785605</v>
      </c>
      <c r="DQ87" s="442">
        <f t="shared" si="505"/>
        <v>3376.0743593785605</v>
      </c>
      <c r="DR87" s="442">
        <f t="shared" si="505"/>
        <v>3376.0743593785605</v>
      </c>
      <c r="DS87" s="442">
        <f t="shared" si="505"/>
        <v>3376.0743593785605</v>
      </c>
      <c r="DT87" s="442">
        <f t="shared" si="505"/>
        <v>3450.175846566131</v>
      </c>
      <c r="DU87" s="442">
        <f t="shared" si="505"/>
        <v>3450.175846566131</v>
      </c>
      <c r="DV87" s="442">
        <f t="shared" si="505"/>
        <v>3450.175846566131</v>
      </c>
      <c r="DW87" s="442">
        <f t="shared" si="505"/>
        <v>3450.175846566131</v>
      </c>
      <c r="DX87" s="442">
        <f t="shared" si="505"/>
        <v>3450.175846566131</v>
      </c>
      <c r="DY87" s="442">
        <f t="shared" si="505"/>
        <v>3450.175846566131</v>
      </c>
      <c r="DZ87" s="442">
        <f t="shared" si="505"/>
        <v>3450.175846566131</v>
      </c>
      <c r="EA87" s="442">
        <f t="shared" si="505"/>
        <v>3450.175846566131</v>
      </c>
      <c r="EB87" s="442">
        <f t="shared" si="505"/>
        <v>3450.175846566131</v>
      </c>
      <c r="EC87" s="442">
        <f t="shared" si="505"/>
        <v>3450.175846566131</v>
      </c>
      <c r="ED87" s="442">
        <f t="shared" si="505"/>
        <v>3450.175846566131</v>
      </c>
      <c r="EE87" s="442">
        <f t="shared" si="505"/>
        <v>3450.175846566131</v>
      </c>
      <c r="EF87" s="442">
        <f t="shared" si="505"/>
        <v>3525.7593634974533</v>
      </c>
      <c r="EG87" s="442">
        <f t="shared" si="505"/>
        <v>3525.7593634974533</v>
      </c>
      <c r="EH87" s="442">
        <f t="shared" ref="EH87:GS87" si="506">EH71+EH79</f>
        <v>3525.7593634974533</v>
      </c>
      <c r="EI87" s="442">
        <f t="shared" si="506"/>
        <v>3525.7593634974533</v>
      </c>
      <c r="EJ87" s="442">
        <f t="shared" si="506"/>
        <v>3525.7593634974533</v>
      </c>
      <c r="EK87" s="442">
        <f t="shared" si="506"/>
        <v>3525.7593634974533</v>
      </c>
      <c r="EL87" s="442">
        <f t="shared" si="506"/>
        <v>3525.7593634974533</v>
      </c>
      <c r="EM87" s="442">
        <f t="shared" si="506"/>
        <v>3525.7593634974533</v>
      </c>
      <c r="EN87" s="442">
        <f t="shared" si="506"/>
        <v>3525.7593634974533</v>
      </c>
      <c r="EO87" s="442">
        <f t="shared" si="506"/>
        <v>3525.7593634974533</v>
      </c>
      <c r="EP87" s="442">
        <f t="shared" si="506"/>
        <v>3525.7593634974533</v>
      </c>
      <c r="EQ87" s="442">
        <f t="shared" si="506"/>
        <v>3525.7593634974533</v>
      </c>
      <c r="ER87" s="442">
        <f t="shared" si="506"/>
        <v>3602.8545507674025</v>
      </c>
      <c r="ES87" s="442">
        <f t="shared" si="506"/>
        <v>3602.8545507674025</v>
      </c>
      <c r="ET87" s="442">
        <f t="shared" si="506"/>
        <v>3602.8545507674025</v>
      </c>
      <c r="EU87" s="442">
        <f t="shared" si="506"/>
        <v>3602.8545507674025</v>
      </c>
      <c r="EV87" s="442">
        <f t="shared" si="506"/>
        <v>3602.8545507674025</v>
      </c>
      <c r="EW87" s="442">
        <f t="shared" si="506"/>
        <v>3602.8545507674025</v>
      </c>
      <c r="EX87" s="442">
        <f t="shared" si="506"/>
        <v>3602.8545507674025</v>
      </c>
      <c r="EY87" s="442">
        <f t="shared" si="506"/>
        <v>3602.8545507674025</v>
      </c>
      <c r="EZ87" s="442">
        <f t="shared" si="506"/>
        <v>3602.8545507674025</v>
      </c>
      <c r="FA87" s="442">
        <f t="shared" si="506"/>
        <v>3602.8545507674025</v>
      </c>
      <c r="FB87" s="442">
        <f t="shared" si="506"/>
        <v>3602.8545507674025</v>
      </c>
      <c r="FC87" s="442">
        <f t="shared" si="506"/>
        <v>3602.8545507674025</v>
      </c>
      <c r="FD87" s="442">
        <f t="shared" si="506"/>
        <v>3681.4916417827512</v>
      </c>
      <c r="FE87" s="442">
        <f t="shared" si="506"/>
        <v>3681.4916417827512</v>
      </c>
      <c r="FF87" s="442">
        <f t="shared" si="506"/>
        <v>3681.4916417827512</v>
      </c>
      <c r="FG87" s="442">
        <f t="shared" si="506"/>
        <v>3681.4916417827512</v>
      </c>
      <c r="FH87" s="442">
        <f t="shared" si="506"/>
        <v>3681.4916417827512</v>
      </c>
      <c r="FI87" s="442">
        <f t="shared" si="506"/>
        <v>3681.4916417827512</v>
      </c>
      <c r="FJ87" s="442">
        <f t="shared" si="506"/>
        <v>3681.4916417827512</v>
      </c>
      <c r="FK87" s="442">
        <f t="shared" si="506"/>
        <v>3681.4916417827512</v>
      </c>
      <c r="FL87" s="442">
        <f t="shared" si="506"/>
        <v>3681.4916417827512</v>
      </c>
      <c r="FM87" s="442">
        <f t="shared" si="506"/>
        <v>3681.4916417827512</v>
      </c>
      <c r="FN87" s="442">
        <f t="shared" si="506"/>
        <v>3681.4916417827512</v>
      </c>
      <c r="FO87" s="442">
        <f t="shared" si="506"/>
        <v>3681.4916417827512</v>
      </c>
      <c r="FP87" s="442">
        <f t="shared" si="506"/>
        <v>3761.701474618405</v>
      </c>
      <c r="FQ87" s="442">
        <f t="shared" si="506"/>
        <v>3761.701474618405</v>
      </c>
      <c r="FR87" s="442">
        <f t="shared" si="506"/>
        <v>3761.701474618405</v>
      </c>
      <c r="FS87" s="442">
        <f t="shared" si="506"/>
        <v>3761.701474618405</v>
      </c>
      <c r="FT87" s="442">
        <f t="shared" si="506"/>
        <v>3761.701474618405</v>
      </c>
      <c r="FU87" s="442">
        <f t="shared" si="506"/>
        <v>3761.701474618405</v>
      </c>
      <c r="FV87" s="442">
        <f t="shared" si="506"/>
        <v>3761.701474618405</v>
      </c>
      <c r="FW87" s="442">
        <f t="shared" si="506"/>
        <v>3761.701474618405</v>
      </c>
      <c r="FX87" s="442">
        <f t="shared" si="506"/>
        <v>3761.701474618405</v>
      </c>
      <c r="FY87" s="442">
        <f t="shared" si="506"/>
        <v>3761.701474618405</v>
      </c>
      <c r="FZ87" s="442">
        <f t="shared" si="506"/>
        <v>3761.701474618405</v>
      </c>
      <c r="GA87" s="442">
        <f t="shared" si="506"/>
        <v>3761.701474618405</v>
      </c>
      <c r="GB87" s="442">
        <f t="shared" si="506"/>
        <v>3843.5155041107737</v>
      </c>
      <c r="GC87" s="442">
        <f t="shared" si="506"/>
        <v>3843.5155041107737</v>
      </c>
      <c r="GD87" s="442">
        <f t="shared" si="506"/>
        <v>3843.5155041107737</v>
      </c>
      <c r="GE87" s="442">
        <f t="shared" si="506"/>
        <v>3843.5155041107737</v>
      </c>
      <c r="GF87" s="442">
        <f t="shared" si="506"/>
        <v>3843.5155041107737</v>
      </c>
      <c r="GG87" s="442">
        <f t="shared" si="506"/>
        <v>3843.5155041107737</v>
      </c>
      <c r="GH87" s="442">
        <f t="shared" si="506"/>
        <v>3843.5155041107737</v>
      </c>
      <c r="GI87" s="442">
        <f t="shared" si="506"/>
        <v>3843.5155041107737</v>
      </c>
      <c r="GJ87" s="442">
        <f t="shared" si="506"/>
        <v>3843.5155041107737</v>
      </c>
      <c r="GK87" s="442">
        <f t="shared" si="506"/>
        <v>3843.5155041107737</v>
      </c>
      <c r="GL87" s="442">
        <f t="shared" si="506"/>
        <v>3843.5155041107737</v>
      </c>
      <c r="GM87" s="442">
        <f t="shared" si="506"/>
        <v>3843.5155041107737</v>
      </c>
      <c r="GN87" s="442">
        <f t="shared" si="506"/>
        <v>3926.9658141929895</v>
      </c>
      <c r="GO87" s="442">
        <f t="shared" si="506"/>
        <v>3926.9658141929895</v>
      </c>
      <c r="GP87" s="442">
        <f t="shared" si="506"/>
        <v>3926.9658141929895</v>
      </c>
      <c r="GQ87" s="442">
        <f t="shared" si="506"/>
        <v>3926.9658141929895</v>
      </c>
      <c r="GR87" s="442">
        <f t="shared" si="506"/>
        <v>3926.9658141929895</v>
      </c>
      <c r="GS87" s="442">
        <f t="shared" si="506"/>
        <v>3926.9658141929895</v>
      </c>
      <c r="GT87" s="442">
        <f t="shared" ref="GT87:JE87" si="507">GT71+GT79</f>
        <v>3926.9658141929895</v>
      </c>
      <c r="GU87" s="442">
        <f t="shared" si="507"/>
        <v>3926.9658141929895</v>
      </c>
      <c r="GV87" s="442">
        <f t="shared" si="507"/>
        <v>3926.9658141929895</v>
      </c>
      <c r="GW87" s="442">
        <f t="shared" si="507"/>
        <v>3926.9658141929895</v>
      </c>
      <c r="GX87" s="442">
        <f t="shared" si="507"/>
        <v>3926.9658141929895</v>
      </c>
      <c r="GY87" s="442">
        <f t="shared" si="507"/>
        <v>3926.9658141929895</v>
      </c>
      <c r="GZ87" s="442">
        <f t="shared" si="507"/>
        <v>4012.0851304768494</v>
      </c>
      <c r="HA87" s="442">
        <f t="shared" si="507"/>
        <v>4012.0851304768494</v>
      </c>
      <c r="HB87" s="442">
        <f t="shared" si="507"/>
        <v>4012.0851304768494</v>
      </c>
      <c r="HC87" s="442">
        <f t="shared" si="507"/>
        <v>4012.0851304768494</v>
      </c>
      <c r="HD87" s="442">
        <f t="shared" si="507"/>
        <v>4012.0851304768494</v>
      </c>
      <c r="HE87" s="442">
        <f t="shared" si="507"/>
        <v>4012.0851304768494</v>
      </c>
      <c r="HF87" s="442">
        <f t="shared" si="507"/>
        <v>4012.0851304768494</v>
      </c>
      <c r="HG87" s="442">
        <f t="shared" si="507"/>
        <v>4012.0851304768494</v>
      </c>
      <c r="HH87" s="442">
        <f t="shared" si="507"/>
        <v>4012.0851304768494</v>
      </c>
      <c r="HI87" s="442">
        <f t="shared" si="507"/>
        <v>4012.0851304768494</v>
      </c>
      <c r="HJ87" s="442">
        <f t="shared" si="507"/>
        <v>4012.0851304768494</v>
      </c>
      <c r="HK87" s="442">
        <f t="shared" si="507"/>
        <v>4012.0851304768494</v>
      </c>
      <c r="HL87" s="442">
        <f t="shared" si="507"/>
        <v>4098.9068330863856</v>
      </c>
      <c r="HM87" s="442">
        <f t="shared" si="507"/>
        <v>4098.9068330863856</v>
      </c>
      <c r="HN87" s="442">
        <f t="shared" si="507"/>
        <v>4098.9068330863856</v>
      </c>
      <c r="HO87" s="442">
        <f t="shared" si="507"/>
        <v>4098.9068330863856</v>
      </c>
      <c r="HP87" s="442">
        <f t="shared" si="507"/>
        <v>4098.9068330863856</v>
      </c>
      <c r="HQ87" s="442">
        <f t="shared" si="507"/>
        <v>4098.9068330863856</v>
      </c>
      <c r="HR87" s="442">
        <f t="shared" si="507"/>
        <v>4098.9068330863856</v>
      </c>
      <c r="HS87" s="442">
        <f t="shared" si="507"/>
        <v>4098.9068330863856</v>
      </c>
      <c r="HT87" s="442">
        <f t="shared" si="507"/>
        <v>4098.9068330863856</v>
      </c>
      <c r="HU87" s="442">
        <f t="shared" si="507"/>
        <v>4098.9068330863856</v>
      </c>
      <c r="HV87" s="442">
        <f t="shared" si="507"/>
        <v>4098.9068330863856</v>
      </c>
      <c r="HW87" s="442">
        <f t="shared" si="507"/>
        <v>4098.9068330863856</v>
      </c>
      <c r="HX87" s="442">
        <f t="shared" si="507"/>
        <v>4187.4649697481136</v>
      </c>
      <c r="HY87" s="442">
        <f t="shared" si="507"/>
        <v>4187.4649697481136</v>
      </c>
      <c r="HZ87" s="442">
        <f t="shared" si="507"/>
        <v>4187.4649697481136</v>
      </c>
      <c r="IA87" s="442">
        <f t="shared" si="507"/>
        <v>4187.4649697481136</v>
      </c>
      <c r="IB87" s="442">
        <f t="shared" si="507"/>
        <v>4187.4649697481136</v>
      </c>
      <c r="IC87" s="442">
        <f t="shared" si="507"/>
        <v>4187.4649697481136</v>
      </c>
      <c r="ID87" s="442">
        <f t="shared" si="507"/>
        <v>4187.4649697481136</v>
      </c>
      <c r="IE87" s="442">
        <f t="shared" si="507"/>
        <v>4187.4649697481136</v>
      </c>
      <c r="IF87" s="442">
        <f t="shared" si="507"/>
        <v>4187.4649697481136</v>
      </c>
      <c r="IG87" s="442">
        <f t="shared" si="507"/>
        <v>4187.4649697481136</v>
      </c>
      <c r="IH87" s="442">
        <f t="shared" si="507"/>
        <v>4187.4649697481136</v>
      </c>
      <c r="II87" s="442">
        <f t="shared" si="507"/>
        <v>4187.4649697481136</v>
      </c>
      <c r="IJ87" s="442">
        <f t="shared" si="507"/>
        <v>4277.7942691430762</v>
      </c>
      <c r="IK87" s="442">
        <f t="shared" si="507"/>
        <v>4277.7942691430762</v>
      </c>
      <c r="IL87" s="442">
        <f t="shared" si="507"/>
        <v>4277.7942691430762</v>
      </c>
      <c r="IM87" s="442">
        <f t="shared" si="507"/>
        <v>4277.7942691430762</v>
      </c>
      <c r="IN87" s="442">
        <f t="shared" si="507"/>
        <v>4277.7942691430762</v>
      </c>
      <c r="IO87" s="442">
        <f t="shared" si="507"/>
        <v>4277.7942691430762</v>
      </c>
      <c r="IP87" s="442">
        <f t="shared" si="507"/>
        <v>4277.7942691430762</v>
      </c>
      <c r="IQ87" s="442">
        <f t="shared" si="507"/>
        <v>4277.7942691430762</v>
      </c>
      <c r="IR87" s="442">
        <f t="shared" si="507"/>
        <v>4277.7942691430762</v>
      </c>
      <c r="IS87" s="442">
        <f t="shared" si="507"/>
        <v>4277.7942691430762</v>
      </c>
      <c r="IT87" s="442">
        <f t="shared" si="507"/>
        <v>4277.7942691430762</v>
      </c>
      <c r="IU87" s="442">
        <f t="shared" si="507"/>
        <v>4277.7942691430762</v>
      </c>
      <c r="IV87" s="442">
        <f t="shared" si="507"/>
        <v>4369.9301545259377</v>
      </c>
      <c r="IW87" s="442">
        <f t="shared" si="507"/>
        <v>4369.9301545259377</v>
      </c>
      <c r="IX87" s="442">
        <f t="shared" si="507"/>
        <v>4369.9301545259377</v>
      </c>
      <c r="IY87" s="442">
        <f t="shared" si="507"/>
        <v>4369.9301545259377</v>
      </c>
      <c r="IZ87" s="442">
        <f t="shared" si="507"/>
        <v>4369.9301545259377</v>
      </c>
      <c r="JA87" s="442">
        <f t="shared" si="507"/>
        <v>4369.9301545259377</v>
      </c>
      <c r="JB87" s="442">
        <f t="shared" si="507"/>
        <v>4369.9301545259377</v>
      </c>
      <c r="JC87" s="442">
        <f t="shared" si="507"/>
        <v>4369.9301545259377</v>
      </c>
      <c r="JD87" s="442">
        <f t="shared" si="507"/>
        <v>4369.9301545259377</v>
      </c>
      <c r="JE87" s="442">
        <f t="shared" si="507"/>
        <v>4369.9301545259377</v>
      </c>
      <c r="JF87" s="442">
        <f t="shared" ref="JF87:LQ87" si="508">JF71+JF79</f>
        <v>4369.9301545259377</v>
      </c>
      <c r="JG87" s="442">
        <f t="shared" si="508"/>
        <v>4369.9301545259377</v>
      </c>
      <c r="JH87" s="442">
        <f t="shared" si="508"/>
        <v>4463.9087576164557</v>
      </c>
      <c r="JI87" s="442">
        <f t="shared" si="508"/>
        <v>4463.9087576164557</v>
      </c>
      <c r="JJ87" s="442">
        <f t="shared" si="508"/>
        <v>4463.9087576164557</v>
      </c>
      <c r="JK87" s="442">
        <f t="shared" si="508"/>
        <v>4463.9087576164557</v>
      </c>
      <c r="JL87" s="442">
        <f t="shared" si="508"/>
        <v>4463.9087576164557</v>
      </c>
      <c r="JM87" s="442">
        <f t="shared" si="508"/>
        <v>4463.9087576164557</v>
      </c>
      <c r="JN87" s="442">
        <f t="shared" si="508"/>
        <v>4463.9087576164557</v>
      </c>
      <c r="JO87" s="442">
        <f t="shared" si="508"/>
        <v>4463.9087576164557</v>
      </c>
      <c r="JP87" s="442">
        <f t="shared" si="508"/>
        <v>4463.9087576164557</v>
      </c>
      <c r="JQ87" s="442">
        <f t="shared" si="508"/>
        <v>4463.9087576164557</v>
      </c>
      <c r="JR87" s="442">
        <f t="shared" si="508"/>
        <v>4463.9087576164557</v>
      </c>
      <c r="JS87" s="442">
        <f t="shared" si="508"/>
        <v>4463.9087576164557</v>
      </c>
      <c r="JT87" s="442">
        <f t="shared" si="508"/>
        <v>4559.7669327687854</v>
      </c>
      <c r="JU87" s="442">
        <f t="shared" si="508"/>
        <v>4559.7669327687854</v>
      </c>
      <c r="JV87" s="442">
        <f t="shared" si="508"/>
        <v>4559.7669327687854</v>
      </c>
      <c r="JW87" s="442">
        <f t="shared" si="508"/>
        <v>4559.7669327687854</v>
      </c>
      <c r="JX87" s="442">
        <f t="shared" si="508"/>
        <v>4559.7669327687854</v>
      </c>
      <c r="JY87" s="442">
        <f t="shared" si="508"/>
        <v>4559.7669327687854</v>
      </c>
      <c r="JZ87" s="442">
        <f t="shared" si="508"/>
        <v>4559.7669327687854</v>
      </c>
      <c r="KA87" s="442">
        <f t="shared" si="508"/>
        <v>4559.7669327687854</v>
      </c>
      <c r="KB87" s="442">
        <f t="shared" si="508"/>
        <v>4559.7669327687854</v>
      </c>
      <c r="KC87" s="442">
        <f t="shared" si="508"/>
        <v>4559.7669327687854</v>
      </c>
      <c r="KD87" s="442">
        <f t="shared" si="508"/>
        <v>4559.7669327687854</v>
      </c>
      <c r="KE87" s="442">
        <f t="shared" si="508"/>
        <v>4559.7669327687854</v>
      </c>
      <c r="KF87" s="442">
        <f t="shared" si="508"/>
        <v>4657.5422714241604</v>
      </c>
      <c r="KG87" s="442">
        <f t="shared" si="508"/>
        <v>4657.5422714241604</v>
      </c>
      <c r="KH87" s="442">
        <f t="shared" si="508"/>
        <v>4657.5422714241604</v>
      </c>
      <c r="KI87" s="442">
        <f t="shared" si="508"/>
        <v>4657.5422714241604</v>
      </c>
      <c r="KJ87" s="442">
        <f t="shared" si="508"/>
        <v>4657.5422714241604</v>
      </c>
      <c r="KK87" s="442">
        <f t="shared" si="508"/>
        <v>4657.5422714241604</v>
      </c>
      <c r="KL87" s="442">
        <f t="shared" si="508"/>
        <v>4657.5422714241604</v>
      </c>
      <c r="KM87" s="442">
        <f t="shared" si="508"/>
        <v>4657.5422714241604</v>
      </c>
      <c r="KN87" s="442">
        <f t="shared" si="508"/>
        <v>4657.5422714241604</v>
      </c>
      <c r="KO87" s="442">
        <f t="shared" si="508"/>
        <v>4657.5422714241604</v>
      </c>
      <c r="KP87" s="442">
        <f t="shared" si="508"/>
        <v>4657.5422714241604</v>
      </c>
      <c r="KQ87" s="442">
        <f t="shared" si="508"/>
        <v>4657.5422714241604</v>
      </c>
      <c r="KR87" s="442">
        <f t="shared" si="508"/>
        <v>4757.2731168526443</v>
      </c>
      <c r="KS87" s="442">
        <f t="shared" si="508"/>
        <v>4757.2731168526443</v>
      </c>
      <c r="KT87" s="442">
        <f t="shared" si="508"/>
        <v>4757.2731168526443</v>
      </c>
      <c r="KU87" s="442">
        <f t="shared" si="508"/>
        <v>4757.2731168526443</v>
      </c>
      <c r="KV87" s="442">
        <f t="shared" si="508"/>
        <v>4757.2731168526443</v>
      </c>
      <c r="KW87" s="442">
        <f t="shared" si="508"/>
        <v>4757.2731168526443</v>
      </c>
      <c r="KX87" s="442">
        <f t="shared" si="508"/>
        <v>4757.2731168526443</v>
      </c>
      <c r="KY87" s="442">
        <f t="shared" si="508"/>
        <v>4757.2731168526443</v>
      </c>
      <c r="KZ87" s="442">
        <f t="shared" si="508"/>
        <v>4757.2731168526443</v>
      </c>
      <c r="LA87" s="442">
        <f t="shared" si="508"/>
        <v>4757.2731168526443</v>
      </c>
      <c r="LB87" s="442">
        <f t="shared" si="508"/>
        <v>4757.2731168526443</v>
      </c>
      <c r="LC87" s="442">
        <f t="shared" si="508"/>
        <v>4757.2731168526443</v>
      </c>
      <c r="LD87" s="442">
        <f t="shared" si="508"/>
        <v>4858.9985791896961</v>
      </c>
      <c r="LE87" s="442">
        <f t="shared" si="508"/>
        <v>4858.9985791896961</v>
      </c>
      <c r="LF87" s="442">
        <f t="shared" si="508"/>
        <v>4858.9985791896961</v>
      </c>
      <c r="LG87" s="442">
        <f t="shared" si="508"/>
        <v>4858.9985791896961</v>
      </c>
      <c r="LH87" s="442">
        <f t="shared" si="508"/>
        <v>4858.9985791896961</v>
      </c>
      <c r="LI87" s="442">
        <f t="shared" si="508"/>
        <v>4858.9985791896961</v>
      </c>
      <c r="LJ87" s="442">
        <f t="shared" si="508"/>
        <v>4858.9985791896961</v>
      </c>
      <c r="LK87" s="442">
        <f t="shared" si="508"/>
        <v>4858.9985791896961</v>
      </c>
      <c r="LL87" s="442">
        <f t="shared" si="508"/>
        <v>4858.9985791896961</v>
      </c>
      <c r="LM87" s="442">
        <f t="shared" si="508"/>
        <v>4858.9985791896961</v>
      </c>
      <c r="LN87" s="442">
        <f t="shared" si="508"/>
        <v>4858.9985791896961</v>
      </c>
      <c r="LO87" s="442">
        <f t="shared" si="508"/>
        <v>4858.9985791896961</v>
      </c>
      <c r="LP87" s="442">
        <f t="shared" si="508"/>
        <v>4962.7585507734902</v>
      </c>
      <c r="LQ87" s="442">
        <f t="shared" si="508"/>
        <v>4962.7585507734902</v>
      </c>
      <c r="LR87" s="442">
        <f t="shared" ref="LR87:OC87" si="509">LR71+LR79</f>
        <v>4962.7585507734902</v>
      </c>
      <c r="LS87" s="442">
        <f t="shared" si="509"/>
        <v>4962.7585507734902</v>
      </c>
      <c r="LT87" s="442">
        <f t="shared" si="509"/>
        <v>4962.7585507734902</v>
      </c>
      <c r="LU87" s="442">
        <f t="shared" si="509"/>
        <v>4962.7585507734902</v>
      </c>
      <c r="LV87" s="442">
        <f t="shared" si="509"/>
        <v>4962.7585507734902</v>
      </c>
      <c r="LW87" s="442">
        <f t="shared" si="509"/>
        <v>4962.7585507734902</v>
      </c>
      <c r="LX87" s="442">
        <f t="shared" si="509"/>
        <v>4962.7585507734902</v>
      </c>
      <c r="LY87" s="442">
        <f t="shared" si="509"/>
        <v>4962.7585507734902</v>
      </c>
      <c r="LZ87" s="442">
        <f t="shared" si="509"/>
        <v>4962.7585507734902</v>
      </c>
      <c r="MA87" s="442">
        <f t="shared" si="509"/>
        <v>4962.7585507734902</v>
      </c>
      <c r="MB87" s="442">
        <f t="shared" si="509"/>
        <v>5068.5937217889605</v>
      </c>
      <c r="MC87" s="442">
        <f t="shared" si="509"/>
        <v>5068.5937217889605</v>
      </c>
      <c r="MD87" s="442">
        <f t="shared" si="509"/>
        <v>5068.5937217889605</v>
      </c>
      <c r="ME87" s="442">
        <f t="shared" si="509"/>
        <v>5068.5937217889605</v>
      </c>
      <c r="MF87" s="442">
        <f t="shared" si="509"/>
        <v>5068.5937217889605</v>
      </c>
      <c r="MG87" s="442">
        <f t="shared" si="509"/>
        <v>5068.5937217889605</v>
      </c>
      <c r="MH87" s="442">
        <f t="shared" si="509"/>
        <v>5068.5937217889605</v>
      </c>
      <c r="MI87" s="442">
        <f t="shared" si="509"/>
        <v>5068.5937217889605</v>
      </c>
      <c r="MJ87" s="442">
        <f t="shared" si="509"/>
        <v>5068.5937217889605</v>
      </c>
      <c r="MK87" s="442">
        <f t="shared" si="509"/>
        <v>5068.5937217889605</v>
      </c>
      <c r="ML87" s="442">
        <f t="shared" si="509"/>
        <v>5068.5937217889605</v>
      </c>
      <c r="MM87" s="442">
        <f t="shared" si="509"/>
        <v>5068.5937217889605</v>
      </c>
      <c r="MN87" s="442">
        <f t="shared" si="509"/>
        <v>5176.5455962247397</v>
      </c>
      <c r="MO87" s="442">
        <f t="shared" si="509"/>
        <v>5176.5455962247397</v>
      </c>
      <c r="MP87" s="442">
        <f t="shared" si="509"/>
        <v>5176.5455962247397</v>
      </c>
      <c r="MQ87" s="442">
        <f t="shared" si="509"/>
        <v>5176.5455962247397</v>
      </c>
      <c r="MR87" s="442">
        <f t="shared" si="509"/>
        <v>5176.5455962247397</v>
      </c>
      <c r="MS87" s="442">
        <f t="shared" si="509"/>
        <v>5176.5455962247397</v>
      </c>
      <c r="MT87" s="442">
        <f t="shared" si="509"/>
        <v>5176.5455962247397</v>
      </c>
      <c r="MU87" s="442">
        <f t="shared" si="509"/>
        <v>5176.5455962247397</v>
      </c>
      <c r="MV87" s="442">
        <f t="shared" si="509"/>
        <v>5176.5455962247397</v>
      </c>
      <c r="MW87" s="442">
        <f t="shared" si="509"/>
        <v>5176.5455962247397</v>
      </c>
      <c r="MX87" s="442">
        <f t="shared" si="509"/>
        <v>5176.5455962247397</v>
      </c>
      <c r="MY87" s="442">
        <f t="shared" si="509"/>
        <v>5176.5455962247397</v>
      </c>
      <c r="MZ87" s="442">
        <f t="shared" si="509"/>
        <v>5286.6565081492336</v>
      </c>
      <c r="NA87" s="442">
        <f t="shared" si="509"/>
        <v>5286.6565081492336</v>
      </c>
      <c r="NB87" s="442">
        <f t="shared" si="509"/>
        <v>5286.6565081492336</v>
      </c>
      <c r="NC87" s="442">
        <f t="shared" si="509"/>
        <v>5286.6565081492336</v>
      </c>
      <c r="ND87" s="442">
        <f t="shared" si="509"/>
        <v>5286.6565081492336</v>
      </c>
      <c r="NE87" s="442">
        <f t="shared" si="509"/>
        <v>5286.6565081492336</v>
      </c>
      <c r="NF87" s="442">
        <f t="shared" si="509"/>
        <v>5286.6565081492336</v>
      </c>
      <c r="NG87" s="442">
        <f t="shared" si="509"/>
        <v>5286.6565081492336</v>
      </c>
      <c r="NH87" s="442">
        <f t="shared" si="509"/>
        <v>5286.6565081492336</v>
      </c>
      <c r="NI87" s="442">
        <f t="shared" si="509"/>
        <v>5286.6565081492336</v>
      </c>
      <c r="NJ87" s="442">
        <f t="shared" si="509"/>
        <v>5286.6565081492336</v>
      </c>
      <c r="NK87" s="442">
        <f t="shared" si="509"/>
        <v>5286.6565081492336</v>
      </c>
      <c r="NL87" s="442">
        <f t="shared" si="509"/>
        <v>5398.96963831222</v>
      </c>
      <c r="NM87" s="442">
        <f t="shared" si="509"/>
        <v>5398.96963831222</v>
      </c>
      <c r="NN87" s="442">
        <f t="shared" si="509"/>
        <v>5398.96963831222</v>
      </c>
      <c r="NO87" s="442">
        <f t="shared" si="509"/>
        <v>5398.96963831222</v>
      </c>
      <c r="NP87" s="442">
        <f t="shared" si="509"/>
        <v>5398.96963831222</v>
      </c>
      <c r="NQ87" s="442">
        <f t="shared" si="509"/>
        <v>5398.96963831222</v>
      </c>
      <c r="NR87" s="442">
        <f t="shared" si="509"/>
        <v>5398.96963831222</v>
      </c>
      <c r="NS87" s="442">
        <f t="shared" si="509"/>
        <v>5398.96963831222</v>
      </c>
      <c r="NT87" s="442">
        <f t="shared" si="509"/>
        <v>5398.96963831222</v>
      </c>
      <c r="NU87" s="442">
        <f t="shared" si="509"/>
        <v>5398.96963831222</v>
      </c>
      <c r="NV87" s="442">
        <f t="shared" si="509"/>
        <v>5398.96963831222</v>
      </c>
      <c r="NW87" s="442">
        <f t="shared" si="509"/>
        <v>5398.96963831222</v>
      </c>
      <c r="NX87" s="442">
        <f t="shared" si="509"/>
        <v>5513.529031078463</v>
      </c>
      <c r="NY87" s="442">
        <f t="shared" si="509"/>
        <v>5513.529031078463</v>
      </c>
      <c r="NZ87" s="442">
        <f t="shared" si="509"/>
        <v>5513.529031078463</v>
      </c>
      <c r="OA87" s="442">
        <f t="shared" si="509"/>
        <v>5513.529031078463</v>
      </c>
      <c r="OB87" s="442">
        <f t="shared" si="509"/>
        <v>5513.529031078463</v>
      </c>
      <c r="OC87" s="442">
        <f t="shared" si="509"/>
        <v>5513.529031078463</v>
      </c>
      <c r="OD87" s="442">
        <f t="shared" ref="OD87:OO87" si="510">OD71+OD79</f>
        <v>5513.529031078463</v>
      </c>
      <c r="OE87" s="442">
        <f t="shared" si="510"/>
        <v>5513.529031078463</v>
      </c>
      <c r="OF87" s="442">
        <f t="shared" si="510"/>
        <v>5513.529031078463</v>
      </c>
      <c r="OG87" s="442">
        <f t="shared" si="510"/>
        <v>5513.529031078463</v>
      </c>
      <c r="OH87" s="442">
        <f t="shared" si="510"/>
        <v>5513.529031078463</v>
      </c>
      <c r="OI87" s="442">
        <f t="shared" si="510"/>
        <v>5513.529031078463</v>
      </c>
      <c r="OJ87" s="442">
        <f t="shared" si="510"/>
        <v>5630.379611700032</v>
      </c>
      <c r="OK87" s="442">
        <f t="shared" si="510"/>
        <v>5630.379611700032</v>
      </c>
      <c r="OL87" s="442">
        <f t="shared" si="510"/>
        <v>5630.379611700032</v>
      </c>
      <c r="OM87" s="442">
        <f t="shared" si="510"/>
        <v>5630.379611700032</v>
      </c>
      <c r="ON87" s="442">
        <f t="shared" si="510"/>
        <v>5630.379611700032</v>
      </c>
      <c r="OO87" s="442">
        <f t="shared" si="510"/>
        <v>5630.379611700032</v>
      </c>
    </row>
    <row r="88" spans="2:405">
      <c r="B88" s="516" t="s">
        <v>405</v>
      </c>
      <c r="C88" s="516"/>
      <c r="D88" s="446"/>
      <c r="E88" s="105"/>
      <c r="F88" s="105"/>
      <c r="G88" s="105"/>
      <c r="H88" s="105"/>
      <c r="I88" s="105"/>
      <c r="J88" s="505">
        <f>SUM(J83:J87)</f>
        <v>0</v>
      </c>
      <c r="K88" s="505">
        <f t="shared" ref="K88:BV88" si="511">SUM(K83:K87)</f>
        <v>0</v>
      </c>
      <c r="L88" s="505">
        <f t="shared" si="511"/>
        <v>0</v>
      </c>
      <c r="M88" s="505">
        <f t="shared" si="511"/>
        <v>0</v>
      </c>
      <c r="N88" s="505">
        <f t="shared" si="511"/>
        <v>0</v>
      </c>
      <c r="O88" s="505">
        <f t="shared" si="511"/>
        <v>0</v>
      </c>
      <c r="P88" s="505">
        <f t="shared" si="511"/>
        <v>0</v>
      </c>
      <c r="Q88" s="505">
        <f t="shared" si="511"/>
        <v>0</v>
      </c>
      <c r="R88" s="505">
        <f t="shared" si="511"/>
        <v>0</v>
      </c>
      <c r="S88" s="505">
        <f t="shared" si="511"/>
        <v>0</v>
      </c>
      <c r="T88" s="505">
        <f t="shared" si="511"/>
        <v>0</v>
      </c>
      <c r="U88" s="505">
        <f t="shared" si="511"/>
        <v>0</v>
      </c>
      <c r="V88" s="505">
        <f t="shared" si="511"/>
        <v>0</v>
      </c>
      <c r="W88" s="505">
        <f t="shared" si="511"/>
        <v>0</v>
      </c>
      <c r="X88" s="505">
        <f t="shared" si="511"/>
        <v>0</v>
      </c>
      <c r="Y88" s="505">
        <f t="shared" si="511"/>
        <v>0</v>
      </c>
      <c r="Z88" s="505">
        <f t="shared" si="511"/>
        <v>0</v>
      </c>
      <c r="AA88" s="505">
        <f t="shared" si="511"/>
        <v>0</v>
      </c>
      <c r="AB88" s="505">
        <f t="shared" si="511"/>
        <v>0</v>
      </c>
      <c r="AC88" s="505">
        <f t="shared" si="511"/>
        <v>0</v>
      </c>
      <c r="AD88" s="505">
        <f t="shared" si="511"/>
        <v>0</v>
      </c>
      <c r="AE88" s="505">
        <f t="shared" si="511"/>
        <v>0</v>
      </c>
      <c r="AF88" s="505">
        <f t="shared" si="511"/>
        <v>0</v>
      </c>
      <c r="AG88" s="505">
        <f t="shared" si="511"/>
        <v>0</v>
      </c>
      <c r="AH88" s="505">
        <f t="shared" si="511"/>
        <v>0</v>
      </c>
      <c r="AI88" s="505">
        <f t="shared" si="511"/>
        <v>0</v>
      </c>
      <c r="AJ88" s="505">
        <f t="shared" si="511"/>
        <v>0</v>
      </c>
      <c r="AK88" s="505">
        <f t="shared" si="511"/>
        <v>0</v>
      </c>
      <c r="AL88" s="505">
        <f t="shared" si="511"/>
        <v>0</v>
      </c>
      <c r="AM88" s="505">
        <f t="shared" si="511"/>
        <v>0</v>
      </c>
      <c r="AN88" s="505">
        <f t="shared" si="511"/>
        <v>0</v>
      </c>
      <c r="AO88" s="505">
        <f t="shared" si="511"/>
        <v>0</v>
      </c>
      <c r="AP88" s="505">
        <f t="shared" si="511"/>
        <v>0</v>
      </c>
      <c r="AQ88" s="505">
        <f t="shared" si="511"/>
        <v>0</v>
      </c>
      <c r="AR88" s="505">
        <f t="shared" si="511"/>
        <v>0</v>
      </c>
      <c r="AS88" s="505">
        <f t="shared" si="511"/>
        <v>0</v>
      </c>
      <c r="AT88" s="505">
        <f t="shared" si="511"/>
        <v>620224.23277439026</v>
      </c>
      <c r="AU88" s="505">
        <f t="shared" si="511"/>
        <v>620224.23277439026</v>
      </c>
      <c r="AV88" s="505">
        <f t="shared" si="511"/>
        <v>620224.23277439026</v>
      </c>
      <c r="AW88" s="505">
        <f t="shared" si="511"/>
        <v>620224.23277439026</v>
      </c>
      <c r="AX88" s="505">
        <f t="shared" si="511"/>
        <v>620224.23277439026</v>
      </c>
      <c r="AY88" s="505">
        <f t="shared" si="511"/>
        <v>620224.23277439026</v>
      </c>
      <c r="AZ88" s="505">
        <f t="shared" si="511"/>
        <v>633285.04820121953</v>
      </c>
      <c r="BA88" s="505">
        <f t="shared" si="511"/>
        <v>633285.04820121953</v>
      </c>
      <c r="BB88" s="505">
        <f t="shared" si="511"/>
        <v>633285.04820121953</v>
      </c>
      <c r="BC88" s="505">
        <f t="shared" si="511"/>
        <v>633285.04820121953</v>
      </c>
      <c r="BD88" s="505">
        <f t="shared" si="511"/>
        <v>633285.04820121953</v>
      </c>
      <c r="BE88" s="505">
        <f t="shared" si="511"/>
        <v>633285.04820121953</v>
      </c>
      <c r="BF88" s="505">
        <f t="shared" si="511"/>
        <v>633285.04820121953</v>
      </c>
      <c r="BG88" s="505">
        <f t="shared" si="511"/>
        <v>633285.04820121953</v>
      </c>
      <c r="BH88" s="505">
        <f t="shared" si="511"/>
        <v>633285.04820121953</v>
      </c>
      <c r="BI88" s="505">
        <f t="shared" si="511"/>
        <v>633285.04820121953</v>
      </c>
      <c r="BJ88" s="505">
        <f t="shared" si="511"/>
        <v>633285.04820121953</v>
      </c>
      <c r="BK88" s="505">
        <f t="shared" si="511"/>
        <v>633285.04820121953</v>
      </c>
      <c r="BL88" s="505">
        <f t="shared" si="511"/>
        <v>646607.07993658527</v>
      </c>
      <c r="BM88" s="505">
        <f t="shared" si="511"/>
        <v>646607.07993658527</v>
      </c>
      <c r="BN88" s="505">
        <f t="shared" si="511"/>
        <v>646607.07993658527</v>
      </c>
      <c r="BO88" s="505">
        <f t="shared" si="511"/>
        <v>646607.07993658527</v>
      </c>
      <c r="BP88" s="505">
        <f t="shared" si="511"/>
        <v>646607.07993658527</v>
      </c>
      <c r="BQ88" s="505">
        <f t="shared" si="511"/>
        <v>646607.07993658527</v>
      </c>
      <c r="BR88" s="505">
        <f t="shared" si="511"/>
        <v>646607.07993658527</v>
      </c>
      <c r="BS88" s="505">
        <f t="shared" si="511"/>
        <v>646607.07993658527</v>
      </c>
      <c r="BT88" s="505">
        <f t="shared" si="511"/>
        <v>646607.07993658527</v>
      </c>
      <c r="BU88" s="505">
        <f t="shared" si="511"/>
        <v>646607.07993658527</v>
      </c>
      <c r="BV88" s="505">
        <f t="shared" si="511"/>
        <v>646607.07993658527</v>
      </c>
      <c r="BW88" s="505">
        <f t="shared" ref="BW88:EH88" si="512">SUM(BW83:BW87)</f>
        <v>646607.07993658527</v>
      </c>
      <c r="BX88" s="505">
        <f t="shared" si="512"/>
        <v>660195.55230665847</v>
      </c>
      <c r="BY88" s="505">
        <f t="shared" si="512"/>
        <v>660195.55230665847</v>
      </c>
      <c r="BZ88" s="505">
        <f t="shared" si="512"/>
        <v>660195.55230665847</v>
      </c>
      <c r="CA88" s="505">
        <f t="shared" si="512"/>
        <v>660195.55230665847</v>
      </c>
      <c r="CB88" s="505">
        <f t="shared" si="512"/>
        <v>660195.55230665847</v>
      </c>
      <c r="CC88" s="505">
        <f t="shared" si="512"/>
        <v>660195.55230665847</v>
      </c>
      <c r="CD88" s="505">
        <f t="shared" si="512"/>
        <v>660195.55230665847</v>
      </c>
      <c r="CE88" s="505">
        <f t="shared" si="512"/>
        <v>660195.55230665847</v>
      </c>
      <c r="CF88" s="505">
        <f t="shared" si="512"/>
        <v>660195.55230665847</v>
      </c>
      <c r="CG88" s="505">
        <f t="shared" si="512"/>
        <v>660195.55230665847</v>
      </c>
      <c r="CH88" s="505">
        <f t="shared" si="512"/>
        <v>660195.55230665847</v>
      </c>
      <c r="CI88" s="505">
        <f t="shared" si="512"/>
        <v>660195.55230665847</v>
      </c>
      <c r="CJ88" s="505">
        <f t="shared" si="512"/>
        <v>674055.79412413307</v>
      </c>
      <c r="CK88" s="505">
        <f t="shared" si="512"/>
        <v>674055.79412413307</v>
      </c>
      <c r="CL88" s="505">
        <f t="shared" si="512"/>
        <v>674055.79412413307</v>
      </c>
      <c r="CM88" s="505">
        <f t="shared" si="512"/>
        <v>674055.79412413307</v>
      </c>
      <c r="CN88" s="505">
        <f t="shared" si="512"/>
        <v>674055.79412413307</v>
      </c>
      <c r="CO88" s="505">
        <f t="shared" si="512"/>
        <v>674055.79412413307</v>
      </c>
      <c r="CP88" s="505">
        <f t="shared" si="512"/>
        <v>674055.79412413307</v>
      </c>
      <c r="CQ88" s="505">
        <f t="shared" si="512"/>
        <v>674055.79412413307</v>
      </c>
      <c r="CR88" s="505">
        <f t="shared" si="512"/>
        <v>674055.79412413307</v>
      </c>
      <c r="CS88" s="505">
        <f t="shared" si="512"/>
        <v>674055.79412413307</v>
      </c>
      <c r="CT88" s="505">
        <f t="shared" si="512"/>
        <v>674055.79412413307</v>
      </c>
      <c r="CU88" s="505">
        <f t="shared" si="512"/>
        <v>674055.79412413307</v>
      </c>
      <c r="CV88" s="505">
        <f t="shared" si="512"/>
        <v>688193.24077795725</v>
      </c>
      <c r="CW88" s="505">
        <f t="shared" si="512"/>
        <v>688193.24077795725</v>
      </c>
      <c r="CX88" s="505">
        <f t="shared" si="512"/>
        <v>688193.24077795725</v>
      </c>
      <c r="CY88" s="505">
        <f t="shared" si="512"/>
        <v>688193.24077795725</v>
      </c>
      <c r="CZ88" s="505">
        <f t="shared" si="512"/>
        <v>688193.24077795725</v>
      </c>
      <c r="DA88" s="505">
        <f t="shared" si="512"/>
        <v>688193.24077795725</v>
      </c>
      <c r="DB88" s="505">
        <f t="shared" si="512"/>
        <v>688193.24077795725</v>
      </c>
      <c r="DC88" s="505">
        <f t="shared" si="512"/>
        <v>688193.24077795725</v>
      </c>
      <c r="DD88" s="505">
        <f t="shared" si="512"/>
        <v>688193.24077795725</v>
      </c>
      <c r="DE88" s="505">
        <f t="shared" si="512"/>
        <v>688193.24077795725</v>
      </c>
      <c r="DF88" s="505">
        <f t="shared" si="512"/>
        <v>688193.24077795725</v>
      </c>
      <c r="DG88" s="505">
        <f t="shared" si="512"/>
        <v>688193.24077795725</v>
      </c>
      <c r="DH88" s="505">
        <f t="shared" si="512"/>
        <v>702613.43636485795</v>
      </c>
      <c r="DI88" s="505">
        <f t="shared" si="512"/>
        <v>702613.43636485795</v>
      </c>
      <c r="DJ88" s="505">
        <f t="shared" si="512"/>
        <v>702613.43636485795</v>
      </c>
      <c r="DK88" s="505">
        <f t="shared" si="512"/>
        <v>702613.43636485795</v>
      </c>
      <c r="DL88" s="505">
        <f t="shared" si="512"/>
        <v>702613.43636485795</v>
      </c>
      <c r="DM88" s="505">
        <f t="shared" si="512"/>
        <v>702613.43636485795</v>
      </c>
      <c r="DN88" s="505">
        <f t="shared" si="512"/>
        <v>702613.43636485795</v>
      </c>
      <c r="DO88" s="505">
        <f t="shared" si="512"/>
        <v>702613.43636485795</v>
      </c>
      <c r="DP88" s="505">
        <f t="shared" si="512"/>
        <v>702613.43636485795</v>
      </c>
      <c r="DQ88" s="505">
        <f t="shared" si="512"/>
        <v>702613.43636485795</v>
      </c>
      <c r="DR88" s="505">
        <f t="shared" si="512"/>
        <v>702613.43636485795</v>
      </c>
      <c r="DS88" s="505">
        <f t="shared" si="512"/>
        <v>702613.43636485795</v>
      </c>
      <c r="DT88" s="505">
        <f t="shared" si="512"/>
        <v>717322.03586349636</v>
      </c>
      <c r="DU88" s="505">
        <f t="shared" si="512"/>
        <v>717322.03586349636</v>
      </c>
      <c r="DV88" s="505">
        <f t="shared" si="512"/>
        <v>717322.03586349636</v>
      </c>
      <c r="DW88" s="505">
        <f t="shared" si="512"/>
        <v>717322.03586349636</v>
      </c>
      <c r="DX88" s="505">
        <f t="shared" si="512"/>
        <v>717322.03586349636</v>
      </c>
      <c r="DY88" s="505">
        <f t="shared" si="512"/>
        <v>717322.03586349636</v>
      </c>
      <c r="DZ88" s="505">
        <f t="shared" si="512"/>
        <v>717322.03586349636</v>
      </c>
      <c r="EA88" s="505">
        <f t="shared" si="512"/>
        <v>717322.03586349636</v>
      </c>
      <c r="EB88" s="505">
        <f t="shared" si="512"/>
        <v>717322.03586349636</v>
      </c>
      <c r="EC88" s="505">
        <f t="shared" si="512"/>
        <v>717322.03586349636</v>
      </c>
      <c r="ED88" s="505">
        <f t="shared" si="512"/>
        <v>717322.03586349636</v>
      </c>
      <c r="EE88" s="505">
        <f t="shared" si="512"/>
        <v>717322.03586349636</v>
      </c>
      <c r="EF88" s="505">
        <f t="shared" si="512"/>
        <v>732324.80735210783</v>
      </c>
      <c r="EG88" s="505">
        <f t="shared" si="512"/>
        <v>732324.80735210783</v>
      </c>
      <c r="EH88" s="505">
        <f t="shared" si="512"/>
        <v>732324.80735210783</v>
      </c>
      <c r="EI88" s="505">
        <f t="shared" ref="EI88:GT88" si="513">SUM(EI83:EI87)</f>
        <v>732324.80735210783</v>
      </c>
      <c r="EJ88" s="505">
        <f t="shared" si="513"/>
        <v>732324.80735210783</v>
      </c>
      <c r="EK88" s="505">
        <f t="shared" si="513"/>
        <v>732324.80735210783</v>
      </c>
      <c r="EL88" s="505">
        <f t="shared" si="513"/>
        <v>732324.80735210783</v>
      </c>
      <c r="EM88" s="505">
        <f t="shared" si="513"/>
        <v>732324.80735210783</v>
      </c>
      <c r="EN88" s="505">
        <f t="shared" si="513"/>
        <v>732324.80735210783</v>
      </c>
      <c r="EO88" s="505">
        <f t="shared" si="513"/>
        <v>732324.80735210783</v>
      </c>
      <c r="EP88" s="505">
        <f t="shared" si="513"/>
        <v>732324.80735210783</v>
      </c>
      <c r="EQ88" s="505">
        <f t="shared" si="513"/>
        <v>732324.80735210783</v>
      </c>
      <c r="ER88" s="505">
        <f t="shared" si="513"/>
        <v>747627.63427049154</v>
      </c>
      <c r="ES88" s="505">
        <f t="shared" si="513"/>
        <v>747627.63427049154</v>
      </c>
      <c r="ET88" s="505">
        <f t="shared" si="513"/>
        <v>747627.63427049154</v>
      </c>
      <c r="EU88" s="505">
        <f t="shared" si="513"/>
        <v>747627.63427049154</v>
      </c>
      <c r="EV88" s="505">
        <f t="shared" si="513"/>
        <v>747627.63427049154</v>
      </c>
      <c r="EW88" s="505">
        <f t="shared" si="513"/>
        <v>747627.63427049154</v>
      </c>
      <c r="EX88" s="505">
        <f t="shared" si="513"/>
        <v>747627.63427049154</v>
      </c>
      <c r="EY88" s="505">
        <f t="shared" si="513"/>
        <v>747627.63427049154</v>
      </c>
      <c r="EZ88" s="505">
        <f t="shared" si="513"/>
        <v>747627.63427049154</v>
      </c>
      <c r="FA88" s="505">
        <f t="shared" si="513"/>
        <v>747627.63427049154</v>
      </c>
      <c r="FB88" s="505">
        <f t="shared" si="513"/>
        <v>747627.63427049154</v>
      </c>
      <c r="FC88" s="505">
        <f t="shared" si="513"/>
        <v>747627.63427049154</v>
      </c>
      <c r="FD88" s="505">
        <f t="shared" si="513"/>
        <v>763236.51772724278</v>
      </c>
      <c r="FE88" s="505">
        <f t="shared" si="513"/>
        <v>763236.51772724278</v>
      </c>
      <c r="FF88" s="505">
        <f t="shared" si="513"/>
        <v>763236.51772724278</v>
      </c>
      <c r="FG88" s="505">
        <f t="shared" si="513"/>
        <v>763236.51772724278</v>
      </c>
      <c r="FH88" s="505">
        <f t="shared" si="513"/>
        <v>763236.51772724278</v>
      </c>
      <c r="FI88" s="505">
        <f t="shared" si="513"/>
        <v>763236.51772724278</v>
      </c>
      <c r="FJ88" s="505">
        <f t="shared" si="513"/>
        <v>763236.51772724278</v>
      </c>
      <c r="FK88" s="505">
        <f t="shared" si="513"/>
        <v>763236.51772724278</v>
      </c>
      <c r="FL88" s="505">
        <f t="shared" si="513"/>
        <v>763236.51772724278</v>
      </c>
      <c r="FM88" s="505">
        <f t="shared" si="513"/>
        <v>763236.51772724278</v>
      </c>
      <c r="FN88" s="505">
        <f t="shared" si="513"/>
        <v>763236.51772724278</v>
      </c>
      <c r="FO88" s="505">
        <f t="shared" si="513"/>
        <v>763236.51772724278</v>
      </c>
      <c r="FP88" s="505">
        <f t="shared" si="513"/>
        <v>779157.57885312883</v>
      </c>
      <c r="FQ88" s="505">
        <f t="shared" si="513"/>
        <v>779157.57885312883</v>
      </c>
      <c r="FR88" s="505">
        <f t="shared" si="513"/>
        <v>779157.57885312883</v>
      </c>
      <c r="FS88" s="505">
        <f t="shared" si="513"/>
        <v>779157.57885312883</v>
      </c>
      <c r="FT88" s="505">
        <f t="shared" si="513"/>
        <v>779157.57885312883</v>
      </c>
      <c r="FU88" s="505">
        <f t="shared" si="513"/>
        <v>779157.57885312883</v>
      </c>
      <c r="FV88" s="505">
        <f t="shared" si="513"/>
        <v>779157.57885312883</v>
      </c>
      <c r="FW88" s="505">
        <f t="shared" si="513"/>
        <v>779157.57885312883</v>
      </c>
      <c r="FX88" s="505">
        <f t="shared" si="513"/>
        <v>779157.57885312883</v>
      </c>
      <c r="FY88" s="505">
        <f t="shared" si="513"/>
        <v>779157.57885312883</v>
      </c>
      <c r="FZ88" s="505">
        <f t="shared" si="513"/>
        <v>779157.57885312883</v>
      </c>
      <c r="GA88" s="505">
        <f t="shared" si="513"/>
        <v>779157.57885312883</v>
      </c>
      <c r="GB88" s="505">
        <f t="shared" si="513"/>
        <v>795397.06120153319</v>
      </c>
      <c r="GC88" s="505">
        <f t="shared" si="513"/>
        <v>795397.06120153319</v>
      </c>
      <c r="GD88" s="505">
        <f t="shared" si="513"/>
        <v>795397.06120153319</v>
      </c>
      <c r="GE88" s="505">
        <f t="shared" si="513"/>
        <v>795397.06120153319</v>
      </c>
      <c r="GF88" s="505">
        <f t="shared" si="513"/>
        <v>795397.06120153319</v>
      </c>
      <c r="GG88" s="505">
        <f t="shared" si="513"/>
        <v>795397.06120153319</v>
      </c>
      <c r="GH88" s="505">
        <f t="shared" si="513"/>
        <v>795397.06120153319</v>
      </c>
      <c r="GI88" s="505">
        <f t="shared" si="513"/>
        <v>795397.06120153319</v>
      </c>
      <c r="GJ88" s="505">
        <f t="shared" si="513"/>
        <v>795397.06120153319</v>
      </c>
      <c r="GK88" s="505">
        <f t="shared" si="513"/>
        <v>795397.06120153319</v>
      </c>
      <c r="GL88" s="505">
        <f t="shared" si="513"/>
        <v>795397.06120153319</v>
      </c>
      <c r="GM88" s="505">
        <f t="shared" si="513"/>
        <v>795397.06120153319</v>
      </c>
      <c r="GN88" s="505">
        <f t="shared" si="513"/>
        <v>811961.33319690521</v>
      </c>
      <c r="GO88" s="505">
        <f t="shared" si="513"/>
        <v>811961.33319690521</v>
      </c>
      <c r="GP88" s="505">
        <f t="shared" si="513"/>
        <v>811961.33319690521</v>
      </c>
      <c r="GQ88" s="505">
        <f t="shared" si="513"/>
        <v>811961.33319690521</v>
      </c>
      <c r="GR88" s="505">
        <f t="shared" si="513"/>
        <v>811961.33319690521</v>
      </c>
      <c r="GS88" s="505">
        <f t="shared" si="513"/>
        <v>811961.33319690521</v>
      </c>
      <c r="GT88" s="505">
        <f t="shared" si="513"/>
        <v>811961.33319690521</v>
      </c>
      <c r="GU88" s="505">
        <f t="shared" ref="GU88:JF88" si="514">SUM(GU83:GU87)</f>
        <v>811961.33319690521</v>
      </c>
      <c r="GV88" s="505">
        <f t="shared" si="514"/>
        <v>811961.33319690521</v>
      </c>
      <c r="GW88" s="505">
        <f t="shared" si="514"/>
        <v>811961.33319690521</v>
      </c>
      <c r="GX88" s="505">
        <f t="shared" si="514"/>
        <v>811961.33319690521</v>
      </c>
      <c r="GY88" s="505">
        <f t="shared" si="514"/>
        <v>811961.33319690521</v>
      </c>
      <c r="GZ88" s="505">
        <f t="shared" si="514"/>
        <v>828856.8906321848</v>
      </c>
      <c r="HA88" s="505">
        <f t="shared" si="514"/>
        <v>828856.8906321848</v>
      </c>
      <c r="HB88" s="505">
        <f t="shared" si="514"/>
        <v>828856.8906321848</v>
      </c>
      <c r="HC88" s="505">
        <f t="shared" si="514"/>
        <v>828856.8906321848</v>
      </c>
      <c r="HD88" s="505">
        <f t="shared" si="514"/>
        <v>828856.8906321848</v>
      </c>
      <c r="HE88" s="505">
        <f t="shared" si="514"/>
        <v>828856.8906321848</v>
      </c>
      <c r="HF88" s="505">
        <f t="shared" si="514"/>
        <v>828856.8906321848</v>
      </c>
      <c r="HG88" s="505">
        <f t="shared" si="514"/>
        <v>828856.8906321848</v>
      </c>
      <c r="HH88" s="505">
        <f t="shared" si="514"/>
        <v>828856.8906321848</v>
      </c>
      <c r="HI88" s="505">
        <f t="shared" si="514"/>
        <v>828856.8906321848</v>
      </c>
      <c r="HJ88" s="505">
        <f t="shared" si="514"/>
        <v>828856.8906321848</v>
      </c>
      <c r="HK88" s="505">
        <f t="shared" si="514"/>
        <v>828856.8906321848</v>
      </c>
      <c r="HL88" s="505">
        <f t="shared" si="514"/>
        <v>846090.3592161698</v>
      </c>
      <c r="HM88" s="505">
        <f t="shared" si="514"/>
        <v>846090.3592161698</v>
      </c>
      <c r="HN88" s="505">
        <f t="shared" si="514"/>
        <v>846090.3592161698</v>
      </c>
      <c r="HO88" s="505">
        <f t="shared" si="514"/>
        <v>846090.3592161698</v>
      </c>
      <c r="HP88" s="505">
        <f t="shared" si="514"/>
        <v>846090.3592161698</v>
      </c>
      <c r="HQ88" s="505">
        <f t="shared" si="514"/>
        <v>846090.3592161698</v>
      </c>
      <c r="HR88" s="505">
        <f t="shared" si="514"/>
        <v>846090.3592161698</v>
      </c>
      <c r="HS88" s="505">
        <f t="shared" si="514"/>
        <v>846090.3592161698</v>
      </c>
      <c r="HT88" s="505">
        <f t="shared" si="514"/>
        <v>846090.3592161698</v>
      </c>
      <c r="HU88" s="505">
        <f t="shared" si="514"/>
        <v>846090.3592161698</v>
      </c>
      <c r="HV88" s="505">
        <f t="shared" si="514"/>
        <v>846090.3592161698</v>
      </c>
      <c r="HW88" s="505">
        <f t="shared" si="514"/>
        <v>846090.3592161698</v>
      </c>
      <c r="HX88" s="505">
        <f t="shared" si="514"/>
        <v>863668.49717183493</v>
      </c>
      <c r="HY88" s="505">
        <f t="shared" si="514"/>
        <v>863668.49717183493</v>
      </c>
      <c r="HZ88" s="505">
        <f t="shared" si="514"/>
        <v>863668.49717183493</v>
      </c>
      <c r="IA88" s="505">
        <f t="shared" si="514"/>
        <v>863668.49717183493</v>
      </c>
      <c r="IB88" s="505">
        <f t="shared" si="514"/>
        <v>863668.49717183493</v>
      </c>
      <c r="IC88" s="505">
        <f t="shared" si="514"/>
        <v>863668.49717183493</v>
      </c>
      <c r="ID88" s="505">
        <f t="shared" si="514"/>
        <v>863668.49717183493</v>
      </c>
      <c r="IE88" s="505">
        <f t="shared" si="514"/>
        <v>863668.49717183493</v>
      </c>
      <c r="IF88" s="505">
        <f t="shared" si="514"/>
        <v>863668.49717183493</v>
      </c>
      <c r="IG88" s="505">
        <f t="shared" si="514"/>
        <v>863668.49717183493</v>
      </c>
      <c r="IH88" s="505">
        <f t="shared" si="514"/>
        <v>863668.49717183493</v>
      </c>
      <c r="II88" s="505">
        <f t="shared" si="514"/>
        <v>863668.49717183493</v>
      </c>
      <c r="IJ88" s="505">
        <f t="shared" si="514"/>
        <v>881598.19788661308</v>
      </c>
      <c r="IK88" s="505">
        <f t="shared" si="514"/>
        <v>881598.19788661308</v>
      </c>
      <c r="IL88" s="505">
        <f t="shared" si="514"/>
        <v>881598.19788661308</v>
      </c>
      <c r="IM88" s="505">
        <f t="shared" si="514"/>
        <v>881598.19788661308</v>
      </c>
      <c r="IN88" s="505">
        <f t="shared" si="514"/>
        <v>881598.19788661308</v>
      </c>
      <c r="IO88" s="505">
        <f t="shared" si="514"/>
        <v>881598.19788661308</v>
      </c>
      <c r="IP88" s="505">
        <f t="shared" si="514"/>
        <v>881598.19788661308</v>
      </c>
      <c r="IQ88" s="505">
        <f t="shared" si="514"/>
        <v>881598.19788661308</v>
      </c>
      <c r="IR88" s="505">
        <f t="shared" si="514"/>
        <v>881598.19788661308</v>
      </c>
      <c r="IS88" s="505">
        <f t="shared" si="514"/>
        <v>881598.19788661308</v>
      </c>
      <c r="IT88" s="505">
        <f t="shared" si="514"/>
        <v>881598.19788661308</v>
      </c>
      <c r="IU88" s="505">
        <f t="shared" si="514"/>
        <v>881598.19788661308</v>
      </c>
      <c r="IV88" s="505">
        <f t="shared" si="514"/>
        <v>899886.49261568673</v>
      </c>
      <c r="IW88" s="505">
        <f t="shared" si="514"/>
        <v>899886.49261568673</v>
      </c>
      <c r="IX88" s="505">
        <f t="shared" si="514"/>
        <v>899886.49261568673</v>
      </c>
      <c r="IY88" s="505">
        <f t="shared" si="514"/>
        <v>899886.49261568673</v>
      </c>
      <c r="IZ88" s="505">
        <f t="shared" si="514"/>
        <v>899886.49261568673</v>
      </c>
      <c r="JA88" s="505">
        <f t="shared" si="514"/>
        <v>899886.49261568673</v>
      </c>
      <c r="JB88" s="505">
        <f t="shared" si="514"/>
        <v>899886.49261568673</v>
      </c>
      <c r="JC88" s="505">
        <f t="shared" si="514"/>
        <v>899886.49261568673</v>
      </c>
      <c r="JD88" s="505">
        <f t="shared" si="514"/>
        <v>899886.49261568673</v>
      </c>
      <c r="JE88" s="505">
        <f t="shared" si="514"/>
        <v>899886.49261568673</v>
      </c>
      <c r="JF88" s="505">
        <f t="shared" si="514"/>
        <v>899886.49261568673</v>
      </c>
      <c r="JG88" s="505">
        <f t="shared" ref="JG88:LR88" si="515">SUM(JG83:JG87)</f>
        <v>899886.49261568673</v>
      </c>
      <c r="JH88" s="505">
        <f t="shared" si="515"/>
        <v>918540.55323934171</v>
      </c>
      <c r="JI88" s="505">
        <f t="shared" si="515"/>
        <v>918540.55323934171</v>
      </c>
      <c r="JJ88" s="505">
        <f t="shared" si="515"/>
        <v>918540.55323934171</v>
      </c>
      <c r="JK88" s="505">
        <f t="shared" si="515"/>
        <v>918540.55323934171</v>
      </c>
      <c r="JL88" s="505">
        <f t="shared" si="515"/>
        <v>918540.55323934171</v>
      </c>
      <c r="JM88" s="505">
        <f t="shared" si="515"/>
        <v>918540.55323934171</v>
      </c>
      <c r="JN88" s="505">
        <f t="shared" si="515"/>
        <v>918540.55323934171</v>
      </c>
      <c r="JO88" s="505">
        <f t="shared" si="515"/>
        <v>918540.55323934171</v>
      </c>
      <c r="JP88" s="505">
        <f t="shared" si="515"/>
        <v>918540.55323934171</v>
      </c>
      <c r="JQ88" s="505">
        <f t="shared" si="515"/>
        <v>918540.55323934171</v>
      </c>
      <c r="JR88" s="505">
        <f t="shared" si="515"/>
        <v>918540.55323934171</v>
      </c>
      <c r="JS88" s="505">
        <f t="shared" si="515"/>
        <v>918540.55323934171</v>
      </c>
      <c r="JT88" s="505">
        <f t="shared" si="515"/>
        <v>937567.69507547002</v>
      </c>
      <c r="JU88" s="505">
        <f t="shared" si="515"/>
        <v>937567.69507547002</v>
      </c>
      <c r="JV88" s="505">
        <f t="shared" si="515"/>
        <v>937567.69507547002</v>
      </c>
      <c r="JW88" s="505">
        <f t="shared" si="515"/>
        <v>937567.69507547002</v>
      </c>
      <c r="JX88" s="505">
        <f t="shared" si="515"/>
        <v>937567.69507547002</v>
      </c>
      <c r="JY88" s="505">
        <f t="shared" si="515"/>
        <v>937567.69507547002</v>
      </c>
      <c r="JZ88" s="505">
        <f t="shared" si="515"/>
        <v>937567.69507547002</v>
      </c>
      <c r="KA88" s="505">
        <f t="shared" si="515"/>
        <v>937567.69507547002</v>
      </c>
      <c r="KB88" s="505">
        <f t="shared" si="515"/>
        <v>937567.69507547002</v>
      </c>
      <c r="KC88" s="505">
        <f t="shared" si="515"/>
        <v>937567.69507547002</v>
      </c>
      <c r="KD88" s="505">
        <f t="shared" si="515"/>
        <v>937567.69507547002</v>
      </c>
      <c r="KE88" s="505">
        <f t="shared" si="515"/>
        <v>937567.69507547002</v>
      </c>
      <c r="KF88" s="505">
        <f t="shared" si="515"/>
        <v>956975.37974832102</v>
      </c>
      <c r="KG88" s="505">
        <f t="shared" si="515"/>
        <v>956975.37974832102</v>
      </c>
      <c r="KH88" s="505">
        <f t="shared" si="515"/>
        <v>956975.37974832102</v>
      </c>
      <c r="KI88" s="505">
        <f t="shared" si="515"/>
        <v>956975.37974832102</v>
      </c>
      <c r="KJ88" s="505">
        <f t="shared" si="515"/>
        <v>956975.37974832102</v>
      </c>
      <c r="KK88" s="505">
        <f t="shared" si="515"/>
        <v>956975.37974832102</v>
      </c>
      <c r="KL88" s="505">
        <f t="shared" si="515"/>
        <v>956975.37974832102</v>
      </c>
      <c r="KM88" s="505">
        <f t="shared" si="515"/>
        <v>956975.37974832102</v>
      </c>
      <c r="KN88" s="505">
        <f t="shared" si="515"/>
        <v>956975.37974832102</v>
      </c>
      <c r="KO88" s="505">
        <f t="shared" si="515"/>
        <v>956975.37974832102</v>
      </c>
      <c r="KP88" s="505">
        <f t="shared" si="515"/>
        <v>956975.37974832102</v>
      </c>
      <c r="KQ88" s="505">
        <f t="shared" si="515"/>
        <v>956975.37974832102</v>
      </c>
      <c r="KR88" s="505">
        <f t="shared" si="515"/>
        <v>976771.21811462881</v>
      </c>
      <c r="KS88" s="505">
        <f t="shared" si="515"/>
        <v>976771.21811462881</v>
      </c>
      <c r="KT88" s="505">
        <f t="shared" si="515"/>
        <v>976771.21811462881</v>
      </c>
      <c r="KU88" s="505">
        <f t="shared" si="515"/>
        <v>976771.21811462881</v>
      </c>
      <c r="KV88" s="505">
        <f t="shared" si="515"/>
        <v>976771.21811462881</v>
      </c>
      <c r="KW88" s="505">
        <f t="shared" si="515"/>
        <v>976771.21811462881</v>
      </c>
      <c r="KX88" s="505">
        <f t="shared" si="515"/>
        <v>976771.21811462881</v>
      </c>
      <c r="KY88" s="505">
        <f t="shared" si="515"/>
        <v>976771.21811462881</v>
      </c>
      <c r="KZ88" s="505">
        <f t="shared" si="515"/>
        <v>976771.21811462881</v>
      </c>
      <c r="LA88" s="505">
        <f t="shared" si="515"/>
        <v>976771.21811462881</v>
      </c>
      <c r="LB88" s="505">
        <f t="shared" si="515"/>
        <v>976771.21811462881</v>
      </c>
      <c r="LC88" s="505">
        <f t="shared" si="515"/>
        <v>976771.21811462881</v>
      </c>
      <c r="LD88" s="505">
        <f t="shared" si="515"/>
        <v>996962.97324826277</v>
      </c>
      <c r="LE88" s="505">
        <f t="shared" si="515"/>
        <v>996962.97324826277</v>
      </c>
      <c r="LF88" s="505">
        <f t="shared" si="515"/>
        <v>996962.97324826277</v>
      </c>
      <c r="LG88" s="505">
        <f t="shared" si="515"/>
        <v>996962.97324826277</v>
      </c>
      <c r="LH88" s="505">
        <f t="shared" si="515"/>
        <v>996962.97324826277</v>
      </c>
      <c r="LI88" s="505">
        <f t="shared" si="515"/>
        <v>996962.97324826277</v>
      </c>
      <c r="LJ88" s="505">
        <f t="shared" si="515"/>
        <v>996962.97324826277</v>
      </c>
      <c r="LK88" s="505">
        <f t="shared" si="515"/>
        <v>996962.97324826277</v>
      </c>
      <c r="LL88" s="505">
        <f t="shared" si="515"/>
        <v>996962.97324826277</v>
      </c>
      <c r="LM88" s="505">
        <f t="shared" si="515"/>
        <v>996962.97324826277</v>
      </c>
      <c r="LN88" s="505">
        <f t="shared" si="515"/>
        <v>996962.97324826277</v>
      </c>
      <c r="LO88" s="505">
        <f t="shared" si="515"/>
        <v>996962.97324826277</v>
      </c>
      <c r="LP88" s="505">
        <f t="shared" si="515"/>
        <v>1017558.5634845695</v>
      </c>
      <c r="LQ88" s="505">
        <f t="shared" si="515"/>
        <v>1017558.5634845695</v>
      </c>
      <c r="LR88" s="505">
        <f t="shared" si="515"/>
        <v>1017558.5634845695</v>
      </c>
      <c r="LS88" s="505">
        <f t="shared" ref="LS88:OD88" si="516">SUM(LS83:LS87)</f>
        <v>1017558.5634845695</v>
      </c>
      <c r="LT88" s="505">
        <f t="shared" si="516"/>
        <v>1017558.5634845695</v>
      </c>
      <c r="LU88" s="505">
        <f t="shared" si="516"/>
        <v>1017558.5634845695</v>
      </c>
      <c r="LV88" s="505">
        <f t="shared" si="516"/>
        <v>1017558.5634845695</v>
      </c>
      <c r="LW88" s="505">
        <f t="shared" si="516"/>
        <v>1017558.5634845695</v>
      </c>
      <c r="LX88" s="505">
        <f t="shared" si="516"/>
        <v>1017558.5634845695</v>
      </c>
      <c r="LY88" s="505">
        <f t="shared" si="516"/>
        <v>1017558.5634845695</v>
      </c>
      <c r="LZ88" s="505">
        <f t="shared" si="516"/>
        <v>1017558.5634845695</v>
      </c>
      <c r="MA88" s="505">
        <f t="shared" si="516"/>
        <v>1017558.5634845695</v>
      </c>
      <c r="MB88" s="505">
        <f t="shared" si="516"/>
        <v>1038566.0655256025</v>
      </c>
      <c r="MC88" s="505">
        <f t="shared" si="516"/>
        <v>1038566.0655256025</v>
      </c>
      <c r="MD88" s="505">
        <f t="shared" si="516"/>
        <v>1038566.0655256025</v>
      </c>
      <c r="ME88" s="505">
        <f t="shared" si="516"/>
        <v>1038566.0655256025</v>
      </c>
      <c r="MF88" s="505">
        <f t="shared" si="516"/>
        <v>1038566.0655256025</v>
      </c>
      <c r="MG88" s="505">
        <f t="shared" si="516"/>
        <v>1038566.0655256025</v>
      </c>
      <c r="MH88" s="505">
        <f t="shared" si="516"/>
        <v>1038566.0655256025</v>
      </c>
      <c r="MI88" s="505">
        <f t="shared" si="516"/>
        <v>1038566.0655256025</v>
      </c>
      <c r="MJ88" s="505">
        <f t="shared" si="516"/>
        <v>1038566.0655256025</v>
      </c>
      <c r="MK88" s="505">
        <f t="shared" si="516"/>
        <v>1038566.0655256025</v>
      </c>
      <c r="ML88" s="505">
        <f t="shared" si="516"/>
        <v>1038566.0655256025</v>
      </c>
      <c r="MM88" s="505">
        <f t="shared" si="516"/>
        <v>1038566.0655256025</v>
      </c>
      <c r="MN88" s="505">
        <f t="shared" si="516"/>
        <v>1059993.717607456</v>
      </c>
      <c r="MO88" s="505">
        <f t="shared" si="516"/>
        <v>1059993.717607456</v>
      </c>
      <c r="MP88" s="505">
        <f t="shared" si="516"/>
        <v>1059993.717607456</v>
      </c>
      <c r="MQ88" s="505">
        <f t="shared" si="516"/>
        <v>1059993.717607456</v>
      </c>
      <c r="MR88" s="505">
        <f t="shared" si="516"/>
        <v>1059993.717607456</v>
      </c>
      <c r="MS88" s="505">
        <f t="shared" si="516"/>
        <v>1059993.717607456</v>
      </c>
      <c r="MT88" s="505">
        <f t="shared" si="516"/>
        <v>1059993.717607456</v>
      </c>
      <c r="MU88" s="505">
        <f t="shared" si="516"/>
        <v>1059993.717607456</v>
      </c>
      <c r="MV88" s="505">
        <f t="shared" si="516"/>
        <v>1059993.717607456</v>
      </c>
      <c r="MW88" s="505">
        <f t="shared" si="516"/>
        <v>1059993.717607456</v>
      </c>
      <c r="MX88" s="505">
        <f t="shared" si="516"/>
        <v>1059993.717607456</v>
      </c>
      <c r="MY88" s="505">
        <f t="shared" si="516"/>
        <v>1059993.717607456</v>
      </c>
      <c r="MZ88" s="505">
        <f t="shared" si="516"/>
        <v>1081849.9227309464</v>
      </c>
      <c r="NA88" s="505">
        <f t="shared" si="516"/>
        <v>1081849.9227309464</v>
      </c>
      <c r="NB88" s="505">
        <f t="shared" si="516"/>
        <v>1081849.9227309464</v>
      </c>
      <c r="NC88" s="505">
        <f t="shared" si="516"/>
        <v>1081849.9227309464</v>
      </c>
      <c r="ND88" s="505">
        <f t="shared" si="516"/>
        <v>1081849.9227309464</v>
      </c>
      <c r="NE88" s="505">
        <f t="shared" si="516"/>
        <v>1081849.9227309464</v>
      </c>
      <c r="NF88" s="505">
        <f t="shared" si="516"/>
        <v>1081849.9227309464</v>
      </c>
      <c r="NG88" s="505">
        <f t="shared" si="516"/>
        <v>1081849.9227309464</v>
      </c>
      <c r="NH88" s="505">
        <f t="shared" si="516"/>
        <v>1081849.9227309464</v>
      </c>
      <c r="NI88" s="505">
        <f t="shared" si="516"/>
        <v>1081849.9227309464</v>
      </c>
      <c r="NJ88" s="505">
        <f t="shared" si="516"/>
        <v>1081849.9227309464</v>
      </c>
      <c r="NK88" s="505">
        <f t="shared" si="516"/>
        <v>1081849.9227309464</v>
      </c>
      <c r="NL88" s="505">
        <f t="shared" si="516"/>
        <v>1104143.2519569071</v>
      </c>
      <c r="NM88" s="505">
        <f t="shared" si="516"/>
        <v>1104143.2519569071</v>
      </c>
      <c r="NN88" s="505">
        <f t="shared" si="516"/>
        <v>1104143.2519569071</v>
      </c>
      <c r="NO88" s="505">
        <f t="shared" si="516"/>
        <v>1104143.2519569071</v>
      </c>
      <c r="NP88" s="505">
        <f t="shared" si="516"/>
        <v>1104143.2519569071</v>
      </c>
      <c r="NQ88" s="505">
        <f t="shared" si="516"/>
        <v>1104143.2519569071</v>
      </c>
      <c r="NR88" s="505">
        <f t="shared" si="516"/>
        <v>1104143.2519569071</v>
      </c>
      <c r="NS88" s="505">
        <f t="shared" si="516"/>
        <v>1104143.2519569071</v>
      </c>
      <c r="NT88" s="505">
        <f t="shared" si="516"/>
        <v>1104143.2519569071</v>
      </c>
      <c r="NU88" s="505">
        <f t="shared" si="516"/>
        <v>1104143.2519569071</v>
      </c>
      <c r="NV88" s="505">
        <f t="shared" si="516"/>
        <v>1104143.2519569071</v>
      </c>
      <c r="NW88" s="505">
        <f t="shared" si="516"/>
        <v>1104143.2519569071</v>
      </c>
      <c r="NX88" s="505">
        <f t="shared" si="516"/>
        <v>1126882.4477673867</v>
      </c>
      <c r="NY88" s="505">
        <f t="shared" si="516"/>
        <v>1126882.4477673867</v>
      </c>
      <c r="NZ88" s="505">
        <f t="shared" si="516"/>
        <v>1126882.4477673867</v>
      </c>
      <c r="OA88" s="505">
        <f t="shared" si="516"/>
        <v>1126882.4477673867</v>
      </c>
      <c r="OB88" s="505">
        <f t="shared" si="516"/>
        <v>1126882.4477673867</v>
      </c>
      <c r="OC88" s="505">
        <f t="shared" si="516"/>
        <v>1126882.4477673867</v>
      </c>
      <c r="OD88" s="505">
        <f t="shared" si="516"/>
        <v>1126882.4477673867</v>
      </c>
      <c r="OE88" s="505">
        <f t="shared" ref="OE88:OO88" si="517">SUM(OE83:OE87)</f>
        <v>1126882.4477673867</v>
      </c>
      <c r="OF88" s="505">
        <f t="shared" si="517"/>
        <v>1126882.4477673867</v>
      </c>
      <c r="OG88" s="505">
        <f t="shared" si="517"/>
        <v>1126882.4477673867</v>
      </c>
      <c r="OH88" s="505">
        <f t="shared" si="517"/>
        <v>1126882.4477673867</v>
      </c>
      <c r="OI88" s="505">
        <f t="shared" si="517"/>
        <v>1126882.4477673867</v>
      </c>
      <c r="OJ88" s="505">
        <f t="shared" si="517"/>
        <v>1150076.4274940758</v>
      </c>
      <c r="OK88" s="505">
        <f t="shared" si="517"/>
        <v>1150076.4274940758</v>
      </c>
      <c r="OL88" s="505">
        <f t="shared" si="517"/>
        <v>1150076.4274940758</v>
      </c>
      <c r="OM88" s="505">
        <f t="shared" si="517"/>
        <v>1150076.4274940758</v>
      </c>
      <c r="ON88" s="505">
        <f t="shared" si="517"/>
        <v>1150076.4274940758</v>
      </c>
      <c r="OO88" s="505">
        <f t="shared" si="517"/>
        <v>1150076.4274940758</v>
      </c>
    </row>
    <row r="89" spans="2:405">
      <c r="B89" s="476"/>
      <c r="C89" s="476"/>
      <c r="D89" s="171"/>
    </row>
    <row r="90" spans="2:405">
      <c r="B90" s="174" t="s">
        <v>406</v>
      </c>
      <c r="C90" s="174"/>
      <c r="D90" s="171"/>
    </row>
    <row r="91" spans="2:405">
      <c r="B91" s="7" t="s">
        <v>407</v>
      </c>
      <c r="C91" s="473">
        <v>0.03</v>
      </c>
      <c r="D91" s="537">
        <f>-'Operating Expenses &amp; Reserves'!F37</f>
        <v>-2745482</v>
      </c>
      <c r="E91" s="507">
        <f>Assumptions!$C$13</f>
        <v>47330</v>
      </c>
      <c r="F91" s="507">
        <f>EOMONTH(E91,Assumptions!$C$14-1)</f>
        <v>58256</v>
      </c>
      <c r="G91" s="97">
        <f t="shared" ref="G91:G92" si="518">((YEAR(F91)-YEAR(E91))*12+MONTH(F91)-MONTH(E91)+1)</f>
        <v>360</v>
      </c>
      <c r="H91" s="97"/>
      <c r="J91" s="525">
        <f>IF(J$7&gt;=$E91,IF(J$7&lt;=$F91,(($D91*(1+$C91)^(IF(J$7&gt;=$E91,J$6-YEAR($E91),0)))/12),0),0)</f>
        <v>0</v>
      </c>
      <c r="K91" s="525">
        <f t="shared" ref="K91:BV92" si="519">IF(K$7&gt;=$E91,IF(K$7&lt;=$F91,(($D91*(1+$C91)^(IF(K$7&gt;=$E91,K$6-YEAR($E91),0)))/12),0),0)</f>
        <v>0</v>
      </c>
      <c r="L91" s="525">
        <f t="shared" si="519"/>
        <v>0</v>
      </c>
      <c r="M91" s="525">
        <f t="shared" si="519"/>
        <v>0</v>
      </c>
      <c r="N91" s="525">
        <f t="shared" si="519"/>
        <v>0</v>
      </c>
      <c r="O91" s="525">
        <f t="shared" si="519"/>
        <v>0</v>
      </c>
      <c r="P91" s="525">
        <f t="shared" si="519"/>
        <v>0</v>
      </c>
      <c r="Q91" s="525">
        <f t="shared" si="519"/>
        <v>0</v>
      </c>
      <c r="R91" s="525">
        <f t="shared" si="519"/>
        <v>0</v>
      </c>
      <c r="S91" s="525">
        <f t="shared" si="519"/>
        <v>0</v>
      </c>
      <c r="T91" s="525">
        <f t="shared" si="519"/>
        <v>0</v>
      </c>
      <c r="U91" s="525">
        <f t="shared" si="519"/>
        <v>0</v>
      </c>
      <c r="V91" s="525">
        <f t="shared" si="519"/>
        <v>0</v>
      </c>
      <c r="W91" s="525">
        <f t="shared" si="519"/>
        <v>0</v>
      </c>
      <c r="X91" s="525">
        <f t="shared" si="519"/>
        <v>0</v>
      </c>
      <c r="Y91" s="525">
        <f t="shared" si="519"/>
        <v>0</v>
      </c>
      <c r="Z91" s="525">
        <f t="shared" si="519"/>
        <v>0</v>
      </c>
      <c r="AA91" s="525">
        <f t="shared" si="519"/>
        <v>0</v>
      </c>
      <c r="AB91" s="525">
        <f t="shared" si="519"/>
        <v>0</v>
      </c>
      <c r="AC91" s="525">
        <f t="shared" si="519"/>
        <v>0</v>
      </c>
      <c r="AD91" s="525">
        <f t="shared" si="519"/>
        <v>0</v>
      </c>
      <c r="AE91" s="525">
        <f t="shared" si="519"/>
        <v>0</v>
      </c>
      <c r="AF91" s="525">
        <f t="shared" si="519"/>
        <v>0</v>
      </c>
      <c r="AG91" s="525">
        <f t="shared" si="519"/>
        <v>0</v>
      </c>
      <c r="AH91" s="525">
        <f t="shared" si="519"/>
        <v>0</v>
      </c>
      <c r="AI91" s="525">
        <f t="shared" si="519"/>
        <v>0</v>
      </c>
      <c r="AJ91" s="525">
        <f t="shared" si="519"/>
        <v>0</v>
      </c>
      <c r="AK91" s="525">
        <f t="shared" si="519"/>
        <v>0</v>
      </c>
      <c r="AL91" s="525">
        <f t="shared" si="519"/>
        <v>0</v>
      </c>
      <c r="AM91" s="525">
        <f t="shared" si="519"/>
        <v>0</v>
      </c>
      <c r="AN91" s="525">
        <f t="shared" si="519"/>
        <v>0</v>
      </c>
      <c r="AO91" s="525">
        <f t="shared" si="519"/>
        <v>0</v>
      </c>
      <c r="AP91" s="525">
        <f t="shared" si="519"/>
        <v>0</v>
      </c>
      <c r="AQ91" s="525">
        <f t="shared" si="519"/>
        <v>0</v>
      </c>
      <c r="AR91" s="525">
        <f t="shared" si="519"/>
        <v>0</v>
      </c>
      <c r="AS91" s="525">
        <f t="shared" si="519"/>
        <v>0</v>
      </c>
      <c r="AT91" s="525">
        <f t="shared" si="519"/>
        <v>-228790.16666666666</v>
      </c>
      <c r="AU91" s="525">
        <f t="shared" si="519"/>
        <v>-228790.16666666666</v>
      </c>
      <c r="AV91" s="525">
        <f t="shared" si="519"/>
        <v>-228790.16666666666</v>
      </c>
      <c r="AW91" s="525">
        <f t="shared" si="519"/>
        <v>-228790.16666666666</v>
      </c>
      <c r="AX91" s="525">
        <f t="shared" si="519"/>
        <v>-228790.16666666666</v>
      </c>
      <c r="AY91" s="525">
        <f t="shared" si="519"/>
        <v>-228790.16666666666</v>
      </c>
      <c r="AZ91" s="525">
        <f t="shared" si="519"/>
        <v>-235653.87166666667</v>
      </c>
      <c r="BA91" s="525">
        <f t="shared" si="519"/>
        <v>-235653.87166666667</v>
      </c>
      <c r="BB91" s="525">
        <f t="shared" si="519"/>
        <v>-235653.87166666667</v>
      </c>
      <c r="BC91" s="525">
        <f t="shared" si="519"/>
        <v>-235653.87166666667</v>
      </c>
      <c r="BD91" s="525">
        <f t="shared" si="519"/>
        <v>-235653.87166666667</v>
      </c>
      <c r="BE91" s="525">
        <f t="shared" si="519"/>
        <v>-235653.87166666667</v>
      </c>
      <c r="BF91" s="525">
        <f t="shared" si="519"/>
        <v>-235653.87166666667</v>
      </c>
      <c r="BG91" s="525">
        <f t="shared" si="519"/>
        <v>-235653.87166666667</v>
      </c>
      <c r="BH91" s="525">
        <f t="shared" si="519"/>
        <v>-235653.87166666667</v>
      </c>
      <c r="BI91" s="525">
        <f t="shared" si="519"/>
        <v>-235653.87166666667</v>
      </c>
      <c r="BJ91" s="525">
        <f t="shared" si="519"/>
        <v>-235653.87166666667</v>
      </c>
      <c r="BK91" s="525">
        <f t="shared" si="519"/>
        <v>-235653.87166666667</v>
      </c>
      <c r="BL91" s="525">
        <f t="shared" si="519"/>
        <v>-242723.48781666663</v>
      </c>
      <c r="BM91" s="525">
        <f t="shared" si="519"/>
        <v>-242723.48781666663</v>
      </c>
      <c r="BN91" s="525">
        <f t="shared" si="519"/>
        <v>-242723.48781666663</v>
      </c>
      <c r="BO91" s="525">
        <f t="shared" si="519"/>
        <v>-242723.48781666663</v>
      </c>
      <c r="BP91" s="525">
        <f t="shared" si="519"/>
        <v>-242723.48781666663</v>
      </c>
      <c r="BQ91" s="525">
        <f t="shared" si="519"/>
        <v>-242723.48781666663</v>
      </c>
      <c r="BR91" s="525">
        <f t="shared" si="519"/>
        <v>-242723.48781666663</v>
      </c>
      <c r="BS91" s="525">
        <f t="shared" si="519"/>
        <v>-242723.48781666663</v>
      </c>
      <c r="BT91" s="525">
        <f t="shared" si="519"/>
        <v>-242723.48781666663</v>
      </c>
      <c r="BU91" s="525">
        <f t="shared" si="519"/>
        <v>-242723.48781666663</v>
      </c>
      <c r="BV91" s="525">
        <f t="shared" si="519"/>
        <v>-242723.48781666663</v>
      </c>
      <c r="BW91" s="525">
        <f t="shared" ref="BW91:EH92" si="520">IF(BW$7&gt;=$E91,IF(BW$7&lt;=$F91,(($D91*(1+$C91)^(IF(BW$7&gt;=$E91,BW$6-YEAR($E91),0)))/12),0),0)</f>
        <v>-242723.48781666663</v>
      </c>
      <c r="BX91" s="525">
        <f t="shared" si="520"/>
        <v>-250005.19245116666</v>
      </c>
      <c r="BY91" s="525">
        <f t="shared" si="520"/>
        <v>-250005.19245116666</v>
      </c>
      <c r="BZ91" s="525">
        <f t="shared" si="520"/>
        <v>-250005.19245116666</v>
      </c>
      <c r="CA91" s="525">
        <f t="shared" si="520"/>
        <v>-250005.19245116666</v>
      </c>
      <c r="CB91" s="525">
        <f t="shared" si="520"/>
        <v>-250005.19245116666</v>
      </c>
      <c r="CC91" s="525">
        <f t="shared" si="520"/>
        <v>-250005.19245116666</v>
      </c>
      <c r="CD91" s="525">
        <f t="shared" si="520"/>
        <v>-250005.19245116666</v>
      </c>
      <c r="CE91" s="525">
        <f t="shared" si="520"/>
        <v>-250005.19245116666</v>
      </c>
      <c r="CF91" s="525">
        <f t="shared" si="520"/>
        <v>-250005.19245116666</v>
      </c>
      <c r="CG91" s="525">
        <f t="shared" si="520"/>
        <v>-250005.19245116666</v>
      </c>
      <c r="CH91" s="525">
        <f t="shared" si="520"/>
        <v>-250005.19245116666</v>
      </c>
      <c r="CI91" s="525">
        <f t="shared" si="520"/>
        <v>-250005.19245116666</v>
      </c>
      <c r="CJ91" s="525">
        <f t="shared" si="520"/>
        <v>-257505.34822470162</v>
      </c>
      <c r="CK91" s="525">
        <f t="shared" si="520"/>
        <v>-257505.34822470162</v>
      </c>
      <c r="CL91" s="525">
        <f t="shared" si="520"/>
        <v>-257505.34822470162</v>
      </c>
      <c r="CM91" s="525">
        <f t="shared" si="520"/>
        <v>-257505.34822470162</v>
      </c>
      <c r="CN91" s="525">
        <f t="shared" si="520"/>
        <v>-257505.34822470162</v>
      </c>
      <c r="CO91" s="525">
        <f t="shared" si="520"/>
        <v>-257505.34822470162</v>
      </c>
      <c r="CP91" s="525">
        <f t="shared" si="520"/>
        <v>-257505.34822470162</v>
      </c>
      <c r="CQ91" s="525">
        <f t="shared" si="520"/>
        <v>-257505.34822470162</v>
      </c>
      <c r="CR91" s="525">
        <f t="shared" si="520"/>
        <v>-257505.34822470162</v>
      </c>
      <c r="CS91" s="525">
        <f t="shared" si="520"/>
        <v>-257505.34822470162</v>
      </c>
      <c r="CT91" s="525">
        <f t="shared" si="520"/>
        <v>-257505.34822470162</v>
      </c>
      <c r="CU91" s="525">
        <f t="shared" si="520"/>
        <v>-257505.34822470162</v>
      </c>
      <c r="CV91" s="525">
        <f t="shared" si="520"/>
        <v>-265230.50867144269</v>
      </c>
      <c r="CW91" s="525">
        <f t="shared" si="520"/>
        <v>-265230.50867144269</v>
      </c>
      <c r="CX91" s="525">
        <f t="shared" si="520"/>
        <v>-265230.50867144269</v>
      </c>
      <c r="CY91" s="525">
        <f t="shared" si="520"/>
        <v>-265230.50867144269</v>
      </c>
      <c r="CZ91" s="525">
        <f t="shared" si="520"/>
        <v>-265230.50867144269</v>
      </c>
      <c r="DA91" s="525">
        <f t="shared" si="520"/>
        <v>-265230.50867144269</v>
      </c>
      <c r="DB91" s="525">
        <f t="shared" si="520"/>
        <v>-265230.50867144269</v>
      </c>
      <c r="DC91" s="525">
        <f t="shared" si="520"/>
        <v>-265230.50867144269</v>
      </c>
      <c r="DD91" s="525">
        <f t="shared" si="520"/>
        <v>-265230.50867144269</v>
      </c>
      <c r="DE91" s="525">
        <f t="shared" si="520"/>
        <v>-265230.50867144269</v>
      </c>
      <c r="DF91" s="525">
        <f t="shared" si="520"/>
        <v>-265230.50867144269</v>
      </c>
      <c r="DG91" s="525">
        <f t="shared" si="520"/>
        <v>-265230.50867144269</v>
      </c>
      <c r="DH91" s="525">
        <f t="shared" si="520"/>
        <v>-273187.42393158597</v>
      </c>
      <c r="DI91" s="525">
        <f t="shared" si="520"/>
        <v>-273187.42393158597</v>
      </c>
      <c r="DJ91" s="525">
        <f t="shared" si="520"/>
        <v>-273187.42393158597</v>
      </c>
      <c r="DK91" s="525">
        <f t="shared" si="520"/>
        <v>-273187.42393158597</v>
      </c>
      <c r="DL91" s="525">
        <f t="shared" si="520"/>
        <v>-273187.42393158597</v>
      </c>
      <c r="DM91" s="525">
        <f t="shared" si="520"/>
        <v>-273187.42393158597</v>
      </c>
      <c r="DN91" s="525">
        <f t="shared" si="520"/>
        <v>-273187.42393158597</v>
      </c>
      <c r="DO91" s="525">
        <f t="shared" si="520"/>
        <v>-273187.42393158597</v>
      </c>
      <c r="DP91" s="525">
        <f t="shared" si="520"/>
        <v>-273187.42393158597</v>
      </c>
      <c r="DQ91" s="525">
        <f t="shared" si="520"/>
        <v>-273187.42393158597</v>
      </c>
      <c r="DR91" s="525">
        <f t="shared" si="520"/>
        <v>-273187.42393158597</v>
      </c>
      <c r="DS91" s="525">
        <f t="shared" si="520"/>
        <v>-273187.42393158597</v>
      </c>
      <c r="DT91" s="525">
        <f t="shared" si="520"/>
        <v>-281383.04664953356</v>
      </c>
      <c r="DU91" s="525">
        <f t="shared" si="520"/>
        <v>-281383.04664953356</v>
      </c>
      <c r="DV91" s="525">
        <f t="shared" si="520"/>
        <v>-281383.04664953356</v>
      </c>
      <c r="DW91" s="525">
        <f t="shared" si="520"/>
        <v>-281383.04664953356</v>
      </c>
      <c r="DX91" s="525">
        <f t="shared" si="520"/>
        <v>-281383.04664953356</v>
      </c>
      <c r="DY91" s="525">
        <f t="shared" si="520"/>
        <v>-281383.04664953356</v>
      </c>
      <c r="DZ91" s="525">
        <f t="shared" si="520"/>
        <v>-281383.04664953356</v>
      </c>
      <c r="EA91" s="525">
        <f t="shared" si="520"/>
        <v>-281383.04664953356</v>
      </c>
      <c r="EB91" s="525">
        <f t="shared" si="520"/>
        <v>-281383.04664953356</v>
      </c>
      <c r="EC91" s="525">
        <f t="shared" si="520"/>
        <v>-281383.04664953356</v>
      </c>
      <c r="ED91" s="525">
        <f t="shared" si="520"/>
        <v>-281383.04664953356</v>
      </c>
      <c r="EE91" s="525">
        <f t="shared" si="520"/>
        <v>-281383.04664953356</v>
      </c>
      <c r="EF91" s="525">
        <f t="shared" si="520"/>
        <v>-289824.53804901958</v>
      </c>
      <c r="EG91" s="525">
        <f t="shared" si="520"/>
        <v>-289824.53804901958</v>
      </c>
      <c r="EH91" s="525">
        <f t="shared" si="520"/>
        <v>-289824.53804901958</v>
      </c>
      <c r="EI91" s="525">
        <f t="shared" ref="EI91:GT92" si="521">IF(EI$7&gt;=$E91,IF(EI$7&lt;=$F91,(($D91*(1+$C91)^(IF(EI$7&gt;=$E91,EI$6-YEAR($E91),0)))/12),0),0)</f>
        <v>-289824.53804901958</v>
      </c>
      <c r="EJ91" s="525">
        <f t="shared" si="521"/>
        <v>-289824.53804901958</v>
      </c>
      <c r="EK91" s="525">
        <f t="shared" si="521"/>
        <v>-289824.53804901958</v>
      </c>
      <c r="EL91" s="525">
        <f t="shared" si="521"/>
        <v>-289824.53804901958</v>
      </c>
      <c r="EM91" s="525">
        <f t="shared" si="521"/>
        <v>-289824.53804901958</v>
      </c>
      <c r="EN91" s="525">
        <f t="shared" si="521"/>
        <v>-289824.53804901958</v>
      </c>
      <c r="EO91" s="525">
        <f t="shared" si="521"/>
        <v>-289824.53804901958</v>
      </c>
      <c r="EP91" s="525">
        <f t="shared" si="521"/>
        <v>-289824.53804901958</v>
      </c>
      <c r="EQ91" s="525">
        <f t="shared" si="521"/>
        <v>-289824.53804901958</v>
      </c>
      <c r="ER91" s="525">
        <f t="shared" si="521"/>
        <v>-298519.27419049013</v>
      </c>
      <c r="ES91" s="525">
        <f t="shared" si="521"/>
        <v>-298519.27419049013</v>
      </c>
      <c r="ET91" s="525">
        <f t="shared" si="521"/>
        <v>-298519.27419049013</v>
      </c>
      <c r="EU91" s="525">
        <f t="shared" si="521"/>
        <v>-298519.27419049013</v>
      </c>
      <c r="EV91" s="525">
        <f t="shared" si="521"/>
        <v>-298519.27419049013</v>
      </c>
      <c r="EW91" s="525">
        <f t="shared" si="521"/>
        <v>-298519.27419049013</v>
      </c>
      <c r="EX91" s="525">
        <f t="shared" si="521"/>
        <v>-298519.27419049013</v>
      </c>
      <c r="EY91" s="525">
        <f t="shared" si="521"/>
        <v>-298519.27419049013</v>
      </c>
      <c r="EZ91" s="525">
        <f t="shared" si="521"/>
        <v>-298519.27419049013</v>
      </c>
      <c r="FA91" s="525">
        <f t="shared" si="521"/>
        <v>-298519.27419049013</v>
      </c>
      <c r="FB91" s="525">
        <f t="shared" si="521"/>
        <v>-298519.27419049013</v>
      </c>
      <c r="FC91" s="525">
        <f t="shared" si="521"/>
        <v>-298519.27419049013</v>
      </c>
      <c r="FD91" s="525">
        <f t="shared" si="521"/>
        <v>-307474.85241620481</v>
      </c>
      <c r="FE91" s="525">
        <f t="shared" si="521"/>
        <v>-307474.85241620481</v>
      </c>
      <c r="FF91" s="525">
        <f t="shared" si="521"/>
        <v>-307474.85241620481</v>
      </c>
      <c r="FG91" s="525">
        <f t="shared" si="521"/>
        <v>-307474.85241620481</v>
      </c>
      <c r="FH91" s="525">
        <f t="shared" si="521"/>
        <v>-307474.85241620481</v>
      </c>
      <c r="FI91" s="525">
        <f t="shared" si="521"/>
        <v>-307474.85241620481</v>
      </c>
      <c r="FJ91" s="525">
        <f t="shared" si="521"/>
        <v>-307474.85241620481</v>
      </c>
      <c r="FK91" s="525">
        <f t="shared" si="521"/>
        <v>-307474.85241620481</v>
      </c>
      <c r="FL91" s="525">
        <f t="shared" si="521"/>
        <v>-307474.85241620481</v>
      </c>
      <c r="FM91" s="525">
        <f t="shared" si="521"/>
        <v>-307474.85241620481</v>
      </c>
      <c r="FN91" s="525">
        <f t="shared" si="521"/>
        <v>-307474.85241620481</v>
      </c>
      <c r="FO91" s="525">
        <f t="shared" si="521"/>
        <v>-307474.85241620481</v>
      </c>
      <c r="FP91" s="525">
        <f t="shared" si="521"/>
        <v>-316699.09798869101</v>
      </c>
      <c r="FQ91" s="525">
        <f t="shared" si="521"/>
        <v>-316699.09798869101</v>
      </c>
      <c r="FR91" s="525">
        <f t="shared" si="521"/>
        <v>-316699.09798869101</v>
      </c>
      <c r="FS91" s="525">
        <f t="shared" si="521"/>
        <v>-316699.09798869101</v>
      </c>
      <c r="FT91" s="525">
        <f t="shared" si="521"/>
        <v>-316699.09798869101</v>
      </c>
      <c r="FU91" s="525">
        <f t="shared" si="521"/>
        <v>-316699.09798869101</v>
      </c>
      <c r="FV91" s="525">
        <f t="shared" si="521"/>
        <v>-316699.09798869101</v>
      </c>
      <c r="FW91" s="525">
        <f t="shared" si="521"/>
        <v>-316699.09798869101</v>
      </c>
      <c r="FX91" s="525">
        <f t="shared" si="521"/>
        <v>-316699.09798869101</v>
      </c>
      <c r="FY91" s="525">
        <f t="shared" si="521"/>
        <v>-316699.09798869101</v>
      </c>
      <c r="FZ91" s="525">
        <f t="shared" si="521"/>
        <v>-316699.09798869101</v>
      </c>
      <c r="GA91" s="525">
        <f t="shared" si="521"/>
        <v>-316699.09798869101</v>
      </c>
      <c r="GB91" s="525">
        <f t="shared" si="521"/>
        <v>-326200.07092835166</v>
      </c>
      <c r="GC91" s="525">
        <f t="shared" si="521"/>
        <v>-326200.07092835166</v>
      </c>
      <c r="GD91" s="525">
        <f t="shared" si="521"/>
        <v>-326200.07092835166</v>
      </c>
      <c r="GE91" s="525">
        <f t="shared" si="521"/>
        <v>-326200.07092835166</v>
      </c>
      <c r="GF91" s="525">
        <f t="shared" si="521"/>
        <v>-326200.07092835166</v>
      </c>
      <c r="GG91" s="525">
        <f t="shared" si="521"/>
        <v>-326200.07092835166</v>
      </c>
      <c r="GH91" s="525">
        <f t="shared" si="521"/>
        <v>-326200.07092835166</v>
      </c>
      <c r="GI91" s="525">
        <f t="shared" si="521"/>
        <v>-326200.07092835166</v>
      </c>
      <c r="GJ91" s="525">
        <f t="shared" si="521"/>
        <v>-326200.07092835166</v>
      </c>
      <c r="GK91" s="525">
        <f t="shared" si="521"/>
        <v>-326200.07092835166</v>
      </c>
      <c r="GL91" s="525">
        <f t="shared" si="521"/>
        <v>-326200.07092835166</v>
      </c>
      <c r="GM91" s="525">
        <f t="shared" si="521"/>
        <v>-326200.07092835166</v>
      </c>
      <c r="GN91" s="525">
        <f t="shared" si="521"/>
        <v>-335986.07305620221</v>
      </c>
      <c r="GO91" s="525">
        <f t="shared" si="521"/>
        <v>-335986.07305620221</v>
      </c>
      <c r="GP91" s="525">
        <f t="shared" si="521"/>
        <v>-335986.07305620221</v>
      </c>
      <c r="GQ91" s="525">
        <f t="shared" si="521"/>
        <v>-335986.07305620221</v>
      </c>
      <c r="GR91" s="525">
        <f t="shared" si="521"/>
        <v>-335986.07305620221</v>
      </c>
      <c r="GS91" s="525">
        <f t="shared" si="521"/>
        <v>-335986.07305620221</v>
      </c>
      <c r="GT91" s="525">
        <f t="shared" si="521"/>
        <v>-335986.07305620221</v>
      </c>
      <c r="GU91" s="525">
        <f t="shared" ref="GU91:JF92" si="522">IF(GU$7&gt;=$E91,IF(GU$7&lt;=$F91,(($D91*(1+$C91)^(IF(GU$7&gt;=$E91,GU$6-YEAR($E91),0)))/12),0),0)</f>
        <v>-335986.07305620221</v>
      </c>
      <c r="GV91" s="525">
        <f t="shared" si="522"/>
        <v>-335986.07305620221</v>
      </c>
      <c r="GW91" s="525">
        <f t="shared" si="522"/>
        <v>-335986.07305620221</v>
      </c>
      <c r="GX91" s="525">
        <f t="shared" si="522"/>
        <v>-335986.07305620221</v>
      </c>
      <c r="GY91" s="525">
        <f t="shared" si="522"/>
        <v>-335986.07305620221</v>
      </c>
      <c r="GZ91" s="525">
        <f t="shared" si="522"/>
        <v>-346065.65524788835</v>
      </c>
      <c r="HA91" s="525">
        <f t="shared" si="522"/>
        <v>-346065.65524788835</v>
      </c>
      <c r="HB91" s="525">
        <f t="shared" si="522"/>
        <v>-346065.65524788835</v>
      </c>
      <c r="HC91" s="525">
        <f t="shared" si="522"/>
        <v>-346065.65524788835</v>
      </c>
      <c r="HD91" s="525">
        <f t="shared" si="522"/>
        <v>-346065.65524788835</v>
      </c>
      <c r="HE91" s="525">
        <f t="shared" si="522"/>
        <v>-346065.65524788835</v>
      </c>
      <c r="HF91" s="525">
        <f t="shared" si="522"/>
        <v>-346065.65524788835</v>
      </c>
      <c r="HG91" s="525">
        <f t="shared" si="522"/>
        <v>-346065.65524788835</v>
      </c>
      <c r="HH91" s="525">
        <f t="shared" si="522"/>
        <v>-346065.65524788835</v>
      </c>
      <c r="HI91" s="525">
        <f t="shared" si="522"/>
        <v>-346065.65524788835</v>
      </c>
      <c r="HJ91" s="525">
        <f t="shared" si="522"/>
        <v>-346065.65524788835</v>
      </c>
      <c r="HK91" s="525">
        <f t="shared" si="522"/>
        <v>-346065.65524788835</v>
      </c>
      <c r="HL91" s="525">
        <f t="shared" si="522"/>
        <v>-356447.62490532501</v>
      </c>
      <c r="HM91" s="525">
        <f t="shared" si="522"/>
        <v>-356447.62490532501</v>
      </c>
      <c r="HN91" s="525">
        <f t="shared" si="522"/>
        <v>-356447.62490532501</v>
      </c>
      <c r="HO91" s="525">
        <f t="shared" si="522"/>
        <v>-356447.62490532501</v>
      </c>
      <c r="HP91" s="525">
        <f t="shared" si="522"/>
        <v>-356447.62490532501</v>
      </c>
      <c r="HQ91" s="525">
        <f t="shared" si="522"/>
        <v>-356447.62490532501</v>
      </c>
      <c r="HR91" s="525">
        <f t="shared" si="522"/>
        <v>-356447.62490532501</v>
      </c>
      <c r="HS91" s="525">
        <f t="shared" si="522"/>
        <v>-356447.62490532501</v>
      </c>
      <c r="HT91" s="525">
        <f t="shared" si="522"/>
        <v>-356447.62490532501</v>
      </c>
      <c r="HU91" s="525">
        <f t="shared" si="522"/>
        <v>-356447.62490532501</v>
      </c>
      <c r="HV91" s="525">
        <f t="shared" si="522"/>
        <v>-356447.62490532501</v>
      </c>
      <c r="HW91" s="525">
        <f t="shared" si="522"/>
        <v>-356447.62490532501</v>
      </c>
      <c r="HX91" s="525">
        <f t="shared" si="522"/>
        <v>-367141.05365248467</v>
      </c>
      <c r="HY91" s="525">
        <f t="shared" si="522"/>
        <v>-367141.05365248467</v>
      </c>
      <c r="HZ91" s="525">
        <f t="shared" si="522"/>
        <v>-367141.05365248467</v>
      </c>
      <c r="IA91" s="525">
        <f t="shared" si="522"/>
        <v>-367141.05365248467</v>
      </c>
      <c r="IB91" s="525">
        <f t="shared" si="522"/>
        <v>-367141.05365248467</v>
      </c>
      <c r="IC91" s="525">
        <f t="shared" si="522"/>
        <v>-367141.05365248467</v>
      </c>
      <c r="ID91" s="525">
        <f t="shared" si="522"/>
        <v>-367141.05365248467</v>
      </c>
      <c r="IE91" s="525">
        <f t="shared" si="522"/>
        <v>-367141.05365248467</v>
      </c>
      <c r="IF91" s="525">
        <f t="shared" si="522"/>
        <v>-367141.05365248467</v>
      </c>
      <c r="IG91" s="525">
        <f t="shared" si="522"/>
        <v>-367141.05365248467</v>
      </c>
      <c r="IH91" s="525">
        <f t="shared" si="522"/>
        <v>-367141.05365248467</v>
      </c>
      <c r="II91" s="525">
        <f t="shared" si="522"/>
        <v>-367141.05365248467</v>
      </c>
      <c r="IJ91" s="525">
        <f t="shared" si="522"/>
        <v>-378155.28526205919</v>
      </c>
      <c r="IK91" s="525">
        <f t="shared" si="522"/>
        <v>-378155.28526205919</v>
      </c>
      <c r="IL91" s="525">
        <f t="shared" si="522"/>
        <v>-378155.28526205919</v>
      </c>
      <c r="IM91" s="525">
        <f t="shared" si="522"/>
        <v>-378155.28526205919</v>
      </c>
      <c r="IN91" s="525">
        <f t="shared" si="522"/>
        <v>-378155.28526205919</v>
      </c>
      <c r="IO91" s="525">
        <f t="shared" si="522"/>
        <v>-378155.28526205919</v>
      </c>
      <c r="IP91" s="525">
        <f t="shared" si="522"/>
        <v>-378155.28526205919</v>
      </c>
      <c r="IQ91" s="525">
        <f t="shared" si="522"/>
        <v>-378155.28526205919</v>
      </c>
      <c r="IR91" s="525">
        <f t="shared" si="522"/>
        <v>-378155.28526205919</v>
      </c>
      <c r="IS91" s="525">
        <f t="shared" si="522"/>
        <v>-378155.28526205919</v>
      </c>
      <c r="IT91" s="525">
        <f t="shared" si="522"/>
        <v>-378155.28526205919</v>
      </c>
      <c r="IU91" s="525">
        <f t="shared" si="522"/>
        <v>-378155.28526205919</v>
      </c>
      <c r="IV91" s="525">
        <f t="shared" si="522"/>
        <v>-389499.943819921</v>
      </c>
      <c r="IW91" s="525">
        <f t="shared" si="522"/>
        <v>-389499.943819921</v>
      </c>
      <c r="IX91" s="525">
        <f t="shared" si="522"/>
        <v>-389499.943819921</v>
      </c>
      <c r="IY91" s="525">
        <f t="shared" si="522"/>
        <v>-389499.943819921</v>
      </c>
      <c r="IZ91" s="525">
        <f t="shared" si="522"/>
        <v>-389499.943819921</v>
      </c>
      <c r="JA91" s="525">
        <f t="shared" si="522"/>
        <v>-389499.943819921</v>
      </c>
      <c r="JB91" s="525">
        <f t="shared" si="522"/>
        <v>-389499.943819921</v>
      </c>
      <c r="JC91" s="525">
        <f t="shared" si="522"/>
        <v>-389499.943819921</v>
      </c>
      <c r="JD91" s="525">
        <f t="shared" si="522"/>
        <v>-389499.943819921</v>
      </c>
      <c r="JE91" s="525">
        <f t="shared" si="522"/>
        <v>-389499.943819921</v>
      </c>
      <c r="JF91" s="525">
        <f t="shared" si="522"/>
        <v>-389499.943819921</v>
      </c>
      <c r="JG91" s="525">
        <f t="shared" ref="JG91:LR92" si="523">IF(JG$7&gt;=$E91,IF(JG$7&lt;=$F91,(($D91*(1+$C91)^(IF(JG$7&gt;=$E91,JG$6-YEAR($E91),0)))/12),0),0)</f>
        <v>-389499.943819921</v>
      </c>
      <c r="JH91" s="525">
        <f t="shared" si="523"/>
        <v>-401184.94213451864</v>
      </c>
      <c r="JI91" s="525">
        <f t="shared" si="523"/>
        <v>-401184.94213451864</v>
      </c>
      <c r="JJ91" s="525">
        <f t="shared" si="523"/>
        <v>-401184.94213451864</v>
      </c>
      <c r="JK91" s="525">
        <f t="shared" si="523"/>
        <v>-401184.94213451864</v>
      </c>
      <c r="JL91" s="525">
        <f t="shared" si="523"/>
        <v>-401184.94213451864</v>
      </c>
      <c r="JM91" s="525">
        <f t="shared" si="523"/>
        <v>-401184.94213451864</v>
      </c>
      <c r="JN91" s="525">
        <f t="shared" si="523"/>
        <v>-401184.94213451864</v>
      </c>
      <c r="JO91" s="525">
        <f t="shared" si="523"/>
        <v>-401184.94213451864</v>
      </c>
      <c r="JP91" s="525">
        <f t="shared" si="523"/>
        <v>-401184.94213451864</v>
      </c>
      <c r="JQ91" s="525">
        <f t="shared" si="523"/>
        <v>-401184.94213451864</v>
      </c>
      <c r="JR91" s="525">
        <f t="shared" si="523"/>
        <v>-401184.94213451864</v>
      </c>
      <c r="JS91" s="525">
        <f t="shared" si="523"/>
        <v>-401184.94213451864</v>
      </c>
      <c r="JT91" s="525">
        <f t="shared" si="523"/>
        <v>-413220.49039855419</v>
      </c>
      <c r="JU91" s="525">
        <f t="shared" si="523"/>
        <v>-413220.49039855419</v>
      </c>
      <c r="JV91" s="525">
        <f t="shared" si="523"/>
        <v>-413220.49039855419</v>
      </c>
      <c r="JW91" s="525">
        <f t="shared" si="523"/>
        <v>-413220.49039855419</v>
      </c>
      <c r="JX91" s="525">
        <f t="shared" si="523"/>
        <v>-413220.49039855419</v>
      </c>
      <c r="JY91" s="525">
        <f t="shared" si="523"/>
        <v>-413220.49039855419</v>
      </c>
      <c r="JZ91" s="525">
        <f t="shared" si="523"/>
        <v>-413220.49039855419</v>
      </c>
      <c r="KA91" s="525">
        <f t="shared" si="523"/>
        <v>-413220.49039855419</v>
      </c>
      <c r="KB91" s="525">
        <f t="shared" si="523"/>
        <v>-413220.49039855419</v>
      </c>
      <c r="KC91" s="525">
        <f t="shared" si="523"/>
        <v>-413220.49039855419</v>
      </c>
      <c r="KD91" s="525">
        <f t="shared" si="523"/>
        <v>-413220.49039855419</v>
      </c>
      <c r="KE91" s="525">
        <f t="shared" si="523"/>
        <v>-413220.49039855419</v>
      </c>
      <c r="KF91" s="525">
        <f t="shared" si="523"/>
        <v>-425617.10511051072</v>
      </c>
      <c r="KG91" s="525">
        <f t="shared" si="523"/>
        <v>-425617.10511051072</v>
      </c>
      <c r="KH91" s="525">
        <f t="shared" si="523"/>
        <v>-425617.10511051072</v>
      </c>
      <c r="KI91" s="525">
        <f t="shared" si="523"/>
        <v>-425617.10511051072</v>
      </c>
      <c r="KJ91" s="525">
        <f t="shared" si="523"/>
        <v>-425617.10511051072</v>
      </c>
      <c r="KK91" s="525">
        <f t="shared" si="523"/>
        <v>-425617.10511051072</v>
      </c>
      <c r="KL91" s="525">
        <f t="shared" si="523"/>
        <v>-425617.10511051072</v>
      </c>
      <c r="KM91" s="525">
        <f t="shared" si="523"/>
        <v>-425617.10511051072</v>
      </c>
      <c r="KN91" s="525">
        <f t="shared" si="523"/>
        <v>-425617.10511051072</v>
      </c>
      <c r="KO91" s="525">
        <f t="shared" si="523"/>
        <v>-425617.10511051072</v>
      </c>
      <c r="KP91" s="525">
        <f t="shared" si="523"/>
        <v>-425617.10511051072</v>
      </c>
      <c r="KQ91" s="525">
        <f t="shared" si="523"/>
        <v>-425617.10511051072</v>
      </c>
      <c r="KR91" s="525">
        <f t="shared" si="523"/>
        <v>-438385.61826382607</v>
      </c>
      <c r="KS91" s="525">
        <f t="shared" si="523"/>
        <v>-438385.61826382607</v>
      </c>
      <c r="KT91" s="525">
        <f t="shared" si="523"/>
        <v>-438385.61826382607</v>
      </c>
      <c r="KU91" s="525">
        <f t="shared" si="523"/>
        <v>-438385.61826382607</v>
      </c>
      <c r="KV91" s="525">
        <f t="shared" si="523"/>
        <v>-438385.61826382607</v>
      </c>
      <c r="KW91" s="525">
        <f t="shared" si="523"/>
        <v>-438385.61826382607</v>
      </c>
      <c r="KX91" s="525">
        <f t="shared" si="523"/>
        <v>-438385.61826382607</v>
      </c>
      <c r="KY91" s="525">
        <f t="shared" si="523"/>
        <v>-438385.61826382607</v>
      </c>
      <c r="KZ91" s="525">
        <f t="shared" si="523"/>
        <v>-438385.61826382607</v>
      </c>
      <c r="LA91" s="525">
        <f t="shared" si="523"/>
        <v>-438385.61826382607</v>
      </c>
      <c r="LB91" s="525">
        <f t="shared" si="523"/>
        <v>-438385.61826382607</v>
      </c>
      <c r="LC91" s="525">
        <f t="shared" si="523"/>
        <v>-438385.61826382607</v>
      </c>
      <c r="LD91" s="525">
        <f t="shared" si="523"/>
        <v>-451537.18681174092</v>
      </c>
      <c r="LE91" s="525">
        <f t="shared" si="523"/>
        <v>-451537.18681174092</v>
      </c>
      <c r="LF91" s="525">
        <f t="shared" si="523"/>
        <v>-451537.18681174092</v>
      </c>
      <c r="LG91" s="525">
        <f t="shared" si="523"/>
        <v>-451537.18681174092</v>
      </c>
      <c r="LH91" s="525">
        <f t="shared" si="523"/>
        <v>-451537.18681174092</v>
      </c>
      <c r="LI91" s="525">
        <f t="shared" si="523"/>
        <v>-451537.18681174092</v>
      </c>
      <c r="LJ91" s="525">
        <f t="shared" si="523"/>
        <v>-451537.18681174092</v>
      </c>
      <c r="LK91" s="525">
        <f t="shared" si="523"/>
        <v>-451537.18681174092</v>
      </c>
      <c r="LL91" s="525">
        <f t="shared" si="523"/>
        <v>-451537.18681174092</v>
      </c>
      <c r="LM91" s="525">
        <f t="shared" si="523"/>
        <v>-451537.18681174092</v>
      </c>
      <c r="LN91" s="525">
        <f t="shared" si="523"/>
        <v>-451537.18681174092</v>
      </c>
      <c r="LO91" s="525">
        <f t="shared" si="523"/>
        <v>-451537.18681174092</v>
      </c>
      <c r="LP91" s="525">
        <f t="shared" si="523"/>
        <v>-465083.30241609312</v>
      </c>
      <c r="LQ91" s="525">
        <f t="shared" si="523"/>
        <v>-465083.30241609312</v>
      </c>
      <c r="LR91" s="525">
        <f t="shared" si="523"/>
        <v>-465083.30241609312</v>
      </c>
      <c r="LS91" s="525">
        <f t="shared" ref="LS91:OD92" si="524">IF(LS$7&gt;=$E91,IF(LS$7&lt;=$F91,(($D91*(1+$C91)^(IF(LS$7&gt;=$E91,LS$6-YEAR($E91),0)))/12),0),0)</f>
        <v>-465083.30241609312</v>
      </c>
      <c r="LT91" s="525">
        <f t="shared" si="524"/>
        <v>-465083.30241609312</v>
      </c>
      <c r="LU91" s="525">
        <f t="shared" si="524"/>
        <v>-465083.30241609312</v>
      </c>
      <c r="LV91" s="525">
        <f t="shared" si="524"/>
        <v>-465083.30241609312</v>
      </c>
      <c r="LW91" s="525">
        <f t="shared" si="524"/>
        <v>-465083.30241609312</v>
      </c>
      <c r="LX91" s="525">
        <f t="shared" si="524"/>
        <v>-465083.30241609312</v>
      </c>
      <c r="LY91" s="525">
        <f t="shared" si="524"/>
        <v>-465083.30241609312</v>
      </c>
      <c r="LZ91" s="525">
        <f t="shared" si="524"/>
        <v>-465083.30241609312</v>
      </c>
      <c r="MA91" s="525">
        <f t="shared" si="524"/>
        <v>-465083.30241609312</v>
      </c>
      <c r="MB91" s="525">
        <f t="shared" si="524"/>
        <v>-479035.80148857582</v>
      </c>
      <c r="MC91" s="525">
        <f t="shared" si="524"/>
        <v>-479035.80148857582</v>
      </c>
      <c r="MD91" s="525">
        <f t="shared" si="524"/>
        <v>-479035.80148857582</v>
      </c>
      <c r="ME91" s="525">
        <f t="shared" si="524"/>
        <v>-479035.80148857582</v>
      </c>
      <c r="MF91" s="525">
        <f t="shared" si="524"/>
        <v>-479035.80148857582</v>
      </c>
      <c r="MG91" s="525">
        <f t="shared" si="524"/>
        <v>-479035.80148857582</v>
      </c>
      <c r="MH91" s="525">
        <f t="shared" si="524"/>
        <v>-479035.80148857582</v>
      </c>
      <c r="MI91" s="525">
        <f t="shared" si="524"/>
        <v>-479035.80148857582</v>
      </c>
      <c r="MJ91" s="525">
        <f t="shared" si="524"/>
        <v>-479035.80148857582</v>
      </c>
      <c r="MK91" s="525">
        <f t="shared" si="524"/>
        <v>-479035.80148857582</v>
      </c>
      <c r="ML91" s="525">
        <f t="shared" si="524"/>
        <v>-479035.80148857582</v>
      </c>
      <c r="MM91" s="525">
        <f t="shared" si="524"/>
        <v>-479035.80148857582</v>
      </c>
      <c r="MN91" s="525">
        <f t="shared" si="524"/>
        <v>-493406.87553323322</v>
      </c>
      <c r="MO91" s="525">
        <f t="shared" si="524"/>
        <v>-493406.87553323322</v>
      </c>
      <c r="MP91" s="525">
        <f t="shared" si="524"/>
        <v>-493406.87553323322</v>
      </c>
      <c r="MQ91" s="525">
        <f t="shared" si="524"/>
        <v>-493406.87553323322</v>
      </c>
      <c r="MR91" s="525">
        <f t="shared" si="524"/>
        <v>-493406.87553323322</v>
      </c>
      <c r="MS91" s="525">
        <f t="shared" si="524"/>
        <v>-493406.87553323322</v>
      </c>
      <c r="MT91" s="525">
        <f t="shared" si="524"/>
        <v>-493406.87553323322</v>
      </c>
      <c r="MU91" s="525">
        <f t="shared" si="524"/>
        <v>-493406.87553323322</v>
      </c>
      <c r="MV91" s="525">
        <f t="shared" si="524"/>
        <v>-493406.87553323322</v>
      </c>
      <c r="MW91" s="525">
        <f t="shared" si="524"/>
        <v>-493406.87553323322</v>
      </c>
      <c r="MX91" s="525">
        <f t="shared" si="524"/>
        <v>-493406.87553323322</v>
      </c>
      <c r="MY91" s="525">
        <f t="shared" si="524"/>
        <v>-493406.87553323322</v>
      </c>
      <c r="MZ91" s="525">
        <f t="shared" si="524"/>
        <v>-508209.08179923013</v>
      </c>
      <c r="NA91" s="525">
        <f t="shared" si="524"/>
        <v>-508209.08179923013</v>
      </c>
      <c r="NB91" s="525">
        <f t="shared" si="524"/>
        <v>-508209.08179923013</v>
      </c>
      <c r="NC91" s="525">
        <f t="shared" si="524"/>
        <v>-508209.08179923013</v>
      </c>
      <c r="ND91" s="525">
        <f t="shared" si="524"/>
        <v>-508209.08179923013</v>
      </c>
      <c r="NE91" s="525">
        <f t="shared" si="524"/>
        <v>-508209.08179923013</v>
      </c>
      <c r="NF91" s="525">
        <f t="shared" si="524"/>
        <v>-508209.08179923013</v>
      </c>
      <c r="NG91" s="525">
        <f t="shared" si="524"/>
        <v>-508209.08179923013</v>
      </c>
      <c r="NH91" s="525">
        <f t="shared" si="524"/>
        <v>-508209.08179923013</v>
      </c>
      <c r="NI91" s="525">
        <f t="shared" si="524"/>
        <v>-508209.08179923013</v>
      </c>
      <c r="NJ91" s="525">
        <f t="shared" si="524"/>
        <v>-508209.08179923013</v>
      </c>
      <c r="NK91" s="525">
        <f t="shared" si="524"/>
        <v>-508209.08179923013</v>
      </c>
      <c r="NL91" s="525">
        <f t="shared" si="524"/>
        <v>-523455.35425320704</v>
      </c>
      <c r="NM91" s="525">
        <f t="shared" si="524"/>
        <v>-523455.35425320704</v>
      </c>
      <c r="NN91" s="525">
        <f t="shared" si="524"/>
        <v>-523455.35425320704</v>
      </c>
      <c r="NO91" s="525">
        <f t="shared" si="524"/>
        <v>-523455.35425320704</v>
      </c>
      <c r="NP91" s="525">
        <f t="shared" si="524"/>
        <v>-523455.35425320704</v>
      </c>
      <c r="NQ91" s="525">
        <f t="shared" si="524"/>
        <v>-523455.35425320704</v>
      </c>
      <c r="NR91" s="525">
        <f t="shared" si="524"/>
        <v>-523455.35425320704</v>
      </c>
      <c r="NS91" s="525">
        <f t="shared" si="524"/>
        <v>-523455.35425320704</v>
      </c>
      <c r="NT91" s="525">
        <f t="shared" si="524"/>
        <v>-523455.35425320704</v>
      </c>
      <c r="NU91" s="525">
        <f t="shared" si="524"/>
        <v>-523455.35425320704</v>
      </c>
      <c r="NV91" s="525">
        <f t="shared" si="524"/>
        <v>-523455.35425320704</v>
      </c>
      <c r="NW91" s="525">
        <f t="shared" si="524"/>
        <v>-523455.35425320704</v>
      </c>
      <c r="NX91" s="525">
        <f t="shared" si="524"/>
        <v>-539159.01488080318</v>
      </c>
      <c r="NY91" s="525">
        <f t="shared" si="524"/>
        <v>-539159.01488080318</v>
      </c>
      <c r="NZ91" s="525">
        <f t="shared" si="524"/>
        <v>-539159.01488080318</v>
      </c>
      <c r="OA91" s="525">
        <f t="shared" si="524"/>
        <v>-539159.01488080318</v>
      </c>
      <c r="OB91" s="525">
        <f t="shared" si="524"/>
        <v>-539159.01488080318</v>
      </c>
      <c r="OC91" s="525">
        <f t="shared" si="524"/>
        <v>-539159.01488080318</v>
      </c>
      <c r="OD91" s="525">
        <f t="shared" si="524"/>
        <v>-539159.01488080318</v>
      </c>
      <c r="OE91" s="525">
        <f t="shared" ref="OE91:OO92" si="525">IF(OE$7&gt;=$E91,IF(OE$7&lt;=$F91,(($D91*(1+$C91)^(IF(OE$7&gt;=$E91,OE$6-YEAR($E91),0)))/12),0),0)</f>
        <v>-539159.01488080318</v>
      </c>
      <c r="OF91" s="525">
        <f t="shared" si="525"/>
        <v>-539159.01488080318</v>
      </c>
      <c r="OG91" s="525">
        <f t="shared" si="525"/>
        <v>-539159.01488080318</v>
      </c>
      <c r="OH91" s="525">
        <f t="shared" si="525"/>
        <v>-539159.01488080318</v>
      </c>
      <c r="OI91" s="525">
        <f t="shared" si="525"/>
        <v>-539159.01488080318</v>
      </c>
      <c r="OJ91" s="525">
        <f t="shared" si="525"/>
        <v>-555333.78532722732</v>
      </c>
      <c r="OK91" s="525">
        <f t="shared" si="525"/>
        <v>-555333.78532722732</v>
      </c>
      <c r="OL91" s="525">
        <f t="shared" si="525"/>
        <v>-555333.78532722732</v>
      </c>
      <c r="OM91" s="525">
        <f t="shared" si="525"/>
        <v>-555333.78532722732</v>
      </c>
      <c r="ON91" s="525">
        <f t="shared" si="525"/>
        <v>-555333.78532722732</v>
      </c>
      <c r="OO91" s="525">
        <f t="shared" si="525"/>
        <v>-555333.78532722732</v>
      </c>
    </row>
    <row r="92" spans="2:405">
      <c r="B92" s="7" t="s">
        <v>286</v>
      </c>
      <c r="C92" s="473">
        <v>0.03</v>
      </c>
      <c r="D92" s="537">
        <f>-'Operating Expenses &amp; Reserves'!F17</f>
        <v>-483774.90156402439</v>
      </c>
      <c r="E92" s="507">
        <f>Assumptions!$C$13</f>
        <v>47330</v>
      </c>
      <c r="F92" s="507">
        <f>EOMONTH(E92,Assumptions!$C$14-1)</f>
        <v>58256</v>
      </c>
      <c r="G92" s="97">
        <f t="shared" si="518"/>
        <v>360</v>
      </c>
      <c r="H92" s="97"/>
      <c r="J92" s="525">
        <f>IF(J$7&gt;=$E92,IF(J$7&lt;=$F92,(($D92*(1+$C92)^(IF(J$7&gt;=$E92,J$6-YEAR($E92),0)))/12),0),0)</f>
        <v>0</v>
      </c>
      <c r="K92" s="525">
        <f t="shared" si="519"/>
        <v>0</v>
      </c>
      <c r="L92" s="525">
        <f t="shared" si="519"/>
        <v>0</v>
      </c>
      <c r="M92" s="525">
        <f t="shared" si="519"/>
        <v>0</v>
      </c>
      <c r="N92" s="525">
        <f t="shared" si="519"/>
        <v>0</v>
      </c>
      <c r="O92" s="525">
        <f t="shared" si="519"/>
        <v>0</v>
      </c>
      <c r="P92" s="525">
        <f t="shared" si="519"/>
        <v>0</v>
      </c>
      <c r="Q92" s="525">
        <f t="shared" si="519"/>
        <v>0</v>
      </c>
      <c r="R92" s="525">
        <f t="shared" si="519"/>
        <v>0</v>
      </c>
      <c r="S92" s="525">
        <f t="shared" si="519"/>
        <v>0</v>
      </c>
      <c r="T92" s="525">
        <f t="shared" si="519"/>
        <v>0</v>
      </c>
      <c r="U92" s="525">
        <f t="shared" si="519"/>
        <v>0</v>
      </c>
      <c r="V92" s="525">
        <f t="shared" si="519"/>
        <v>0</v>
      </c>
      <c r="W92" s="525">
        <f t="shared" si="519"/>
        <v>0</v>
      </c>
      <c r="X92" s="525">
        <f t="shared" si="519"/>
        <v>0</v>
      </c>
      <c r="Y92" s="525">
        <f t="shared" si="519"/>
        <v>0</v>
      </c>
      <c r="Z92" s="525">
        <f t="shared" si="519"/>
        <v>0</v>
      </c>
      <c r="AA92" s="525">
        <f t="shared" si="519"/>
        <v>0</v>
      </c>
      <c r="AB92" s="525">
        <f t="shared" si="519"/>
        <v>0</v>
      </c>
      <c r="AC92" s="525">
        <f t="shared" si="519"/>
        <v>0</v>
      </c>
      <c r="AD92" s="525">
        <f t="shared" si="519"/>
        <v>0</v>
      </c>
      <c r="AE92" s="525">
        <f t="shared" si="519"/>
        <v>0</v>
      </c>
      <c r="AF92" s="525">
        <f t="shared" si="519"/>
        <v>0</v>
      </c>
      <c r="AG92" s="525">
        <f t="shared" si="519"/>
        <v>0</v>
      </c>
      <c r="AH92" s="525">
        <f t="shared" si="519"/>
        <v>0</v>
      </c>
      <c r="AI92" s="525">
        <f t="shared" si="519"/>
        <v>0</v>
      </c>
      <c r="AJ92" s="525">
        <f t="shared" si="519"/>
        <v>0</v>
      </c>
      <c r="AK92" s="525">
        <f t="shared" si="519"/>
        <v>0</v>
      </c>
      <c r="AL92" s="525">
        <f t="shared" si="519"/>
        <v>0</v>
      </c>
      <c r="AM92" s="525">
        <f t="shared" si="519"/>
        <v>0</v>
      </c>
      <c r="AN92" s="525">
        <f t="shared" si="519"/>
        <v>0</v>
      </c>
      <c r="AO92" s="525">
        <f t="shared" si="519"/>
        <v>0</v>
      </c>
      <c r="AP92" s="525">
        <f t="shared" si="519"/>
        <v>0</v>
      </c>
      <c r="AQ92" s="525">
        <f t="shared" si="519"/>
        <v>0</v>
      </c>
      <c r="AR92" s="525">
        <f t="shared" si="519"/>
        <v>0</v>
      </c>
      <c r="AS92" s="525">
        <f t="shared" si="519"/>
        <v>0</v>
      </c>
      <c r="AT92" s="525">
        <f t="shared" si="519"/>
        <v>-40314.575130335368</v>
      </c>
      <c r="AU92" s="525">
        <f t="shared" si="519"/>
        <v>-40314.575130335368</v>
      </c>
      <c r="AV92" s="525">
        <f t="shared" si="519"/>
        <v>-40314.575130335368</v>
      </c>
      <c r="AW92" s="525">
        <f t="shared" si="519"/>
        <v>-40314.575130335368</v>
      </c>
      <c r="AX92" s="525">
        <f t="shared" si="519"/>
        <v>-40314.575130335368</v>
      </c>
      <c r="AY92" s="525">
        <f t="shared" si="519"/>
        <v>-40314.575130335368</v>
      </c>
      <c r="AZ92" s="525">
        <f t="shared" si="519"/>
        <v>-41524.012384245427</v>
      </c>
      <c r="BA92" s="525">
        <f t="shared" si="519"/>
        <v>-41524.012384245427</v>
      </c>
      <c r="BB92" s="525">
        <f t="shared" si="519"/>
        <v>-41524.012384245427</v>
      </c>
      <c r="BC92" s="525">
        <f t="shared" si="519"/>
        <v>-41524.012384245427</v>
      </c>
      <c r="BD92" s="525">
        <f t="shared" si="519"/>
        <v>-41524.012384245427</v>
      </c>
      <c r="BE92" s="525">
        <f t="shared" si="519"/>
        <v>-41524.012384245427</v>
      </c>
      <c r="BF92" s="525">
        <f t="shared" si="519"/>
        <v>-41524.012384245427</v>
      </c>
      <c r="BG92" s="525">
        <f t="shared" si="519"/>
        <v>-41524.012384245427</v>
      </c>
      <c r="BH92" s="525">
        <f t="shared" si="519"/>
        <v>-41524.012384245427</v>
      </c>
      <c r="BI92" s="525">
        <f t="shared" si="519"/>
        <v>-41524.012384245427</v>
      </c>
      <c r="BJ92" s="525">
        <f t="shared" si="519"/>
        <v>-41524.012384245427</v>
      </c>
      <c r="BK92" s="525">
        <f t="shared" si="519"/>
        <v>-41524.012384245427</v>
      </c>
      <c r="BL92" s="525">
        <f t="shared" si="519"/>
        <v>-42769.732755772791</v>
      </c>
      <c r="BM92" s="525">
        <f t="shared" si="519"/>
        <v>-42769.732755772791</v>
      </c>
      <c r="BN92" s="525">
        <f t="shared" si="519"/>
        <v>-42769.732755772791</v>
      </c>
      <c r="BO92" s="525">
        <f t="shared" si="519"/>
        <v>-42769.732755772791</v>
      </c>
      <c r="BP92" s="525">
        <f t="shared" si="519"/>
        <v>-42769.732755772791</v>
      </c>
      <c r="BQ92" s="525">
        <f t="shared" si="519"/>
        <v>-42769.732755772791</v>
      </c>
      <c r="BR92" s="525">
        <f t="shared" si="519"/>
        <v>-42769.732755772791</v>
      </c>
      <c r="BS92" s="525">
        <f t="shared" si="519"/>
        <v>-42769.732755772791</v>
      </c>
      <c r="BT92" s="525">
        <f t="shared" si="519"/>
        <v>-42769.732755772791</v>
      </c>
      <c r="BU92" s="525">
        <f t="shared" si="519"/>
        <v>-42769.732755772791</v>
      </c>
      <c r="BV92" s="525">
        <f t="shared" si="519"/>
        <v>-42769.732755772791</v>
      </c>
      <c r="BW92" s="525">
        <f t="shared" si="520"/>
        <v>-42769.732755772791</v>
      </c>
      <c r="BX92" s="525">
        <f t="shared" si="520"/>
        <v>-44052.824738445976</v>
      </c>
      <c r="BY92" s="525">
        <f t="shared" si="520"/>
        <v>-44052.824738445976</v>
      </c>
      <c r="BZ92" s="525">
        <f t="shared" si="520"/>
        <v>-44052.824738445976</v>
      </c>
      <c r="CA92" s="525">
        <f t="shared" si="520"/>
        <v>-44052.824738445976</v>
      </c>
      <c r="CB92" s="525">
        <f t="shared" si="520"/>
        <v>-44052.824738445976</v>
      </c>
      <c r="CC92" s="525">
        <f t="shared" si="520"/>
        <v>-44052.824738445976</v>
      </c>
      <c r="CD92" s="525">
        <f t="shared" si="520"/>
        <v>-44052.824738445976</v>
      </c>
      <c r="CE92" s="525">
        <f t="shared" si="520"/>
        <v>-44052.824738445976</v>
      </c>
      <c r="CF92" s="525">
        <f t="shared" si="520"/>
        <v>-44052.824738445976</v>
      </c>
      <c r="CG92" s="525">
        <f t="shared" si="520"/>
        <v>-44052.824738445976</v>
      </c>
      <c r="CH92" s="525">
        <f t="shared" si="520"/>
        <v>-44052.824738445976</v>
      </c>
      <c r="CI92" s="525">
        <f t="shared" si="520"/>
        <v>-44052.824738445976</v>
      </c>
      <c r="CJ92" s="525">
        <f t="shared" si="520"/>
        <v>-45374.409480599345</v>
      </c>
      <c r="CK92" s="525">
        <f t="shared" si="520"/>
        <v>-45374.409480599345</v>
      </c>
      <c r="CL92" s="525">
        <f t="shared" si="520"/>
        <v>-45374.409480599345</v>
      </c>
      <c r="CM92" s="525">
        <f t="shared" si="520"/>
        <v>-45374.409480599345</v>
      </c>
      <c r="CN92" s="525">
        <f t="shared" si="520"/>
        <v>-45374.409480599345</v>
      </c>
      <c r="CO92" s="525">
        <f t="shared" si="520"/>
        <v>-45374.409480599345</v>
      </c>
      <c r="CP92" s="525">
        <f t="shared" si="520"/>
        <v>-45374.409480599345</v>
      </c>
      <c r="CQ92" s="525">
        <f t="shared" si="520"/>
        <v>-45374.409480599345</v>
      </c>
      <c r="CR92" s="525">
        <f t="shared" si="520"/>
        <v>-45374.409480599345</v>
      </c>
      <c r="CS92" s="525">
        <f t="shared" si="520"/>
        <v>-45374.409480599345</v>
      </c>
      <c r="CT92" s="525">
        <f t="shared" si="520"/>
        <v>-45374.409480599345</v>
      </c>
      <c r="CU92" s="525">
        <f t="shared" si="520"/>
        <v>-45374.409480599345</v>
      </c>
      <c r="CV92" s="525">
        <f t="shared" si="520"/>
        <v>-46735.641765017324</v>
      </c>
      <c r="CW92" s="525">
        <f t="shared" si="520"/>
        <v>-46735.641765017324</v>
      </c>
      <c r="CX92" s="525">
        <f t="shared" si="520"/>
        <v>-46735.641765017324</v>
      </c>
      <c r="CY92" s="525">
        <f t="shared" si="520"/>
        <v>-46735.641765017324</v>
      </c>
      <c r="CZ92" s="525">
        <f t="shared" si="520"/>
        <v>-46735.641765017324</v>
      </c>
      <c r="DA92" s="525">
        <f t="shared" si="520"/>
        <v>-46735.641765017324</v>
      </c>
      <c r="DB92" s="525">
        <f t="shared" si="520"/>
        <v>-46735.641765017324</v>
      </c>
      <c r="DC92" s="525">
        <f t="shared" si="520"/>
        <v>-46735.641765017324</v>
      </c>
      <c r="DD92" s="525">
        <f t="shared" si="520"/>
        <v>-46735.641765017324</v>
      </c>
      <c r="DE92" s="525">
        <f t="shared" si="520"/>
        <v>-46735.641765017324</v>
      </c>
      <c r="DF92" s="525">
        <f t="shared" si="520"/>
        <v>-46735.641765017324</v>
      </c>
      <c r="DG92" s="525">
        <f t="shared" si="520"/>
        <v>-46735.641765017324</v>
      </c>
      <c r="DH92" s="525">
        <f t="shared" si="520"/>
        <v>-48137.711017967849</v>
      </c>
      <c r="DI92" s="525">
        <f t="shared" si="520"/>
        <v>-48137.711017967849</v>
      </c>
      <c r="DJ92" s="525">
        <f t="shared" si="520"/>
        <v>-48137.711017967849</v>
      </c>
      <c r="DK92" s="525">
        <f t="shared" si="520"/>
        <v>-48137.711017967849</v>
      </c>
      <c r="DL92" s="525">
        <f t="shared" si="520"/>
        <v>-48137.711017967849</v>
      </c>
      <c r="DM92" s="525">
        <f t="shared" si="520"/>
        <v>-48137.711017967849</v>
      </c>
      <c r="DN92" s="525">
        <f t="shared" si="520"/>
        <v>-48137.711017967849</v>
      </c>
      <c r="DO92" s="525">
        <f t="shared" si="520"/>
        <v>-48137.711017967849</v>
      </c>
      <c r="DP92" s="525">
        <f t="shared" si="520"/>
        <v>-48137.711017967849</v>
      </c>
      <c r="DQ92" s="525">
        <f t="shared" si="520"/>
        <v>-48137.711017967849</v>
      </c>
      <c r="DR92" s="525">
        <f t="shared" si="520"/>
        <v>-48137.711017967849</v>
      </c>
      <c r="DS92" s="525">
        <f t="shared" si="520"/>
        <v>-48137.711017967849</v>
      </c>
      <c r="DT92" s="525">
        <f t="shared" si="520"/>
        <v>-49581.842348506885</v>
      </c>
      <c r="DU92" s="525">
        <f t="shared" si="520"/>
        <v>-49581.842348506885</v>
      </c>
      <c r="DV92" s="525">
        <f t="shared" si="520"/>
        <v>-49581.842348506885</v>
      </c>
      <c r="DW92" s="525">
        <f t="shared" si="520"/>
        <v>-49581.842348506885</v>
      </c>
      <c r="DX92" s="525">
        <f t="shared" si="520"/>
        <v>-49581.842348506885</v>
      </c>
      <c r="DY92" s="525">
        <f t="shared" si="520"/>
        <v>-49581.842348506885</v>
      </c>
      <c r="DZ92" s="525">
        <f t="shared" si="520"/>
        <v>-49581.842348506885</v>
      </c>
      <c r="EA92" s="525">
        <f t="shared" si="520"/>
        <v>-49581.842348506885</v>
      </c>
      <c r="EB92" s="525">
        <f t="shared" si="520"/>
        <v>-49581.842348506885</v>
      </c>
      <c r="EC92" s="525">
        <f t="shared" si="520"/>
        <v>-49581.842348506885</v>
      </c>
      <c r="ED92" s="525">
        <f t="shared" si="520"/>
        <v>-49581.842348506885</v>
      </c>
      <c r="EE92" s="525">
        <f t="shared" si="520"/>
        <v>-49581.842348506885</v>
      </c>
      <c r="EF92" s="525">
        <f t="shared" si="520"/>
        <v>-51069.297618962089</v>
      </c>
      <c r="EG92" s="525">
        <f t="shared" si="520"/>
        <v>-51069.297618962089</v>
      </c>
      <c r="EH92" s="525">
        <f t="shared" si="520"/>
        <v>-51069.297618962089</v>
      </c>
      <c r="EI92" s="525">
        <f t="shared" si="521"/>
        <v>-51069.297618962089</v>
      </c>
      <c r="EJ92" s="525">
        <f t="shared" si="521"/>
        <v>-51069.297618962089</v>
      </c>
      <c r="EK92" s="525">
        <f t="shared" si="521"/>
        <v>-51069.297618962089</v>
      </c>
      <c r="EL92" s="525">
        <f t="shared" si="521"/>
        <v>-51069.297618962089</v>
      </c>
      <c r="EM92" s="525">
        <f t="shared" si="521"/>
        <v>-51069.297618962089</v>
      </c>
      <c r="EN92" s="525">
        <f t="shared" si="521"/>
        <v>-51069.297618962089</v>
      </c>
      <c r="EO92" s="525">
        <f t="shared" si="521"/>
        <v>-51069.297618962089</v>
      </c>
      <c r="EP92" s="525">
        <f t="shared" si="521"/>
        <v>-51069.297618962089</v>
      </c>
      <c r="EQ92" s="525">
        <f t="shared" si="521"/>
        <v>-51069.297618962089</v>
      </c>
      <c r="ER92" s="525">
        <f t="shared" si="521"/>
        <v>-52601.376547530956</v>
      </c>
      <c r="ES92" s="525">
        <f t="shared" si="521"/>
        <v>-52601.376547530956</v>
      </c>
      <c r="ET92" s="525">
        <f t="shared" si="521"/>
        <v>-52601.376547530956</v>
      </c>
      <c r="EU92" s="525">
        <f t="shared" si="521"/>
        <v>-52601.376547530956</v>
      </c>
      <c r="EV92" s="525">
        <f t="shared" si="521"/>
        <v>-52601.376547530956</v>
      </c>
      <c r="EW92" s="525">
        <f t="shared" si="521"/>
        <v>-52601.376547530956</v>
      </c>
      <c r="EX92" s="525">
        <f t="shared" si="521"/>
        <v>-52601.376547530956</v>
      </c>
      <c r="EY92" s="525">
        <f t="shared" si="521"/>
        <v>-52601.376547530956</v>
      </c>
      <c r="EZ92" s="525">
        <f t="shared" si="521"/>
        <v>-52601.376547530956</v>
      </c>
      <c r="FA92" s="525">
        <f t="shared" si="521"/>
        <v>-52601.376547530956</v>
      </c>
      <c r="FB92" s="525">
        <f t="shared" si="521"/>
        <v>-52601.376547530956</v>
      </c>
      <c r="FC92" s="525">
        <f t="shared" si="521"/>
        <v>-52601.376547530956</v>
      </c>
      <c r="FD92" s="525">
        <f t="shared" si="521"/>
        <v>-54179.417843956879</v>
      </c>
      <c r="FE92" s="525">
        <f t="shared" si="521"/>
        <v>-54179.417843956879</v>
      </c>
      <c r="FF92" s="525">
        <f t="shared" si="521"/>
        <v>-54179.417843956879</v>
      </c>
      <c r="FG92" s="525">
        <f t="shared" si="521"/>
        <v>-54179.417843956879</v>
      </c>
      <c r="FH92" s="525">
        <f t="shared" si="521"/>
        <v>-54179.417843956879</v>
      </c>
      <c r="FI92" s="525">
        <f t="shared" si="521"/>
        <v>-54179.417843956879</v>
      </c>
      <c r="FJ92" s="525">
        <f t="shared" si="521"/>
        <v>-54179.417843956879</v>
      </c>
      <c r="FK92" s="525">
        <f t="shared" si="521"/>
        <v>-54179.417843956879</v>
      </c>
      <c r="FL92" s="525">
        <f t="shared" si="521"/>
        <v>-54179.417843956879</v>
      </c>
      <c r="FM92" s="525">
        <f t="shared" si="521"/>
        <v>-54179.417843956879</v>
      </c>
      <c r="FN92" s="525">
        <f t="shared" si="521"/>
        <v>-54179.417843956879</v>
      </c>
      <c r="FO92" s="525">
        <f t="shared" si="521"/>
        <v>-54179.417843956879</v>
      </c>
      <c r="FP92" s="525">
        <f t="shared" si="521"/>
        <v>-55804.800379275584</v>
      </c>
      <c r="FQ92" s="525">
        <f t="shared" si="521"/>
        <v>-55804.800379275584</v>
      </c>
      <c r="FR92" s="525">
        <f t="shared" si="521"/>
        <v>-55804.800379275584</v>
      </c>
      <c r="FS92" s="525">
        <f t="shared" si="521"/>
        <v>-55804.800379275584</v>
      </c>
      <c r="FT92" s="525">
        <f t="shared" si="521"/>
        <v>-55804.800379275584</v>
      </c>
      <c r="FU92" s="525">
        <f t="shared" si="521"/>
        <v>-55804.800379275584</v>
      </c>
      <c r="FV92" s="525">
        <f t="shared" si="521"/>
        <v>-55804.800379275584</v>
      </c>
      <c r="FW92" s="525">
        <f t="shared" si="521"/>
        <v>-55804.800379275584</v>
      </c>
      <c r="FX92" s="525">
        <f t="shared" si="521"/>
        <v>-55804.800379275584</v>
      </c>
      <c r="FY92" s="525">
        <f t="shared" si="521"/>
        <v>-55804.800379275584</v>
      </c>
      <c r="FZ92" s="525">
        <f t="shared" si="521"/>
        <v>-55804.800379275584</v>
      </c>
      <c r="GA92" s="525">
        <f t="shared" si="521"/>
        <v>-55804.800379275584</v>
      </c>
      <c r="GB92" s="525">
        <f t="shared" si="521"/>
        <v>-57478.944390653844</v>
      </c>
      <c r="GC92" s="525">
        <f t="shared" si="521"/>
        <v>-57478.944390653844</v>
      </c>
      <c r="GD92" s="525">
        <f t="shared" si="521"/>
        <v>-57478.944390653844</v>
      </c>
      <c r="GE92" s="525">
        <f t="shared" si="521"/>
        <v>-57478.944390653844</v>
      </c>
      <c r="GF92" s="525">
        <f t="shared" si="521"/>
        <v>-57478.944390653844</v>
      </c>
      <c r="GG92" s="525">
        <f t="shared" si="521"/>
        <v>-57478.944390653844</v>
      </c>
      <c r="GH92" s="525">
        <f t="shared" si="521"/>
        <v>-57478.944390653844</v>
      </c>
      <c r="GI92" s="525">
        <f t="shared" si="521"/>
        <v>-57478.944390653844</v>
      </c>
      <c r="GJ92" s="525">
        <f t="shared" si="521"/>
        <v>-57478.944390653844</v>
      </c>
      <c r="GK92" s="525">
        <f t="shared" si="521"/>
        <v>-57478.944390653844</v>
      </c>
      <c r="GL92" s="525">
        <f t="shared" si="521"/>
        <v>-57478.944390653844</v>
      </c>
      <c r="GM92" s="525">
        <f t="shared" si="521"/>
        <v>-57478.944390653844</v>
      </c>
      <c r="GN92" s="525">
        <f t="shared" si="521"/>
        <v>-59203.312722373463</v>
      </c>
      <c r="GO92" s="525">
        <f t="shared" si="521"/>
        <v>-59203.312722373463</v>
      </c>
      <c r="GP92" s="525">
        <f t="shared" si="521"/>
        <v>-59203.312722373463</v>
      </c>
      <c r="GQ92" s="525">
        <f t="shared" si="521"/>
        <v>-59203.312722373463</v>
      </c>
      <c r="GR92" s="525">
        <f t="shared" si="521"/>
        <v>-59203.312722373463</v>
      </c>
      <c r="GS92" s="525">
        <f t="shared" si="521"/>
        <v>-59203.312722373463</v>
      </c>
      <c r="GT92" s="525">
        <f t="shared" si="521"/>
        <v>-59203.312722373463</v>
      </c>
      <c r="GU92" s="525">
        <f t="shared" si="522"/>
        <v>-59203.312722373463</v>
      </c>
      <c r="GV92" s="525">
        <f t="shared" si="522"/>
        <v>-59203.312722373463</v>
      </c>
      <c r="GW92" s="525">
        <f t="shared" si="522"/>
        <v>-59203.312722373463</v>
      </c>
      <c r="GX92" s="525">
        <f t="shared" si="522"/>
        <v>-59203.312722373463</v>
      </c>
      <c r="GY92" s="525">
        <f t="shared" si="522"/>
        <v>-59203.312722373463</v>
      </c>
      <c r="GZ92" s="525">
        <f t="shared" si="522"/>
        <v>-60979.41210404467</v>
      </c>
      <c r="HA92" s="525">
        <f t="shared" si="522"/>
        <v>-60979.41210404467</v>
      </c>
      <c r="HB92" s="525">
        <f t="shared" si="522"/>
        <v>-60979.41210404467</v>
      </c>
      <c r="HC92" s="525">
        <f t="shared" si="522"/>
        <v>-60979.41210404467</v>
      </c>
      <c r="HD92" s="525">
        <f t="shared" si="522"/>
        <v>-60979.41210404467</v>
      </c>
      <c r="HE92" s="525">
        <f t="shared" si="522"/>
        <v>-60979.41210404467</v>
      </c>
      <c r="HF92" s="525">
        <f t="shared" si="522"/>
        <v>-60979.41210404467</v>
      </c>
      <c r="HG92" s="525">
        <f t="shared" si="522"/>
        <v>-60979.41210404467</v>
      </c>
      <c r="HH92" s="525">
        <f t="shared" si="522"/>
        <v>-60979.41210404467</v>
      </c>
      <c r="HI92" s="525">
        <f t="shared" si="522"/>
        <v>-60979.41210404467</v>
      </c>
      <c r="HJ92" s="525">
        <f t="shared" si="522"/>
        <v>-60979.41210404467</v>
      </c>
      <c r="HK92" s="525">
        <f t="shared" si="522"/>
        <v>-60979.41210404467</v>
      </c>
      <c r="HL92" s="525">
        <f t="shared" si="522"/>
        <v>-62808.794467166015</v>
      </c>
      <c r="HM92" s="525">
        <f t="shared" si="522"/>
        <v>-62808.794467166015</v>
      </c>
      <c r="HN92" s="525">
        <f t="shared" si="522"/>
        <v>-62808.794467166015</v>
      </c>
      <c r="HO92" s="525">
        <f t="shared" si="522"/>
        <v>-62808.794467166015</v>
      </c>
      <c r="HP92" s="525">
        <f t="shared" si="522"/>
        <v>-62808.794467166015</v>
      </c>
      <c r="HQ92" s="525">
        <f t="shared" si="522"/>
        <v>-62808.794467166015</v>
      </c>
      <c r="HR92" s="525">
        <f t="shared" si="522"/>
        <v>-62808.794467166015</v>
      </c>
      <c r="HS92" s="525">
        <f t="shared" si="522"/>
        <v>-62808.794467166015</v>
      </c>
      <c r="HT92" s="525">
        <f t="shared" si="522"/>
        <v>-62808.794467166015</v>
      </c>
      <c r="HU92" s="525">
        <f t="shared" si="522"/>
        <v>-62808.794467166015</v>
      </c>
      <c r="HV92" s="525">
        <f t="shared" si="522"/>
        <v>-62808.794467166015</v>
      </c>
      <c r="HW92" s="525">
        <f t="shared" si="522"/>
        <v>-62808.794467166015</v>
      </c>
      <c r="HX92" s="525">
        <f t="shared" si="522"/>
        <v>-64693.058301180987</v>
      </c>
      <c r="HY92" s="525">
        <f t="shared" si="522"/>
        <v>-64693.058301180987</v>
      </c>
      <c r="HZ92" s="525">
        <f t="shared" si="522"/>
        <v>-64693.058301180987</v>
      </c>
      <c r="IA92" s="525">
        <f t="shared" si="522"/>
        <v>-64693.058301180987</v>
      </c>
      <c r="IB92" s="525">
        <f t="shared" si="522"/>
        <v>-64693.058301180987</v>
      </c>
      <c r="IC92" s="525">
        <f t="shared" si="522"/>
        <v>-64693.058301180987</v>
      </c>
      <c r="ID92" s="525">
        <f t="shared" si="522"/>
        <v>-64693.058301180987</v>
      </c>
      <c r="IE92" s="525">
        <f t="shared" si="522"/>
        <v>-64693.058301180987</v>
      </c>
      <c r="IF92" s="525">
        <f t="shared" si="522"/>
        <v>-64693.058301180987</v>
      </c>
      <c r="IG92" s="525">
        <f t="shared" si="522"/>
        <v>-64693.058301180987</v>
      </c>
      <c r="IH92" s="525">
        <f t="shared" si="522"/>
        <v>-64693.058301180987</v>
      </c>
      <c r="II92" s="525">
        <f t="shared" si="522"/>
        <v>-64693.058301180987</v>
      </c>
      <c r="IJ92" s="525">
        <f t="shared" si="522"/>
        <v>-66633.85005021641</v>
      </c>
      <c r="IK92" s="525">
        <f t="shared" si="522"/>
        <v>-66633.85005021641</v>
      </c>
      <c r="IL92" s="525">
        <f t="shared" si="522"/>
        <v>-66633.85005021641</v>
      </c>
      <c r="IM92" s="525">
        <f t="shared" si="522"/>
        <v>-66633.85005021641</v>
      </c>
      <c r="IN92" s="525">
        <f t="shared" si="522"/>
        <v>-66633.85005021641</v>
      </c>
      <c r="IO92" s="525">
        <f t="shared" si="522"/>
        <v>-66633.85005021641</v>
      </c>
      <c r="IP92" s="525">
        <f t="shared" si="522"/>
        <v>-66633.85005021641</v>
      </c>
      <c r="IQ92" s="525">
        <f t="shared" si="522"/>
        <v>-66633.85005021641</v>
      </c>
      <c r="IR92" s="525">
        <f t="shared" si="522"/>
        <v>-66633.85005021641</v>
      </c>
      <c r="IS92" s="525">
        <f t="shared" si="522"/>
        <v>-66633.85005021641</v>
      </c>
      <c r="IT92" s="525">
        <f t="shared" si="522"/>
        <v>-66633.85005021641</v>
      </c>
      <c r="IU92" s="525">
        <f t="shared" si="522"/>
        <v>-66633.85005021641</v>
      </c>
      <c r="IV92" s="525">
        <f t="shared" si="522"/>
        <v>-68632.865551722905</v>
      </c>
      <c r="IW92" s="525">
        <f t="shared" si="522"/>
        <v>-68632.865551722905</v>
      </c>
      <c r="IX92" s="525">
        <f t="shared" si="522"/>
        <v>-68632.865551722905</v>
      </c>
      <c r="IY92" s="525">
        <f t="shared" si="522"/>
        <v>-68632.865551722905</v>
      </c>
      <c r="IZ92" s="525">
        <f t="shared" si="522"/>
        <v>-68632.865551722905</v>
      </c>
      <c r="JA92" s="525">
        <f t="shared" si="522"/>
        <v>-68632.865551722905</v>
      </c>
      <c r="JB92" s="525">
        <f t="shared" si="522"/>
        <v>-68632.865551722905</v>
      </c>
      <c r="JC92" s="525">
        <f t="shared" si="522"/>
        <v>-68632.865551722905</v>
      </c>
      <c r="JD92" s="525">
        <f t="shared" si="522"/>
        <v>-68632.865551722905</v>
      </c>
      <c r="JE92" s="525">
        <f t="shared" si="522"/>
        <v>-68632.865551722905</v>
      </c>
      <c r="JF92" s="525">
        <f t="shared" si="522"/>
        <v>-68632.865551722905</v>
      </c>
      <c r="JG92" s="525">
        <f t="shared" si="523"/>
        <v>-68632.865551722905</v>
      </c>
      <c r="JH92" s="525">
        <f t="shared" si="523"/>
        <v>-70691.85151827459</v>
      </c>
      <c r="JI92" s="525">
        <f t="shared" si="523"/>
        <v>-70691.85151827459</v>
      </c>
      <c r="JJ92" s="525">
        <f t="shared" si="523"/>
        <v>-70691.85151827459</v>
      </c>
      <c r="JK92" s="525">
        <f t="shared" si="523"/>
        <v>-70691.85151827459</v>
      </c>
      <c r="JL92" s="525">
        <f t="shared" si="523"/>
        <v>-70691.85151827459</v>
      </c>
      <c r="JM92" s="525">
        <f t="shared" si="523"/>
        <v>-70691.85151827459</v>
      </c>
      <c r="JN92" s="525">
        <f t="shared" si="523"/>
        <v>-70691.85151827459</v>
      </c>
      <c r="JO92" s="525">
        <f t="shared" si="523"/>
        <v>-70691.85151827459</v>
      </c>
      <c r="JP92" s="525">
        <f t="shared" si="523"/>
        <v>-70691.85151827459</v>
      </c>
      <c r="JQ92" s="525">
        <f t="shared" si="523"/>
        <v>-70691.85151827459</v>
      </c>
      <c r="JR92" s="525">
        <f t="shared" si="523"/>
        <v>-70691.85151827459</v>
      </c>
      <c r="JS92" s="525">
        <f t="shared" si="523"/>
        <v>-70691.85151827459</v>
      </c>
      <c r="JT92" s="525">
        <f t="shared" si="523"/>
        <v>-72812.607063822827</v>
      </c>
      <c r="JU92" s="525">
        <f t="shared" si="523"/>
        <v>-72812.607063822827</v>
      </c>
      <c r="JV92" s="525">
        <f t="shared" si="523"/>
        <v>-72812.607063822827</v>
      </c>
      <c r="JW92" s="525">
        <f t="shared" si="523"/>
        <v>-72812.607063822827</v>
      </c>
      <c r="JX92" s="525">
        <f t="shared" si="523"/>
        <v>-72812.607063822827</v>
      </c>
      <c r="JY92" s="525">
        <f t="shared" si="523"/>
        <v>-72812.607063822827</v>
      </c>
      <c r="JZ92" s="525">
        <f t="shared" si="523"/>
        <v>-72812.607063822827</v>
      </c>
      <c r="KA92" s="525">
        <f t="shared" si="523"/>
        <v>-72812.607063822827</v>
      </c>
      <c r="KB92" s="525">
        <f t="shared" si="523"/>
        <v>-72812.607063822827</v>
      </c>
      <c r="KC92" s="525">
        <f t="shared" si="523"/>
        <v>-72812.607063822827</v>
      </c>
      <c r="KD92" s="525">
        <f t="shared" si="523"/>
        <v>-72812.607063822827</v>
      </c>
      <c r="KE92" s="525">
        <f t="shared" si="523"/>
        <v>-72812.607063822827</v>
      </c>
      <c r="KF92" s="525">
        <f t="shared" si="523"/>
        <v>-74996.985275737505</v>
      </c>
      <c r="KG92" s="525">
        <f t="shared" si="523"/>
        <v>-74996.985275737505</v>
      </c>
      <c r="KH92" s="525">
        <f t="shared" si="523"/>
        <v>-74996.985275737505</v>
      </c>
      <c r="KI92" s="525">
        <f t="shared" si="523"/>
        <v>-74996.985275737505</v>
      </c>
      <c r="KJ92" s="525">
        <f t="shared" si="523"/>
        <v>-74996.985275737505</v>
      </c>
      <c r="KK92" s="525">
        <f t="shared" si="523"/>
        <v>-74996.985275737505</v>
      </c>
      <c r="KL92" s="525">
        <f t="shared" si="523"/>
        <v>-74996.985275737505</v>
      </c>
      <c r="KM92" s="525">
        <f t="shared" si="523"/>
        <v>-74996.985275737505</v>
      </c>
      <c r="KN92" s="525">
        <f t="shared" si="523"/>
        <v>-74996.985275737505</v>
      </c>
      <c r="KO92" s="525">
        <f t="shared" si="523"/>
        <v>-74996.985275737505</v>
      </c>
      <c r="KP92" s="525">
        <f t="shared" si="523"/>
        <v>-74996.985275737505</v>
      </c>
      <c r="KQ92" s="525">
        <f t="shared" si="523"/>
        <v>-74996.985275737505</v>
      </c>
      <c r="KR92" s="525">
        <f t="shared" si="523"/>
        <v>-77246.894834009639</v>
      </c>
      <c r="KS92" s="525">
        <f t="shared" si="523"/>
        <v>-77246.894834009639</v>
      </c>
      <c r="KT92" s="525">
        <f t="shared" si="523"/>
        <v>-77246.894834009639</v>
      </c>
      <c r="KU92" s="525">
        <f t="shared" si="523"/>
        <v>-77246.894834009639</v>
      </c>
      <c r="KV92" s="525">
        <f t="shared" si="523"/>
        <v>-77246.894834009639</v>
      </c>
      <c r="KW92" s="525">
        <f t="shared" si="523"/>
        <v>-77246.894834009639</v>
      </c>
      <c r="KX92" s="525">
        <f t="shared" si="523"/>
        <v>-77246.894834009639</v>
      </c>
      <c r="KY92" s="525">
        <f t="shared" si="523"/>
        <v>-77246.894834009639</v>
      </c>
      <c r="KZ92" s="525">
        <f t="shared" si="523"/>
        <v>-77246.894834009639</v>
      </c>
      <c r="LA92" s="525">
        <f t="shared" si="523"/>
        <v>-77246.894834009639</v>
      </c>
      <c r="LB92" s="525">
        <f t="shared" si="523"/>
        <v>-77246.894834009639</v>
      </c>
      <c r="LC92" s="525">
        <f t="shared" si="523"/>
        <v>-77246.894834009639</v>
      </c>
      <c r="LD92" s="525">
        <f t="shared" si="523"/>
        <v>-79564.30167902993</v>
      </c>
      <c r="LE92" s="525">
        <f t="shared" si="523"/>
        <v>-79564.30167902993</v>
      </c>
      <c r="LF92" s="525">
        <f t="shared" si="523"/>
        <v>-79564.30167902993</v>
      </c>
      <c r="LG92" s="525">
        <f t="shared" si="523"/>
        <v>-79564.30167902993</v>
      </c>
      <c r="LH92" s="525">
        <f t="shared" si="523"/>
        <v>-79564.30167902993</v>
      </c>
      <c r="LI92" s="525">
        <f t="shared" si="523"/>
        <v>-79564.30167902993</v>
      </c>
      <c r="LJ92" s="525">
        <f t="shared" si="523"/>
        <v>-79564.30167902993</v>
      </c>
      <c r="LK92" s="525">
        <f t="shared" si="523"/>
        <v>-79564.30167902993</v>
      </c>
      <c r="LL92" s="525">
        <f t="shared" si="523"/>
        <v>-79564.30167902993</v>
      </c>
      <c r="LM92" s="525">
        <f t="shared" si="523"/>
        <v>-79564.30167902993</v>
      </c>
      <c r="LN92" s="525">
        <f t="shared" si="523"/>
        <v>-79564.30167902993</v>
      </c>
      <c r="LO92" s="525">
        <f t="shared" si="523"/>
        <v>-79564.30167902993</v>
      </c>
      <c r="LP92" s="525">
        <f t="shared" si="523"/>
        <v>-81951.230729400821</v>
      </c>
      <c r="LQ92" s="525">
        <f t="shared" si="523"/>
        <v>-81951.230729400821</v>
      </c>
      <c r="LR92" s="525">
        <f t="shared" si="523"/>
        <v>-81951.230729400821</v>
      </c>
      <c r="LS92" s="525">
        <f t="shared" si="524"/>
        <v>-81951.230729400821</v>
      </c>
      <c r="LT92" s="525">
        <f t="shared" si="524"/>
        <v>-81951.230729400821</v>
      </c>
      <c r="LU92" s="525">
        <f t="shared" si="524"/>
        <v>-81951.230729400821</v>
      </c>
      <c r="LV92" s="525">
        <f t="shared" si="524"/>
        <v>-81951.230729400821</v>
      </c>
      <c r="LW92" s="525">
        <f t="shared" si="524"/>
        <v>-81951.230729400821</v>
      </c>
      <c r="LX92" s="525">
        <f t="shared" si="524"/>
        <v>-81951.230729400821</v>
      </c>
      <c r="LY92" s="525">
        <f t="shared" si="524"/>
        <v>-81951.230729400821</v>
      </c>
      <c r="LZ92" s="525">
        <f t="shared" si="524"/>
        <v>-81951.230729400821</v>
      </c>
      <c r="MA92" s="525">
        <f t="shared" si="524"/>
        <v>-81951.230729400821</v>
      </c>
      <c r="MB92" s="525">
        <f t="shared" si="524"/>
        <v>-84409.767651282848</v>
      </c>
      <c r="MC92" s="525">
        <f t="shared" si="524"/>
        <v>-84409.767651282848</v>
      </c>
      <c r="MD92" s="525">
        <f t="shared" si="524"/>
        <v>-84409.767651282848</v>
      </c>
      <c r="ME92" s="525">
        <f t="shared" si="524"/>
        <v>-84409.767651282848</v>
      </c>
      <c r="MF92" s="525">
        <f t="shared" si="524"/>
        <v>-84409.767651282848</v>
      </c>
      <c r="MG92" s="525">
        <f t="shared" si="524"/>
        <v>-84409.767651282848</v>
      </c>
      <c r="MH92" s="525">
        <f t="shared" si="524"/>
        <v>-84409.767651282848</v>
      </c>
      <c r="MI92" s="525">
        <f t="shared" si="524"/>
        <v>-84409.767651282848</v>
      </c>
      <c r="MJ92" s="525">
        <f t="shared" si="524"/>
        <v>-84409.767651282848</v>
      </c>
      <c r="MK92" s="525">
        <f t="shared" si="524"/>
        <v>-84409.767651282848</v>
      </c>
      <c r="ML92" s="525">
        <f t="shared" si="524"/>
        <v>-84409.767651282848</v>
      </c>
      <c r="MM92" s="525">
        <f t="shared" si="524"/>
        <v>-84409.767651282848</v>
      </c>
      <c r="MN92" s="525">
        <f t="shared" si="524"/>
        <v>-86942.060680821334</v>
      </c>
      <c r="MO92" s="525">
        <f t="shared" si="524"/>
        <v>-86942.060680821334</v>
      </c>
      <c r="MP92" s="525">
        <f t="shared" si="524"/>
        <v>-86942.060680821334</v>
      </c>
      <c r="MQ92" s="525">
        <f t="shared" si="524"/>
        <v>-86942.060680821334</v>
      </c>
      <c r="MR92" s="525">
        <f t="shared" si="524"/>
        <v>-86942.060680821334</v>
      </c>
      <c r="MS92" s="525">
        <f t="shared" si="524"/>
        <v>-86942.060680821334</v>
      </c>
      <c r="MT92" s="525">
        <f t="shared" si="524"/>
        <v>-86942.060680821334</v>
      </c>
      <c r="MU92" s="525">
        <f t="shared" si="524"/>
        <v>-86942.060680821334</v>
      </c>
      <c r="MV92" s="525">
        <f t="shared" si="524"/>
        <v>-86942.060680821334</v>
      </c>
      <c r="MW92" s="525">
        <f t="shared" si="524"/>
        <v>-86942.060680821334</v>
      </c>
      <c r="MX92" s="525">
        <f t="shared" si="524"/>
        <v>-86942.060680821334</v>
      </c>
      <c r="MY92" s="525">
        <f t="shared" si="524"/>
        <v>-86942.060680821334</v>
      </c>
      <c r="MZ92" s="525">
        <f t="shared" si="524"/>
        <v>-89550.322501245959</v>
      </c>
      <c r="NA92" s="525">
        <f t="shared" si="524"/>
        <v>-89550.322501245959</v>
      </c>
      <c r="NB92" s="525">
        <f t="shared" si="524"/>
        <v>-89550.322501245959</v>
      </c>
      <c r="NC92" s="525">
        <f t="shared" si="524"/>
        <v>-89550.322501245959</v>
      </c>
      <c r="ND92" s="525">
        <f t="shared" si="524"/>
        <v>-89550.322501245959</v>
      </c>
      <c r="NE92" s="525">
        <f t="shared" si="524"/>
        <v>-89550.322501245959</v>
      </c>
      <c r="NF92" s="525">
        <f t="shared" si="524"/>
        <v>-89550.322501245959</v>
      </c>
      <c r="NG92" s="525">
        <f t="shared" si="524"/>
        <v>-89550.322501245959</v>
      </c>
      <c r="NH92" s="525">
        <f t="shared" si="524"/>
        <v>-89550.322501245959</v>
      </c>
      <c r="NI92" s="525">
        <f t="shared" si="524"/>
        <v>-89550.322501245959</v>
      </c>
      <c r="NJ92" s="525">
        <f t="shared" si="524"/>
        <v>-89550.322501245959</v>
      </c>
      <c r="NK92" s="525">
        <f t="shared" si="524"/>
        <v>-89550.322501245959</v>
      </c>
      <c r="NL92" s="525">
        <f t="shared" si="524"/>
        <v>-92236.832176283351</v>
      </c>
      <c r="NM92" s="525">
        <f t="shared" si="524"/>
        <v>-92236.832176283351</v>
      </c>
      <c r="NN92" s="525">
        <f t="shared" si="524"/>
        <v>-92236.832176283351</v>
      </c>
      <c r="NO92" s="525">
        <f t="shared" si="524"/>
        <v>-92236.832176283351</v>
      </c>
      <c r="NP92" s="525">
        <f t="shared" si="524"/>
        <v>-92236.832176283351</v>
      </c>
      <c r="NQ92" s="525">
        <f t="shared" si="524"/>
        <v>-92236.832176283351</v>
      </c>
      <c r="NR92" s="525">
        <f t="shared" si="524"/>
        <v>-92236.832176283351</v>
      </c>
      <c r="NS92" s="525">
        <f t="shared" si="524"/>
        <v>-92236.832176283351</v>
      </c>
      <c r="NT92" s="525">
        <f t="shared" si="524"/>
        <v>-92236.832176283351</v>
      </c>
      <c r="NU92" s="525">
        <f t="shared" si="524"/>
        <v>-92236.832176283351</v>
      </c>
      <c r="NV92" s="525">
        <f t="shared" si="524"/>
        <v>-92236.832176283351</v>
      </c>
      <c r="NW92" s="525">
        <f t="shared" si="524"/>
        <v>-92236.832176283351</v>
      </c>
      <c r="NX92" s="525">
        <f t="shared" si="524"/>
        <v>-95003.937141571834</v>
      </c>
      <c r="NY92" s="525">
        <f t="shared" si="524"/>
        <v>-95003.937141571834</v>
      </c>
      <c r="NZ92" s="525">
        <f t="shared" si="524"/>
        <v>-95003.937141571834</v>
      </c>
      <c r="OA92" s="525">
        <f t="shared" si="524"/>
        <v>-95003.937141571834</v>
      </c>
      <c r="OB92" s="525">
        <f t="shared" si="524"/>
        <v>-95003.937141571834</v>
      </c>
      <c r="OC92" s="525">
        <f t="shared" si="524"/>
        <v>-95003.937141571834</v>
      </c>
      <c r="OD92" s="525">
        <f t="shared" si="524"/>
        <v>-95003.937141571834</v>
      </c>
      <c r="OE92" s="525">
        <f t="shared" si="525"/>
        <v>-95003.937141571834</v>
      </c>
      <c r="OF92" s="525">
        <f t="shared" si="525"/>
        <v>-95003.937141571834</v>
      </c>
      <c r="OG92" s="525">
        <f t="shared" si="525"/>
        <v>-95003.937141571834</v>
      </c>
      <c r="OH92" s="525">
        <f t="shared" si="525"/>
        <v>-95003.937141571834</v>
      </c>
      <c r="OI92" s="525">
        <f t="shared" si="525"/>
        <v>-95003.937141571834</v>
      </c>
      <c r="OJ92" s="525">
        <f t="shared" si="525"/>
        <v>-97854.055255818996</v>
      </c>
      <c r="OK92" s="525">
        <f t="shared" si="525"/>
        <v>-97854.055255818996</v>
      </c>
      <c r="OL92" s="525">
        <f t="shared" si="525"/>
        <v>-97854.055255818996</v>
      </c>
      <c r="OM92" s="525">
        <f t="shared" si="525"/>
        <v>-97854.055255818996</v>
      </c>
      <c r="ON92" s="525">
        <f t="shared" si="525"/>
        <v>-97854.055255818996</v>
      </c>
      <c r="OO92" s="525">
        <f t="shared" si="525"/>
        <v>-97854.055255818996</v>
      </c>
    </row>
    <row r="93" spans="2:405">
      <c r="B93" s="516" t="s">
        <v>305</v>
      </c>
      <c r="C93" s="516"/>
      <c r="D93" s="446"/>
      <c r="E93" s="105"/>
      <c r="F93" s="105"/>
      <c r="G93" s="105"/>
      <c r="H93" s="105"/>
      <c r="I93" s="105"/>
      <c r="J93" s="447">
        <f>SUM(J91:J92)</f>
        <v>0</v>
      </c>
      <c r="K93" s="447">
        <f t="shared" ref="K93:BV93" si="526">SUM(K91:K92)</f>
        <v>0</v>
      </c>
      <c r="L93" s="447">
        <f t="shared" si="526"/>
        <v>0</v>
      </c>
      <c r="M93" s="447">
        <f t="shared" si="526"/>
        <v>0</v>
      </c>
      <c r="N93" s="447">
        <f t="shared" si="526"/>
        <v>0</v>
      </c>
      <c r="O93" s="447">
        <f t="shared" si="526"/>
        <v>0</v>
      </c>
      <c r="P93" s="447">
        <f t="shared" si="526"/>
        <v>0</v>
      </c>
      <c r="Q93" s="447">
        <f t="shared" si="526"/>
        <v>0</v>
      </c>
      <c r="R93" s="447">
        <f t="shared" si="526"/>
        <v>0</v>
      </c>
      <c r="S93" s="447">
        <f t="shared" si="526"/>
        <v>0</v>
      </c>
      <c r="T93" s="447">
        <f t="shared" si="526"/>
        <v>0</v>
      </c>
      <c r="U93" s="447">
        <f t="shared" si="526"/>
        <v>0</v>
      </c>
      <c r="V93" s="447">
        <f t="shared" si="526"/>
        <v>0</v>
      </c>
      <c r="W93" s="447">
        <f t="shared" si="526"/>
        <v>0</v>
      </c>
      <c r="X93" s="447">
        <f t="shared" si="526"/>
        <v>0</v>
      </c>
      <c r="Y93" s="447">
        <f t="shared" si="526"/>
        <v>0</v>
      </c>
      <c r="Z93" s="447">
        <f t="shared" si="526"/>
        <v>0</v>
      </c>
      <c r="AA93" s="447">
        <f t="shared" si="526"/>
        <v>0</v>
      </c>
      <c r="AB93" s="447">
        <f t="shared" si="526"/>
        <v>0</v>
      </c>
      <c r="AC93" s="447">
        <f t="shared" si="526"/>
        <v>0</v>
      </c>
      <c r="AD93" s="447">
        <f t="shared" si="526"/>
        <v>0</v>
      </c>
      <c r="AE93" s="447">
        <f t="shared" si="526"/>
        <v>0</v>
      </c>
      <c r="AF93" s="447">
        <f t="shared" si="526"/>
        <v>0</v>
      </c>
      <c r="AG93" s="447">
        <f t="shared" si="526"/>
        <v>0</v>
      </c>
      <c r="AH93" s="447">
        <f t="shared" si="526"/>
        <v>0</v>
      </c>
      <c r="AI93" s="447">
        <f t="shared" si="526"/>
        <v>0</v>
      </c>
      <c r="AJ93" s="447">
        <f t="shared" si="526"/>
        <v>0</v>
      </c>
      <c r="AK93" s="447">
        <f t="shared" si="526"/>
        <v>0</v>
      </c>
      <c r="AL93" s="447">
        <f t="shared" si="526"/>
        <v>0</v>
      </c>
      <c r="AM93" s="447">
        <f t="shared" si="526"/>
        <v>0</v>
      </c>
      <c r="AN93" s="447">
        <f t="shared" si="526"/>
        <v>0</v>
      </c>
      <c r="AO93" s="447">
        <f t="shared" si="526"/>
        <v>0</v>
      </c>
      <c r="AP93" s="447">
        <f t="shared" si="526"/>
        <v>0</v>
      </c>
      <c r="AQ93" s="447">
        <f t="shared" si="526"/>
        <v>0</v>
      </c>
      <c r="AR93" s="447">
        <f t="shared" si="526"/>
        <v>0</v>
      </c>
      <c r="AS93" s="447">
        <f t="shared" si="526"/>
        <v>0</v>
      </c>
      <c r="AT93" s="447">
        <f t="shared" si="526"/>
        <v>-269104.74179700203</v>
      </c>
      <c r="AU93" s="447">
        <f t="shared" si="526"/>
        <v>-269104.74179700203</v>
      </c>
      <c r="AV93" s="447">
        <f t="shared" si="526"/>
        <v>-269104.74179700203</v>
      </c>
      <c r="AW93" s="447">
        <f t="shared" si="526"/>
        <v>-269104.74179700203</v>
      </c>
      <c r="AX93" s="447">
        <f t="shared" si="526"/>
        <v>-269104.74179700203</v>
      </c>
      <c r="AY93" s="447">
        <f t="shared" si="526"/>
        <v>-269104.74179700203</v>
      </c>
      <c r="AZ93" s="447">
        <f t="shared" si="526"/>
        <v>-277177.88405091211</v>
      </c>
      <c r="BA93" s="447">
        <f t="shared" si="526"/>
        <v>-277177.88405091211</v>
      </c>
      <c r="BB93" s="447">
        <f t="shared" si="526"/>
        <v>-277177.88405091211</v>
      </c>
      <c r="BC93" s="447">
        <f t="shared" si="526"/>
        <v>-277177.88405091211</v>
      </c>
      <c r="BD93" s="447">
        <f t="shared" si="526"/>
        <v>-277177.88405091211</v>
      </c>
      <c r="BE93" s="447">
        <f t="shared" si="526"/>
        <v>-277177.88405091211</v>
      </c>
      <c r="BF93" s="447">
        <f t="shared" si="526"/>
        <v>-277177.88405091211</v>
      </c>
      <c r="BG93" s="447">
        <f t="shared" si="526"/>
        <v>-277177.88405091211</v>
      </c>
      <c r="BH93" s="447">
        <f t="shared" si="526"/>
        <v>-277177.88405091211</v>
      </c>
      <c r="BI93" s="447">
        <f t="shared" si="526"/>
        <v>-277177.88405091211</v>
      </c>
      <c r="BJ93" s="447">
        <f t="shared" si="526"/>
        <v>-277177.88405091211</v>
      </c>
      <c r="BK93" s="447">
        <f t="shared" si="526"/>
        <v>-277177.88405091211</v>
      </c>
      <c r="BL93" s="447">
        <f t="shared" si="526"/>
        <v>-285493.22057243943</v>
      </c>
      <c r="BM93" s="447">
        <f t="shared" si="526"/>
        <v>-285493.22057243943</v>
      </c>
      <c r="BN93" s="447">
        <f t="shared" si="526"/>
        <v>-285493.22057243943</v>
      </c>
      <c r="BO93" s="447">
        <f t="shared" si="526"/>
        <v>-285493.22057243943</v>
      </c>
      <c r="BP93" s="447">
        <f t="shared" si="526"/>
        <v>-285493.22057243943</v>
      </c>
      <c r="BQ93" s="447">
        <f t="shared" si="526"/>
        <v>-285493.22057243943</v>
      </c>
      <c r="BR93" s="447">
        <f t="shared" si="526"/>
        <v>-285493.22057243943</v>
      </c>
      <c r="BS93" s="447">
        <f t="shared" si="526"/>
        <v>-285493.22057243943</v>
      </c>
      <c r="BT93" s="447">
        <f t="shared" si="526"/>
        <v>-285493.22057243943</v>
      </c>
      <c r="BU93" s="447">
        <f t="shared" si="526"/>
        <v>-285493.22057243943</v>
      </c>
      <c r="BV93" s="447">
        <f t="shared" si="526"/>
        <v>-285493.22057243943</v>
      </c>
      <c r="BW93" s="447">
        <f t="shared" ref="BW93:EH93" si="527">SUM(BW91:BW92)</f>
        <v>-285493.22057243943</v>
      </c>
      <c r="BX93" s="447">
        <f t="shared" si="527"/>
        <v>-294058.01718961261</v>
      </c>
      <c r="BY93" s="447">
        <f t="shared" si="527"/>
        <v>-294058.01718961261</v>
      </c>
      <c r="BZ93" s="447">
        <f t="shared" si="527"/>
        <v>-294058.01718961261</v>
      </c>
      <c r="CA93" s="447">
        <f t="shared" si="527"/>
        <v>-294058.01718961261</v>
      </c>
      <c r="CB93" s="447">
        <f t="shared" si="527"/>
        <v>-294058.01718961261</v>
      </c>
      <c r="CC93" s="447">
        <f t="shared" si="527"/>
        <v>-294058.01718961261</v>
      </c>
      <c r="CD93" s="447">
        <f t="shared" si="527"/>
        <v>-294058.01718961261</v>
      </c>
      <c r="CE93" s="447">
        <f t="shared" si="527"/>
        <v>-294058.01718961261</v>
      </c>
      <c r="CF93" s="447">
        <f t="shared" si="527"/>
        <v>-294058.01718961261</v>
      </c>
      <c r="CG93" s="447">
        <f t="shared" si="527"/>
        <v>-294058.01718961261</v>
      </c>
      <c r="CH93" s="447">
        <f t="shared" si="527"/>
        <v>-294058.01718961261</v>
      </c>
      <c r="CI93" s="447">
        <f t="shared" si="527"/>
        <v>-294058.01718961261</v>
      </c>
      <c r="CJ93" s="447">
        <f t="shared" si="527"/>
        <v>-302879.75770530099</v>
      </c>
      <c r="CK93" s="447">
        <f t="shared" si="527"/>
        <v>-302879.75770530099</v>
      </c>
      <c r="CL93" s="447">
        <f t="shared" si="527"/>
        <v>-302879.75770530099</v>
      </c>
      <c r="CM93" s="447">
        <f t="shared" si="527"/>
        <v>-302879.75770530099</v>
      </c>
      <c r="CN93" s="447">
        <f t="shared" si="527"/>
        <v>-302879.75770530099</v>
      </c>
      <c r="CO93" s="447">
        <f t="shared" si="527"/>
        <v>-302879.75770530099</v>
      </c>
      <c r="CP93" s="447">
        <f t="shared" si="527"/>
        <v>-302879.75770530099</v>
      </c>
      <c r="CQ93" s="447">
        <f t="shared" si="527"/>
        <v>-302879.75770530099</v>
      </c>
      <c r="CR93" s="447">
        <f t="shared" si="527"/>
        <v>-302879.75770530099</v>
      </c>
      <c r="CS93" s="447">
        <f t="shared" si="527"/>
        <v>-302879.75770530099</v>
      </c>
      <c r="CT93" s="447">
        <f t="shared" si="527"/>
        <v>-302879.75770530099</v>
      </c>
      <c r="CU93" s="447">
        <f t="shared" si="527"/>
        <v>-302879.75770530099</v>
      </c>
      <c r="CV93" s="447">
        <f t="shared" si="527"/>
        <v>-311966.15043646004</v>
      </c>
      <c r="CW93" s="447">
        <f t="shared" si="527"/>
        <v>-311966.15043646004</v>
      </c>
      <c r="CX93" s="447">
        <f t="shared" si="527"/>
        <v>-311966.15043646004</v>
      </c>
      <c r="CY93" s="447">
        <f t="shared" si="527"/>
        <v>-311966.15043646004</v>
      </c>
      <c r="CZ93" s="447">
        <f t="shared" si="527"/>
        <v>-311966.15043646004</v>
      </c>
      <c r="DA93" s="447">
        <f t="shared" si="527"/>
        <v>-311966.15043646004</v>
      </c>
      <c r="DB93" s="447">
        <f t="shared" si="527"/>
        <v>-311966.15043646004</v>
      </c>
      <c r="DC93" s="447">
        <f t="shared" si="527"/>
        <v>-311966.15043646004</v>
      </c>
      <c r="DD93" s="447">
        <f t="shared" si="527"/>
        <v>-311966.15043646004</v>
      </c>
      <c r="DE93" s="447">
        <f t="shared" si="527"/>
        <v>-311966.15043646004</v>
      </c>
      <c r="DF93" s="447">
        <f t="shared" si="527"/>
        <v>-311966.15043646004</v>
      </c>
      <c r="DG93" s="447">
        <f t="shared" si="527"/>
        <v>-311966.15043646004</v>
      </c>
      <c r="DH93" s="447">
        <f t="shared" si="527"/>
        <v>-321325.13494955382</v>
      </c>
      <c r="DI93" s="447">
        <f t="shared" si="527"/>
        <v>-321325.13494955382</v>
      </c>
      <c r="DJ93" s="447">
        <f t="shared" si="527"/>
        <v>-321325.13494955382</v>
      </c>
      <c r="DK93" s="447">
        <f t="shared" si="527"/>
        <v>-321325.13494955382</v>
      </c>
      <c r="DL93" s="447">
        <f t="shared" si="527"/>
        <v>-321325.13494955382</v>
      </c>
      <c r="DM93" s="447">
        <f t="shared" si="527"/>
        <v>-321325.13494955382</v>
      </c>
      <c r="DN93" s="447">
        <f t="shared" si="527"/>
        <v>-321325.13494955382</v>
      </c>
      <c r="DO93" s="447">
        <f t="shared" si="527"/>
        <v>-321325.13494955382</v>
      </c>
      <c r="DP93" s="447">
        <f t="shared" si="527"/>
        <v>-321325.13494955382</v>
      </c>
      <c r="DQ93" s="447">
        <f t="shared" si="527"/>
        <v>-321325.13494955382</v>
      </c>
      <c r="DR93" s="447">
        <f t="shared" si="527"/>
        <v>-321325.13494955382</v>
      </c>
      <c r="DS93" s="447">
        <f t="shared" si="527"/>
        <v>-321325.13494955382</v>
      </c>
      <c r="DT93" s="447">
        <f t="shared" si="527"/>
        <v>-330964.88899804046</v>
      </c>
      <c r="DU93" s="447">
        <f t="shared" si="527"/>
        <v>-330964.88899804046</v>
      </c>
      <c r="DV93" s="447">
        <f t="shared" si="527"/>
        <v>-330964.88899804046</v>
      </c>
      <c r="DW93" s="447">
        <f t="shared" si="527"/>
        <v>-330964.88899804046</v>
      </c>
      <c r="DX93" s="447">
        <f t="shared" si="527"/>
        <v>-330964.88899804046</v>
      </c>
      <c r="DY93" s="447">
        <f t="shared" si="527"/>
        <v>-330964.88899804046</v>
      </c>
      <c r="DZ93" s="447">
        <f t="shared" si="527"/>
        <v>-330964.88899804046</v>
      </c>
      <c r="EA93" s="447">
        <f t="shared" si="527"/>
        <v>-330964.88899804046</v>
      </c>
      <c r="EB93" s="447">
        <f t="shared" si="527"/>
        <v>-330964.88899804046</v>
      </c>
      <c r="EC93" s="447">
        <f t="shared" si="527"/>
        <v>-330964.88899804046</v>
      </c>
      <c r="ED93" s="447">
        <f t="shared" si="527"/>
        <v>-330964.88899804046</v>
      </c>
      <c r="EE93" s="447">
        <f t="shared" si="527"/>
        <v>-330964.88899804046</v>
      </c>
      <c r="EF93" s="447">
        <f t="shared" si="527"/>
        <v>-340893.83566798165</v>
      </c>
      <c r="EG93" s="447">
        <f t="shared" si="527"/>
        <v>-340893.83566798165</v>
      </c>
      <c r="EH93" s="447">
        <f t="shared" si="527"/>
        <v>-340893.83566798165</v>
      </c>
      <c r="EI93" s="447">
        <f t="shared" ref="EI93:GT93" si="528">SUM(EI91:EI92)</f>
        <v>-340893.83566798165</v>
      </c>
      <c r="EJ93" s="447">
        <f t="shared" si="528"/>
        <v>-340893.83566798165</v>
      </c>
      <c r="EK93" s="447">
        <f t="shared" si="528"/>
        <v>-340893.83566798165</v>
      </c>
      <c r="EL93" s="447">
        <f t="shared" si="528"/>
        <v>-340893.83566798165</v>
      </c>
      <c r="EM93" s="447">
        <f t="shared" si="528"/>
        <v>-340893.83566798165</v>
      </c>
      <c r="EN93" s="447">
        <f t="shared" si="528"/>
        <v>-340893.83566798165</v>
      </c>
      <c r="EO93" s="447">
        <f t="shared" si="528"/>
        <v>-340893.83566798165</v>
      </c>
      <c r="EP93" s="447">
        <f t="shared" si="528"/>
        <v>-340893.83566798165</v>
      </c>
      <c r="EQ93" s="447">
        <f t="shared" si="528"/>
        <v>-340893.83566798165</v>
      </c>
      <c r="ER93" s="447">
        <f t="shared" si="528"/>
        <v>-351120.65073802107</v>
      </c>
      <c r="ES93" s="447">
        <f t="shared" si="528"/>
        <v>-351120.65073802107</v>
      </c>
      <c r="ET93" s="447">
        <f t="shared" si="528"/>
        <v>-351120.65073802107</v>
      </c>
      <c r="EU93" s="447">
        <f t="shared" si="528"/>
        <v>-351120.65073802107</v>
      </c>
      <c r="EV93" s="447">
        <f t="shared" si="528"/>
        <v>-351120.65073802107</v>
      </c>
      <c r="EW93" s="447">
        <f t="shared" si="528"/>
        <v>-351120.65073802107</v>
      </c>
      <c r="EX93" s="447">
        <f t="shared" si="528"/>
        <v>-351120.65073802107</v>
      </c>
      <c r="EY93" s="447">
        <f t="shared" si="528"/>
        <v>-351120.65073802107</v>
      </c>
      <c r="EZ93" s="447">
        <f t="shared" si="528"/>
        <v>-351120.65073802107</v>
      </c>
      <c r="FA93" s="447">
        <f t="shared" si="528"/>
        <v>-351120.65073802107</v>
      </c>
      <c r="FB93" s="447">
        <f t="shared" si="528"/>
        <v>-351120.65073802107</v>
      </c>
      <c r="FC93" s="447">
        <f t="shared" si="528"/>
        <v>-351120.65073802107</v>
      </c>
      <c r="FD93" s="447">
        <f t="shared" si="528"/>
        <v>-361654.27026016172</v>
      </c>
      <c r="FE93" s="447">
        <f t="shared" si="528"/>
        <v>-361654.27026016172</v>
      </c>
      <c r="FF93" s="447">
        <f t="shared" si="528"/>
        <v>-361654.27026016172</v>
      </c>
      <c r="FG93" s="447">
        <f t="shared" si="528"/>
        <v>-361654.27026016172</v>
      </c>
      <c r="FH93" s="447">
        <f t="shared" si="528"/>
        <v>-361654.27026016172</v>
      </c>
      <c r="FI93" s="447">
        <f t="shared" si="528"/>
        <v>-361654.27026016172</v>
      </c>
      <c r="FJ93" s="447">
        <f t="shared" si="528"/>
        <v>-361654.27026016172</v>
      </c>
      <c r="FK93" s="447">
        <f t="shared" si="528"/>
        <v>-361654.27026016172</v>
      </c>
      <c r="FL93" s="447">
        <f t="shared" si="528"/>
        <v>-361654.27026016172</v>
      </c>
      <c r="FM93" s="447">
        <f t="shared" si="528"/>
        <v>-361654.27026016172</v>
      </c>
      <c r="FN93" s="447">
        <f t="shared" si="528"/>
        <v>-361654.27026016172</v>
      </c>
      <c r="FO93" s="447">
        <f t="shared" si="528"/>
        <v>-361654.27026016172</v>
      </c>
      <c r="FP93" s="447">
        <f t="shared" si="528"/>
        <v>-372503.89836796658</v>
      </c>
      <c r="FQ93" s="447">
        <f t="shared" si="528"/>
        <v>-372503.89836796658</v>
      </c>
      <c r="FR93" s="447">
        <f t="shared" si="528"/>
        <v>-372503.89836796658</v>
      </c>
      <c r="FS93" s="447">
        <f t="shared" si="528"/>
        <v>-372503.89836796658</v>
      </c>
      <c r="FT93" s="447">
        <f t="shared" si="528"/>
        <v>-372503.89836796658</v>
      </c>
      <c r="FU93" s="447">
        <f t="shared" si="528"/>
        <v>-372503.89836796658</v>
      </c>
      <c r="FV93" s="447">
        <f t="shared" si="528"/>
        <v>-372503.89836796658</v>
      </c>
      <c r="FW93" s="447">
        <f t="shared" si="528"/>
        <v>-372503.89836796658</v>
      </c>
      <c r="FX93" s="447">
        <f t="shared" si="528"/>
        <v>-372503.89836796658</v>
      </c>
      <c r="FY93" s="447">
        <f t="shared" si="528"/>
        <v>-372503.89836796658</v>
      </c>
      <c r="FZ93" s="447">
        <f t="shared" si="528"/>
        <v>-372503.89836796658</v>
      </c>
      <c r="GA93" s="447">
        <f t="shared" si="528"/>
        <v>-372503.89836796658</v>
      </c>
      <c r="GB93" s="447">
        <f t="shared" si="528"/>
        <v>-383679.01531900553</v>
      </c>
      <c r="GC93" s="447">
        <f t="shared" si="528"/>
        <v>-383679.01531900553</v>
      </c>
      <c r="GD93" s="447">
        <f t="shared" si="528"/>
        <v>-383679.01531900553</v>
      </c>
      <c r="GE93" s="447">
        <f t="shared" si="528"/>
        <v>-383679.01531900553</v>
      </c>
      <c r="GF93" s="447">
        <f t="shared" si="528"/>
        <v>-383679.01531900553</v>
      </c>
      <c r="GG93" s="447">
        <f t="shared" si="528"/>
        <v>-383679.01531900553</v>
      </c>
      <c r="GH93" s="447">
        <f t="shared" si="528"/>
        <v>-383679.01531900553</v>
      </c>
      <c r="GI93" s="447">
        <f t="shared" si="528"/>
        <v>-383679.01531900553</v>
      </c>
      <c r="GJ93" s="447">
        <f t="shared" si="528"/>
        <v>-383679.01531900553</v>
      </c>
      <c r="GK93" s="447">
        <f t="shared" si="528"/>
        <v>-383679.01531900553</v>
      </c>
      <c r="GL93" s="447">
        <f t="shared" si="528"/>
        <v>-383679.01531900553</v>
      </c>
      <c r="GM93" s="447">
        <f t="shared" si="528"/>
        <v>-383679.01531900553</v>
      </c>
      <c r="GN93" s="447">
        <f t="shared" si="528"/>
        <v>-395189.38577857567</v>
      </c>
      <c r="GO93" s="447">
        <f t="shared" si="528"/>
        <v>-395189.38577857567</v>
      </c>
      <c r="GP93" s="447">
        <f t="shared" si="528"/>
        <v>-395189.38577857567</v>
      </c>
      <c r="GQ93" s="447">
        <f t="shared" si="528"/>
        <v>-395189.38577857567</v>
      </c>
      <c r="GR93" s="447">
        <f t="shared" si="528"/>
        <v>-395189.38577857567</v>
      </c>
      <c r="GS93" s="447">
        <f t="shared" si="528"/>
        <v>-395189.38577857567</v>
      </c>
      <c r="GT93" s="447">
        <f t="shared" si="528"/>
        <v>-395189.38577857567</v>
      </c>
      <c r="GU93" s="447">
        <f t="shared" ref="GU93:JF93" si="529">SUM(GU91:GU92)</f>
        <v>-395189.38577857567</v>
      </c>
      <c r="GV93" s="447">
        <f t="shared" si="529"/>
        <v>-395189.38577857567</v>
      </c>
      <c r="GW93" s="447">
        <f t="shared" si="529"/>
        <v>-395189.38577857567</v>
      </c>
      <c r="GX93" s="447">
        <f t="shared" si="529"/>
        <v>-395189.38577857567</v>
      </c>
      <c r="GY93" s="447">
        <f t="shared" si="529"/>
        <v>-395189.38577857567</v>
      </c>
      <c r="GZ93" s="447">
        <f t="shared" si="529"/>
        <v>-407045.06735193304</v>
      </c>
      <c r="HA93" s="447">
        <f t="shared" si="529"/>
        <v>-407045.06735193304</v>
      </c>
      <c r="HB93" s="447">
        <f t="shared" si="529"/>
        <v>-407045.06735193304</v>
      </c>
      <c r="HC93" s="447">
        <f t="shared" si="529"/>
        <v>-407045.06735193304</v>
      </c>
      <c r="HD93" s="447">
        <f t="shared" si="529"/>
        <v>-407045.06735193304</v>
      </c>
      <c r="HE93" s="447">
        <f t="shared" si="529"/>
        <v>-407045.06735193304</v>
      </c>
      <c r="HF93" s="447">
        <f t="shared" si="529"/>
        <v>-407045.06735193304</v>
      </c>
      <c r="HG93" s="447">
        <f t="shared" si="529"/>
        <v>-407045.06735193304</v>
      </c>
      <c r="HH93" s="447">
        <f t="shared" si="529"/>
        <v>-407045.06735193304</v>
      </c>
      <c r="HI93" s="447">
        <f t="shared" si="529"/>
        <v>-407045.06735193304</v>
      </c>
      <c r="HJ93" s="447">
        <f t="shared" si="529"/>
        <v>-407045.06735193304</v>
      </c>
      <c r="HK93" s="447">
        <f t="shared" si="529"/>
        <v>-407045.06735193304</v>
      </c>
      <c r="HL93" s="447">
        <f t="shared" si="529"/>
        <v>-419256.41937249101</v>
      </c>
      <c r="HM93" s="447">
        <f t="shared" si="529"/>
        <v>-419256.41937249101</v>
      </c>
      <c r="HN93" s="447">
        <f t="shared" si="529"/>
        <v>-419256.41937249101</v>
      </c>
      <c r="HO93" s="447">
        <f t="shared" si="529"/>
        <v>-419256.41937249101</v>
      </c>
      <c r="HP93" s="447">
        <f t="shared" si="529"/>
        <v>-419256.41937249101</v>
      </c>
      <c r="HQ93" s="447">
        <f t="shared" si="529"/>
        <v>-419256.41937249101</v>
      </c>
      <c r="HR93" s="447">
        <f t="shared" si="529"/>
        <v>-419256.41937249101</v>
      </c>
      <c r="HS93" s="447">
        <f t="shared" si="529"/>
        <v>-419256.41937249101</v>
      </c>
      <c r="HT93" s="447">
        <f t="shared" si="529"/>
        <v>-419256.41937249101</v>
      </c>
      <c r="HU93" s="447">
        <f t="shared" si="529"/>
        <v>-419256.41937249101</v>
      </c>
      <c r="HV93" s="447">
        <f t="shared" si="529"/>
        <v>-419256.41937249101</v>
      </c>
      <c r="HW93" s="447">
        <f t="shared" si="529"/>
        <v>-419256.41937249101</v>
      </c>
      <c r="HX93" s="447">
        <f t="shared" si="529"/>
        <v>-431834.11195366568</v>
      </c>
      <c r="HY93" s="447">
        <f t="shared" si="529"/>
        <v>-431834.11195366568</v>
      </c>
      <c r="HZ93" s="447">
        <f t="shared" si="529"/>
        <v>-431834.11195366568</v>
      </c>
      <c r="IA93" s="447">
        <f t="shared" si="529"/>
        <v>-431834.11195366568</v>
      </c>
      <c r="IB93" s="447">
        <f t="shared" si="529"/>
        <v>-431834.11195366568</v>
      </c>
      <c r="IC93" s="447">
        <f t="shared" si="529"/>
        <v>-431834.11195366568</v>
      </c>
      <c r="ID93" s="447">
        <f t="shared" si="529"/>
        <v>-431834.11195366568</v>
      </c>
      <c r="IE93" s="447">
        <f t="shared" si="529"/>
        <v>-431834.11195366568</v>
      </c>
      <c r="IF93" s="447">
        <f t="shared" si="529"/>
        <v>-431834.11195366568</v>
      </c>
      <c r="IG93" s="447">
        <f t="shared" si="529"/>
        <v>-431834.11195366568</v>
      </c>
      <c r="IH93" s="447">
        <f t="shared" si="529"/>
        <v>-431834.11195366568</v>
      </c>
      <c r="II93" s="447">
        <f t="shared" si="529"/>
        <v>-431834.11195366568</v>
      </c>
      <c r="IJ93" s="447">
        <f t="shared" si="529"/>
        <v>-444789.13531227561</v>
      </c>
      <c r="IK93" s="447">
        <f t="shared" si="529"/>
        <v>-444789.13531227561</v>
      </c>
      <c r="IL93" s="447">
        <f t="shared" si="529"/>
        <v>-444789.13531227561</v>
      </c>
      <c r="IM93" s="447">
        <f t="shared" si="529"/>
        <v>-444789.13531227561</v>
      </c>
      <c r="IN93" s="447">
        <f t="shared" si="529"/>
        <v>-444789.13531227561</v>
      </c>
      <c r="IO93" s="447">
        <f t="shared" si="529"/>
        <v>-444789.13531227561</v>
      </c>
      <c r="IP93" s="447">
        <f t="shared" si="529"/>
        <v>-444789.13531227561</v>
      </c>
      <c r="IQ93" s="447">
        <f t="shared" si="529"/>
        <v>-444789.13531227561</v>
      </c>
      <c r="IR93" s="447">
        <f t="shared" si="529"/>
        <v>-444789.13531227561</v>
      </c>
      <c r="IS93" s="447">
        <f t="shared" si="529"/>
        <v>-444789.13531227561</v>
      </c>
      <c r="IT93" s="447">
        <f t="shared" si="529"/>
        <v>-444789.13531227561</v>
      </c>
      <c r="IU93" s="447">
        <f t="shared" si="529"/>
        <v>-444789.13531227561</v>
      </c>
      <c r="IV93" s="447">
        <f t="shared" si="529"/>
        <v>-458132.80937164393</v>
      </c>
      <c r="IW93" s="447">
        <f t="shared" si="529"/>
        <v>-458132.80937164393</v>
      </c>
      <c r="IX93" s="447">
        <f t="shared" si="529"/>
        <v>-458132.80937164393</v>
      </c>
      <c r="IY93" s="447">
        <f t="shared" si="529"/>
        <v>-458132.80937164393</v>
      </c>
      <c r="IZ93" s="447">
        <f t="shared" si="529"/>
        <v>-458132.80937164393</v>
      </c>
      <c r="JA93" s="447">
        <f t="shared" si="529"/>
        <v>-458132.80937164393</v>
      </c>
      <c r="JB93" s="447">
        <f t="shared" si="529"/>
        <v>-458132.80937164393</v>
      </c>
      <c r="JC93" s="447">
        <f t="shared" si="529"/>
        <v>-458132.80937164393</v>
      </c>
      <c r="JD93" s="447">
        <f t="shared" si="529"/>
        <v>-458132.80937164393</v>
      </c>
      <c r="JE93" s="447">
        <f t="shared" si="529"/>
        <v>-458132.80937164393</v>
      </c>
      <c r="JF93" s="447">
        <f t="shared" si="529"/>
        <v>-458132.80937164393</v>
      </c>
      <c r="JG93" s="447">
        <f t="shared" ref="JG93:LR93" si="530">SUM(JG91:JG92)</f>
        <v>-458132.80937164393</v>
      </c>
      <c r="JH93" s="447">
        <f t="shared" si="530"/>
        <v>-471876.79365279322</v>
      </c>
      <c r="JI93" s="447">
        <f t="shared" si="530"/>
        <v>-471876.79365279322</v>
      </c>
      <c r="JJ93" s="447">
        <f t="shared" si="530"/>
        <v>-471876.79365279322</v>
      </c>
      <c r="JK93" s="447">
        <f t="shared" si="530"/>
        <v>-471876.79365279322</v>
      </c>
      <c r="JL93" s="447">
        <f t="shared" si="530"/>
        <v>-471876.79365279322</v>
      </c>
      <c r="JM93" s="447">
        <f t="shared" si="530"/>
        <v>-471876.79365279322</v>
      </c>
      <c r="JN93" s="447">
        <f t="shared" si="530"/>
        <v>-471876.79365279322</v>
      </c>
      <c r="JO93" s="447">
        <f t="shared" si="530"/>
        <v>-471876.79365279322</v>
      </c>
      <c r="JP93" s="447">
        <f t="shared" si="530"/>
        <v>-471876.79365279322</v>
      </c>
      <c r="JQ93" s="447">
        <f t="shared" si="530"/>
        <v>-471876.79365279322</v>
      </c>
      <c r="JR93" s="447">
        <f t="shared" si="530"/>
        <v>-471876.79365279322</v>
      </c>
      <c r="JS93" s="447">
        <f t="shared" si="530"/>
        <v>-471876.79365279322</v>
      </c>
      <c r="JT93" s="447">
        <f t="shared" si="530"/>
        <v>-486033.09746237705</v>
      </c>
      <c r="JU93" s="447">
        <f t="shared" si="530"/>
        <v>-486033.09746237705</v>
      </c>
      <c r="JV93" s="447">
        <f t="shared" si="530"/>
        <v>-486033.09746237705</v>
      </c>
      <c r="JW93" s="447">
        <f t="shared" si="530"/>
        <v>-486033.09746237705</v>
      </c>
      <c r="JX93" s="447">
        <f t="shared" si="530"/>
        <v>-486033.09746237705</v>
      </c>
      <c r="JY93" s="447">
        <f t="shared" si="530"/>
        <v>-486033.09746237705</v>
      </c>
      <c r="JZ93" s="447">
        <f t="shared" si="530"/>
        <v>-486033.09746237705</v>
      </c>
      <c r="KA93" s="447">
        <f t="shared" si="530"/>
        <v>-486033.09746237705</v>
      </c>
      <c r="KB93" s="447">
        <f t="shared" si="530"/>
        <v>-486033.09746237705</v>
      </c>
      <c r="KC93" s="447">
        <f t="shared" si="530"/>
        <v>-486033.09746237705</v>
      </c>
      <c r="KD93" s="447">
        <f t="shared" si="530"/>
        <v>-486033.09746237705</v>
      </c>
      <c r="KE93" s="447">
        <f t="shared" si="530"/>
        <v>-486033.09746237705</v>
      </c>
      <c r="KF93" s="447">
        <f t="shared" si="530"/>
        <v>-500614.09038624819</v>
      </c>
      <c r="KG93" s="447">
        <f t="shared" si="530"/>
        <v>-500614.09038624819</v>
      </c>
      <c r="KH93" s="447">
        <f t="shared" si="530"/>
        <v>-500614.09038624819</v>
      </c>
      <c r="KI93" s="447">
        <f t="shared" si="530"/>
        <v>-500614.09038624819</v>
      </c>
      <c r="KJ93" s="447">
        <f t="shared" si="530"/>
        <v>-500614.09038624819</v>
      </c>
      <c r="KK93" s="447">
        <f t="shared" si="530"/>
        <v>-500614.09038624819</v>
      </c>
      <c r="KL93" s="447">
        <f t="shared" si="530"/>
        <v>-500614.09038624819</v>
      </c>
      <c r="KM93" s="447">
        <f t="shared" si="530"/>
        <v>-500614.09038624819</v>
      </c>
      <c r="KN93" s="447">
        <f t="shared" si="530"/>
        <v>-500614.09038624819</v>
      </c>
      <c r="KO93" s="447">
        <f t="shared" si="530"/>
        <v>-500614.09038624819</v>
      </c>
      <c r="KP93" s="447">
        <f t="shared" si="530"/>
        <v>-500614.09038624819</v>
      </c>
      <c r="KQ93" s="447">
        <f t="shared" si="530"/>
        <v>-500614.09038624819</v>
      </c>
      <c r="KR93" s="447">
        <f t="shared" si="530"/>
        <v>-515632.5130978357</v>
      </c>
      <c r="KS93" s="447">
        <f t="shared" si="530"/>
        <v>-515632.5130978357</v>
      </c>
      <c r="KT93" s="447">
        <f t="shared" si="530"/>
        <v>-515632.5130978357</v>
      </c>
      <c r="KU93" s="447">
        <f t="shared" si="530"/>
        <v>-515632.5130978357</v>
      </c>
      <c r="KV93" s="447">
        <f t="shared" si="530"/>
        <v>-515632.5130978357</v>
      </c>
      <c r="KW93" s="447">
        <f t="shared" si="530"/>
        <v>-515632.5130978357</v>
      </c>
      <c r="KX93" s="447">
        <f t="shared" si="530"/>
        <v>-515632.5130978357</v>
      </c>
      <c r="KY93" s="447">
        <f t="shared" si="530"/>
        <v>-515632.5130978357</v>
      </c>
      <c r="KZ93" s="447">
        <f t="shared" si="530"/>
        <v>-515632.5130978357</v>
      </c>
      <c r="LA93" s="447">
        <f t="shared" si="530"/>
        <v>-515632.5130978357</v>
      </c>
      <c r="LB93" s="447">
        <f t="shared" si="530"/>
        <v>-515632.5130978357</v>
      </c>
      <c r="LC93" s="447">
        <f t="shared" si="530"/>
        <v>-515632.5130978357</v>
      </c>
      <c r="LD93" s="447">
        <f t="shared" si="530"/>
        <v>-531101.4884907708</v>
      </c>
      <c r="LE93" s="447">
        <f t="shared" si="530"/>
        <v>-531101.4884907708</v>
      </c>
      <c r="LF93" s="447">
        <f t="shared" si="530"/>
        <v>-531101.4884907708</v>
      </c>
      <c r="LG93" s="447">
        <f t="shared" si="530"/>
        <v>-531101.4884907708</v>
      </c>
      <c r="LH93" s="447">
        <f t="shared" si="530"/>
        <v>-531101.4884907708</v>
      </c>
      <c r="LI93" s="447">
        <f t="shared" si="530"/>
        <v>-531101.4884907708</v>
      </c>
      <c r="LJ93" s="447">
        <f t="shared" si="530"/>
        <v>-531101.4884907708</v>
      </c>
      <c r="LK93" s="447">
        <f t="shared" si="530"/>
        <v>-531101.4884907708</v>
      </c>
      <c r="LL93" s="447">
        <f t="shared" si="530"/>
        <v>-531101.4884907708</v>
      </c>
      <c r="LM93" s="447">
        <f t="shared" si="530"/>
        <v>-531101.4884907708</v>
      </c>
      <c r="LN93" s="447">
        <f t="shared" si="530"/>
        <v>-531101.4884907708</v>
      </c>
      <c r="LO93" s="447">
        <f t="shared" si="530"/>
        <v>-531101.4884907708</v>
      </c>
      <c r="LP93" s="447">
        <f t="shared" si="530"/>
        <v>-547034.53314549394</v>
      </c>
      <c r="LQ93" s="447">
        <f t="shared" si="530"/>
        <v>-547034.53314549394</v>
      </c>
      <c r="LR93" s="447">
        <f t="shared" si="530"/>
        <v>-547034.53314549394</v>
      </c>
      <c r="LS93" s="447">
        <f t="shared" ref="LS93:OD93" si="531">SUM(LS91:LS92)</f>
        <v>-547034.53314549394</v>
      </c>
      <c r="LT93" s="447">
        <f t="shared" si="531"/>
        <v>-547034.53314549394</v>
      </c>
      <c r="LU93" s="447">
        <f t="shared" si="531"/>
        <v>-547034.53314549394</v>
      </c>
      <c r="LV93" s="447">
        <f t="shared" si="531"/>
        <v>-547034.53314549394</v>
      </c>
      <c r="LW93" s="447">
        <f t="shared" si="531"/>
        <v>-547034.53314549394</v>
      </c>
      <c r="LX93" s="447">
        <f t="shared" si="531"/>
        <v>-547034.53314549394</v>
      </c>
      <c r="LY93" s="447">
        <f t="shared" si="531"/>
        <v>-547034.53314549394</v>
      </c>
      <c r="LZ93" s="447">
        <f t="shared" si="531"/>
        <v>-547034.53314549394</v>
      </c>
      <c r="MA93" s="447">
        <f t="shared" si="531"/>
        <v>-547034.53314549394</v>
      </c>
      <c r="MB93" s="447">
        <f t="shared" si="531"/>
        <v>-563445.56913985871</v>
      </c>
      <c r="MC93" s="447">
        <f t="shared" si="531"/>
        <v>-563445.56913985871</v>
      </c>
      <c r="MD93" s="447">
        <f t="shared" si="531"/>
        <v>-563445.56913985871</v>
      </c>
      <c r="ME93" s="447">
        <f t="shared" si="531"/>
        <v>-563445.56913985871</v>
      </c>
      <c r="MF93" s="447">
        <f t="shared" si="531"/>
        <v>-563445.56913985871</v>
      </c>
      <c r="MG93" s="447">
        <f t="shared" si="531"/>
        <v>-563445.56913985871</v>
      </c>
      <c r="MH93" s="447">
        <f t="shared" si="531"/>
        <v>-563445.56913985871</v>
      </c>
      <c r="MI93" s="447">
        <f t="shared" si="531"/>
        <v>-563445.56913985871</v>
      </c>
      <c r="MJ93" s="447">
        <f t="shared" si="531"/>
        <v>-563445.56913985871</v>
      </c>
      <c r="MK93" s="447">
        <f t="shared" si="531"/>
        <v>-563445.56913985871</v>
      </c>
      <c r="ML93" s="447">
        <f t="shared" si="531"/>
        <v>-563445.56913985871</v>
      </c>
      <c r="MM93" s="447">
        <f t="shared" si="531"/>
        <v>-563445.56913985871</v>
      </c>
      <c r="MN93" s="447">
        <f t="shared" si="531"/>
        <v>-580348.93621405459</v>
      </c>
      <c r="MO93" s="447">
        <f t="shared" si="531"/>
        <v>-580348.93621405459</v>
      </c>
      <c r="MP93" s="447">
        <f t="shared" si="531"/>
        <v>-580348.93621405459</v>
      </c>
      <c r="MQ93" s="447">
        <f t="shared" si="531"/>
        <v>-580348.93621405459</v>
      </c>
      <c r="MR93" s="447">
        <f t="shared" si="531"/>
        <v>-580348.93621405459</v>
      </c>
      <c r="MS93" s="447">
        <f t="shared" si="531"/>
        <v>-580348.93621405459</v>
      </c>
      <c r="MT93" s="447">
        <f t="shared" si="531"/>
        <v>-580348.93621405459</v>
      </c>
      <c r="MU93" s="447">
        <f t="shared" si="531"/>
        <v>-580348.93621405459</v>
      </c>
      <c r="MV93" s="447">
        <f t="shared" si="531"/>
        <v>-580348.93621405459</v>
      </c>
      <c r="MW93" s="447">
        <f t="shared" si="531"/>
        <v>-580348.93621405459</v>
      </c>
      <c r="MX93" s="447">
        <f t="shared" si="531"/>
        <v>-580348.93621405459</v>
      </c>
      <c r="MY93" s="447">
        <f t="shared" si="531"/>
        <v>-580348.93621405459</v>
      </c>
      <c r="MZ93" s="447">
        <f t="shared" si="531"/>
        <v>-597759.40430047608</v>
      </c>
      <c r="NA93" s="447">
        <f t="shared" si="531"/>
        <v>-597759.40430047608</v>
      </c>
      <c r="NB93" s="447">
        <f t="shared" si="531"/>
        <v>-597759.40430047608</v>
      </c>
      <c r="NC93" s="447">
        <f t="shared" si="531"/>
        <v>-597759.40430047608</v>
      </c>
      <c r="ND93" s="447">
        <f t="shared" si="531"/>
        <v>-597759.40430047608</v>
      </c>
      <c r="NE93" s="447">
        <f t="shared" si="531"/>
        <v>-597759.40430047608</v>
      </c>
      <c r="NF93" s="447">
        <f t="shared" si="531"/>
        <v>-597759.40430047608</v>
      </c>
      <c r="NG93" s="447">
        <f t="shared" si="531"/>
        <v>-597759.40430047608</v>
      </c>
      <c r="NH93" s="447">
        <f t="shared" si="531"/>
        <v>-597759.40430047608</v>
      </c>
      <c r="NI93" s="447">
        <f t="shared" si="531"/>
        <v>-597759.40430047608</v>
      </c>
      <c r="NJ93" s="447">
        <f t="shared" si="531"/>
        <v>-597759.40430047608</v>
      </c>
      <c r="NK93" s="447">
        <f t="shared" si="531"/>
        <v>-597759.40430047608</v>
      </c>
      <c r="NL93" s="447">
        <f t="shared" si="531"/>
        <v>-615692.18642949034</v>
      </c>
      <c r="NM93" s="447">
        <f t="shared" si="531"/>
        <v>-615692.18642949034</v>
      </c>
      <c r="NN93" s="447">
        <f t="shared" si="531"/>
        <v>-615692.18642949034</v>
      </c>
      <c r="NO93" s="447">
        <f t="shared" si="531"/>
        <v>-615692.18642949034</v>
      </c>
      <c r="NP93" s="447">
        <f t="shared" si="531"/>
        <v>-615692.18642949034</v>
      </c>
      <c r="NQ93" s="447">
        <f t="shared" si="531"/>
        <v>-615692.18642949034</v>
      </c>
      <c r="NR93" s="447">
        <f t="shared" si="531"/>
        <v>-615692.18642949034</v>
      </c>
      <c r="NS93" s="447">
        <f t="shared" si="531"/>
        <v>-615692.18642949034</v>
      </c>
      <c r="NT93" s="447">
        <f t="shared" si="531"/>
        <v>-615692.18642949034</v>
      </c>
      <c r="NU93" s="447">
        <f t="shared" si="531"/>
        <v>-615692.18642949034</v>
      </c>
      <c r="NV93" s="447">
        <f t="shared" si="531"/>
        <v>-615692.18642949034</v>
      </c>
      <c r="NW93" s="447">
        <f t="shared" si="531"/>
        <v>-615692.18642949034</v>
      </c>
      <c r="NX93" s="447">
        <f t="shared" si="531"/>
        <v>-634162.95202237507</v>
      </c>
      <c r="NY93" s="447">
        <f t="shared" si="531"/>
        <v>-634162.95202237507</v>
      </c>
      <c r="NZ93" s="447">
        <f t="shared" si="531"/>
        <v>-634162.95202237507</v>
      </c>
      <c r="OA93" s="447">
        <f t="shared" si="531"/>
        <v>-634162.95202237507</v>
      </c>
      <c r="OB93" s="447">
        <f t="shared" si="531"/>
        <v>-634162.95202237507</v>
      </c>
      <c r="OC93" s="447">
        <f t="shared" si="531"/>
        <v>-634162.95202237507</v>
      </c>
      <c r="OD93" s="447">
        <f t="shared" si="531"/>
        <v>-634162.95202237507</v>
      </c>
      <c r="OE93" s="447">
        <f t="shared" ref="OE93:OO93" si="532">SUM(OE91:OE92)</f>
        <v>-634162.95202237507</v>
      </c>
      <c r="OF93" s="447">
        <f t="shared" si="532"/>
        <v>-634162.95202237507</v>
      </c>
      <c r="OG93" s="447">
        <f t="shared" si="532"/>
        <v>-634162.95202237507</v>
      </c>
      <c r="OH93" s="447">
        <f t="shared" si="532"/>
        <v>-634162.95202237507</v>
      </c>
      <c r="OI93" s="447">
        <f t="shared" si="532"/>
        <v>-634162.95202237507</v>
      </c>
      <c r="OJ93" s="447">
        <f t="shared" si="532"/>
        <v>-653187.84058304632</v>
      </c>
      <c r="OK93" s="447">
        <f t="shared" si="532"/>
        <v>-653187.84058304632</v>
      </c>
      <c r="OL93" s="447">
        <f t="shared" si="532"/>
        <v>-653187.84058304632</v>
      </c>
      <c r="OM93" s="447">
        <f t="shared" si="532"/>
        <v>-653187.84058304632</v>
      </c>
      <c r="ON93" s="447">
        <f t="shared" si="532"/>
        <v>-653187.84058304632</v>
      </c>
      <c r="OO93" s="447">
        <f t="shared" si="532"/>
        <v>-653187.84058304632</v>
      </c>
    </row>
    <row r="94" spans="2:405">
      <c r="B94" s="476"/>
      <c r="C94" s="476"/>
      <c r="D94" s="171"/>
    </row>
    <row r="95" spans="2:405">
      <c r="B95" s="7" t="s">
        <v>307</v>
      </c>
      <c r="C95" s="473">
        <v>0.03</v>
      </c>
      <c r="D95" s="537">
        <f>-'Operating Expenses &amp; Reserves'!D48</f>
        <v>-111640.36189939023</v>
      </c>
      <c r="E95" s="507">
        <f>Assumptions!$C$13</f>
        <v>47330</v>
      </c>
      <c r="F95" s="507">
        <f>EOMONTH(E95,Assumptions!$C$14-1)</f>
        <v>58256</v>
      </c>
      <c r="G95" s="97">
        <f t="shared" ref="G95" si="533">((YEAR(F95)-YEAR(E95))*12+MONTH(F95)-MONTH(E95)+1)</f>
        <v>360</v>
      </c>
      <c r="H95" s="97"/>
      <c r="J95" s="525">
        <f>IF(J$7&gt;=$E95,IF(J$7&lt;=$F95,(($D95*(1+$C95)^(IF(J$7&gt;=$E95,J$6-YEAR($E95),0)))/12),0),0)</f>
        <v>0</v>
      </c>
      <c r="K95" s="525">
        <f t="shared" ref="K95:BV95" si="534">IF(K$7&gt;=$E95,IF(K$7&lt;=$F95,(($D95*(1+$C95)^(IF(K$7&gt;=$E95,K$6-YEAR($E95),0)))/12),0),0)</f>
        <v>0</v>
      </c>
      <c r="L95" s="525">
        <f t="shared" si="534"/>
        <v>0</v>
      </c>
      <c r="M95" s="525">
        <f t="shared" si="534"/>
        <v>0</v>
      </c>
      <c r="N95" s="525">
        <f t="shared" si="534"/>
        <v>0</v>
      </c>
      <c r="O95" s="525">
        <f t="shared" si="534"/>
        <v>0</v>
      </c>
      <c r="P95" s="525">
        <f t="shared" si="534"/>
        <v>0</v>
      </c>
      <c r="Q95" s="525">
        <f t="shared" si="534"/>
        <v>0</v>
      </c>
      <c r="R95" s="525">
        <f t="shared" si="534"/>
        <v>0</v>
      </c>
      <c r="S95" s="525">
        <f t="shared" si="534"/>
        <v>0</v>
      </c>
      <c r="T95" s="525">
        <f t="shared" si="534"/>
        <v>0</v>
      </c>
      <c r="U95" s="525">
        <f t="shared" si="534"/>
        <v>0</v>
      </c>
      <c r="V95" s="525">
        <f t="shared" si="534"/>
        <v>0</v>
      </c>
      <c r="W95" s="525">
        <f t="shared" si="534"/>
        <v>0</v>
      </c>
      <c r="X95" s="525">
        <f t="shared" si="534"/>
        <v>0</v>
      </c>
      <c r="Y95" s="525">
        <f t="shared" si="534"/>
        <v>0</v>
      </c>
      <c r="Z95" s="525">
        <f t="shared" si="534"/>
        <v>0</v>
      </c>
      <c r="AA95" s="525">
        <f t="shared" si="534"/>
        <v>0</v>
      </c>
      <c r="AB95" s="525">
        <f t="shared" si="534"/>
        <v>0</v>
      </c>
      <c r="AC95" s="525">
        <f t="shared" si="534"/>
        <v>0</v>
      </c>
      <c r="AD95" s="525">
        <f t="shared" si="534"/>
        <v>0</v>
      </c>
      <c r="AE95" s="525">
        <f t="shared" si="534"/>
        <v>0</v>
      </c>
      <c r="AF95" s="525">
        <f t="shared" si="534"/>
        <v>0</v>
      </c>
      <c r="AG95" s="525">
        <f t="shared" si="534"/>
        <v>0</v>
      </c>
      <c r="AH95" s="525">
        <f t="shared" si="534"/>
        <v>0</v>
      </c>
      <c r="AI95" s="525">
        <f t="shared" si="534"/>
        <v>0</v>
      </c>
      <c r="AJ95" s="525">
        <f t="shared" si="534"/>
        <v>0</v>
      </c>
      <c r="AK95" s="525">
        <f t="shared" si="534"/>
        <v>0</v>
      </c>
      <c r="AL95" s="525">
        <f t="shared" si="534"/>
        <v>0</v>
      </c>
      <c r="AM95" s="525">
        <f t="shared" si="534"/>
        <v>0</v>
      </c>
      <c r="AN95" s="525">
        <f t="shared" si="534"/>
        <v>0</v>
      </c>
      <c r="AO95" s="525">
        <f t="shared" si="534"/>
        <v>0</v>
      </c>
      <c r="AP95" s="525">
        <f t="shared" si="534"/>
        <v>0</v>
      </c>
      <c r="AQ95" s="525">
        <f t="shared" si="534"/>
        <v>0</v>
      </c>
      <c r="AR95" s="525">
        <f t="shared" si="534"/>
        <v>0</v>
      </c>
      <c r="AS95" s="525">
        <f t="shared" si="534"/>
        <v>0</v>
      </c>
      <c r="AT95" s="525">
        <f t="shared" si="534"/>
        <v>-9303.3634916158535</v>
      </c>
      <c r="AU95" s="525">
        <f t="shared" si="534"/>
        <v>-9303.3634916158535</v>
      </c>
      <c r="AV95" s="525">
        <f t="shared" si="534"/>
        <v>-9303.3634916158535</v>
      </c>
      <c r="AW95" s="525">
        <f t="shared" si="534"/>
        <v>-9303.3634916158535</v>
      </c>
      <c r="AX95" s="525">
        <f t="shared" si="534"/>
        <v>-9303.3634916158535</v>
      </c>
      <c r="AY95" s="525">
        <f t="shared" si="534"/>
        <v>-9303.3634916158535</v>
      </c>
      <c r="AZ95" s="525">
        <f t="shared" si="534"/>
        <v>-9582.4643963643284</v>
      </c>
      <c r="BA95" s="525">
        <f t="shared" si="534"/>
        <v>-9582.4643963643284</v>
      </c>
      <c r="BB95" s="525">
        <f t="shared" si="534"/>
        <v>-9582.4643963643284</v>
      </c>
      <c r="BC95" s="525">
        <f t="shared" si="534"/>
        <v>-9582.4643963643284</v>
      </c>
      <c r="BD95" s="525">
        <f t="shared" si="534"/>
        <v>-9582.4643963643284</v>
      </c>
      <c r="BE95" s="525">
        <f t="shared" si="534"/>
        <v>-9582.4643963643284</v>
      </c>
      <c r="BF95" s="525">
        <f t="shared" si="534"/>
        <v>-9582.4643963643284</v>
      </c>
      <c r="BG95" s="525">
        <f t="shared" si="534"/>
        <v>-9582.4643963643284</v>
      </c>
      <c r="BH95" s="525">
        <f t="shared" si="534"/>
        <v>-9582.4643963643284</v>
      </c>
      <c r="BI95" s="525">
        <f t="shared" si="534"/>
        <v>-9582.4643963643284</v>
      </c>
      <c r="BJ95" s="525">
        <f t="shared" si="534"/>
        <v>-9582.4643963643284</v>
      </c>
      <c r="BK95" s="525">
        <f t="shared" si="534"/>
        <v>-9582.4643963643284</v>
      </c>
      <c r="BL95" s="525">
        <f t="shared" si="534"/>
        <v>-9869.9383282552571</v>
      </c>
      <c r="BM95" s="525">
        <f t="shared" si="534"/>
        <v>-9869.9383282552571</v>
      </c>
      <c r="BN95" s="525">
        <f t="shared" si="534"/>
        <v>-9869.9383282552571</v>
      </c>
      <c r="BO95" s="525">
        <f t="shared" si="534"/>
        <v>-9869.9383282552571</v>
      </c>
      <c r="BP95" s="525">
        <f t="shared" si="534"/>
        <v>-9869.9383282552571</v>
      </c>
      <c r="BQ95" s="525">
        <f t="shared" si="534"/>
        <v>-9869.9383282552571</v>
      </c>
      <c r="BR95" s="525">
        <f t="shared" si="534"/>
        <v>-9869.9383282552571</v>
      </c>
      <c r="BS95" s="525">
        <f t="shared" si="534"/>
        <v>-9869.9383282552571</v>
      </c>
      <c r="BT95" s="525">
        <f t="shared" si="534"/>
        <v>-9869.9383282552571</v>
      </c>
      <c r="BU95" s="525">
        <f t="shared" si="534"/>
        <v>-9869.9383282552571</v>
      </c>
      <c r="BV95" s="525">
        <f t="shared" si="534"/>
        <v>-9869.9383282552571</v>
      </c>
      <c r="BW95" s="525">
        <f t="shared" ref="BW95:EH95" si="535">IF(BW$7&gt;=$E95,IF(BW$7&lt;=$F95,(($D95*(1+$C95)^(IF(BW$7&gt;=$E95,BW$6-YEAR($E95),0)))/12),0),0)</f>
        <v>-9869.9383282552571</v>
      </c>
      <c r="BX95" s="525">
        <f t="shared" si="535"/>
        <v>-10166.036478102917</v>
      </c>
      <c r="BY95" s="525">
        <f t="shared" si="535"/>
        <v>-10166.036478102917</v>
      </c>
      <c r="BZ95" s="525">
        <f t="shared" si="535"/>
        <v>-10166.036478102917</v>
      </c>
      <c r="CA95" s="525">
        <f t="shared" si="535"/>
        <v>-10166.036478102917</v>
      </c>
      <c r="CB95" s="525">
        <f t="shared" si="535"/>
        <v>-10166.036478102917</v>
      </c>
      <c r="CC95" s="525">
        <f t="shared" si="535"/>
        <v>-10166.036478102917</v>
      </c>
      <c r="CD95" s="525">
        <f t="shared" si="535"/>
        <v>-10166.036478102917</v>
      </c>
      <c r="CE95" s="525">
        <f t="shared" si="535"/>
        <v>-10166.036478102917</v>
      </c>
      <c r="CF95" s="525">
        <f t="shared" si="535"/>
        <v>-10166.036478102917</v>
      </c>
      <c r="CG95" s="525">
        <f t="shared" si="535"/>
        <v>-10166.036478102917</v>
      </c>
      <c r="CH95" s="525">
        <f t="shared" si="535"/>
        <v>-10166.036478102917</v>
      </c>
      <c r="CI95" s="525">
        <f t="shared" si="535"/>
        <v>-10166.036478102917</v>
      </c>
      <c r="CJ95" s="525">
        <f t="shared" si="535"/>
        <v>-10471.017572446002</v>
      </c>
      <c r="CK95" s="525">
        <f t="shared" si="535"/>
        <v>-10471.017572446002</v>
      </c>
      <c r="CL95" s="525">
        <f t="shared" si="535"/>
        <v>-10471.017572446002</v>
      </c>
      <c r="CM95" s="525">
        <f t="shared" si="535"/>
        <v>-10471.017572446002</v>
      </c>
      <c r="CN95" s="525">
        <f t="shared" si="535"/>
        <v>-10471.017572446002</v>
      </c>
      <c r="CO95" s="525">
        <f t="shared" si="535"/>
        <v>-10471.017572446002</v>
      </c>
      <c r="CP95" s="525">
        <f t="shared" si="535"/>
        <v>-10471.017572446002</v>
      </c>
      <c r="CQ95" s="525">
        <f t="shared" si="535"/>
        <v>-10471.017572446002</v>
      </c>
      <c r="CR95" s="525">
        <f t="shared" si="535"/>
        <v>-10471.017572446002</v>
      </c>
      <c r="CS95" s="525">
        <f t="shared" si="535"/>
        <v>-10471.017572446002</v>
      </c>
      <c r="CT95" s="525">
        <f t="shared" si="535"/>
        <v>-10471.017572446002</v>
      </c>
      <c r="CU95" s="525">
        <f t="shared" si="535"/>
        <v>-10471.017572446002</v>
      </c>
      <c r="CV95" s="525">
        <f t="shared" si="535"/>
        <v>-10785.148099619382</v>
      </c>
      <c r="CW95" s="525">
        <f t="shared" si="535"/>
        <v>-10785.148099619382</v>
      </c>
      <c r="CX95" s="525">
        <f t="shared" si="535"/>
        <v>-10785.148099619382</v>
      </c>
      <c r="CY95" s="525">
        <f t="shared" si="535"/>
        <v>-10785.148099619382</v>
      </c>
      <c r="CZ95" s="525">
        <f t="shared" si="535"/>
        <v>-10785.148099619382</v>
      </c>
      <c r="DA95" s="525">
        <f t="shared" si="535"/>
        <v>-10785.148099619382</v>
      </c>
      <c r="DB95" s="525">
        <f t="shared" si="535"/>
        <v>-10785.148099619382</v>
      </c>
      <c r="DC95" s="525">
        <f t="shared" si="535"/>
        <v>-10785.148099619382</v>
      </c>
      <c r="DD95" s="525">
        <f t="shared" si="535"/>
        <v>-10785.148099619382</v>
      </c>
      <c r="DE95" s="525">
        <f t="shared" si="535"/>
        <v>-10785.148099619382</v>
      </c>
      <c r="DF95" s="525">
        <f t="shared" si="535"/>
        <v>-10785.148099619382</v>
      </c>
      <c r="DG95" s="525">
        <f t="shared" si="535"/>
        <v>-10785.148099619382</v>
      </c>
      <c r="DH95" s="525">
        <f t="shared" si="535"/>
        <v>-11108.702542607964</v>
      </c>
      <c r="DI95" s="525">
        <f t="shared" si="535"/>
        <v>-11108.702542607964</v>
      </c>
      <c r="DJ95" s="525">
        <f t="shared" si="535"/>
        <v>-11108.702542607964</v>
      </c>
      <c r="DK95" s="525">
        <f t="shared" si="535"/>
        <v>-11108.702542607964</v>
      </c>
      <c r="DL95" s="525">
        <f t="shared" si="535"/>
        <v>-11108.702542607964</v>
      </c>
      <c r="DM95" s="525">
        <f t="shared" si="535"/>
        <v>-11108.702542607964</v>
      </c>
      <c r="DN95" s="525">
        <f t="shared" si="535"/>
        <v>-11108.702542607964</v>
      </c>
      <c r="DO95" s="525">
        <f t="shared" si="535"/>
        <v>-11108.702542607964</v>
      </c>
      <c r="DP95" s="525">
        <f t="shared" si="535"/>
        <v>-11108.702542607964</v>
      </c>
      <c r="DQ95" s="525">
        <f t="shared" si="535"/>
        <v>-11108.702542607964</v>
      </c>
      <c r="DR95" s="525">
        <f t="shared" si="535"/>
        <v>-11108.702542607964</v>
      </c>
      <c r="DS95" s="525">
        <f t="shared" si="535"/>
        <v>-11108.702542607964</v>
      </c>
      <c r="DT95" s="525">
        <f t="shared" si="535"/>
        <v>-11441.963618886204</v>
      </c>
      <c r="DU95" s="525">
        <f t="shared" si="535"/>
        <v>-11441.963618886204</v>
      </c>
      <c r="DV95" s="525">
        <f t="shared" si="535"/>
        <v>-11441.963618886204</v>
      </c>
      <c r="DW95" s="525">
        <f t="shared" si="535"/>
        <v>-11441.963618886204</v>
      </c>
      <c r="DX95" s="525">
        <f t="shared" si="535"/>
        <v>-11441.963618886204</v>
      </c>
      <c r="DY95" s="525">
        <f t="shared" si="535"/>
        <v>-11441.963618886204</v>
      </c>
      <c r="DZ95" s="525">
        <f t="shared" si="535"/>
        <v>-11441.963618886204</v>
      </c>
      <c r="EA95" s="525">
        <f t="shared" si="535"/>
        <v>-11441.963618886204</v>
      </c>
      <c r="EB95" s="525">
        <f t="shared" si="535"/>
        <v>-11441.963618886204</v>
      </c>
      <c r="EC95" s="525">
        <f t="shared" si="535"/>
        <v>-11441.963618886204</v>
      </c>
      <c r="ED95" s="525">
        <f t="shared" si="535"/>
        <v>-11441.963618886204</v>
      </c>
      <c r="EE95" s="525">
        <f t="shared" si="535"/>
        <v>-11441.963618886204</v>
      </c>
      <c r="EF95" s="525">
        <f t="shared" si="535"/>
        <v>-11785.222527452788</v>
      </c>
      <c r="EG95" s="525">
        <f t="shared" si="535"/>
        <v>-11785.222527452788</v>
      </c>
      <c r="EH95" s="525">
        <f t="shared" si="535"/>
        <v>-11785.222527452788</v>
      </c>
      <c r="EI95" s="525">
        <f t="shared" ref="EI95:GT95" si="536">IF(EI$7&gt;=$E95,IF(EI$7&lt;=$F95,(($D95*(1+$C95)^(IF(EI$7&gt;=$E95,EI$6-YEAR($E95),0)))/12),0),0)</f>
        <v>-11785.222527452788</v>
      </c>
      <c r="EJ95" s="525">
        <f t="shared" si="536"/>
        <v>-11785.222527452788</v>
      </c>
      <c r="EK95" s="525">
        <f t="shared" si="536"/>
        <v>-11785.222527452788</v>
      </c>
      <c r="EL95" s="525">
        <f t="shared" si="536"/>
        <v>-11785.222527452788</v>
      </c>
      <c r="EM95" s="525">
        <f t="shared" si="536"/>
        <v>-11785.222527452788</v>
      </c>
      <c r="EN95" s="525">
        <f t="shared" si="536"/>
        <v>-11785.222527452788</v>
      </c>
      <c r="EO95" s="525">
        <f t="shared" si="536"/>
        <v>-11785.222527452788</v>
      </c>
      <c r="EP95" s="525">
        <f t="shared" si="536"/>
        <v>-11785.222527452788</v>
      </c>
      <c r="EQ95" s="525">
        <f t="shared" si="536"/>
        <v>-11785.222527452788</v>
      </c>
      <c r="ER95" s="525">
        <f t="shared" si="536"/>
        <v>-12138.779203276374</v>
      </c>
      <c r="ES95" s="525">
        <f t="shared" si="536"/>
        <v>-12138.779203276374</v>
      </c>
      <c r="ET95" s="525">
        <f t="shared" si="536"/>
        <v>-12138.779203276374</v>
      </c>
      <c r="EU95" s="525">
        <f t="shared" si="536"/>
        <v>-12138.779203276374</v>
      </c>
      <c r="EV95" s="525">
        <f t="shared" si="536"/>
        <v>-12138.779203276374</v>
      </c>
      <c r="EW95" s="525">
        <f t="shared" si="536"/>
        <v>-12138.779203276374</v>
      </c>
      <c r="EX95" s="525">
        <f t="shared" si="536"/>
        <v>-12138.779203276374</v>
      </c>
      <c r="EY95" s="525">
        <f t="shared" si="536"/>
        <v>-12138.779203276374</v>
      </c>
      <c r="EZ95" s="525">
        <f t="shared" si="536"/>
        <v>-12138.779203276374</v>
      </c>
      <c r="FA95" s="525">
        <f t="shared" si="536"/>
        <v>-12138.779203276374</v>
      </c>
      <c r="FB95" s="525">
        <f t="shared" si="536"/>
        <v>-12138.779203276374</v>
      </c>
      <c r="FC95" s="525">
        <f t="shared" si="536"/>
        <v>-12138.779203276374</v>
      </c>
      <c r="FD95" s="525">
        <f t="shared" si="536"/>
        <v>-12502.942579374663</v>
      </c>
      <c r="FE95" s="525">
        <f t="shared" si="536"/>
        <v>-12502.942579374663</v>
      </c>
      <c r="FF95" s="525">
        <f t="shared" si="536"/>
        <v>-12502.942579374663</v>
      </c>
      <c r="FG95" s="525">
        <f t="shared" si="536"/>
        <v>-12502.942579374663</v>
      </c>
      <c r="FH95" s="525">
        <f t="shared" si="536"/>
        <v>-12502.942579374663</v>
      </c>
      <c r="FI95" s="525">
        <f t="shared" si="536"/>
        <v>-12502.942579374663</v>
      </c>
      <c r="FJ95" s="525">
        <f t="shared" si="536"/>
        <v>-12502.942579374663</v>
      </c>
      <c r="FK95" s="525">
        <f t="shared" si="536"/>
        <v>-12502.942579374663</v>
      </c>
      <c r="FL95" s="525">
        <f t="shared" si="536"/>
        <v>-12502.942579374663</v>
      </c>
      <c r="FM95" s="525">
        <f t="shared" si="536"/>
        <v>-12502.942579374663</v>
      </c>
      <c r="FN95" s="525">
        <f t="shared" si="536"/>
        <v>-12502.942579374663</v>
      </c>
      <c r="FO95" s="525">
        <f t="shared" si="536"/>
        <v>-12502.942579374663</v>
      </c>
      <c r="FP95" s="525">
        <f t="shared" si="536"/>
        <v>-12878.030856755904</v>
      </c>
      <c r="FQ95" s="525">
        <f t="shared" si="536"/>
        <v>-12878.030856755904</v>
      </c>
      <c r="FR95" s="525">
        <f t="shared" si="536"/>
        <v>-12878.030856755904</v>
      </c>
      <c r="FS95" s="525">
        <f t="shared" si="536"/>
        <v>-12878.030856755904</v>
      </c>
      <c r="FT95" s="525">
        <f t="shared" si="536"/>
        <v>-12878.030856755904</v>
      </c>
      <c r="FU95" s="525">
        <f t="shared" si="536"/>
        <v>-12878.030856755904</v>
      </c>
      <c r="FV95" s="525">
        <f t="shared" si="536"/>
        <v>-12878.030856755904</v>
      </c>
      <c r="FW95" s="525">
        <f t="shared" si="536"/>
        <v>-12878.030856755904</v>
      </c>
      <c r="FX95" s="525">
        <f t="shared" si="536"/>
        <v>-12878.030856755904</v>
      </c>
      <c r="FY95" s="525">
        <f t="shared" si="536"/>
        <v>-12878.030856755904</v>
      </c>
      <c r="FZ95" s="525">
        <f t="shared" si="536"/>
        <v>-12878.030856755904</v>
      </c>
      <c r="GA95" s="525">
        <f t="shared" si="536"/>
        <v>-12878.030856755904</v>
      </c>
      <c r="GB95" s="525">
        <f t="shared" si="536"/>
        <v>-13264.371782458578</v>
      </c>
      <c r="GC95" s="525">
        <f t="shared" si="536"/>
        <v>-13264.371782458578</v>
      </c>
      <c r="GD95" s="525">
        <f t="shared" si="536"/>
        <v>-13264.371782458578</v>
      </c>
      <c r="GE95" s="525">
        <f t="shared" si="536"/>
        <v>-13264.371782458578</v>
      </c>
      <c r="GF95" s="525">
        <f t="shared" si="536"/>
        <v>-13264.371782458578</v>
      </c>
      <c r="GG95" s="525">
        <f t="shared" si="536"/>
        <v>-13264.371782458578</v>
      </c>
      <c r="GH95" s="525">
        <f t="shared" si="536"/>
        <v>-13264.371782458578</v>
      </c>
      <c r="GI95" s="525">
        <f t="shared" si="536"/>
        <v>-13264.371782458578</v>
      </c>
      <c r="GJ95" s="525">
        <f t="shared" si="536"/>
        <v>-13264.371782458578</v>
      </c>
      <c r="GK95" s="525">
        <f t="shared" si="536"/>
        <v>-13264.371782458578</v>
      </c>
      <c r="GL95" s="525">
        <f t="shared" si="536"/>
        <v>-13264.371782458578</v>
      </c>
      <c r="GM95" s="525">
        <f t="shared" si="536"/>
        <v>-13264.371782458578</v>
      </c>
      <c r="GN95" s="525">
        <f t="shared" si="536"/>
        <v>-13662.302935932335</v>
      </c>
      <c r="GO95" s="525">
        <f t="shared" si="536"/>
        <v>-13662.302935932335</v>
      </c>
      <c r="GP95" s="525">
        <f t="shared" si="536"/>
        <v>-13662.302935932335</v>
      </c>
      <c r="GQ95" s="525">
        <f t="shared" si="536"/>
        <v>-13662.302935932335</v>
      </c>
      <c r="GR95" s="525">
        <f t="shared" si="536"/>
        <v>-13662.302935932335</v>
      </c>
      <c r="GS95" s="525">
        <f t="shared" si="536"/>
        <v>-13662.302935932335</v>
      </c>
      <c r="GT95" s="525">
        <f t="shared" si="536"/>
        <v>-13662.302935932335</v>
      </c>
      <c r="GU95" s="525">
        <f t="shared" ref="GU95:JF95" si="537">IF(GU$7&gt;=$E95,IF(GU$7&lt;=$F95,(($D95*(1+$C95)^(IF(GU$7&gt;=$E95,GU$6-YEAR($E95),0)))/12),0),0)</f>
        <v>-13662.302935932335</v>
      </c>
      <c r="GV95" s="525">
        <f t="shared" si="537"/>
        <v>-13662.302935932335</v>
      </c>
      <c r="GW95" s="525">
        <f t="shared" si="537"/>
        <v>-13662.302935932335</v>
      </c>
      <c r="GX95" s="525">
        <f t="shared" si="537"/>
        <v>-13662.302935932335</v>
      </c>
      <c r="GY95" s="525">
        <f t="shared" si="537"/>
        <v>-13662.302935932335</v>
      </c>
      <c r="GZ95" s="525">
        <f t="shared" si="537"/>
        <v>-14072.172024010308</v>
      </c>
      <c r="HA95" s="525">
        <f t="shared" si="537"/>
        <v>-14072.172024010308</v>
      </c>
      <c r="HB95" s="525">
        <f t="shared" si="537"/>
        <v>-14072.172024010308</v>
      </c>
      <c r="HC95" s="525">
        <f t="shared" si="537"/>
        <v>-14072.172024010308</v>
      </c>
      <c r="HD95" s="525">
        <f t="shared" si="537"/>
        <v>-14072.172024010308</v>
      </c>
      <c r="HE95" s="525">
        <f t="shared" si="537"/>
        <v>-14072.172024010308</v>
      </c>
      <c r="HF95" s="525">
        <f t="shared" si="537"/>
        <v>-14072.172024010308</v>
      </c>
      <c r="HG95" s="525">
        <f t="shared" si="537"/>
        <v>-14072.172024010308</v>
      </c>
      <c r="HH95" s="525">
        <f t="shared" si="537"/>
        <v>-14072.172024010308</v>
      </c>
      <c r="HI95" s="525">
        <f t="shared" si="537"/>
        <v>-14072.172024010308</v>
      </c>
      <c r="HJ95" s="525">
        <f t="shared" si="537"/>
        <v>-14072.172024010308</v>
      </c>
      <c r="HK95" s="525">
        <f t="shared" si="537"/>
        <v>-14072.172024010308</v>
      </c>
      <c r="HL95" s="525">
        <f t="shared" si="537"/>
        <v>-14494.337184730619</v>
      </c>
      <c r="HM95" s="525">
        <f t="shared" si="537"/>
        <v>-14494.337184730619</v>
      </c>
      <c r="HN95" s="525">
        <f t="shared" si="537"/>
        <v>-14494.337184730619</v>
      </c>
      <c r="HO95" s="525">
        <f t="shared" si="537"/>
        <v>-14494.337184730619</v>
      </c>
      <c r="HP95" s="525">
        <f t="shared" si="537"/>
        <v>-14494.337184730619</v>
      </c>
      <c r="HQ95" s="525">
        <f t="shared" si="537"/>
        <v>-14494.337184730619</v>
      </c>
      <c r="HR95" s="525">
        <f t="shared" si="537"/>
        <v>-14494.337184730619</v>
      </c>
      <c r="HS95" s="525">
        <f t="shared" si="537"/>
        <v>-14494.337184730619</v>
      </c>
      <c r="HT95" s="525">
        <f t="shared" si="537"/>
        <v>-14494.337184730619</v>
      </c>
      <c r="HU95" s="525">
        <f t="shared" si="537"/>
        <v>-14494.337184730619</v>
      </c>
      <c r="HV95" s="525">
        <f t="shared" si="537"/>
        <v>-14494.337184730619</v>
      </c>
      <c r="HW95" s="525">
        <f t="shared" si="537"/>
        <v>-14494.337184730619</v>
      </c>
      <c r="HX95" s="525">
        <f t="shared" si="537"/>
        <v>-14929.167300272535</v>
      </c>
      <c r="HY95" s="525">
        <f t="shared" si="537"/>
        <v>-14929.167300272535</v>
      </c>
      <c r="HZ95" s="525">
        <f t="shared" si="537"/>
        <v>-14929.167300272535</v>
      </c>
      <c r="IA95" s="525">
        <f t="shared" si="537"/>
        <v>-14929.167300272535</v>
      </c>
      <c r="IB95" s="525">
        <f t="shared" si="537"/>
        <v>-14929.167300272535</v>
      </c>
      <c r="IC95" s="525">
        <f t="shared" si="537"/>
        <v>-14929.167300272535</v>
      </c>
      <c r="ID95" s="525">
        <f t="shared" si="537"/>
        <v>-14929.167300272535</v>
      </c>
      <c r="IE95" s="525">
        <f t="shared" si="537"/>
        <v>-14929.167300272535</v>
      </c>
      <c r="IF95" s="525">
        <f t="shared" si="537"/>
        <v>-14929.167300272535</v>
      </c>
      <c r="IG95" s="525">
        <f t="shared" si="537"/>
        <v>-14929.167300272535</v>
      </c>
      <c r="IH95" s="525">
        <f t="shared" si="537"/>
        <v>-14929.167300272535</v>
      </c>
      <c r="II95" s="525">
        <f t="shared" si="537"/>
        <v>-14929.167300272535</v>
      </c>
      <c r="IJ95" s="525">
        <f t="shared" si="537"/>
        <v>-15377.042319280708</v>
      </c>
      <c r="IK95" s="525">
        <f t="shared" si="537"/>
        <v>-15377.042319280708</v>
      </c>
      <c r="IL95" s="525">
        <f t="shared" si="537"/>
        <v>-15377.042319280708</v>
      </c>
      <c r="IM95" s="525">
        <f t="shared" si="537"/>
        <v>-15377.042319280708</v>
      </c>
      <c r="IN95" s="525">
        <f t="shared" si="537"/>
        <v>-15377.042319280708</v>
      </c>
      <c r="IO95" s="525">
        <f t="shared" si="537"/>
        <v>-15377.042319280708</v>
      </c>
      <c r="IP95" s="525">
        <f t="shared" si="537"/>
        <v>-15377.042319280708</v>
      </c>
      <c r="IQ95" s="525">
        <f t="shared" si="537"/>
        <v>-15377.042319280708</v>
      </c>
      <c r="IR95" s="525">
        <f t="shared" si="537"/>
        <v>-15377.042319280708</v>
      </c>
      <c r="IS95" s="525">
        <f t="shared" si="537"/>
        <v>-15377.042319280708</v>
      </c>
      <c r="IT95" s="525">
        <f t="shared" si="537"/>
        <v>-15377.042319280708</v>
      </c>
      <c r="IU95" s="525">
        <f t="shared" si="537"/>
        <v>-15377.042319280708</v>
      </c>
      <c r="IV95" s="525">
        <f t="shared" si="537"/>
        <v>-15838.35358885913</v>
      </c>
      <c r="IW95" s="525">
        <f t="shared" si="537"/>
        <v>-15838.35358885913</v>
      </c>
      <c r="IX95" s="525">
        <f t="shared" si="537"/>
        <v>-15838.35358885913</v>
      </c>
      <c r="IY95" s="525">
        <f t="shared" si="537"/>
        <v>-15838.35358885913</v>
      </c>
      <c r="IZ95" s="525">
        <f t="shared" si="537"/>
        <v>-15838.35358885913</v>
      </c>
      <c r="JA95" s="525">
        <f t="shared" si="537"/>
        <v>-15838.35358885913</v>
      </c>
      <c r="JB95" s="525">
        <f t="shared" si="537"/>
        <v>-15838.35358885913</v>
      </c>
      <c r="JC95" s="525">
        <f t="shared" si="537"/>
        <v>-15838.35358885913</v>
      </c>
      <c r="JD95" s="525">
        <f t="shared" si="537"/>
        <v>-15838.35358885913</v>
      </c>
      <c r="JE95" s="525">
        <f t="shared" si="537"/>
        <v>-15838.35358885913</v>
      </c>
      <c r="JF95" s="525">
        <f t="shared" si="537"/>
        <v>-15838.35358885913</v>
      </c>
      <c r="JG95" s="525">
        <f t="shared" ref="JG95:LR95" si="538">IF(JG$7&gt;=$E95,IF(JG$7&lt;=$F95,(($D95*(1+$C95)^(IF(JG$7&gt;=$E95,JG$6-YEAR($E95),0)))/12),0),0)</f>
        <v>-15838.35358885913</v>
      </c>
      <c r="JH95" s="525">
        <f t="shared" si="538"/>
        <v>-16313.504196524904</v>
      </c>
      <c r="JI95" s="525">
        <f t="shared" si="538"/>
        <v>-16313.504196524904</v>
      </c>
      <c r="JJ95" s="525">
        <f t="shared" si="538"/>
        <v>-16313.504196524904</v>
      </c>
      <c r="JK95" s="525">
        <f t="shared" si="538"/>
        <v>-16313.504196524904</v>
      </c>
      <c r="JL95" s="525">
        <f t="shared" si="538"/>
        <v>-16313.504196524904</v>
      </c>
      <c r="JM95" s="525">
        <f t="shared" si="538"/>
        <v>-16313.504196524904</v>
      </c>
      <c r="JN95" s="525">
        <f t="shared" si="538"/>
        <v>-16313.504196524904</v>
      </c>
      <c r="JO95" s="525">
        <f t="shared" si="538"/>
        <v>-16313.504196524904</v>
      </c>
      <c r="JP95" s="525">
        <f t="shared" si="538"/>
        <v>-16313.504196524904</v>
      </c>
      <c r="JQ95" s="525">
        <f t="shared" si="538"/>
        <v>-16313.504196524904</v>
      </c>
      <c r="JR95" s="525">
        <f t="shared" si="538"/>
        <v>-16313.504196524904</v>
      </c>
      <c r="JS95" s="525">
        <f t="shared" si="538"/>
        <v>-16313.504196524904</v>
      </c>
      <c r="JT95" s="525">
        <f t="shared" si="538"/>
        <v>-16802.909322420652</v>
      </c>
      <c r="JU95" s="525">
        <f t="shared" si="538"/>
        <v>-16802.909322420652</v>
      </c>
      <c r="JV95" s="525">
        <f t="shared" si="538"/>
        <v>-16802.909322420652</v>
      </c>
      <c r="JW95" s="525">
        <f t="shared" si="538"/>
        <v>-16802.909322420652</v>
      </c>
      <c r="JX95" s="525">
        <f t="shared" si="538"/>
        <v>-16802.909322420652</v>
      </c>
      <c r="JY95" s="525">
        <f t="shared" si="538"/>
        <v>-16802.909322420652</v>
      </c>
      <c r="JZ95" s="525">
        <f t="shared" si="538"/>
        <v>-16802.909322420652</v>
      </c>
      <c r="KA95" s="525">
        <f t="shared" si="538"/>
        <v>-16802.909322420652</v>
      </c>
      <c r="KB95" s="525">
        <f t="shared" si="538"/>
        <v>-16802.909322420652</v>
      </c>
      <c r="KC95" s="525">
        <f t="shared" si="538"/>
        <v>-16802.909322420652</v>
      </c>
      <c r="KD95" s="525">
        <f t="shared" si="538"/>
        <v>-16802.909322420652</v>
      </c>
      <c r="KE95" s="525">
        <f t="shared" si="538"/>
        <v>-16802.909322420652</v>
      </c>
      <c r="KF95" s="525">
        <f t="shared" si="538"/>
        <v>-17306.99660209327</v>
      </c>
      <c r="KG95" s="525">
        <f t="shared" si="538"/>
        <v>-17306.99660209327</v>
      </c>
      <c r="KH95" s="525">
        <f t="shared" si="538"/>
        <v>-17306.99660209327</v>
      </c>
      <c r="KI95" s="525">
        <f t="shared" si="538"/>
        <v>-17306.99660209327</v>
      </c>
      <c r="KJ95" s="525">
        <f t="shared" si="538"/>
        <v>-17306.99660209327</v>
      </c>
      <c r="KK95" s="525">
        <f t="shared" si="538"/>
        <v>-17306.99660209327</v>
      </c>
      <c r="KL95" s="525">
        <f t="shared" si="538"/>
        <v>-17306.99660209327</v>
      </c>
      <c r="KM95" s="525">
        <f t="shared" si="538"/>
        <v>-17306.99660209327</v>
      </c>
      <c r="KN95" s="525">
        <f t="shared" si="538"/>
        <v>-17306.99660209327</v>
      </c>
      <c r="KO95" s="525">
        <f t="shared" si="538"/>
        <v>-17306.99660209327</v>
      </c>
      <c r="KP95" s="525">
        <f t="shared" si="538"/>
        <v>-17306.99660209327</v>
      </c>
      <c r="KQ95" s="525">
        <f t="shared" si="538"/>
        <v>-17306.99660209327</v>
      </c>
      <c r="KR95" s="525">
        <f t="shared" si="538"/>
        <v>-17826.20650015607</v>
      </c>
      <c r="KS95" s="525">
        <f t="shared" si="538"/>
        <v>-17826.20650015607</v>
      </c>
      <c r="KT95" s="525">
        <f t="shared" si="538"/>
        <v>-17826.20650015607</v>
      </c>
      <c r="KU95" s="525">
        <f t="shared" si="538"/>
        <v>-17826.20650015607</v>
      </c>
      <c r="KV95" s="525">
        <f t="shared" si="538"/>
        <v>-17826.20650015607</v>
      </c>
      <c r="KW95" s="525">
        <f t="shared" si="538"/>
        <v>-17826.20650015607</v>
      </c>
      <c r="KX95" s="525">
        <f t="shared" si="538"/>
        <v>-17826.20650015607</v>
      </c>
      <c r="KY95" s="525">
        <f t="shared" si="538"/>
        <v>-17826.20650015607</v>
      </c>
      <c r="KZ95" s="525">
        <f t="shared" si="538"/>
        <v>-17826.20650015607</v>
      </c>
      <c r="LA95" s="525">
        <f t="shared" si="538"/>
        <v>-17826.20650015607</v>
      </c>
      <c r="LB95" s="525">
        <f t="shared" si="538"/>
        <v>-17826.20650015607</v>
      </c>
      <c r="LC95" s="525">
        <f t="shared" si="538"/>
        <v>-17826.20650015607</v>
      </c>
      <c r="LD95" s="525">
        <f t="shared" si="538"/>
        <v>-18360.992695160752</v>
      </c>
      <c r="LE95" s="525">
        <f t="shared" si="538"/>
        <v>-18360.992695160752</v>
      </c>
      <c r="LF95" s="525">
        <f t="shared" si="538"/>
        <v>-18360.992695160752</v>
      </c>
      <c r="LG95" s="525">
        <f t="shared" si="538"/>
        <v>-18360.992695160752</v>
      </c>
      <c r="LH95" s="525">
        <f t="shared" si="538"/>
        <v>-18360.992695160752</v>
      </c>
      <c r="LI95" s="525">
        <f t="shared" si="538"/>
        <v>-18360.992695160752</v>
      </c>
      <c r="LJ95" s="525">
        <f t="shared" si="538"/>
        <v>-18360.992695160752</v>
      </c>
      <c r="LK95" s="525">
        <f t="shared" si="538"/>
        <v>-18360.992695160752</v>
      </c>
      <c r="LL95" s="525">
        <f t="shared" si="538"/>
        <v>-18360.992695160752</v>
      </c>
      <c r="LM95" s="525">
        <f t="shared" si="538"/>
        <v>-18360.992695160752</v>
      </c>
      <c r="LN95" s="525">
        <f t="shared" si="538"/>
        <v>-18360.992695160752</v>
      </c>
      <c r="LO95" s="525">
        <f t="shared" si="538"/>
        <v>-18360.992695160752</v>
      </c>
      <c r="LP95" s="525">
        <f t="shared" si="538"/>
        <v>-18911.822476015572</v>
      </c>
      <c r="LQ95" s="525">
        <f t="shared" si="538"/>
        <v>-18911.822476015572</v>
      </c>
      <c r="LR95" s="525">
        <f t="shared" si="538"/>
        <v>-18911.822476015572</v>
      </c>
      <c r="LS95" s="525">
        <f t="shared" ref="LS95:OD95" si="539">IF(LS$7&gt;=$E95,IF(LS$7&lt;=$F95,(($D95*(1+$C95)^(IF(LS$7&gt;=$E95,LS$6-YEAR($E95),0)))/12),0),0)</f>
        <v>-18911.822476015572</v>
      </c>
      <c r="LT95" s="525">
        <f t="shared" si="539"/>
        <v>-18911.822476015572</v>
      </c>
      <c r="LU95" s="525">
        <f t="shared" si="539"/>
        <v>-18911.822476015572</v>
      </c>
      <c r="LV95" s="525">
        <f t="shared" si="539"/>
        <v>-18911.822476015572</v>
      </c>
      <c r="LW95" s="525">
        <f t="shared" si="539"/>
        <v>-18911.822476015572</v>
      </c>
      <c r="LX95" s="525">
        <f t="shared" si="539"/>
        <v>-18911.822476015572</v>
      </c>
      <c r="LY95" s="525">
        <f t="shared" si="539"/>
        <v>-18911.822476015572</v>
      </c>
      <c r="LZ95" s="525">
        <f t="shared" si="539"/>
        <v>-18911.822476015572</v>
      </c>
      <c r="MA95" s="525">
        <f t="shared" si="539"/>
        <v>-18911.822476015572</v>
      </c>
      <c r="MB95" s="525">
        <f t="shared" si="539"/>
        <v>-19479.177150296036</v>
      </c>
      <c r="MC95" s="525">
        <f t="shared" si="539"/>
        <v>-19479.177150296036</v>
      </c>
      <c r="MD95" s="525">
        <f t="shared" si="539"/>
        <v>-19479.177150296036</v>
      </c>
      <c r="ME95" s="525">
        <f t="shared" si="539"/>
        <v>-19479.177150296036</v>
      </c>
      <c r="MF95" s="525">
        <f t="shared" si="539"/>
        <v>-19479.177150296036</v>
      </c>
      <c r="MG95" s="525">
        <f t="shared" si="539"/>
        <v>-19479.177150296036</v>
      </c>
      <c r="MH95" s="525">
        <f t="shared" si="539"/>
        <v>-19479.177150296036</v>
      </c>
      <c r="MI95" s="525">
        <f t="shared" si="539"/>
        <v>-19479.177150296036</v>
      </c>
      <c r="MJ95" s="525">
        <f t="shared" si="539"/>
        <v>-19479.177150296036</v>
      </c>
      <c r="MK95" s="525">
        <f t="shared" si="539"/>
        <v>-19479.177150296036</v>
      </c>
      <c r="ML95" s="525">
        <f t="shared" si="539"/>
        <v>-19479.177150296036</v>
      </c>
      <c r="MM95" s="525">
        <f t="shared" si="539"/>
        <v>-19479.177150296036</v>
      </c>
      <c r="MN95" s="525">
        <f t="shared" si="539"/>
        <v>-20063.552464804921</v>
      </c>
      <c r="MO95" s="525">
        <f t="shared" si="539"/>
        <v>-20063.552464804921</v>
      </c>
      <c r="MP95" s="525">
        <f t="shared" si="539"/>
        <v>-20063.552464804921</v>
      </c>
      <c r="MQ95" s="525">
        <f t="shared" si="539"/>
        <v>-20063.552464804921</v>
      </c>
      <c r="MR95" s="525">
        <f t="shared" si="539"/>
        <v>-20063.552464804921</v>
      </c>
      <c r="MS95" s="525">
        <f t="shared" si="539"/>
        <v>-20063.552464804921</v>
      </c>
      <c r="MT95" s="525">
        <f t="shared" si="539"/>
        <v>-20063.552464804921</v>
      </c>
      <c r="MU95" s="525">
        <f t="shared" si="539"/>
        <v>-20063.552464804921</v>
      </c>
      <c r="MV95" s="525">
        <f t="shared" si="539"/>
        <v>-20063.552464804921</v>
      </c>
      <c r="MW95" s="525">
        <f t="shared" si="539"/>
        <v>-20063.552464804921</v>
      </c>
      <c r="MX95" s="525">
        <f t="shared" si="539"/>
        <v>-20063.552464804921</v>
      </c>
      <c r="MY95" s="525">
        <f t="shared" si="539"/>
        <v>-20063.552464804921</v>
      </c>
      <c r="MZ95" s="525">
        <f t="shared" si="539"/>
        <v>-20665.459038749068</v>
      </c>
      <c r="NA95" s="525">
        <f t="shared" si="539"/>
        <v>-20665.459038749068</v>
      </c>
      <c r="NB95" s="525">
        <f t="shared" si="539"/>
        <v>-20665.459038749068</v>
      </c>
      <c r="NC95" s="525">
        <f t="shared" si="539"/>
        <v>-20665.459038749068</v>
      </c>
      <c r="ND95" s="525">
        <f t="shared" si="539"/>
        <v>-20665.459038749068</v>
      </c>
      <c r="NE95" s="525">
        <f t="shared" si="539"/>
        <v>-20665.459038749068</v>
      </c>
      <c r="NF95" s="525">
        <f t="shared" si="539"/>
        <v>-20665.459038749068</v>
      </c>
      <c r="NG95" s="525">
        <f t="shared" si="539"/>
        <v>-20665.459038749068</v>
      </c>
      <c r="NH95" s="525">
        <f t="shared" si="539"/>
        <v>-20665.459038749068</v>
      </c>
      <c r="NI95" s="525">
        <f t="shared" si="539"/>
        <v>-20665.459038749068</v>
      </c>
      <c r="NJ95" s="525">
        <f t="shared" si="539"/>
        <v>-20665.459038749068</v>
      </c>
      <c r="NK95" s="525">
        <f t="shared" si="539"/>
        <v>-20665.459038749068</v>
      </c>
      <c r="NL95" s="525">
        <f t="shared" si="539"/>
        <v>-21285.422809911539</v>
      </c>
      <c r="NM95" s="525">
        <f t="shared" si="539"/>
        <v>-21285.422809911539</v>
      </c>
      <c r="NN95" s="525">
        <f t="shared" si="539"/>
        <v>-21285.422809911539</v>
      </c>
      <c r="NO95" s="525">
        <f t="shared" si="539"/>
        <v>-21285.422809911539</v>
      </c>
      <c r="NP95" s="525">
        <f t="shared" si="539"/>
        <v>-21285.422809911539</v>
      </c>
      <c r="NQ95" s="525">
        <f t="shared" si="539"/>
        <v>-21285.422809911539</v>
      </c>
      <c r="NR95" s="525">
        <f t="shared" si="539"/>
        <v>-21285.422809911539</v>
      </c>
      <c r="NS95" s="525">
        <f t="shared" si="539"/>
        <v>-21285.422809911539</v>
      </c>
      <c r="NT95" s="525">
        <f t="shared" si="539"/>
        <v>-21285.422809911539</v>
      </c>
      <c r="NU95" s="525">
        <f t="shared" si="539"/>
        <v>-21285.422809911539</v>
      </c>
      <c r="NV95" s="525">
        <f t="shared" si="539"/>
        <v>-21285.422809911539</v>
      </c>
      <c r="NW95" s="525">
        <f t="shared" si="539"/>
        <v>-21285.422809911539</v>
      </c>
      <c r="NX95" s="525">
        <f t="shared" si="539"/>
        <v>-21923.985494208886</v>
      </c>
      <c r="NY95" s="525">
        <f t="shared" si="539"/>
        <v>-21923.985494208886</v>
      </c>
      <c r="NZ95" s="525">
        <f t="shared" si="539"/>
        <v>-21923.985494208886</v>
      </c>
      <c r="OA95" s="525">
        <f t="shared" si="539"/>
        <v>-21923.985494208886</v>
      </c>
      <c r="OB95" s="525">
        <f t="shared" si="539"/>
        <v>-21923.985494208886</v>
      </c>
      <c r="OC95" s="525">
        <f t="shared" si="539"/>
        <v>-21923.985494208886</v>
      </c>
      <c r="OD95" s="525">
        <f t="shared" si="539"/>
        <v>-21923.985494208886</v>
      </c>
      <c r="OE95" s="525">
        <f t="shared" ref="OE95:OO95" si="540">IF(OE$7&gt;=$E95,IF(OE$7&lt;=$F95,(($D95*(1+$C95)^(IF(OE$7&gt;=$E95,OE$6-YEAR($E95),0)))/12),0),0)</f>
        <v>-21923.985494208886</v>
      </c>
      <c r="OF95" s="525">
        <f t="shared" si="540"/>
        <v>-21923.985494208886</v>
      </c>
      <c r="OG95" s="525">
        <f t="shared" si="540"/>
        <v>-21923.985494208886</v>
      </c>
      <c r="OH95" s="525">
        <f t="shared" si="540"/>
        <v>-21923.985494208886</v>
      </c>
      <c r="OI95" s="525">
        <f t="shared" si="540"/>
        <v>-21923.985494208886</v>
      </c>
      <c r="OJ95" s="525">
        <f t="shared" si="540"/>
        <v>-22581.705059035154</v>
      </c>
      <c r="OK95" s="525">
        <f t="shared" si="540"/>
        <v>-22581.705059035154</v>
      </c>
      <c r="OL95" s="525">
        <f t="shared" si="540"/>
        <v>-22581.705059035154</v>
      </c>
      <c r="OM95" s="525">
        <f t="shared" si="540"/>
        <v>-22581.705059035154</v>
      </c>
      <c r="ON95" s="525">
        <f t="shared" si="540"/>
        <v>-22581.705059035154</v>
      </c>
      <c r="OO95" s="525">
        <f t="shared" si="540"/>
        <v>-22581.705059035154</v>
      </c>
    </row>
    <row r="96" spans="2:405">
      <c r="B96" s="516" t="s">
        <v>168</v>
      </c>
      <c r="C96" s="516"/>
      <c r="D96" s="446"/>
      <c r="E96" s="105"/>
      <c r="F96" s="105"/>
      <c r="G96" s="105"/>
      <c r="H96" s="105"/>
      <c r="I96" s="105"/>
      <c r="J96" s="447">
        <f>SUM(J95)</f>
        <v>0</v>
      </c>
      <c r="K96" s="447">
        <f t="shared" ref="K96:BV96" si="541">SUM(K95)</f>
        <v>0</v>
      </c>
      <c r="L96" s="447">
        <f t="shared" si="541"/>
        <v>0</v>
      </c>
      <c r="M96" s="447">
        <f t="shared" si="541"/>
        <v>0</v>
      </c>
      <c r="N96" s="447">
        <f t="shared" si="541"/>
        <v>0</v>
      </c>
      <c r="O96" s="447">
        <f t="shared" si="541"/>
        <v>0</v>
      </c>
      <c r="P96" s="447">
        <f t="shared" si="541"/>
        <v>0</v>
      </c>
      <c r="Q96" s="447">
        <f t="shared" si="541"/>
        <v>0</v>
      </c>
      <c r="R96" s="447">
        <f t="shared" si="541"/>
        <v>0</v>
      </c>
      <c r="S96" s="447">
        <f t="shared" si="541"/>
        <v>0</v>
      </c>
      <c r="T96" s="447">
        <f t="shared" si="541"/>
        <v>0</v>
      </c>
      <c r="U96" s="447">
        <f t="shared" si="541"/>
        <v>0</v>
      </c>
      <c r="V96" s="447">
        <f t="shared" si="541"/>
        <v>0</v>
      </c>
      <c r="W96" s="447">
        <f t="shared" si="541"/>
        <v>0</v>
      </c>
      <c r="X96" s="447">
        <f t="shared" si="541"/>
        <v>0</v>
      </c>
      <c r="Y96" s="447">
        <f t="shared" si="541"/>
        <v>0</v>
      </c>
      <c r="Z96" s="447">
        <f t="shared" si="541"/>
        <v>0</v>
      </c>
      <c r="AA96" s="447">
        <f t="shared" si="541"/>
        <v>0</v>
      </c>
      <c r="AB96" s="447">
        <f t="shared" si="541"/>
        <v>0</v>
      </c>
      <c r="AC96" s="447">
        <f t="shared" si="541"/>
        <v>0</v>
      </c>
      <c r="AD96" s="447">
        <f t="shared" si="541"/>
        <v>0</v>
      </c>
      <c r="AE96" s="447">
        <f t="shared" si="541"/>
        <v>0</v>
      </c>
      <c r="AF96" s="447">
        <f t="shared" si="541"/>
        <v>0</v>
      </c>
      <c r="AG96" s="447">
        <f t="shared" si="541"/>
        <v>0</v>
      </c>
      <c r="AH96" s="447">
        <f t="shared" si="541"/>
        <v>0</v>
      </c>
      <c r="AI96" s="447">
        <f t="shared" si="541"/>
        <v>0</v>
      </c>
      <c r="AJ96" s="447">
        <f t="shared" si="541"/>
        <v>0</v>
      </c>
      <c r="AK96" s="447">
        <f t="shared" si="541"/>
        <v>0</v>
      </c>
      <c r="AL96" s="447">
        <f t="shared" si="541"/>
        <v>0</v>
      </c>
      <c r="AM96" s="447">
        <f t="shared" si="541"/>
        <v>0</v>
      </c>
      <c r="AN96" s="447">
        <f t="shared" si="541"/>
        <v>0</v>
      </c>
      <c r="AO96" s="447">
        <f t="shared" si="541"/>
        <v>0</v>
      </c>
      <c r="AP96" s="447">
        <f t="shared" si="541"/>
        <v>0</v>
      </c>
      <c r="AQ96" s="447">
        <f t="shared" si="541"/>
        <v>0</v>
      </c>
      <c r="AR96" s="447">
        <f t="shared" si="541"/>
        <v>0</v>
      </c>
      <c r="AS96" s="447">
        <f t="shared" si="541"/>
        <v>0</v>
      </c>
      <c r="AT96" s="447">
        <f t="shared" si="541"/>
        <v>-9303.3634916158535</v>
      </c>
      <c r="AU96" s="447">
        <f t="shared" si="541"/>
        <v>-9303.3634916158535</v>
      </c>
      <c r="AV96" s="447">
        <f t="shared" si="541"/>
        <v>-9303.3634916158535</v>
      </c>
      <c r="AW96" s="447">
        <f t="shared" si="541"/>
        <v>-9303.3634916158535</v>
      </c>
      <c r="AX96" s="447">
        <f t="shared" si="541"/>
        <v>-9303.3634916158535</v>
      </c>
      <c r="AY96" s="447">
        <f t="shared" si="541"/>
        <v>-9303.3634916158535</v>
      </c>
      <c r="AZ96" s="447">
        <f t="shared" si="541"/>
        <v>-9582.4643963643284</v>
      </c>
      <c r="BA96" s="447">
        <f t="shared" si="541"/>
        <v>-9582.4643963643284</v>
      </c>
      <c r="BB96" s="447">
        <f t="shared" si="541"/>
        <v>-9582.4643963643284</v>
      </c>
      <c r="BC96" s="447">
        <f t="shared" si="541"/>
        <v>-9582.4643963643284</v>
      </c>
      <c r="BD96" s="447">
        <f t="shared" si="541"/>
        <v>-9582.4643963643284</v>
      </c>
      <c r="BE96" s="447">
        <f t="shared" si="541"/>
        <v>-9582.4643963643284</v>
      </c>
      <c r="BF96" s="447">
        <f t="shared" si="541"/>
        <v>-9582.4643963643284</v>
      </c>
      <c r="BG96" s="447">
        <f t="shared" si="541"/>
        <v>-9582.4643963643284</v>
      </c>
      <c r="BH96" s="447">
        <f t="shared" si="541"/>
        <v>-9582.4643963643284</v>
      </c>
      <c r="BI96" s="447">
        <f t="shared" si="541"/>
        <v>-9582.4643963643284</v>
      </c>
      <c r="BJ96" s="447">
        <f t="shared" si="541"/>
        <v>-9582.4643963643284</v>
      </c>
      <c r="BK96" s="447">
        <f t="shared" si="541"/>
        <v>-9582.4643963643284</v>
      </c>
      <c r="BL96" s="447">
        <f t="shared" si="541"/>
        <v>-9869.9383282552571</v>
      </c>
      <c r="BM96" s="447">
        <f t="shared" si="541"/>
        <v>-9869.9383282552571</v>
      </c>
      <c r="BN96" s="447">
        <f t="shared" si="541"/>
        <v>-9869.9383282552571</v>
      </c>
      <c r="BO96" s="447">
        <f t="shared" si="541"/>
        <v>-9869.9383282552571</v>
      </c>
      <c r="BP96" s="447">
        <f t="shared" si="541"/>
        <v>-9869.9383282552571</v>
      </c>
      <c r="BQ96" s="447">
        <f t="shared" si="541"/>
        <v>-9869.9383282552571</v>
      </c>
      <c r="BR96" s="447">
        <f t="shared" si="541"/>
        <v>-9869.9383282552571</v>
      </c>
      <c r="BS96" s="447">
        <f t="shared" si="541"/>
        <v>-9869.9383282552571</v>
      </c>
      <c r="BT96" s="447">
        <f t="shared" si="541"/>
        <v>-9869.9383282552571</v>
      </c>
      <c r="BU96" s="447">
        <f t="shared" si="541"/>
        <v>-9869.9383282552571</v>
      </c>
      <c r="BV96" s="447">
        <f t="shared" si="541"/>
        <v>-9869.9383282552571</v>
      </c>
      <c r="BW96" s="447">
        <f t="shared" ref="BW96:EH96" si="542">SUM(BW95)</f>
        <v>-9869.9383282552571</v>
      </c>
      <c r="BX96" s="447">
        <f t="shared" si="542"/>
        <v>-10166.036478102917</v>
      </c>
      <c r="BY96" s="447">
        <f t="shared" si="542"/>
        <v>-10166.036478102917</v>
      </c>
      <c r="BZ96" s="447">
        <f t="shared" si="542"/>
        <v>-10166.036478102917</v>
      </c>
      <c r="CA96" s="447">
        <f t="shared" si="542"/>
        <v>-10166.036478102917</v>
      </c>
      <c r="CB96" s="447">
        <f t="shared" si="542"/>
        <v>-10166.036478102917</v>
      </c>
      <c r="CC96" s="447">
        <f t="shared" si="542"/>
        <v>-10166.036478102917</v>
      </c>
      <c r="CD96" s="447">
        <f t="shared" si="542"/>
        <v>-10166.036478102917</v>
      </c>
      <c r="CE96" s="447">
        <f t="shared" si="542"/>
        <v>-10166.036478102917</v>
      </c>
      <c r="CF96" s="447">
        <f t="shared" si="542"/>
        <v>-10166.036478102917</v>
      </c>
      <c r="CG96" s="447">
        <f t="shared" si="542"/>
        <v>-10166.036478102917</v>
      </c>
      <c r="CH96" s="447">
        <f t="shared" si="542"/>
        <v>-10166.036478102917</v>
      </c>
      <c r="CI96" s="447">
        <f t="shared" si="542"/>
        <v>-10166.036478102917</v>
      </c>
      <c r="CJ96" s="447">
        <f t="shared" si="542"/>
        <v>-10471.017572446002</v>
      </c>
      <c r="CK96" s="447">
        <f t="shared" si="542"/>
        <v>-10471.017572446002</v>
      </c>
      <c r="CL96" s="447">
        <f t="shared" si="542"/>
        <v>-10471.017572446002</v>
      </c>
      <c r="CM96" s="447">
        <f t="shared" si="542"/>
        <v>-10471.017572446002</v>
      </c>
      <c r="CN96" s="447">
        <f t="shared" si="542"/>
        <v>-10471.017572446002</v>
      </c>
      <c r="CO96" s="447">
        <f t="shared" si="542"/>
        <v>-10471.017572446002</v>
      </c>
      <c r="CP96" s="447">
        <f t="shared" si="542"/>
        <v>-10471.017572446002</v>
      </c>
      <c r="CQ96" s="447">
        <f t="shared" si="542"/>
        <v>-10471.017572446002</v>
      </c>
      <c r="CR96" s="447">
        <f t="shared" si="542"/>
        <v>-10471.017572446002</v>
      </c>
      <c r="CS96" s="447">
        <f t="shared" si="542"/>
        <v>-10471.017572446002</v>
      </c>
      <c r="CT96" s="447">
        <f t="shared" si="542"/>
        <v>-10471.017572446002</v>
      </c>
      <c r="CU96" s="447">
        <f t="shared" si="542"/>
        <v>-10471.017572446002</v>
      </c>
      <c r="CV96" s="447">
        <f t="shared" si="542"/>
        <v>-10785.148099619382</v>
      </c>
      <c r="CW96" s="447">
        <f t="shared" si="542"/>
        <v>-10785.148099619382</v>
      </c>
      <c r="CX96" s="447">
        <f t="shared" si="542"/>
        <v>-10785.148099619382</v>
      </c>
      <c r="CY96" s="447">
        <f t="shared" si="542"/>
        <v>-10785.148099619382</v>
      </c>
      <c r="CZ96" s="447">
        <f t="shared" si="542"/>
        <v>-10785.148099619382</v>
      </c>
      <c r="DA96" s="447">
        <f t="shared" si="542"/>
        <v>-10785.148099619382</v>
      </c>
      <c r="DB96" s="447">
        <f t="shared" si="542"/>
        <v>-10785.148099619382</v>
      </c>
      <c r="DC96" s="447">
        <f t="shared" si="542"/>
        <v>-10785.148099619382</v>
      </c>
      <c r="DD96" s="447">
        <f t="shared" si="542"/>
        <v>-10785.148099619382</v>
      </c>
      <c r="DE96" s="447">
        <f t="shared" si="542"/>
        <v>-10785.148099619382</v>
      </c>
      <c r="DF96" s="447">
        <f t="shared" si="542"/>
        <v>-10785.148099619382</v>
      </c>
      <c r="DG96" s="447">
        <f t="shared" si="542"/>
        <v>-10785.148099619382</v>
      </c>
      <c r="DH96" s="447">
        <f t="shared" si="542"/>
        <v>-11108.702542607964</v>
      </c>
      <c r="DI96" s="447">
        <f t="shared" si="542"/>
        <v>-11108.702542607964</v>
      </c>
      <c r="DJ96" s="447">
        <f t="shared" si="542"/>
        <v>-11108.702542607964</v>
      </c>
      <c r="DK96" s="447">
        <f t="shared" si="542"/>
        <v>-11108.702542607964</v>
      </c>
      <c r="DL96" s="447">
        <f t="shared" si="542"/>
        <v>-11108.702542607964</v>
      </c>
      <c r="DM96" s="447">
        <f t="shared" si="542"/>
        <v>-11108.702542607964</v>
      </c>
      <c r="DN96" s="447">
        <f t="shared" si="542"/>
        <v>-11108.702542607964</v>
      </c>
      <c r="DO96" s="447">
        <f t="shared" si="542"/>
        <v>-11108.702542607964</v>
      </c>
      <c r="DP96" s="447">
        <f t="shared" si="542"/>
        <v>-11108.702542607964</v>
      </c>
      <c r="DQ96" s="447">
        <f t="shared" si="542"/>
        <v>-11108.702542607964</v>
      </c>
      <c r="DR96" s="447">
        <f t="shared" si="542"/>
        <v>-11108.702542607964</v>
      </c>
      <c r="DS96" s="447">
        <f t="shared" si="542"/>
        <v>-11108.702542607964</v>
      </c>
      <c r="DT96" s="447">
        <f t="shared" si="542"/>
        <v>-11441.963618886204</v>
      </c>
      <c r="DU96" s="447">
        <f t="shared" si="542"/>
        <v>-11441.963618886204</v>
      </c>
      <c r="DV96" s="447">
        <f t="shared" si="542"/>
        <v>-11441.963618886204</v>
      </c>
      <c r="DW96" s="447">
        <f t="shared" si="542"/>
        <v>-11441.963618886204</v>
      </c>
      <c r="DX96" s="447">
        <f t="shared" si="542"/>
        <v>-11441.963618886204</v>
      </c>
      <c r="DY96" s="447">
        <f t="shared" si="542"/>
        <v>-11441.963618886204</v>
      </c>
      <c r="DZ96" s="447">
        <f t="shared" si="542"/>
        <v>-11441.963618886204</v>
      </c>
      <c r="EA96" s="447">
        <f t="shared" si="542"/>
        <v>-11441.963618886204</v>
      </c>
      <c r="EB96" s="447">
        <f t="shared" si="542"/>
        <v>-11441.963618886204</v>
      </c>
      <c r="EC96" s="447">
        <f t="shared" si="542"/>
        <v>-11441.963618886204</v>
      </c>
      <c r="ED96" s="447">
        <f t="shared" si="542"/>
        <v>-11441.963618886204</v>
      </c>
      <c r="EE96" s="447">
        <f t="shared" si="542"/>
        <v>-11441.963618886204</v>
      </c>
      <c r="EF96" s="447">
        <f t="shared" si="542"/>
        <v>-11785.222527452788</v>
      </c>
      <c r="EG96" s="447">
        <f t="shared" si="542"/>
        <v>-11785.222527452788</v>
      </c>
      <c r="EH96" s="447">
        <f t="shared" si="542"/>
        <v>-11785.222527452788</v>
      </c>
      <c r="EI96" s="447">
        <f t="shared" ref="EI96:GT96" si="543">SUM(EI95)</f>
        <v>-11785.222527452788</v>
      </c>
      <c r="EJ96" s="447">
        <f t="shared" si="543"/>
        <v>-11785.222527452788</v>
      </c>
      <c r="EK96" s="447">
        <f t="shared" si="543"/>
        <v>-11785.222527452788</v>
      </c>
      <c r="EL96" s="447">
        <f t="shared" si="543"/>
        <v>-11785.222527452788</v>
      </c>
      <c r="EM96" s="447">
        <f t="shared" si="543"/>
        <v>-11785.222527452788</v>
      </c>
      <c r="EN96" s="447">
        <f t="shared" si="543"/>
        <v>-11785.222527452788</v>
      </c>
      <c r="EO96" s="447">
        <f t="shared" si="543"/>
        <v>-11785.222527452788</v>
      </c>
      <c r="EP96" s="447">
        <f t="shared" si="543"/>
        <v>-11785.222527452788</v>
      </c>
      <c r="EQ96" s="447">
        <f t="shared" si="543"/>
        <v>-11785.222527452788</v>
      </c>
      <c r="ER96" s="447">
        <f t="shared" si="543"/>
        <v>-12138.779203276374</v>
      </c>
      <c r="ES96" s="447">
        <f t="shared" si="543"/>
        <v>-12138.779203276374</v>
      </c>
      <c r="ET96" s="447">
        <f t="shared" si="543"/>
        <v>-12138.779203276374</v>
      </c>
      <c r="EU96" s="447">
        <f t="shared" si="543"/>
        <v>-12138.779203276374</v>
      </c>
      <c r="EV96" s="447">
        <f t="shared" si="543"/>
        <v>-12138.779203276374</v>
      </c>
      <c r="EW96" s="447">
        <f t="shared" si="543"/>
        <v>-12138.779203276374</v>
      </c>
      <c r="EX96" s="447">
        <f t="shared" si="543"/>
        <v>-12138.779203276374</v>
      </c>
      <c r="EY96" s="447">
        <f t="shared" si="543"/>
        <v>-12138.779203276374</v>
      </c>
      <c r="EZ96" s="447">
        <f t="shared" si="543"/>
        <v>-12138.779203276374</v>
      </c>
      <c r="FA96" s="447">
        <f t="shared" si="543"/>
        <v>-12138.779203276374</v>
      </c>
      <c r="FB96" s="447">
        <f t="shared" si="543"/>
        <v>-12138.779203276374</v>
      </c>
      <c r="FC96" s="447">
        <f t="shared" si="543"/>
        <v>-12138.779203276374</v>
      </c>
      <c r="FD96" s="447">
        <f t="shared" si="543"/>
        <v>-12502.942579374663</v>
      </c>
      <c r="FE96" s="447">
        <f t="shared" si="543"/>
        <v>-12502.942579374663</v>
      </c>
      <c r="FF96" s="447">
        <f t="shared" si="543"/>
        <v>-12502.942579374663</v>
      </c>
      <c r="FG96" s="447">
        <f t="shared" si="543"/>
        <v>-12502.942579374663</v>
      </c>
      <c r="FH96" s="447">
        <f t="shared" si="543"/>
        <v>-12502.942579374663</v>
      </c>
      <c r="FI96" s="447">
        <f t="shared" si="543"/>
        <v>-12502.942579374663</v>
      </c>
      <c r="FJ96" s="447">
        <f t="shared" si="543"/>
        <v>-12502.942579374663</v>
      </c>
      <c r="FK96" s="447">
        <f t="shared" si="543"/>
        <v>-12502.942579374663</v>
      </c>
      <c r="FL96" s="447">
        <f t="shared" si="543"/>
        <v>-12502.942579374663</v>
      </c>
      <c r="FM96" s="447">
        <f t="shared" si="543"/>
        <v>-12502.942579374663</v>
      </c>
      <c r="FN96" s="447">
        <f t="shared" si="543"/>
        <v>-12502.942579374663</v>
      </c>
      <c r="FO96" s="447">
        <f t="shared" si="543"/>
        <v>-12502.942579374663</v>
      </c>
      <c r="FP96" s="447">
        <f t="shared" si="543"/>
        <v>-12878.030856755904</v>
      </c>
      <c r="FQ96" s="447">
        <f t="shared" si="543"/>
        <v>-12878.030856755904</v>
      </c>
      <c r="FR96" s="447">
        <f t="shared" si="543"/>
        <v>-12878.030856755904</v>
      </c>
      <c r="FS96" s="447">
        <f t="shared" si="543"/>
        <v>-12878.030856755904</v>
      </c>
      <c r="FT96" s="447">
        <f t="shared" si="543"/>
        <v>-12878.030856755904</v>
      </c>
      <c r="FU96" s="447">
        <f t="shared" si="543"/>
        <v>-12878.030856755904</v>
      </c>
      <c r="FV96" s="447">
        <f t="shared" si="543"/>
        <v>-12878.030856755904</v>
      </c>
      <c r="FW96" s="447">
        <f t="shared" si="543"/>
        <v>-12878.030856755904</v>
      </c>
      <c r="FX96" s="447">
        <f t="shared" si="543"/>
        <v>-12878.030856755904</v>
      </c>
      <c r="FY96" s="447">
        <f t="shared" si="543"/>
        <v>-12878.030856755904</v>
      </c>
      <c r="FZ96" s="447">
        <f t="shared" si="543"/>
        <v>-12878.030856755904</v>
      </c>
      <c r="GA96" s="447">
        <f t="shared" si="543"/>
        <v>-12878.030856755904</v>
      </c>
      <c r="GB96" s="447">
        <f t="shared" si="543"/>
        <v>-13264.371782458578</v>
      </c>
      <c r="GC96" s="447">
        <f t="shared" si="543"/>
        <v>-13264.371782458578</v>
      </c>
      <c r="GD96" s="447">
        <f t="shared" si="543"/>
        <v>-13264.371782458578</v>
      </c>
      <c r="GE96" s="447">
        <f t="shared" si="543"/>
        <v>-13264.371782458578</v>
      </c>
      <c r="GF96" s="447">
        <f t="shared" si="543"/>
        <v>-13264.371782458578</v>
      </c>
      <c r="GG96" s="447">
        <f t="shared" si="543"/>
        <v>-13264.371782458578</v>
      </c>
      <c r="GH96" s="447">
        <f t="shared" si="543"/>
        <v>-13264.371782458578</v>
      </c>
      <c r="GI96" s="447">
        <f t="shared" si="543"/>
        <v>-13264.371782458578</v>
      </c>
      <c r="GJ96" s="447">
        <f t="shared" si="543"/>
        <v>-13264.371782458578</v>
      </c>
      <c r="GK96" s="447">
        <f t="shared" si="543"/>
        <v>-13264.371782458578</v>
      </c>
      <c r="GL96" s="447">
        <f t="shared" si="543"/>
        <v>-13264.371782458578</v>
      </c>
      <c r="GM96" s="447">
        <f t="shared" si="543"/>
        <v>-13264.371782458578</v>
      </c>
      <c r="GN96" s="447">
        <f t="shared" si="543"/>
        <v>-13662.302935932335</v>
      </c>
      <c r="GO96" s="447">
        <f t="shared" si="543"/>
        <v>-13662.302935932335</v>
      </c>
      <c r="GP96" s="447">
        <f t="shared" si="543"/>
        <v>-13662.302935932335</v>
      </c>
      <c r="GQ96" s="447">
        <f t="shared" si="543"/>
        <v>-13662.302935932335</v>
      </c>
      <c r="GR96" s="447">
        <f t="shared" si="543"/>
        <v>-13662.302935932335</v>
      </c>
      <c r="GS96" s="447">
        <f t="shared" si="543"/>
        <v>-13662.302935932335</v>
      </c>
      <c r="GT96" s="447">
        <f t="shared" si="543"/>
        <v>-13662.302935932335</v>
      </c>
      <c r="GU96" s="447">
        <f t="shared" ref="GU96:JF96" si="544">SUM(GU95)</f>
        <v>-13662.302935932335</v>
      </c>
      <c r="GV96" s="447">
        <f t="shared" si="544"/>
        <v>-13662.302935932335</v>
      </c>
      <c r="GW96" s="447">
        <f t="shared" si="544"/>
        <v>-13662.302935932335</v>
      </c>
      <c r="GX96" s="447">
        <f t="shared" si="544"/>
        <v>-13662.302935932335</v>
      </c>
      <c r="GY96" s="447">
        <f t="shared" si="544"/>
        <v>-13662.302935932335</v>
      </c>
      <c r="GZ96" s="447">
        <f t="shared" si="544"/>
        <v>-14072.172024010308</v>
      </c>
      <c r="HA96" s="447">
        <f t="shared" si="544"/>
        <v>-14072.172024010308</v>
      </c>
      <c r="HB96" s="447">
        <f t="shared" si="544"/>
        <v>-14072.172024010308</v>
      </c>
      <c r="HC96" s="447">
        <f t="shared" si="544"/>
        <v>-14072.172024010308</v>
      </c>
      <c r="HD96" s="447">
        <f t="shared" si="544"/>
        <v>-14072.172024010308</v>
      </c>
      <c r="HE96" s="447">
        <f t="shared" si="544"/>
        <v>-14072.172024010308</v>
      </c>
      <c r="HF96" s="447">
        <f t="shared" si="544"/>
        <v>-14072.172024010308</v>
      </c>
      <c r="HG96" s="447">
        <f t="shared" si="544"/>
        <v>-14072.172024010308</v>
      </c>
      <c r="HH96" s="447">
        <f t="shared" si="544"/>
        <v>-14072.172024010308</v>
      </c>
      <c r="HI96" s="447">
        <f t="shared" si="544"/>
        <v>-14072.172024010308</v>
      </c>
      <c r="HJ96" s="447">
        <f t="shared" si="544"/>
        <v>-14072.172024010308</v>
      </c>
      <c r="HK96" s="447">
        <f t="shared" si="544"/>
        <v>-14072.172024010308</v>
      </c>
      <c r="HL96" s="447">
        <f t="shared" si="544"/>
        <v>-14494.337184730619</v>
      </c>
      <c r="HM96" s="447">
        <f t="shared" si="544"/>
        <v>-14494.337184730619</v>
      </c>
      <c r="HN96" s="447">
        <f t="shared" si="544"/>
        <v>-14494.337184730619</v>
      </c>
      <c r="HO96" s="447">
        <f t="shared" si="544"/>
        <v>-14494.337184730619</v>
      </c>
      <c r="HP96" s="447">
        <f t="shared" si="544"/>
        <v>-14494.337184730619</v>
      </c>
      <c r="HQ96" s="447">
        <f t="shared" si="544"/>
        <v>-14494.337184730619</v>
      </c>
      <c r="HR96" s="447">
        <f t="shared" si="544"/>
        <v>-14494.337184730619</v>
      </c>
      <c r="HS96" s="447">
        <f t="shared" si="544"/>
        <v>-14494.337184730619</v>
      </c>
      <c r="HT96" s="447">
        <f t="shared" si="544"/>
        <v>-14494.337184730619</v>
      </c>
      <c r="HU96" s="447">
        <f t="shared" si="544"/>
        <v>-14494.337184730619</v>
      </c>
      <c r="HV96" s="447">
        <f t="shared" si="544"/>
        <v>-14494.337184730619</v>
      </c>
      <c r="HW96" s="447">
        <f t="shared" si="544"/>
        <v>-14494.337184730619</v>
      </c>
      <c r="HX96" s="447">
        <f t="shared" si="544"/>
        <v>-14929.167300272535</v>
      </c>
      <c r="HY96" s="447">
        <f t="shared" si="544"/>
        <v>-14929.167300272535</v>
      </c>
      <c r="HZ96" s="447">
        <f t="shared" si="544"/>
        <v>-14929.167300272535</v>
      </c>
      <c r="IA96" s="447">
        <f t="shared" si="544"/>
        <v>-14929.167300272535</v>
      </c>
      <c r="IB96" s="447">
        <f t="shared" si="544"/>
        <v>-14929.167300272535</v>
      </c>
      <c r="IC96" s="447">
        <f t="shared" si="544"/>
        <v>-14929.167300272535</v>
      </c>
      <c r="ID96" s="447">
        <f t="shared" si="544"/>
        <v>-14929.167300272535</v>
      </c>
      <c r="IE96" s="447">
        <f t="shared" si="544"/>
        <v>-14929.167300272535</v>
      </c>
      <c r="IF96" s="447">
        <f t="shared" si="544"/>
        <v>-14929.167300272535</v>
      </c>
      <c r="IG96" s="447">
        <f t="shared" si="544"/>
        <v>-14929.167300272535</v>
      </c>
      <c r="IH96" s="447">
        <f t="shared" si="544"/>
        <v>-14929.167300272535</v>
      </c>
      <c r="II96" s="447">
        <f t="shared" si="544"/>
        <v>-14929.167300272535</v>
      </c>
      <c r="IJ96" s="447">
        <f t="shared" si="544"/>
        <v>-15377.042319280708</v>
      </c>
      <c r="IK96" s="447">
        <f t="shared" si="544"/>
        <v>-15377.042319280708</v>
      </c>
      <c r="IL96" s="447">
        <f t="shared" si="544"/>
        <v>-15377.042319280708</v>
      </c>
      <c r="IM96" s="447">
        <f t="shared" si="544"/>
        <v>-15377.042319280708</v>
      </c>
      <c r="IN96" s="447">
        <f t="shared" si="544"/>
        <v>-15377.042319280708</v>
      </c>
      <c r="IO96" s="447">
        <f t="shared" si="544"/>
        <v>-15377.042319280708</v>
      </c>
      <c r="IP96" s="447">
        <f t="shared" si="544"/>
        <v>-15377.042319280708</v>
      </c>
      <c r="IQ96" s="447">
        <f t="shared" si="544"/>
        <v>-15377.042319280708</v>
      </c>
      <c r="IR96" s="447">
        <f t="shared" si="544"/>
        <v>-15377.042319280708</v>
      </c>
      <c r="IS96" s="447">
        <f t="shared" si="544"/>
        <v>-15377.042319280708</v>
      </c>
      <c r="IT96" s="447">
        <f t="shared" si="544"/>
        <v>-15377.042319280708</v>
      </c>
      <c r="IU96" s="447">
        <f t="shared" si="544"/>
        <v>-15377.042319280708</v>
      </c>
      <c r="IV96" s="447">
        <f t="shared" si="544"/>
        <v>-15838.35358885913</v>
      </c>
      <c r="IW96" s="447">
        <f t="shared" si="544"/>
        <v>-15838.35358885913</v>
      </c>
      <c r="IX96" s="447">
        <f t="shared" si="544"/>
        <v>-15838.35358885913</v>
      </c>
      <c r="IY96" s="447">
        <f t="shared" si="544"/>
        <v>-15838.35358885913</v>
      </c>
      <c r="IZ96" s="447">
        <f t="shared" si="544"/>
        <v>-15838.35358885913</v>
      </c>
      <c r="JA96" s="447">
        <f t="shared" si="544"/>
        <v>-15838.35358885913</v>
      </c>
      <c r="JB96" s="447">
        <f t="shared" si="544"/>
        <v>-15838.35358885913</v>
      </c>
      <c r="JC96" s="447">
        <f t="shared" si="544"/>
        <v>-15838.35358885913</v>
      </c>
      <c r="JD96" s="447">
        <f t="shared" si="544"/>
        <v>-15838.35358885913</v>
      </c>
      <c r="JE96" s="447">
        <f t="shared" si="544"/>
        <v>-15838.35358885913</v>
      </c>
      <c r="JF96" s="447">
        <f t="shared" si="544"/>
        <v>-15838.35358885913</v>
      </c>
      <c r="JG96" s="447">
        <f t="shared" ref="JG96:LR96" si="545">SUM(JG95)</f>
        <v>-15838.35358885913</v>
      </c>
      <c r="JH96" s="447">
        <f t="shared" si="545"/>
        <v>-16313.504196524904</v>
      </c>
      <c r="JI96" s="447">
        <f t="shared" si="545"/>
        <v>-16313.504196524904</v>
      </c>
      <c r="JJ96" s="447">
        <f t="shared" si="545"/>
        <v>-16313.504196524904</v>
      </c>
      <c r="JK96" s="447">
        <f t="shared" si="545"/>
        <v>-16313.504196524904</v>
      </c>
      <c r="JL96" s="447">
        <f t="shared" si="545"/>
        <v>-16313.504196524904</v>
      </c>
      <c r="JM96" s="447">
        <f t="shared" si="545"/>
        <v>-16313.504196524904</v>
      </c>
      <c r="JN96" s="447">
        <f t="shared" si="545"/>
        <v>-16313.504196524904</v>
      </c>
      <c r="JO96" s="447">
        <f t="shared" si="545"/>
        <v>-16313.504196524904</v>
      </c>
      <c r="JP96" s="447">
        <f t="shared" si="545"/>
        <v>-16313.504196524904</v>
      </c>
      <c r="JQ96" s="447">
        <f t="shared" si="545"/>
        <v>-16313.504196524904</v>
      </c>
      <c r="JR96" s="447">
        <f t="shared" si="545"/>
        <v>-16313.504196524904</v>
      </c>
      <c r="JS96" s="447">
        <f t="shared" si="545"/>
        <v>-16313.504196524904</v>
      </c>
      <c r="JT96" s="447">
        <f t="shared" si="545"/>
        <v>-16802.909322420652</v>
      </c>
      <c r="JU96" s="447">
        <f t="shared" si="545"/>
        <v>-16802.909322420652</v>
      </c>
      <c r="JV96" s="447">
        <f t="shared" si="545"/>
        <v>-16802.909322420652</v>
      </c>
      <c r="JW96" s="447">
        <f t="shared" si="545"/>
        <v>-16802.909322420652</v>
      </c>
      <c r="JX96" s="447">
        <f t="shared" si="545"/>
        <v>-16802.909322420652</v>
      </c>
      <c r="JY96" s="447">
        <f t="shared" si="545"/>
        <v>-16802.909322420652</v>
      </c>
      <c r="JZ96" s="447">
        <f t="shared" si="545"/>
        <v>-16802.909322420652</v>
      </c>
      <c r="KA96" s="447">
        <f t="shared" si="545"/>
        <v>-16802.909322420652</v>
      </c>
      <c r="KB96" s="447">
        <f t="shared" si="545"/>
        <v>-16802.909322420652</v>
      </c>
      <c r="KC96" s="447">
        <f t="shared" si="545"/>
        <v>-16802.909322420652</v>
      </c>
      <c r="KD96" s="447">
        <f t="shared" si="545"/>
        <v>-16802.909322420652</v>
      </c>
      <c r="KE96" s="447">
        <f t="shared" si="545"/>
        <v>-16802.909322420652</v>
      </c>
      <c r="KF96" s="447">
        <f t="shared" si="545"/>
        <v>-17306.99660209327</v>
      </c>
      <c r="KG96" s="447">
        <f t="shared" si="545"/>
        <v>-17306.99660209327</v>
      </c>
      <c r="KH96" s="447">
        <f t="shared" si="545"/>
        <v>-17306.99660209327</v>
      </c>
      <c r="KI96" s="447">
        <f t="shared" si="545"/>
        <v>-17306.99660209327</v>
      </c>
      <c r="KJ96" s="447">
        <f t="shared" si="545"/>
        <v>-17306.99660209327</v>
      </c>
      <c r="KK96" s="447">
        <f t="shared" si="545"/>
        <v>-17306.99660209327</v>
      </c>
      <c r="KL96" s="447">
        <f t="shared" si="545"/>
        <v>-17306.99660209327</v>
      </c>
      <c r="KM96" s="447">
        <f t="shared" si="545"/>
        <v>-17306.99660209327</v>
      </c>
      <c r="KN96" s="447">
        <f t="shared" si="545"/>
        <v>-17306.99660209327</v>
      </c>
      <c r="KO96" s="447">
        <f t="shared" si="545"/>
        <v>-17306.99660209327</v>
      </c>
      <c r="KP96" s="447">
        <f t="shared" si="545"/>
        <v>-17306.99660209327</v>
      </c>
      <c r="KQ96" s="447">
        <f t="shared" si="545"/>
        <v>-17306.99660209327</v>
      </c>
      <c r="KR96" s="447">
        <f t="shared" si="545"/>
        <v>-17826.20650015607</v>
      </c>
      <c r="KS96" s="447">
        <f t="shared" si="545"/>
        <v>-17826.20650015607</v>
      </c>
      <c r="KT96" s="447">
        <f t="shared" si="545"/>
        <v>-17826.20650015607</v>
      </c>
      <c r="KU96" s="447">
        <f t="shared" si="545"/>
        <v>-17826.20650015607</v>
      </c>
      <c r="KV96" s="447">
        <f t="shared" si="545"/>
        <v>-17826.20650015607</v>
      </c>
      <c r="KW96" s="447">
        <f t="shared" si="545"/>
        <v>-17826.20650015607</v>
      </c>
      <c r="KX96" s="447">
        <f t="shared" si="545"/>
        <v>-17826.20650015607</v>
      </c>
      <c r="KY96" s="447">
        <f t="shared" si="545"/>
        <v>-17826.20650015607</v>
      </c>
      <c r="KZ96" s="447">
        <f t="shared" si="545"/>
        <v>-17826.20650015607</v>
      </c>
      <c r="LA96" s="447">
        <f t="shared" si="545"/>
        <v>-17826.20650015607</v>
      </c>
      <c r="LB96" s="447">
        <f t="shared" si="545"/>
        <v>-17826.20650015607</v>
      </c>
      <c r="LC96" s="447">
        <f t="shared" si="545"/>
        <v>-17826.20650015607</v>
      </c>
      <c r="LD96" s="447">
        <f t="shared" si="545"/>
        <v>-18360.992695160752</v>
      </c>
      <c r="LE96" s="447">
        <f t="shared" si="545"/>
        <v>-18360.992695160752</v>
      </c>
      <c r="LF96" s="447">
        <f t="shared" si="545"/>
        <v>-18360.992695160752</v>
      </c>
      <c r="LG96" s="447">
        <f t="shared" si="545"/>
        <v>-18360.992695160752</v>
      </c>
      <c r="LH96" s="447">
        <f t="shared" si="545"/>
        <v>-18360.992695160752</v>
      </c>
      <c r="LI96" s="447">
        <f t="shared" si="545"/>
        <v>-18360.992695160752</v>
      </c>
      <c r="LJ96" s="447">
        <f t="shared" si="545"/>
        <v>-18360.992695160752</v>
      </c>
      <c r="LK96" s="447">
        <f t="shared" si="545"/>
        <v>-18360.992695160752</v>
      </c>
      <c r="LL96" s="447">
        <f t="shared" si="545"/>
        <v>-18360.992695160752</v>
      </c>
      <c r="LM96" s="447">
        <f t="shared" si="545"/>
        <v>-18360.992695160752</v>
      </c>
      <c r="LN96" s="447">
        <f t="shared" si="545"/>
        <v>-18360.992695160752</v>
      </c>
      <c r="LO96" s="447">
        <f t="shared" si="545"/>
        <v>-18360.992695160752</v>
      </c>
      <c r="LP96" s="447">
        <f t="shared" si="545"/>
        <v>-18911.822476015572</v>
      </c>
      <c r="LQ96" s="447">
        <f t="shared" si="545"/>
        <v>-18911.822476015572</v>
      </c>
      <c r="LR96" s="447">
        <f t="shared" si="545"/>
        <v>-18911.822476015572</v>
      </c>
      <c r="LS96" s="447">
        <f t="shared" ref="LS96:OD96" si="546">SUM(LS95)</f>
        <v>-18911.822476015572</v>
      </c>
      <c r="LT96" s="447">
        <f t="shared" si="546"/>
        <v>-18911.822476015572</v>
      </c>
      <c r="LU96" s="447">
        <f t="shared" si="546"/>
        <v>-18911.822476015572</v>
      </c>
      <c r="LV96" s="447">
        <f t="shared" si="546"/>
        <v>-18911.822476015572</v>
      </c>
      <c r="LW96" s="447">
        <f t="shared" si="546"/>
        <v>-18911.822476015572</v>
      </c>
      <c r="LX96" s="447">
        <f t="shared" si="546"/>
        <v>-18911.822476015572</v>
      </c>
      <c r="LY96" s="447">
        <f t="shared" si="546"/>
        <v>-18911.822476015572</v>
      </c>
      <c r="LZ96" s="447">
        <f t="shared" si="546"/>
        <v>-18911.822476015572</v>
      </c>
      <c r="MA96" s="447">
        <f t="shared" si="546"/>
        <v>-18911.822476015572</v>
      </c>
      <c r="MB96" s="447">
        <f t="shared" si="546"/>
        <v>-19479.177150296036</v>
      </c>
      <c r="MC96" s="447">
        <f t="shared" si="546"/>
        <v>-19479.177150296036</v>
      </c>
      <c r="MD96" s="447">
        <f t="shared" si="546"/>
        <v>-19479.177150296036</v>
      </c>
      <c r="ME96" s="447">
        <f t="shared" si="546"/>
        <v>-19479.177150296036</v>
      </c>
      <c r="MF96" s="447">
        <f t="shared" si="546"/>
        <v>-19479.177150296036</v>
      </c>
      <c r="MG96" s="447">
        <f t="shared" si="546"/>
        <v>-19479.177150296036</v>
      </c>
      <c r="MH96" s="447">
        <f t="shared" si="546"/>
        <v>-19479.177150296036</v>
      </c>
      <c r="MI96" s="447">
        <f t="shared" si="546"/>
        <v>-19479.177150296036</v>
      </c>
      <c r="MJ96" s="447">
        <f t="shared" si="546"/>
        <v>-19479.177150296036</v>
      </c>
      <c r="MK96" s="447">
        <f t="shared" si="546"/>
        <v>-19479.177150296036</v>
      </c>
      <c r="ML96" s="447">
        <f t="shared" si="546"/>
        <v>-19479.177150296036</v>
      </c>
      <c r="MM96" s="447">
        <f t="shared" si="546"/>
        <v>-19479.177150296036</v>
      </c>
      <c r="MN96" s="447">
        <f t="shared" si="546"/>
        <v>-20063.552464804921</v>
      </c>
      <c r="MO96" s="447">
        <f t="shared" si="546"/>
        <v>-20063.552464804921</v>
      </c>
      <c r="MP96" s="447">
        <f t="shared" si="546"/>
        <v>-20063.552464804921</v>
      </c>
      <c r="MQ96" s="447">
        <f t="shared" si="546"/>
        <v>-20063.552464804921</v>
      </c>
      <c r="MR96" s="447">
        <f t="shared" si="546"/>
        <v>-20063.552464804921</v>
      </c>
      <c r="MS96" s="447">
        <f t="shared" si="546"/>
        <v>-20063.552464804921</v>
      </c>
      <c r="MT96" s="447">
        <f t="shared" si="546"/>
        <v>-20063.552464804921</v>
      </c>
      <c r="MU96" s="447">
        <f t="shared" si="546"/>
        <v>-20063.552464804921</v>
      </c>
      <c r="MV96" s="447">
        <f t="shared" si="546"/>
        <v>-20063.552464804921</v>
      </c>
      <c r="MW96" s="447">
        <f t="shared" si="546"/>
        <v>-20063.552464804921</v>
      </c>
      <c r="MX96" s="447">
        <f t="shared" si="546"/>
        <v>-20063.552464804921</v>
      </c>
      <c r="MY96" s="447">
        <f t="shared" si="546"/>
        <v>-20063.552464804921</v>
      </c>
      <c r="MZ96" s="447">
        <f t="shared" si="546"/>
        <v>-20665.459038749068</v>
      </c>
      <c r="NA96" s="447">
        <f t="shared" si="546"/>
        <v>-20665.459038749068</v>
      </c>
      <c r="NB96" s="447">
        <f t="shared" si="546"/>
        <v>-20665.459038749068</v>
      </c>
      <c r="NC96" s="447">
        <f t="shared" si="546"/>
        <v>-20665.459038749068</v>
      </c>
      <c r="ND96" s="447">
        <f t="shared" si="546"/>
        <v>-20665.459038749068</v>
      </c>
      <c r="NE96" s="447">
        <f t="shared" si="546"/>
        <v>-20665.459038749068</v>
      </c>
      <c r="NF96" s="447">
        <f t="shared" si="546"/>
        <v>-20665.459038749068</v>
      </c>
      <c r="NG96" s="447">
        <f t="shared" si="546"/>
        <v>-20665.459038749068</v>
      </c>
      <c r="NH96" s="447">
        <f t="shared" si="546"/>
        <v>-20665.459038749068</v>
      </c>
      <c r="NI96" s="447">
        <f t="shared" si="546"/>
        <v>-20665.459038749068</v>
      </c>
      <c r="NJ96" s="447">
        <f t="shared" si="546"/>
        <v>-20665.459038749068</v>
      </c>
      <c r="NK96" s="447">
        <f t="shared" si="546"/>
        <v>-20665.459038749068</v>
      </c>
      <c r="NL96" s="447">
        <f t="shared" si="546"/>
        <v>-21285.422809911539</v>
      </c>
      <c r="NM96" s="447">
        <f t="shared" si="546"/>
        <v>-21285.422809911539</v>
      </c>
      <c r="NN96" s="447">
        <f t="shared" si="546"/>
        <v>-21285.422809911539</v>
      </c>
      <c r="NO96" s="447">
        <f t="shared" si="546"/>
        <v>-21285.422809911539</v>
      </c>
      <c r="NP96" s="447">
        <f t="shared" si="546"/>
        <v>-21285.422809911539</v>
      </c>
      <c r="NQ96" s="447">
        <f t="shared" si="546"/>
        <v>-21285.422809911539</v>
      </c>
      <c r="NR96" s="447">
        <f t="shared" si="546"/>
        <v>-21285.422809911539</v>
      </c>
      <c r="NS96" s="447">
        <f t="shared" si="546"/>
        <v>-21285.422809911539</v>
      </c>
      <c r="NT96" s="447">
        <f t="shared" si="546"/>
        <v>-21285.422809911539</v>
      </c>
      <c r="NU96" s="447">
        <f t="shared" si="546"/>
        <v>-21285.422809911539</v>
      </c>
      <c r="NV96" s="447">
        <f t="shared" si="546"/>
        <v>-21285.422809911539</v>
      </c>
      <c r="NW96" s="447">
        <f t="shared" si="546"/>
        <v>-21285.422809911539</v>
      </c>
      <c r="NX96" s="447">
        <f t="shared" si="546"/>
        <v>-21923.985494208886</v>
      </c>
      <c r="NY96" s="447">
        <f t="shared" si="546"/>
        <v>-21923.985494208886</v>
      </c>
      <c r="NZ96" s="447">
        <f t="shared" si="546"/>
        <v>-21923.985494208886</v>
      </c>
      <c r="OA96" s="447">
        <f t="shared" si="546"/>
        <v>-21923.985494208886</v>
      </c>
      <c r="OB96" s="447">
        <f t="shared" si="546"/>
        <v>-21923.985494208886</v>
      </c>
      <c r="OC96" s="447">
        <f t="shared" si="546"/>
        <v>-21923.985494208886</v>
      </c>
      <c r="OD96" s="447">
        <f t="shared" si="546"/>
        <v>-21923.985494208886</v>
      </c>
      <c r="OE96" s="447">
        <f t="shared" ref="OE96:OO96" si="547">SUM(OE95)</f>
        <v>-21923.985494208886</v>
      </c>
      <c r="OF96" s="447">
        <f t="shared" si="547"/>
        <v>-21923.985494208886</v>
      </c>
      <c r="OG96" s="447">
        <f t="shared" si="547"/>
        <v>-21923.985494208886</v>
      </c>
      <c r="OH96" s="447">
        <f t="shared" si="547"/>
        <v>-21923.985494208886</v>
      </c>
      <c r="OI96" s="447">
        <f t="shared" si="547"/>
        <v>-21923.985494208886</v>
      </c>
      <c r="OJ96" s="447">
        <f t="shared" si="547"/>
        <v>-22581.705059035154</v>
      </c>
      <c r="OK96" s="447">
        <f t="shared" si="547"/>
        <v>-22581.705059035154</v>
      </c>
      <c r="OL96" s="447">
        <f t="shared" si="547"/>
        <v>-22581.705059035154</v>
      </c>
      <c r="OM96" s="447">
        <f t="shared" si="547"/>
        <v>-22581.705059035154</v>
      </c>
      <c r="ON96" s="447">
        <f t="shared" si="547"/>
        <v>-22581.705059035154</v>
      </c>
      <c r="OO96" s="447">
        <f t="shared" si="547"/>
        <v>-22581.705059035154</v>
      </c>
    </row>
    <row r="97" spans="2:405">
      <c r="B97" s="476"/>
      <c r="C97" s="476"/>
      <c r="D97" s="171"/>
    </row>
    <row r="98" spans="2:405" ht="14.25" thickBot="1">
      <c r="B98" s="518" t="s">
        <v>434</v>
      </c>
      <c r="C98" s="518"/>
      <c r="D98" s="538"/>
      <c r="E98" s="301"/>
      <c r="F98" s="301"/>
      <c r="G98" s="301"/>
      <c r="H98" s="301"/>
      <c r="I98" s="301"/>
      <c r="J98" s="521">
        <f>J88+J96</f>
        <v>0</v>
      </c>
      <c r="K98" s="521">
        <f t="shared" ref="K98:BV98" si="548">K88+K96</f>
        <v>0</v>
      </c>
      <c r="L98" s="521">
        <f t="shared" si="548"/>
        <v>0</v>
      </c>
      <c r="M98" s="521">
        <f t="shared" si="548"/>
        <v>0</v>
      </c>
      <c r="N98" s="521">
        <f t="shared" si="548"/>
        <v>0</v>
      </c>
      <c r="O98" s="521">
        <f t="shared" si="548"/>
        <v>0</v>
      </c>
      <c r="P98" s="521">
        <f t="shared" si="548"/>
        <v>0</v>
      </c>
      <c r="Q98" s="521">
        <f t="shared" si="548"/>
        <v>0</v>
      </c>
      <c r="R98" s="521">
        <f t="shared" si="548"/>
        <v>0</v>
      </c>
      <c r="S98" s="521">
        <f t="shared" si="548"/>
        <v>0</v>
      </c>
      <c r="T98" s="521">
        <f t="shared" si="548"/>
        <v>0</v>
      </c>
      <c r="U98" s="521">
        <f t="shared" si="548"/>
        <v>0</v>
      </c>
      <c r="V98" s="521">
        <f t="shared" si="548"/>
        <v>0</v>
      </c>
      <c r="W98" s="521">
        <f t="shared" si="548"/>
        <v>0</v>
      </c>
      <c r="X98" s="521">
        <f t="shared" si="548"/>
        <v>0</v>
      </c>
      <c r="Y98" s="521">
        <f t="shared" si="548"/>
        <v>0</v>
      </c>
      <c r="Z98" s="521">
        <f t="shared" si="548"/>
        <v>0</v>
      </c>
      <c r="AA98" s="521">
        <f t="shared" si="548"/>
        <v>0</v>
      </c>
      <c r="AB98" s="521">
        <f t="shared" si="548"/>
        <v>0</v>
      </c>
      <c r="AC98" s="521">
        <f t="shared" si="548"/>
        <v>0</v>
      </c>
      <c r="AD98" s="521">
        <f t="shared" si="548"/>
        <v>0</v>
      </c>
      <c r="AE98" s="521">
        <f t="shared" si="548"/>
        <v>0</v>
      </c>
      <c r="AF98" s="521">
        <f t="shared" si="548"/>
        <v>0</v>
      </c>
      <c r="AG98" s="521">
        <f t="shared" si="548"/>
        <v>0</v>
      </c>
      <c r="AH98" s="521">
        <f t="shared" si="548"/>
        <v>0</v>
      </c>
      <c r="AI98" s="521">
        <f t="shared" si="548"/>
        <v>0</v>
      </c>
      <c r="AJ98" s="521">
        <f t="shared" si="548"/>
        <v>0</v>
      </c>
      <c r="AK98" s="521">
        <f t="shared" si="548"/>
        <v>0</v>
      </c>
      <c r="AL98" s="521">
        <f t="shared" si="548"/>
        <v>0</v>
      </c>
      <c r="AM98" s="521">
        <f t="shared" si="548"/>
        <v>0</v>
      </c>
      <c r="AN98" s="521">
        <f t="shared" si="548"/>
        <v>0</v>
      </c>
      <c r="AO98" s="521">
        <f t="shared" si="548"/>
        <v>0</v>
      </c>
      <c r="AP98" s="521">
        <f t="shared" si="548"/>
        <v>0</v>
      </c>
      <c r="AQ98" s="521">
        <f t="shared" si="548"/>
        <v>0</v>
      </c>
      <c r="AR98" s="521">
        <f t="shared" si="548"/>
        <v>0</v>
      </c>
      <c r="AS98" s="521">
        <f t="shared" si="548"/>
        <v>0</v>
      </c>
      <c r="AT98" s="521">
        <f t="shared" si="548"/>
        <v>610920.86928277439</v>
      </c>
      <c r="AU98" s="521">
        <f t="shared" si="548"/>
        <v>610920.86928277439</v>
      </c>
      <c r="AV98" s="521">
        <f t="shared" si="548"/>
        <v>610920.86928277439</v>
      </c>
      <c r="AW98" s="521">
        <f t="shared" si="548"/>
        <v>610920.86928277439</v>
      </c>
      <c r="AX98" s="521">
        <f t="shared" si="548"/>
        <v>610920.86928277439</v>
      </c>
      <c r="AY98" s="521">
        <f t="shared" si="548"/>
        <v>610920.86928277439</v>
      </c>
      <c r="AZ98" s="521">
        <f t="shared" si="548"/>
        <v>623702.58380485524</v>
      </c>
      <c r="BA98" s="521">
        <f t="shared" si="548"/>
        <v>623702.58380485524</v>
      </c>
      <c r="BB98" s="521">
        <f t="shared" si="548"/>
        <v>623702.58380485524</v>
      </c>
      <c r="BC98" s="521">
        <f t="shared" si="548"/>
        <v>623702.58380485524</v>
      </c>
      <c r="BD98" s="521">
        <f t="shared" si="548"/>
        <v>623702.58380485524</v>
      </c>
      <c r="BE98" s="521">
        <f t="shared" si="548"/>
        <v>623702.58380485524</v>
      </c>
      <c r="BF98" s="521">
        <f t="shared" si="548"/>
        <v>623702.58380485524</v>
      </c>
      <c r="BG98" s="521">
        <f t="shared" si="548"/>
        <v>623702.58380485524</v>
      </c>
      <c r="BH98" s="521">
        <f t="shared" si="548"/>
        <v>623702.58380485524</v>
      </c>
      <c r="BI98" s="521">
        <f t="shared" si="548"/>
        <v>623702.58380485524</v>
      </c>
      <c r="BJ98" s="521">
        <f t="shared" si="548"/>
        <v>623702.58380485524</v>
      </c>
      <c r="BK98" s="521">
        <f t="shared" si="548"/>
        <v>623702.58380485524</v>
      </c>
      <c r="BL98" s="521">
        <f t="shared" si="548"/>
        <v>636737.14160833007</v>
      </c>
      <c r="BM98" s="521">
        <f t="shared" si="548"/>
        <v>636737.14160833007</v>
      </c>
      <c r="BN98" s="521">
        <f t="shared" si="548"/>
        <v>636737.14160833007</v>
      </c>
      <c r="BO98" s="521">
        <f t="shared" si="548"/>
        <v>636737.14160833007</v>
      </c>
      <c r="BP98" s="521">
        <f t="shared" si="548"/>
        <v>636737.14160833007</v>
      </c>
      <c r="BQ98" s="521">
        <f t="shared" si="548"/>
        <v>636737.14160833007</v>
      </c>
      <c r="BR98" s="521">
        <f t="shared" si="548"/>
        <v>636737.14160833007</v>
      </c>
      <c r="BS98" s="521">
        <f t="shared" si="548"/>
        <v>636737.14160833007</v>
      </c>
      <c r="BT98" s="521">
        <f t="shared" si="548"/>
        <v>636737.14160833007</v>
      </c>
      <c r="BU98" s="521">
        <f t="shared" si="548"/>
        <v>636737.14160833007</v>
      </c>
      <c r="BV98" s="521">
        <f t="shared" si="548"/>
        <v>636737.14160833007</v>
      </c>
      <c r="BW98" s="521">
        <f t="shared" ref="BW98:EH98" si="549">BW88+BW96</f>
        <v>636737.14160833007</v>
      </c>
      <c r="BX98" s="521">
        <f t="shared" si="549"/>
        <v>650029.51582855557</v>
      </c>
      <c r="BY98" s="521">
        <f t="shared" si="549"/>
        <v>650029.51582855557</v>
      </c>
      <c r="BZ98" s="521">
        <f t="shared" si="549"/>
        <v>650029.51582855557</v>
      </c>
      <c r="CA98" s="521">
        <f t="shared" si="549"/>
        <v>650029.51582855557</v>
      </c>
      <c r="CB98" s="521">
        <f t="shared" si="549"/>
        <v>650029.51582855557</v>
      </c>
      <c r="CC98" s="521">
        <f t="shared" si="549"/>
        <v>650029.51582855557</v>
      </c>
      <c r="CD98" s="521">
        <f t="shared" si="549"/>
        <v>650029.51582855557</v>
      </c>
      <c r="CE98" s="521">
        <f t="shared" si="549"/>
        <v>650029.51582855557</v>
      </c>
      <c r="CF98" s="521">
        <f t="shared" si="549"/>
        <v>650029.51582855557</v>
      </c>
      <c r="CG98" s="521">
        <f t="shared" si="549"/>
        <v>650029.51582855557</v>
      </c>
      <c r="CH98" s="521">
        <f t="shared" si="549"/>
        <v>650029.51582855557</v>
      </c>
      <c r="CI98" s="521">
        <f t="shared" si="549"/>
        <v>650029.51582855557</v>
      </c>
      <c r="CJ98" s="521">
        <f t="shared" si="549"/>
        <v>663584.77655168704</v>
      </c>
      <c r="CK98" s="521">
        <f t="shared" si="549"/>
        <v>663584.77655168704</v>
      </c>
      <c r="CL98" s="521">
        <f t="shared" si="549"/>
        <v>663584.77655168704</v>
      </c>
      <c r="CM98" s="521">
        <f t="shared" si="549"/>
        <v>663584.77655168704</v>
      </c>
      <c r="CN98" s="521">
        <f t="shared" si="549"/>
        <v>663584.77655168704</v>
      </c>
      <c r="CO98" s="521">
        <f t="shared" si="549"/>
        <v>663584.77655168704</v>
      </c>
      <c r="CP98" s="521">
        <f t="shared" si="549"/>
        <v>663584.77655168704</v>
      </c>
      <c r="CQ98" s="521">
        <f t="shared" si="549"/>
        <v>663584.77655168704</v>
      </c>
      <c r="CR98" s="521">
        <f t="shared" si="549"/>
        <v>663584.77655168704</v>
      </c>
      <c r="CS98" s="521">
        <f t="shared" si="549"/>
        <v>663584.77655168704</v>
      </c>
      <c r="CT98" s="521">
        <f t="shared" si="549"/>
        <v>663584.77655168704</v>
      </c>
      <c r="CU98" s="521">
        <f t="shared" si="549"/>
        <v>663584.77655168704</v>
      </c>
      <c r="CV98" s="521">
        <f t="shared" si="549"/>
        <v>677408.09267833782</v>
      </c>
      <c r="CW98" s="521">
        <f t="shared" si="549"/>
        <v>677408.09267833782</v>
      </c>
      <c r="CX98" s="521">
        <f t="shared" si="549"/>
        <v>677408.09267833782</v>
      </c>
      <c r="CY98" s="521">
        <f t="shared" si="549"/>
        <v>677408.09267833782</v>
      </c>
      <c r="CZ98" s="521">
        <f t="shared" si="549"/>
        <v>677408.09267833782</v>
      </c>
      <c r="DA98" s="521">
        <f t="shared" si="549"/>
        <v>677408.09267833782</v>
      </c>
      <c r="DB98" s="521">
        <f t="shared" si="549"/>
        <v>677408.09267833782</v>
      </c>
      <c r="DC98" s="521">
        <f t="shared" si="549"/>
        <v>677408.09267833782</v>
      </c>
      <c r="DD98" s="521">
        <f t="shared" si="549"/>
        <v>677408.09267833782</v>
      </c>
      <c r="DE98" s="521">
        <f t="shared" si="549"/>
        <v>677408.09267833782</v>
      </c>
      <c r="DF98" s="521">
        <f t="shared" si="549"/>
        <v>677408.09267833782</v>
      </c>
      <c r="DG98" s="521">
        <f t="shared" si="549"/>
        <v>677408.09267833782</v>
      </c>
      <c r="DH98" s="521">
        <f t="shared" si="549"/>
        <v>691504.73382225004</v>
      </c>
      <c r="DI98" s="521">
        <f t="shared" si="549"/>
        <v>691504.73382225004</v>
      </c>
      <c r="DJ98" s="521">
        <f t="shared" si="549"/>
        <v>691504.73382225004</v>
      </c>
      <c r="DK98" s="521">
        <f t="shared" si="549"/>
        <v>691504.73382225004</v>
      </c>
      <c r="DL98" s="521">
        <f t="shared" si="549"/>
        <v>691504.73382225004</v>
      </c>
      <c r="DM98" s="521">
        <f t="shared" si="549"/>
        <v>691504.73382225004</v>
      </c>
      <c r="DN98" s="521">
        <f t="shared" si="549"/>
        <v>691504.73382225004</v>
      </c>
      <c r="DO98" s="521">
        <f t="shared" si="549"/>
        <v>691504.73382225004</v>
      </c>
      <c r="DP98" s="521">
        <f t="shared" si="549"/>
        <v>691504.73382225004</v>
      </c>
      <c r="DQ98" s="521">
        <f t="shared" si="549"/>
        <v>691504.73382225004</v>
      </c>
      <c r="DR98" s="521">
        <f t="shared" si="549"/>
        <v>691504.73382225004</v>
      </c>
      <c r="DS98" s="521">
        <f t="shared" si="549"/>
        <v>691504.73382225004</v>
      </c>
      <c r="DT98" s="521">
        <f t="shared" si="549"/>
        <v>705880.07224461017</v>
      </c>
      <c r="DU98" s="521">
        <f t="shared" si="549"/>
        <v>705880.07224461017</v>
      </c>
      <c r="DV98" s="521">
        <f t="shared" si="549"/>
        <v>705880.07224461017</v>
      </c>
      <c r="DW98" s="521">
        <f t="shared" si="549"/>
        <v>705880.07224461017</v>
      </c>
      <c r="DX98" s="521">
        <f t="shared" si="549"/>
        <v>705880.07224461017</v>
      </c>
      <c r="DY98" s="521">
        <f t="shared" si="549"/>
        <v>705880.07224461017</v>
      </c>
      <c r="DZ98" s="521">
        <f t="shared" si="549"/>
        <v>705880.07224461017</v>
      </c>
      <c r="EA98" s="521">
        <f t="shared" si="549"/>
        <v>705880.07224461017</v>
      </c>
      <c r="EB98" s="521">
        <f t="shared" si="549"/>
        <v>705880.07224461017</v>
      </c>
      <c r="EC98" s="521">
        <f t="shared" si="549"/>
        <v>705880.07224461017</v>
      </c>
      <c r="ED98" s="521">
        <f t="shared" si="549"/>
        <v>705880.07224461017</v>
      </c>
      <c r="EE98" s="521">
        <f t="shared" si="549"/>
        <v>705880.07224461017</v>
      </c>
      <c r="EF98" s="521">
        <f t="shared" si="549"/>
        <v>720539.58482465509</v>
      </c>
      <c r="EG98" s="521">
        <f t="shared" si="549"/>
        <v>720539.58482465509</v>
      </c>
      <c r="EH98" s="521">
        <f t="shared" si="549"/>
        <v>720539.58482465509</v>
      </c>
      <c r="EI98" s="521">
        <f t="shared" ref="EI98:GT98" si="550">EI88+EI96</f>
        <v>720539.58482465509</v>
      </c>
      <c r="EJ98" s="521">
        <f t="shared" si="550"/>
        <v>720539.58482465509</v>
      </c>
      <c r="EK98" s="521">
        <f t="shared" si="550"/>
        <v>720539.58482465509</v>
      </c>
      <c r="EL98" s="521">
        <f t="shared" si="550"/>
        <v>720539.58482465509</v>
      </c>
      <c r="EM98" s="521">
        <f t="shared" si="550"/>
        <v>720539.58482465509</v>
      </c>
      <c r="EN98" s="521">
        <f t="shared" si="550"/>
        <v>720539.58482465509</v>
      </c>
      <c r="EO98" s="521">
        <f t="shared" si="550"/>
        <v>720539.58482465509</v>
      </c>
      <c r="EP98" s="521">
        <f t="shared" si="550"/>
        <v>720539.58482465509</v>
      </c>
      <c r="EQ98" s="521">
        <f t="shared" si="550"/>
        <v>720539.58482465509</v>
      </c>
      <c r="ER98" s="521">
        <f t="shared" si="550"/>
        <v>735488.85506721516</v>
      </c>
      <c r="ES98" s="521">
        <f t="shared" si="550"/>
        <v>735488.85506721516</v>
      </c>
      <c r="ET98" s="521">
        <f t="shared" si="550"/>
        <v>735488.85506721516</v>
      </c>
      <c r="EU98" s="521">
        <f t="shared" si="550"/>
        <v>735488.85506721516</v>
      </c>
      <c r="EV98" s="521">
        <f t="shared" si="550"/>
        <v>735488.85506721516</v>
      </c>
      <c r="EW98" s="521">
        <f t="shared" si="550"/>
        <v>735488.85506721516</v>
      </c>
      <c r="EX98" s="521">
        <f t="shared" si="550"/>
        <v>735488.85506721516</v>
      </c>
      <c r="EY98" s="521">
        <f t="shared" si="550"/>
        <v>735488.85506721516</v>
      </c>
      <c r="EZ98" s="521">
        <f t="shared" si="550"/>
        <v>735488.85506721516</v>
      </c>
      <c r="FA98" s="521">
        <f t="shared" si="550"/>
        <v>735488.85506721516</v>
      </c>
      <c r="FB98" s="521">
        <f t="shared" si="550"/>
        <v>735488.85506721516</v>
      </c>
      <c r="FC98" s="521">
        <f t="shared" si="550"/>
        <v>735488.85506721516</v>
      </c>
      <c r="FD98" s="521">
        <f t="shared" si="550"/>
        <v>750733.57514786813</v>
      </c>
      <c r="FE98" s="521">
        <f t="shared" si="550"/>
        <v>750733.57514786813</v>
      </c>
      <c r="FF98" s="521">
        <f t="shared" si="550"/>
        <v>750733.57514786813</v>
      </c>
      <c r="FG98" s="521">
        <f t="shared" si="550"/>
        <v>750733.57514786813</v>
      </c>
      <c r="FH98" s="521">
        <f t="shared" si="550"/>
        <v>750733.57514786813</v>
      </c>
      <c r="FI98" s="521">
        <f t="shared" si="550"/>
        <v>750733.57514786813</v>
      </c>
      <c r="FJ98" s="521">
        <f t="shared" si="550"/>
        <v>750733.57514786813</v>
      </c>
      <c r="FK98" s="521">
        <f t="shared" si="550"/>
        <v>750733.57514786813</v>
      </c>
      <c r="FL98" s="521">
        <f t="shared" si="550"/>
        <v>750733.57514786813</v>
      </c>
      <c r="FM98" s="521">
        <f t="shared" si="550"/>
        <v>750733.57514786813</v>
      </c>
      <c r="FN98" s="521">
        <f t="shared" si="550"/>
        <v>750733.57514786813</v>
      </c>
      <c r="FO98" s="521">
        <f t="shared" si="550"/>
        <v>750733.57514786813</v>
      </c>
      <c r="FP98" s="521">
        <f t="shared" si="550"/>
        <v>766279.54799637292</v>
      </c>
      <c r="FQ98" s="521">
        <f t="shared" si="550"/>
        <v>766279.54799637292</v>
      </c>
      <c r="FR98" s="521">
        <f t="shared" si="550"/>
        <v>766279.54799637292</v>
      </c>
      <c r="FS98" s="521">
        <f t="shared" si="550"/>
        <v>766279.54799637292</v>
      </c>
      <c r="FT98" s="521">
        <f t="shared" si="550"/>
        <v>766279.54799637292</v>
      </c>
      <c r="FU98" s="521">
        <f t="shared" si="550"/>
        <v>766279.54799637292</v>
      </c>
      <c r="FV98" s="521">
        <f t="shared" si="550"/>
        <v>766279.54799637292</v>
      </c>
      <c r="FW98" s="521">
        <f t="shared" si="550"/>
        <v>766279.54799637292</v>
      </c>
      <c r="FX98" s="521">
        <f t="shared" si="550"/>
        <v>766279.54799637292</v>
      </c>
      <c r="FY98" s="521">
        <f t="shared" si="550"/>
        <v>766279.54799637292</v>
      </c>
      <c r="FZ98" s="521">
        <f t="shared" si="550"/>
        <v>766279.54799637292</v>
      </c>
      <c r="GA98" s="521">
        <f t="shared" si="550"/>
        <v>766279.54799637292</v>
      </c>
      <c r="GB98" s="521">
        <f t="shared" si="550"/>
        <v>782132.68941907457</v>
      </c>
      <c r="GC98" s="521">
        <f t="shared" si="550"/>
        <v>782132.68941907457</v>
      </c>
      <c r="GD98" s="521">
        <f t="shared" si="550"/>
        <v>782132.68941907457</v>
      </c>
      <c r="GE98" s="521">
        <f t="shared" si="550"/>
        <v>782132.68941907457</v>
      </c>
      <c r="GF98" s="521">
        <f t="shared" si="550"/>
        <v>782132.68941907457</v>
      </c>
      <c r="GG98" s="521">
        <f t="shared" si="550"/>
        <v>782132.68941907457</v>
      </c>
      <c r="GH98" s="521">
        <f t="shared" si="550"/>
        <v>782132.68941907457</v>
      </c>
      <c r="GI98" s="521">
        <f t="shared" si="550"/>
        <v>782132.68941907457</v>
      </c>
      <c r="GJ98" s="521">
        <f t="shared" si="550"/>
        <v>782132.68941907457</v>
      </c>
      <c r="GK98" s="521">
        <f t="shared" si="550"/>
        <v>782132.68941907457</v>
      </c>
      <c r="GL98" s="521">
        <f t="shared" si="550"/>
        <v>782132.68941907457</v>
      </c>
      <c r="GM98" s="521">
        <f t="shared" si="550"/>
        <v>782132.68941907457</v>
      </c>
      <c r="GN98" s="521">
        <f t="shared" si="550"/>
        <v>798299.03026097291</v>
      </c>
      <c r="GO98" s="521">
        <f t="shared" si="550"/>
        <v>798299.03026097291</v>
      </c>
      <c r="GP98" s="521">
        <f t="shared" si="550"/>
        <v>798299.03026097291</v>
      </c>
      <c r="GQ98" s="521">
        <f t="shared" si="550"/>
        <v>798299.03026097291</v>
      </c>
      <c r="GR98" s="521">
        <f t="shared" si="550"/>
        <v>798299.03026097291</v>
      </c>
      <c r="GS98" s="521">
        <f t="shared" si="550"/>
        <v>798299.03026097291</v>
      </c>
      <c r="GT98" s="521">
        <f t="shared" si="550"/>
        <v>798299.03026097291</v>
      </c>
      <c r="GU98" s="521">
        <f t="shared" ref="GU98:JF98" si="551">GU88+GU96</f>
        <v>798299.03026097291</v>
      </c>
      <c r="GV98" s="521">
        <f t="shared" si="551"/>
        <v>798299.03026097291</v>
      </c>
      <c r="GW98" s="521">
        <f t="shared" si="551"/>
        <v>798299.03026097291</v>
      </c>
      <c r="GX98" s="521">
        <f t="shared" si="551"/>
        <v>798299.03026097291</v>
      </c>
      <c r="GY98" s="521">
        <f t="shared" si="551"/>
        <v>798299.03026097291</v>
      </c>
      <c r="GZ98" s="521">
        <f t="shared" si="551"/>
        <v>814784.71860817447</v>
      </c>
      <c r="HA98" s="521">
        <f t="shared" si="551"/>
        <v>814784.71860817447</v>
      </c>
      <c r="HB98" s="521">
        <f t="shared" si="551"/>
        <v>814784.71860817447</v>
      </c>
      <c r="HC98" s="521">
        <f t="shared" si="551"/>
        <v>814784.71860817447</v>
      </c>
      <c r="HD98" s="521">
        <f t="shared" si="551"/>
        <v>814784.71860817447</v>
      </c>
      <c r="HE98" s="521">
        <f t="shared" si="551"/>
        <v>814784.71860817447</v>
      </c>
      <c r="HF98" s="521">
        <f t="shared" si="551"/>
        <v>814784.71860817447</v>
      </c>
      <c r="HG98" s="521">
        <f t="shared" si="551"/>
        <v>814784.71860817447</v>
      </c>
      <c r="HH98" s="521">
        <f t="shared" si="551"/>
        <v>814784.71860817447</v>
      </c>
      <c r="HI98" s="521">
        <f t="shared" si="551"/>
        <v>814784.71860817447</v>
      </c>
      <c r="HJ98" s="521">
        <f t="shared" si="551"/>
        <v>814784.71860817447</v>
      </c>
      <c r="HK98" s="521">
        <f t="shared" si="551"/>
        <v>814784.71860817447</v>
      </c>
      <c r="HL98" s="521">
        <f t="shared" si="551"/>
        <v>831596.02203143924</v>
      </c>
      <c r="HM98" s="521">
        <f t="shared" si="551"/>
        <v>831596.02203143924</v>
      </c>
      <c r="HN98" s="521">
        <f t="shared" si="551"/>
        <v>831596.02203143924</v>
      </c>
      <c r="HO98" s="521">
        <f t="shared" si="551"/>
        <v>831596.02203143924</v>
      </c>
      <c r="HP98" s="521">
        <f t="shared" si="551"/>
        <v>831596.02203143924</v>
      </c>
      <c r="HQ98" s="521">
        <f t="shared" si="551"/>
        <v>831596.02203143924</v>
      </c>
      <c r="HR98" s="521">
        <f t="shared" si="551"/>
        <v>831596.02203143924</v>
      </c>
      <c r="HS98" s="521">
        <f t="shared" si="551"/>
        <v>831596.02203143924</v>
      </c>
      <c r="HT98" s="521">
        <f t="shared" si="551"/>
        <v>831596.02203143924</v>
      </c>
      <c r="HU98" s="521">
        <f t="shared" si="551"/>
        <v>831596.02203143924</v>
      </c>
      <c r="HV98" s="521">
        <f t="shared" si="551"/>
        <v>831596.02203143924</v>
      </c>
      <c r="HW98" s="521">
        <f t="shared" si="551"/>
        <v>831596.02203143924</v>
      </c>
      <c r="HX98" s="521">
        <f t="shared" si="551"/>
        <v>848739.32987156243</v>
      </c>
      <c r="HY98" s="521">
        <f t="shared" si="551"/>
        <v>848739.32987156243</v>
      </c>
      <c r="HZ98" s="521">
        <f t="shared" si="551"/>
        <v>848739.32987156243</v>
      </c>
      <c r="IA98" s="521">
        <f t="shared" si="551"/>
        <v>848739.32987156243</v>
      </c>
      <c r="IB98" s="521">
        <f t="shared" si="551"/>
        <v>848739.32987156243</v>
      </c>
      <c r="IC98" s="521">
        <f t="shared" si="551"/>
        <v>848739.32987156243</v>
      </c>
      <c r="ID98" s="521">
        <f t="shared" si="551"/>
        <v>848739.32987156243</v>
      </c>
      <c r="IE98" s="521">
        <f t="shared" si="551"/>
        <v>848739.32987156243</v>
      </c>
      <c r="IF98" s="521">
        <f t="shared" si="551"/>
        <v>848739.32987156243</v>
      </c>
      <c r="IG98" s="521">
        <f t="shared" si="551"/>
        <v>848739.32987156243</v>
      </c>
      <c r="IH98" s="521">
        <f t="shared" si="551"/>
        <v>848739.32987156243</v>
      </c>
      <c r="II98" s="521">
        <f t="shared" si="551"/>
        <v>848739.32987156243</v>
      </c>
      <c r="IJ98" s="521">
        <f t="shared" si="551"/>
        <v>866221.1555673324</v>
      </c>
      <c r="IK98" s="521">
        <f t="shared" si="551"/>
        <v>866221.1555673324</v>
      </c>
      <c r="IL98" s="521">
        <f t="shared" si="551"/>
        <v>866221.1555673324</v>
      </c>
      <c r="IM98" s="521">
        <f t="shared" si="551"/>
        <v>866221.1555673324</v>
      </c>
      <c r="IN98" s="521">
        <f t="shared" si="551"/>
        <v>866221.1555673324</v>
      </c>
      <c r="IO98" s="521">
        <f t="shared" si="551"/>
        <v>866221.1555673324</v>
      </c>
      <c r="IP98" s="521">
        <f t="shared" si="551"/>
        <v>866221.1555673324</v>
      </c>
      <c r="IQ98" s="521">
        <f t="shared" si="551"/>
        <v>866221.1555673324</v>
      </c>
      <c r="IR98" s="521">
        <f t="shared" si="551"/>
        <v>866221.1555673324</v>
      </c>
      <c r="IS98" s="521">
        <f t="shared" si="551"/>
        <v>866221.1555673324</v>
      </c>
      <c r="IT98" s="521">
        <f t="shared" si="551"/>
        <v>866221.1555673324</v>
      </c>
      <c r="IU98" s="521">
        <f t="shared" si="551"/>
        <v>866221.1555673324</v>
      </c>
      <c r="IV98" s="521">
        <f t="shared" si="551"/>
        <v>884048.13902682764</v>
      </c>
      <c r="IW98" s="521">
        <f t="shared" si="551"/>
        <v>884048.13902682764</v>
      </c>
      <c r="IX98" s="521">
        <f t="shared" si="551"/>
        <v>884048.13902682764</v>
      </c>
      <c r="IY98" s="521">
        <f t="shared" si="551"/>
        <v>884048.13902682764</v>
      </c>
      <c r="IZ98" s="521">
        <f t="shared" si="551"/>
        <v>884048.13902682764</v>
      </c>
      <c r="JA98" s="521">
        <f t="shared" si="551"/>
        <v>884048.13902682764</v>
      </c>
      <c r="JB98" s="521">
        <f t="shared" si="551"/>
        <v>884048.13902682764</v>
      </c>
      <c r="JC98" s="521">
        <f t="shared" si="551"/>
        <v>884048.13902682764</v>
      </c>
      <c r="JD98" s="521">
        <f t="shared" si="551"/>
        <v>884048.13902682764</v>
      </c>
      <c r="JE98" s="521">
        <f t="shared" si="551"/>
        <v>884048.13902682764</v>
      </c>
      <c r="JF98" s="521">
        <f t="shared" si="551"/>
        <v>884048.13902682764</v>
      </c>
      <c r="JG98" s="521">
        <f t="shared" ref="JG98:LR98" si="552">JG88+JG96</f>
        <v>884048.13902682764</v>
      </c>
      <c r="JH98" s="521">
        <f t="shared" si="552"/>
        <v>902227.04904281686</v>
      </c>
      <c r="JI98" s="521">
        <f t="shared" si="552"/>
        <v>902227.04904281686</v>
      </c>
      <c r="JJ98" s="521">
        <f t="shared" si="552"/>
        <v>902227.04904281686</v>
      </c>
      <c r="JK98" s="521">
        <f t="shared" si="552"/>
        <v>902227.04904281686</v>
      </c>
      <c r="JL98" s="521">
        <f t="shared" si="552"/>
        <v>902227.04904281686</v>
      </c>
      <c r="JM98" s="521">
        <f t="shared" si="552"/>
        <v>902227.04904281686</v>
      </c>
      <c r="JN98" s="521">
        <f t="shared" si="552"/>
        <v>902227.04904281686</v>
      </c>
      <c r="JO98" s="521">
        <f t="shared" si="552"/>
        <v>902227.04904281686</v>
      </c>
      <c r="JP98" s="521">
        <f t="shared" si="552"/>
        <v>902227.04904281686</v>
      </c>
      <c r="JQ98" s="521">
        <f t="shared" si="552"/>
        <v>902227.04904281686</v>
      </c>
      <c r="JR98" s="521">
        <f t="shared" si="552"/>
        <v>902227.04904281686</v>
      </c>
      <c r="JS98" s="521">
        <f t="shared" si="552"/>
        <v>902227.04904281686</v>
      </c>
      <c r="JT98" s="521">
        <f t="shared" si="552"/>
        <v>920764.78575304942</v>
      </c>
      <c r="JU98" s="521">
        <f t="shared" si="552"/>
        <v>920764.78575304942</v>
      </c>
      <c r="JV98" s="521">
        <f t="shared" si="552"/>
        <v>920764.78575304942</v>
      </c>
      <c r="JW98" s="521">
        <f t="shared" si="552"/>
        <v>920764.78575304942</v>
      </c>
      <c r="JX98" s="521">
        <f t="shared" si="552"/>
        <v>920764.78575304942</v>
      </c>
      <c r="JY98" s="521">
        <f t="shared" si="552"/>
        <v>920764.78575304942</v>
      </c>
      <c r="JZ98" s="521">
        <f t="shared" si="552"/>
        <v>920764.78575304942</v>
      </c>
      <c r="KA98" s="521">
        <f t="shared" si="552"/>
        <v>920764.78575304942</v>
      </c>
      <c r="KB98" s="521">
        <f t="shared" si="552"/>
        <v>920764.78575304942</v>
      </c>
      <c r="KC98" s="521">
        <f t="shared" si="552"/>
        <v>920764.78575304942</v>
      </c>
      <c r="KD98" s="521">
        <f t="shared" si="552"/>
        <v>920764.78575304942</v>
      </c>
      <c r="KE98" s="521">
        <f t="shared" si="552"/>
        <v>920764.78575304942</v>
      </c>
      <c r="KF98" s="521">
        <f t="shared" si="552"/>
        <v>939668.3831462278</v>
      </c>
      <c r="KG98" s="521">
        <f t="shared" si="552"/>
        <v>939668.3831462278</v>
      </c>
      <c r="KH98" s="521">
        <f t="shared" si="552"/>
        <v>939668.3831462278</v>
      </c>
      <c r="KI98" s="521">
        <f t="shared" si="552"/>
        <v>939668.3831462278</v>
      </c>
      <c r="KJ98" s="521">
        <f t="shared" si="552"/>
        <v>939668.3831462278</v>
      </c>
      <c r="KK98" s="521">
        <f t="shared" si="552"/>
        <v>939668.3831462278</v>
      </c>
      <c r="KL98" s="521">
        <f t="shared" si="552"/>
        <v>939668.3831462278</v>
      </c>
      <c r="KM98" s="521">
        <f t="shared" si="552"/>
        <v>939668.3831462278</v>
      </c>
      <c r="KN98" s="521">
        <f t="shared" si="552"/>
        <v>939668.3831462278</v>
      </c>
      <c r="KO98" s="521">
        <f t="shared" si="552"/>
        <v>939668.3831462278</v>
      </c>
      <c r="KP98" s="521">
        <f t="shared" si="552"/>
        <v>939668.3831462278</v>
      </c>
      <c r="KQ98" s="521">
        <f t="shared" si="552"/>
        <v>939668.3831462278</v>
      </c>
      <c r="KR98" s="521">
        <f t="shared" si="552"/>
        <v>958945.01161447272</v>
      </c>
      <c r="KS98" s="521">
        <f t="shared" si="552"/>
        <v>958945.01161447272</v>
      </c>
      <c r="KT98" s="521">
        <f t="shared" si="552"/>
        <v>958945.01161447272</v>
      </c>
      <c r="KU98" s="521">
        <f t="shared" si="552"/>
        <v>958945.01161447272</v>
      </c>
      <c r="KV98" s="521">
        <f t="shared" si="552"/>
        <v>958945.01161447272</v>
      </c>
      <c r="KW98" s="521">
        <f t="shared" si="552"/>
        <v>958945.01161447272</v>
      </c>
      <c r="KX98" s="521">
        <f t="shared" si="552"/>
        <v>958945.01161447272</v>
      </c>
      <c r="KY98" s="521">
        <f t="shared" si="552"/>
        <v>958945.01161447272</v>
      </c>
      <c r="KZ98" s="521">
        <f t="shared" si="552"/>
        <v>958945.01161447272</v>
      </c>
      <c r="LA98" s="521">
        <f t="shared" si="552"/>
        <v>958945.01161447272</v>
      </c>
      <c r="LB98" s="521">
        <f t="shared" si="552"/>
        <v>958945.01161447272</v>
      </c>
      <c r="LC98" s="521">
        <f t="shared" si="552"/>
        <v>958945.01161447272</v>
      </c>
      <c r="LD98" s="521">
        <f t="shared" si="552"/>
        <v>978601.98055310198</v>
      </c>
      <c r="LE98" s="521">
        <f t="shared" si="552"/>
        <v>978601.98055310198</v>
      </c>
      <c r="LF98" s="521">
        <f t="shared" si="552"/>
        <v>978601.98055310198</v>
      </c>
      <c r="LG98" s="521">
        <f t="shared" si="552"/>
        <v>978601.98055310198</v>
      </c>
      <c r="LH98" s="521">
        <f t="shared" si="552"/>
        <v>978601.98055310198</v>
      </c>
      <c r="LI98" s="521">
        <f t="shared" si="552"/>
        <v>978601.98055310198</v>
      </c>
      <c r="LJ98" s="521">
        <f t="shared" si="552"/>
        <v>978601.98055310198</v>
      </c>
      <c r="LK98" s="521">
        <f t="shared" si="552"/>
        <v>978601.98055310198</v>
      </c>
      <c r="LL98" s="521">
        <f t="shared" si="552"/>
        <v>978601.98055310198</v>
      </c>
      <c r="LM98" s="521">
        <f t="shared" si="552"/>
        <v>978601.98055310198</v>
      </c>
      <c r="LN98" s="521">
        <f t="shared" si="552"/>
        <v>978601.98055310198</v>
      </c>
      <c r="LO98" s="521">
        <f t="shared" si="552"/>
        <v>978601.98055310198</v>
      </c>
      <c r="LP98" s="521">
        <f t="shared" si="552"/>
        <v>998646.741008554</v>
      </c>
      <c r="LQ98" s="521">
        <f t="shared" si="552"/>
        <v>998646.741008554</v>
      </c>
      <c r="LR98" s="521">
        <f t="shared" si="552"/>
        <v>998646.741008554</v>
      </c>
      <c r="LS98" s="521">
        <f t="shared" ref="LS98:OD98" si="553">LS88+LS96</f>
        <v>998646.741008554</v>
      </c>
      <c r="LT98" s="521">
        <f t="shared" si="553"/>
        <v>998646.741008554</v>
      </c>
      <c r="LU98" s="521">
        <f t="shared" si="553"/>
        <v>998646.741008554</v>
      </c>
      <c r="LV98" s="521">
        <f t="shared" si="553"/>
        <v>998646.741008554</v>
      </c>
      <c r="LW98" s="521">
        <f t="shared" si="553"/>
        <v>998646.741008554</v>
      </c>
      <c r="LX98" s="521">
        <f t="shared" si="553"/>
        <v>998646.741008554</v>
      </c>
      <c r="LY98" s="521">
        <f t="shared" si="553"/>
        <v>998646.741008554</v>
      </c>
      <c r="LZ98" s="521">
        <f t="shared" si="553"/>
        <v>998646.741008554</v>
      </c>
      <c r="MA98" s="521">
        <f t="shared" si="553"/>
        <v>998646.741008554</v>
      </c>
      <c r="MB98" s="521">
        <f t="shared" si="553"/>
        <v>1019086.8883753065</v>
      </c>
      <c r="MC98" s="521">
        <f t="shared" si="553"/>
        <v>1019086.8883753065</v>
      </c>
      <c r="MD98" s="521">
        <f t="shared" si="553"/>
        <v>1019086.8883753065</v>
      </c>
      <c r="ME98" s="521">
        <f t="shared" si="553"/>
        <v>1019086.8883753065</v>
      </c>
      <c r="MF98" s="521">
        <f t="shared" si="553"/>
        <v>1019086.8883753065</v>
      </c>
      <c r="MG98" s="521">
        <f t="shared" si="553"/>
        <v>1019086.8883753065</v>
      </c>
      <c r="MH98" s="521">
        <f t="shared" si="553"/>
        <v>1019086.8883753065</v>
      </c>
      <c r="MI98" s="521">
        <f t="shared" si="553"/>
        <v>1019086.8883753065</v>
      </c>
      <c r="MJ98" s="521">
        <f t="shared" si="553"/>
        <v>1019086.8883753065</v>
      </c>
      <c r="MK98" s="521">
        <f t="shared" si="553"/>
        <v>1019086.8883753065</v>
      </c>
      <c r="ML98" s="521">
        <f t="shared" si="553"/>
        <v>1019086.8883753065</v>
      </c>
      <c r="MM98" s="521">
        <f t="shared" si="553"/>
        <v>1019086.8883753065</v>
      </c>
      <c r="MN98" s="521">
        <f t="shared" si="553"/>
        <v>1039930.1651426511</v>
      </c>
      <c r="MO98" s="521">
        <f t="shared" si="553"/>
        <v>1039930.1651426511</v>
      </c>
      <c r="MP98" s="521">
        <f t="shared" si="553"/>
        <v>1039930.1651426511</v>
      </c>
      <c r="MQ98" s="521">
        <f t="shared" si="553"/>
        <v>1039930.1651426511</v>
      </c>
      <c r="MR98" s="521">
        <f t="shared" si="553"/>
        <v>1039930.1651426511</v>
      </c>
      <c r="MS98" s="521">
        <f t="shared" si="553"/>
        <v>1039930.1651426511</v>
      </c>
      <c r="MT98" s="521">
        <f t="shared" si="553"/>
        <v>1039930.1651426511</v>
      </c>
      <c r="MU98" s="521">
        <f t="shared" si="553"/>
        <v>1039930.1651426511</v>
      </c>
      <c r="MV98" s="521">
        <f t="shared" si="553"/>
        <v>1039930.1651426511</v>
      </c>
      <c r="MW98" s="521">
        <f t="shared" si="553"/>
        <v>1039930.1651426511</v>
      </c>
      <c r="MX98" s="521">
        <f t="shared" si="553"/>
        <v>1039930.1651426511</v>
      </c>
      <c r="MY98" s="521">
        <f t="shared" si="553"/>
        <v>1039930.1651426511</v>
      </c>
      <c r="MZ98" s="521">
        <f t="shared" si="553"/>
        <v>1061184.4636921973</v>
      </c>
      <c r="NA98" s="521">
        <f t="shared" si="553"/>
        <v>1061184.4636921973</v>
      </c>
      <c r="NB98" s="521">
        <f t="shared" si="553"/>
        <v>1061184.4636921973</v>
      </c>
      <c r="NC98" s="521">
        <f t="shared" si="553"/>
        <v>1061184.4636921973</v>
      </c>
      <c r="ND98" s="521">
        <f t="shared" si="553"/>
        <v>1061184.4636921973</v>
      </c>
      <c r="NE98" s="521">
        <f t="shared" si="553"/>
        <v>1061184.4636921973</v>
      </c>
      <c r="NF98" s="521">
        <f t="shared" si="553"/>
        <v>1061184.4636921973</v>
      </c>
      <c r="NG98" s="521">
        <f t="shared" si="553"/>
        <v>1061184.4636921973</v>
      </c>
      <c r="NH98" s="521">
        <f t="shared" si="553"/>
        <v>1061184.4636921973</v>
      </c>
      <c r="NI98" s="521">
        <f t="shared" si="553"/>
        <v>1061184.4636921973</v>
      </c>
      <c r="NJ98" s="521">
        <f t="shared" si="553"/>
        <v>1061184.4636921973</v>
      </c>
      <c r="NK98" s="521">
        <f t="shared" si="553"/>
        <v>1061184.4636921973</v>
      </c>
      <c r="NL98" s="521">
        <f t="shared" si="553"/>
        <v>1082857.8291469957</v>
      </c>
      <c r="NM98" s="521">
        <f t="shared" si="553"/>
        <v>1082857.8291469957</v>
      </c>
      <c r="NN98" s="521">
        <f t="shared" si="553"/>
        <v>1082857.8291469957</v>
      </c>
      <c r="NO98" s="521">
        <f t="shared" si="553"/>
        <v>1082857.8291469957</v>
      </c>
      <c r="NP98" s="521">
        <f t="shared" si="553"/>
        <v>1082857.8291469957</v>
      </c>
      <c r="NQ98" s="521">
        <f t="shared" si="553"/>
        <v>1082857.8291469957</v>
      </c>
      <c r="NR98" s="521">
        <f t="shared" si="553"/>
        <v>1082857.8291469957</v>
      </c>
      <c r="NS98" s="521">
        <f t="shared" si="553"/>
        <v>1082857.8291469957</v>
      </c>
      <c r="NT98" s="521">
        <f t="shared" si="553"/>
        <v>1082857.8291469957</v>
      </c>
      <c r="NU98" s="521">
        <f t="shared" si="553"/>
        <v>1082857.8291469957</v>
      </c>
      <c r="NV98" s="521">
        <f t="shared" si="553"/>
        <v>1082857.8291469957</v>
      </c>
      <c r="NW98" s="521">
        <f t="shared" si="553"/>
        <v>1082857.8291469957</v>
      </c>
      <c r="NX98" s="521">
        <f t="shared" si="553"/>
        <v>1104958.4622731777</v>
      </c>
      <c r="NY98" s="521">
        <f t="shared" si="553"/>
        <v>1104958.4622731777</v>
      </c>
      <c r="NZ98" s="521">
        <f t="shared" si="553"/>
        <v>1104958.4622731777</v>
      </c>
      <c r="OA98" s="521">
        <f t="shared" si="553"/>
        <v>1104958.4622731777</v>
      </c>
      <c r="OB98" s="521">
        <f t="shared" si="553"/>
        <v>1104958.4622731777</v>
      </c>
      <c r="OC98" s="521">
        <f t="shared" si="553"/>
        <v>1104958.4622731777</v>
      </c>
      <c r="OD98" s="521">
        <f t="shared" si="553"/>
        <v>1104958.4622731777</v>
      </c>
      <c r="OE98" s="521">
        <f t="shared" ref="OE98:OO98" si="554">OE88+OE96</f>
        <v>1104958.4622731777</v>
      </c>
      <c r="OF98" s="521">
        <f t="shared" si="554"/>
        <v>1104958.4622731777</v>
      </c>
      <c r="OG98" s="521">
        <f t="shared" si="554"/>
        <v>1104958.4622731777</v>
      </c>
      <c r="OH98" s="521">
        <f t="shared" si="554"/>
        <v>1104958.4622731777</v>
      </c>
      <c r="OI98" s="521">
        <f t="shared" si="554"/>
        <v>1104958.4622731777</v>
      </c>
      <c r="OJ98" s="521">
        <f t="shared" si="554"/>
        <v>1127494.7224350406</v>
      </c>
      <c r="OK98" s="521">
        <f t="shared" si="554"/>
        <v>1127494.7224350406</v>
      </c>
      <c r="OL98" s="521">
        <f t="shared" si="554"/>
        <v>1127494.7224350406</v>
      </c>
      <c r="OM98" s="521">
        <f t="shared" si="554"/>
        <v>1127494.7224350406</v>
      </c>
      <c r="ON98" s="521">
        <f t="shared" si="554"/>
        <v>1127494.7224350406</v>
      </c>
      <c r="OO98" s="521">
        <f t="shared" si="554"/>
        <v>1127494.7224350406</v>
      </c>
    </row>
    <row r="99" spans="2:405">
      <c r="D99" s="171"/>
    </row>
    <row r="100" spans="2:405">
      <c r="B100" s="222" t="s">
        <v>414</v>
      </c>
      <c r="C100" s="223"/>
      <c r="D100" s="539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  <c r="AA100" s="223"/>
      <c r="AB100" s="223"/>
      <c r="AC100" s="223"/>
      <c r="AD100" s="223"/>
      <c r="AE100" s="223"/>
      <c r="AF100" s="223"/>
      <c r="AG100" s="223"/>
      <c r="AH100" s="223"/>
      <c r="AI100" s="223"/>
      <c r="AJ100" s="223"/>
      <c r="AK100" s="223"/>
      <c r="AL100" s="223"/>
      <c r="AM100" s="223"/>
      <c r="AN100" s="223"/>
      <c r="AO100" s="223"/>
      <c r="AP100" s="223"/>
      <c r="AQ100" s="223"/>
      <c r="AR100" s="223"/>
      <c r="AS100" s="223"/>
      <c r="AT100" s="223"/>
      <c r="AU100" s="223"/>
      <c r="AV100" s="223"/>
      <c r="AW100" s="223"/>
      <c r="AX100" s="223"/>
      <c r="AY100" s="223"/>
      <c r="AZ100" s="223"/>
      <c r="BA100" s="223"/>
      <c r="BB100" s="223"/>
      <c r="BC100" s="223"/>
      <c r="BD100" s="223"/>
      <c r="BE100" s="223"/>
      <c r="BF100" s="223"/>
      <c r="BG100" s="223"/>
      <c r="BH100" s="223"/>
      <c r="BI100" s="223"/>
      <c r="BJ100" s="223"/>
      <c r="BK100" s="223"/>
      <c r="BL100" s="223"/>
      <c r="BM100" s="223"/>
      <c r="BN100" s="223"/>
      <c r="BO100" s="223"/>
      <c r="BP100" s="223"/>
      <c r="BQ100" s="223"/>
      <c r="BR100" s="223"/>
      <c r="BS100" s="223"/>
      <c r="BT100" s="223"/>
      <c r="BU100" s="223"/>
      <c r="BV100" s="223"/>
      <c r="BW100" s="223"/>
      <c r="BX100" s="223"/>
      <c r="BY100" s="223"/>
      <c r="BZ100" s="223"/>
      <c r="CA100" s="223"/>
      <c r="CB100" s="223"/>
      <c r="CC100" s="223"/>
      <c r="CD100" s="223"/>
      <c r="CE100" s="223"/>
      <c r="CF100" s="223"/>
      <c r="CG100" s="223"/>
      <c r="CH100" s="223"/>
      <c r="CI100" s="223"/>
      <c r="CJ100" s="223"/>
      <c r="CK100" s="223"/>
      <c r="CL100" s="223"/>
      <c r="CM100" s="223"/>
      <c r="CN100" s="223"/>
      <c r="CO100" s="223"/>
      <c r="CP100" s="223"/>
      <c r="CQ100" s="223"/>
      <c r="CR100" s="223"/>
      <c r="CS100" s="223"/>
      <c r="CT100" s="223"/>
      <c r="CU100" s="223"/>
      <c r="CV100" s="223"/>
      <c r="CW100" s="223"/>
      <c r="CX100" s="223"/>
      <c r="CY100" s="223"/>
      <c r="CZ100" s="223"/>
      <c r="DA100" s="223"/>
      <c r="DB100" s="223"/>
      <c r="DC100" s="223"/>
      <c r="DD100" s="223"/>
      <c r="DE100" s="223"/>
      <c r="DF100" s="223"/>
      <c r="DG100" s="223"/>
      <c r="DH100" s="223"/>
      <c r="DI100" s="223"/>
      <c r="DJ100" s="223"/>
      <c r="DK100" s="223"/>
      <c r="DL100" s="223"/>
      <c r="DM100" s="223"/>
      <c r="DN100" s="223"/>
      <c r="DO100" s="223"/>
      <c r="DP100" s="223"/>
      <c r="DQ100" s="223"/>
      <c r="DR100" s="223"/>
      <c r="DS100" s="223"/>
      <c r="DT100" s="223"/>
      <c r="DU100" s="223"/>
      <c r="DV100" s="223"/>
      <c r="DW100" s="223"/>
      <c r="DX100" s="223"/>
      <c r="DY100" s="223"/>
      <c r="DZ100" s="223"/>
      <c r="EA100" s="223"/>
      <c r="EB100" s="223"/>
      <c r="EC100" s="223"/>
      <c r="ED100" s="223"/>
      <c r="EE100" s="223"/>
      <c r="EF100" s="223"/>
      <c r="EG100" s="223"/>
      <c r="EH100" s="223"/>
      <c r="EI100" s="223"/>
      <c r="EJ100" s="223"/>
      <c r="EK100" s="223"/>
      <c r="EL100" s="223"/>
      <c r="EM100" s="223"/>
      <c r="EN100" s="223"/>
      <c r="EO100" s="223"/>
      <c r="EP100" s="223"/>
      <c r="EQ100" s="223"/>
      <c r="ER100" s="223"/>
      <c r="ES100" s="223"/>
      <c r="ET100" s="223"/>
      <c r="EU100" s="223"/>
      <c r="EV100" s="223"/>
      <c r="EW100" s="223"/>
      <c r="EX100" s="223"/>
      <c r="EY100" s="223"/>
      <c r="EZ100" s="223"/>
      <c r="FA100" s="223"/>
      <c r="FB100" s="223"/>
      <c r="FC100" s="223"/>
      <c r="FD100" s="223"/>
      <c r="FE100" s="223"/>
      <c r="FF100" s="223"/>
      <c r="FG100" s="223"/>
      <c r="FH100" s="223"/>
      <c r="FI100" s="223"/>
      <c r="FJ100" s="223"/>
      <c r="FK100" s="223"/>
      <c r="FL100" s="223"/>
      <c r="FM100" s="223"/>
      <c r="FN100" s="223"/>
      <c r="FO100" s="223"/>
      <c r="FP100" s="223"/>
      <c r="FQ100" s="223"/>
      <c r="FR100" s="223"/>
      <c r="FS100" s="223"/>
      <c r="FT100" s="223"/>
      <c r="FU100" s="223"/>
      <c r="FV100" s="223"/>
      <c r="FW100" s="223"/>
      <c r="FX100" s="223"/>
      <c r="FY100" s="223"/>
      <c r="FZ100" s="223"/>
      <c r="GA100" s="223"/>
      <c r="GB100" s="223"/>
      <c r="GC100" s="223"/>
      <c r="GD100" s="223"/>
      <c r="GE100" s="223"/>
      <c r="GF100" s="223"/>
      <c r="GG100" s="223"/>
      <c r="GH100" s="223"/>
      <c r="GI100" s="223"/>
      <c r="GJ100" s="223"/>
      <c r="GK100" s="223"/>
      <c r="GL100" s="223"/>
      <c r="GM100" s="223"/>
      <c r="GN100" s="223"/>
      <c r="GO100" s="223"/>
      <c r="GP100" s="223"/>
      <c r="GQ100" s="223"/>
      <c r="GR100" s="223"/>
      <c r="GS100" s="223"/>
      <c r="GT100" s="223"/>
      <c r="GU100" s="223"/>
      <c r="GV100" s="223"/>
      <c r="GW100" s="223"/>
      <c r="GX100" s="223"/>
      <c r="GY100" s="223"/>
      <c r="GZ100" s="223"/>
      <c r="HA100" s="223"/>
      <c r="HB100" s="223"/>
      <c r="HC100" s="223"/>
      <c r="HD100" s="223"/>
      <c r="HE100" s="223"/>
      <c r="HF100" s="223"/>
      <c r="HG100" s="223"/>
      <c r="HH100" s="223"/>
      <c r="HI100" s="223"/>
      <c r="HJ100" s="223"/>
      <c r="HK100" s="223"/>
      <c r="HL100" s="223"/>
      <c r="HM100" s="223"/>
      <c r="HN100" s="223"/>
      <c r="HO100" s="223"/>
      <c r="HP100" s="223"/>
      <c r="HQ100" s="223"/>
      <c r="HR100" s="223"/>
      <c r="HS100" s="223"/>
      <c r="HT100" s="223"/>
      <c r="HU100" s="223"/>
      <c r="HV100" s="223"/>
      <c r="HW100" s="223"/>
      <c r="HX100" s="223"/>
      <c r="HY100" s="223"/>
      <c r="HZ100" s="223"/>
      <c r="IA100" s="223"/>
      <c r="IB100" s="223"/>
      <c r="IC100" s="223"/>
      <c r="ID100" s="223"/>
      <c r="IE100" s="223"/>
      <c r="IF100" s="223"/>
      <c r="IG100" s="223"/>
      <c r="IH100" s="223"/>
      <c r="II100" s="223"/>
      <c r="IJ100" s="223"/>
      <c r="IK100" s="223"/>
      <c r="IL100" s="223"/>
      <c r="IM100" s="223"/>
      <c r="IN100" s="223"/>
      <c r="IO100" s="223"/>
      <c r="IP100" s="223"/>
      <c r="IQ100" s="223"/>
      <c r="IR100" s="223"/>
      <c r="IS100" s="223"/>
      <c r="IT100" s="223"/>
      <c r="IU100" s="223"/>
      <c r="IV100" s="223"/>
      <c r="IW100" s="223"/>
      <c r="IX100" s="223"/>
      <c r="IY100" s="223"/>
      <c r="IZ100" s="223"/>
      <c r="JA100" s="223"/>
      <c r="JB100" s="223"/>
      <c r="JC100" s="223"/>
      <c r="JD100" s="223"/>
      <c r="JE100" s="223"/>
      <c r="JF100" s="223"/>
      <c r="JG100" s="223"/>
      <c r="JH100" s="223"/>
      <c r="JI100" s="223"/>
      <c r="JJ100" s="223"/>
      <c r="JK100" s="223"/>
      <c r="JL100" s="223"/>
      <c r="JM100" s="223"/>
      <c r="JN100" s="223"/>
      <c r="JO100" s="223"/>
      <c r="JP100" s="223"/>
      <c r="JQ100" s="223"/>
      <c r="JR100" s="223"/>
      <c r="JS100" s="223"/>
      <c r="JT100" s="223"/>
      <c r="JU100" s="223"/>
      <c r="JV100" s="223"/>
      <c r="JW100" s="223"/>
      <c r="JX100" s="223"/>
      <c r="JY100" s="223"/>
      <c r="JZ100" s="223"/>
      <c r="KA100" s="223"/>
      <c r="KB100" s="223"/>
      <c r="KC100" s="223"/>
      <c r="KD100" s="223"/>
      <c r="KE100" s="223"/>
      <c r="KF100" s="223"/>
      <c r="KG100" s="223"/>
      <c r="KH100" s="223"/>
      <c r="KI100" s="223"/>
      <c r="KJ100" s="223"/>
      <c r="KK100" s="223"/>
      <c r="KL100" s="223"/>
      <c r="KM100" s="223"/>
      <c r="KN100" s="223"/>
      <c r="KO100" s="223"/>
      <c r="KP100" s="223"/>
      <c r="KQ100" s="223"/>
      <c r="KR100" s="223"/>
      <c r="KS100" s="223"/>
      <c r="KT100" s="223"/>
      <c r="KU100" s="223"/>
      <c r="KV100" s="223"/>
      <c r="KW100" s="223"/>
      <c r="KX100" s="223"/>
      <c r="KY100" s="223"/>
      <c r="KZ100" s="223"/>
      <c r="LA100" s="223"/>
      <c r="LB100" s="223"/>
      <c r="LC100" s="223"/>
      <c r="LD100" s="223"/>
      <c r="LE100" s="223"/>
      <c r="LF100" s="223"/>
      <c r="LG100" s="223"/>
      <c r="LH100" s="223"/>
      <c r="LI100" s="223"/>
      <c r="LJ100" s="223"/>
      <c r="LK100" s="223"/>
      <c r="LL100" s="223"/>
      <c r="LM100" s="223"/>
      <c r="LN100" s="223"/>
      <c r="LO100" s="223"/>
      <c r="LP100" s="223"/>
      <c r="LQ100" s="223"/>
      <c r="LR100" s="223"/>
      <c r="LS100" s="223"/>
      <c r="LT100" s="223"/>
      <c r="LU100" s="223"/>
      <c r="LV100" s="223"/>
      <c r="LW100" s="223"/>
      <c r="LX100" s="223"/>
      <c r="LY100" s="223"/>
      <c r="LZ100" s="223"/>
      <c r="MA100" s="223"/>
      <c r="MB100" s="223"/>
      <c r="MC100" s="223"/>
      <c r="MD100" s="223"/>
      <c r="ME100" s="223"/>
      <c r="MF100" s="223"/>
      <c r="MG100" s="223"/>
      <c r="MH100" s="223"/>
      <c r="MI100" s="223"/>
      <c r="MJ100" s="223"/>
      <c r="MK100" s="223"/>
      <c r="ML100" s="223"/>
      <c r="MM100" s="223"/>
      <c r="MN100" s="223"/>
      <c r="MO100" s="223"/>
      <c r="MP100" s="223"/>
      <c r="MQ100" s="223"/>
      <c r="MR100" s="223"/>
      <c r="MS100" s="223"/>
      <c r="MT100" s="223"/>
      <c r="MU100" s="223"/>
      <c r="MV100" s="223"/>
      <c r="MW100" s="223"/>
      <c r="MX100" s="223"/>
      <c r="MY100" s="223"/>
      <c r="MZ100" s="223"/>
      <c r="NA100" s="223"/>
      <c r="NB100" s="223"/>
      <c r="NC100" s="223"/>
      <c r="ND100" s="223"/>
      <c r="NE100" s="223"/>
      <c r="NF100" s="223"/>
      <c r="NG100" s="223"/>
      <c r="NH100" s="223"/>
      <c r="NI100" s="223"/>
      <c r="NJ100" s="223"/>
      <c r="NK100" s="223"/>
      <c r="NL100" s="223"/>
      <c r="NM100" s="223"/>
      <c r="NN100" s="223"/>
      <c r="NO100" s="223"/>
      <c r="NP100" s="223"/>
      <c r="NQ100" s="223"/>
      <c r="NR100" s="223"/>
      <c r="NS100" s="223"/>
      <c r="NT100" s="223"/>
      <c r="NU100" s="223"/>
      <c r="NV100" s="223"/>
      <c r="NW100" s="223"/>
      <c r="NX100" s="223"/>
      <c r="NY100" s="223"/>
      <c r="NZ100" s="223"/>
      <c r="OA100" s="223"/>
      <c r="OB100" s="223"/>
      <c r="OC100" s="223"/>
      <c r="OD100" s="223"/>
      <c r="OE100" s="223"/>
      <c r="OF100" s="223"/>
      <c r="OG100" s="223"/>
      <c r="OH100" s="223"/>
      <c r="OI100" s="223"/>
      <c r="OJ100" s="223"/>
      <c r="OK100" s="223"/>
      <c r="OL100" s="223"/>
      <c r="OM100" s="223"/>
      <c r="ON100" s="223"/>
      <c r="OO100" s="224"/>
    </row>
    <row r="101" spans="2:405">
      <c r="B101" s="62" t="s">
        <v>440</v>
      </c>
      <c r="C101" s="450">
        <f>'Construction Interest'!C23</f>
        <v>0.05</v>
      </c>
      <c r="D101" s="171"/>
      <c r="E101" s="507">
        <f>Assumptions!$C$10</f>
        <v>46418</v>
      </c>
      <c r="F101" s="507">
        <f>EOMONTH(E101,SUM(Assumptions!$C$11:$C$12)-1)</f>
        <v>47299</v>
      </c>
      <c r="G101" s="97">
        <f t="shared" ref="G101:G102" si="555">((YEAR(F101)-YEAR(E101))*12+MONTH(F101)-MONTH(E101)+1)</f>
        <v>30</v>
      </c>
      <c r="J101" s="479">
        <f>-IF(J$7&gt;=$E101,IF(J$7&lt;=$F101,'Construction Interest'!$E$38,0),0)</f>
        <v>0</v>
      </c>
      <c r="K101" s="479">
        <f>-IF(K$7&gt;=$E101,IF(K$7&lt;=$F101,'Construction Interest'!$E$38,0),0)</f>
        <v>0</v>
      </c>
      <c r="L101" s="479">
        <f>-IF(L$7&gt;=$E101,IF(L$7&lt;=$F101,'Construction Interest'!$E$38,0),0)</f>
        <v>0</v>
      </c>
      <c r="M101" s="479">
        <f>-IF(M$7&gt;=$E101,IF(M$7&lt;=$F101,'Construction Interest'!$E$38,0),0)</f>
        <v>0</v>
      </c>
      <c r="N101" s="479">
        <f>-IF(N$7&gt;=$E101,IF(N$7&lt;=$F101,'Construction Interest'!$E$38,0),0)</f>
        <v>0</v>
      </c>
      <c r="O101" s="479">
        <f>-IF(O$7&gt;=$E101,IF(O$7&lt;=$F101,'Construction Interest'!$E$38,0),0)</f>
        <v>0</v>
      </c>
      <c r="P101" s="479">
        <f>-IF(P$7&gt;=$E101,IF(P$7&lt;=$F101,'Construction Interest'!$E$38,0),0)</f>
        <v>-196608.37652766754</v>
      </c>
      <c r="Q101" s="479">
        <f>-IF(Q$7&gt;=$E101,IF(Q$7&lt;=$F101,'Construction Interest'!$E$38,0),0)</f>
        <v>-196608.37652766754</v>
      </c>
      <c r="R101" s="479">
        <f>-IF(R$7&gt;=$E101,IF(R$7&lt;=$F101,'Construction Interest'!$E$38,0),0)</f>
        <v>-196608.37652766754</v>
      </c>
      <c r="S101" s="479">
        <f>-IF(S$7&gt;=$E101,IF(S$7&lt;=$F101,'Construction Interest'!$E$38,0),0)</f>
        <v>-196608.37652766754</v>
      </c>
      <c r="T101" s="479">
        <f>-IF(T$7&gt;=$E101,IF(T$7&lt;=$F101,'Construction Interest'!$E$38,0),0)</f>
        <v>-196608.37652766754</v>
      </c>
      <c r="U101" s="479">
        <f>-IF(U$7&gt;=$E101,IF(U$7&lt;=$F101,'Construction Interest'!$E$38,0),0)</f>
        <v>-196608.37652766754</v>
      </c>
      <c r="V101" s="479">
        <f>-IF(V$7&gt;=$E101,IF(V$7&lt;=$F101,'Construction Interest'!$E$38,0),0)</f>
        <v>-196608.37652766754</v>
      </c>
      <c r="W101" s="479">
        <f>-IF(W$7&gt;=$E101,IF(W$7&lt;=$F101,'Construction Interest'!$E$38,0),0)</f>
        <v>-196608.37652766754</v>
      </c>
      <c r="X101" s="479">
        <f>-IF(X$7&gt;=$E101,IF(X$7&lt;=$F101,'Construction Interest'!$E$38,0),0)</f>
        <v>-196608.37652766754</v>
      </c>
      <c r="Y101" s="479">
        <f>-IF(Y$7&gt;=$E101,IF(Y$7&lt;=$F101,'Construction Interest'!$E$38,0),0)</f>
        <v>-196608.37652766754</v>
      </c>
      <c r="Z101" s="479">
        <f>-IF(Z$7&gt;=$E101,IF(Z$7&lt;=$F101,'Construction Interest'!$E$38,0),0)</f>
        <v>-196608.37652766754</v>
      </c>
      <c r="AA101" s="479">
        <f>-IF(AA$7&gt;=$E101,IF(AA$7&lt;=$F101,'Construction Interest'!$E$38,0),0)</f>
        <v>-196608.37652766754</v>
      </c>
      <c r="AB101" s="479">
        <f>-IF(AB$7&gt;=$E101,IF(AB$7&lt;=$F101,'Construction Interest'!$E$38,0),0)</f>
        <v>-196608.37652766754</v>
      </c>
      <c r="AC101" s="479">
        <f>-IF(AC$7&gt;=$E101,IF(AC$7&lt;=$F101,'Construction Interest'!$E$38,0),0)</f>
        <v>-196608.37652766754</v>
      </c>
      <c r="AD101" s="479">
        <f>-IF(AD$7&gt;=$E101,IF(AD$7&lt;=$F101,'Construction Interest'!$E$38,0),0)</f>
        <v>-196608.37652766754</v>
      </c>
      <c r="AE101" s="479">
        <f>-IF(AE$7&gt;=$E101,IF(AE$7&lt;=$F101,'Construction Interest'!$E$38,0),0)</f>
        <v>-196608.37652766754</v>
      </c>
      <c r="AF101" s="479">
        <f>-IF(AF$7&gt;=$E101,IF(AF$7&lt;=$F101,'Construction Interest'!$E$38,0),0)</f>
        <v>-196608.37652766754</v>
      </c>
      <c r="AG101" s="479">
        <f>-IF(AG$7&gt;=$E101,IF(AG$7&lt;=$F101,'Construction Interest'!$E$38,0),0)</f>
        <v>-196608.37652766754</v>
      </c>
      <c r="AH101" s="479">
        <f>-IF(AH$7&gt;=$E101,IF(AH$7&lt;=$F101,'Construction Interest'!$E$38,0),0)</f>
        <v>-196608.37652766754</v>
      </c>
      <c r="AI101" s="479">
        <f>-IF(AI$7&gt;=$E101,IF(AI$7&lt;=$F101,'Construction Interest'!$E$38,0),0)</f>
        <v>-196608.37652766754</v>
      </c>
      <c r="AJ101" s="479">
        <f>-IF(AJ$7&gt;=$E101,IF(AJ$7&lt;=$F101,'Construction Interest'!$E$38,0),0)</f>
        <v>-196608.37652766754</v>
      </c>
      <c r="AK101" s="479">
        <f>-IF(AK$7&gt;=$E101,IF(AK$7&lt;=$F101,'Construction Interest'!$E$38,0),0)</f>
        <v>-196608.37652766754</v>
      </c>
      <c r="AL101" s="479">
        <f>-IF(AL$7&gt;=$E101,IF(AL$7&lt;=$F101,'Construction Interest'!$E$38,0),0)</f>
        <v>-196608.37652766754</v>
      </c>
      <c r="AM101" s="479">
        <f>-IF(AM$7&gt;=$E101,IF(AM$7&lt;=$F101,'Construction Interest'!$E$38,0),0)</f>
        <v>-196608.37652766754</v>
      </c>
      <c r="AN101" s="479">
        <f>-IF(AN$7&gt;=$E101,IF(AN$7&lt;=$F101,'Construction Interest'!$E$38,0),0)</f>
        <v>-196608.37652766754</v>
      </c>
      <c r="AO101" s="479">
        <f>-IF(AO$7&gt;=$E101,IF(AO$7&lt;=$F101,'Construction Interest'!$E$38,0),0)</f>
        <v>-196608.37652766754</v>
      </c>
      <c r="AP101" s="479">
        <f>-IF(AP$7&gt;=$E101,IF(AP$7&lt;=$F101,'Construction Interest'!$E$38,0),0)</f>
        <v>-196608.37652766754</v>
      </c>
      <c r="AQ101" s="479">
        <f>-IF(AQ$7&gt;=$E101,IF(AQ$7&lt;=$F101,'Construction Interest'!$E$38,0),0)</f>
        <v>-196608.37652766754</v>
      </c>
      <c r="AR101" s="479">
        <f>-IF(AR$7&gt;=$E101,IF(AR$7&lt;=$F101,'Construction Interest'!$E$38,0),0)</f>
        <v>-196608.37652766754</v>
      </c>
      <c r="AS101" s="479">
        <f>-IF(AS$7&gt;=$E101,IF(AS$7&lt;=$F101,'Construction Interest'!$E$38,0),0)</f>
        <v>-196608.37652766754</v>
      </c>
      <c r="AT101" s="479">
        <f>-IF(AT$7&gt;=$E101,IF(AT$7&lt;=$F101,'Construction Interest'!$E$38,0),0)</f>
        <v>0</v>
      </c>
      <c r="AU101" s="479">
        <f>-IF(AU$7&gt;=$E101,IF(AU$7&lt;=$F101,'Construction Interest'!$E$38,0),0)</f>
        <v>0</v>
      </c>
      <c r="AV101" s="479">
        <f>-IF(AV$7&gt;=$E101,IF(AV$7&lt;=$F101,'Construction Interest'!$E$38,0),0)</f>
        <v>0</v>
      </c>
      <c r="AW101" s="479">
        <f>-IF(AW$7&gt;=$E101,IF(AW$7&lt;=$F101,'Construction Interest'!$E$38,0),0)</f>
        <v>0</v>
      </c>
      <c r="AX101" s="479">
        <f>-IF(AX$7&gt;=$E101,IF(AX$7&lt;=$F101,'Construction Interest'!$E$38,0),0)</f>
        <v>0</v>
      </c>
      <c r="AY101" s="479">
        <f>-IF(AY$7&gt;=$E101,IF(AY$7&lt;=$F101,'Construction Interest'!$E$38,0),0)</f>
        <v>0</v>
      </c>
      <c r="AZ101" s="479">
        <f>-IF(AZ$7&gt;=$E101,IF(AZ$7&lt;=$F101,'Construction Interest'!$E$38,0),0)</f>
        <v>0</v>
      </c>
      <c r="BA101" s="479">
        <f>-IF(BA$7&gt;=$E101,IF(BA$7&lt;=$F101,'Construction Interest'!$E$38,0),0)</f>
        <v>0</v>
      </c>
      <c r="BB101" s="479">
        <f>-IF(BB$7&gt;=$E101,IF(BB$7&lt;=$F101,'Construction Interest'!$E$38,0),0)</f>
        <v>0</v>
      </c>
      <c r="BC101" s="479">
        <f>-IF(BC$7&gt;=$E101,IF(BC$7&lt;=$F101,'Construction Interest'!$E$38,0),0)</f>
        <v>0</v>
      </c>
      <c r="BD101" s="479">
        <f>-IF(BD$7&gt;=$E101,IF(BD$7&lt;=$F101,'Construction Interest'!$E$38,0),0)</f>
        <v>0</v>
      </c>
      <c r="BE101" s="479">
        <f>-IF(BE$7&gt;=$E101,IF(BE$7&lt;=$F101,'Construction Interest'!$E$38,0),0)</f>
        <v>0</v>
      </c>
      <c r="BF101" s="479">
        <f>-IF(BF$7&gt;=$E101,IF(BF$7&lt;=$F101,'Construction Interest'!$E$38,0),0)</f>
        <v>0</v>
      </c>
      <c r="BG101" s="479">
        <f>-IF(BG$7&gt;=$E101,IF(BG$7&lt;=$F101,'Construction Interest'!$E$38,0),0)</f>
        <v>0</v>
      </c>
      <c r="BH101" s="479">
        <f>-IF(BH$7&gt;=$E101,IF(BH$7&lt;=$F101,'Construction Interest'!$E$38,0),0)</f>
        <v>0</v>
      </c>
      <c r="BI101" s="479">
        <f>-IF(BI$7&gt;=$E101,IF(BI$7&lt;=$F101,'Construction Interest'!$E$38,0),0)</f>
        <v>0</v>
      </c>
      <c r="BJ101" s="479">
        <f>-IF(BJ$7&gt;=$E101,IF(BJ$7&lt;=$F101,'Construction Interest'!$E$38,0),0)</f>
        <v>0</v>
      </c>
      <c r="BK101" s="479">
        <f>-IF(BK$7&gt;=$E101,IF(BK$7&lt;=$F101,'Construction Interest'!$E$38,0),0)</f>
        <v>0</v>
      </c>
      <c r="BL101" s="479">
        <f>-IF(BL$7&gt;=$E101,IF(BL$7&lt;=$F101,'Construction Interest'!$E$38,0),0)</f>
        <v>0</v>
      </c>
      <c r="BM101" s="479">
        <f>-IF(BM$7&gt;=$E101,IF(BM$7&lt;=$F101,'Construction Interest'!$E$38,0),0)</f>
        <v>0</v>
      </c>
      <c r="BN101" s="479">
        <f>-IF(BN$7&gt;=$E101,IF(BN$7&lt;=$F101,'Construction Interest'!$E$38,0),0)</f>
        <v>0</v>
      </c>
      <c r="BO101" s="479">
        <f>-IF(BO$7&gt;=$E101,IF(BO$7&lt;=$F101,'Construction Interest'!$E$38,0),0)</f>
        <v>0</v>
      </c>
      <c r="BP101" s="479">
        <f>-IF(BP$7&gt;=$E101,IF(BP$7&lt;=$F101,'Construction Interest'!$E$38,0),0)</f>
        <v>0</v>
      </c>
      <c r="BQ101" s="479">
        <f>-IF(BQ$7&gt;=$E101,IF(BQ$7&lt;=$F101,'Construction Interest'!$E$38,0),0)</f>
        <v>0</v>
      </c>
      <c r="BR101" s="479">
        <f>-IF(BR$7&gt;=$E101,IF(BR$7&lt;=$F101,'Construction Interest'!$E$38,0),0)</f>
        <v>0</v>
      </c>
      <c r="BS101" s="479">
        <f>-IF(BS$7&gt;=$E101,IF(BS$7&lt;=$F101,'Construction Interest'!$E$38,0),0)</f>
        <v>0</v>
      </c>
      <c r="BT101" s="479">
        <f>-IF(BT$7&gt;=$E101,IF(BT$7&lt;=$F101,'Construction Interest'!$E$38,0),0)</f>
        <v>0</v>
      </c>
      <c r="BU101" s="479">
        <f>-IF(BU$7&gt;=$E101,IF(BU$7&lt;=$F101,'Construction Interest'!$E$38,0),0)</f>
        <v>0</v>
      </c>
      <c r="BV101" s="479">
        <f>-IF(BV$7&gt;=$E101,IF(BV$7&lt;=$F101,'Construction Interest'!$E$38,0),0)</f>
        <v>0</v>
      </c>
      <c r="BW101" s="479">
        <f>-IF(BW$7&gt;=$E101,IF(BW$7&lt;=$F101,'Construction Interest'!$E$38,0),0)</f>
        <v>0</v>
      </c>
      <c r="BX101" s="479">
        <f>-IF(BX$7&gt;=$E101,IF(BX$7&lt;=$F101,'Construction Interest'!$E$38,0),0)</f>
        <v>0</v>
      </c>
      <c r="BY101" s="479">
        <f>-IF(BY$7&gt;=$E101,IF(BY$7&lt;=$F101,'Construction Interest'!$E$38,0),0)</f>
        <v>0</v>
      </c>
      <c r="BZ101" s="479">
        <f>-IF(BZ$7&gt;=$E101,IF(BZ$7&lt;=$F101,'Construction Interest'!$E$38,0),0)</f>
        <v>0</v>
      </c>
      <c r="CA101" s="479">
        <f>-IF(CA$7&gt;=$E101,IF(CA$7&lt;=$F101,'Construction Interest'!$E$38,0),0)</f>
        <v>0</v>
      </c>
      <c r="CB101" s="479">
        <f>-IF(CB$7&gt;=$E101,IF(CB$7&lt;=$F101,'Construction Interest'!$E$38,0),0)</f>
        <v>0</v>
      </c>
      <c r="CC101" s="479">
        <f>-IF(CC$7&gt;=$E101,IF(CC$7&lt;=$F101,'Construction Interest'!$E$38,0),0)</f>
        <v>0</v>
      </c>
      <c r="CD101" s="479">
        <f>-IF(CD$7&gt;=$E101,IF(CD$7&lt;=$F101,'Construction Interest'!$E$38,0),0)</f>
        <v>0</v>
      </c>
      <c r="CE101" s="479">
        <f>-IF(CE$7&gt;=$E101,IF(CE$7&lt;=$F101,'Construction Interest'!$E$38,0),0)</f>
        <v>0</v>
      </c>
      <c r="CF101" s="479">
        <f>-IF(CF$7&gt;=$E101,IF(CF$7&lt;=$F101,'Construction Interest'!$E$38,0),0)</f>
        <v>0</v>
      </c>
      <c r="CG101" s="479">
        <f>-IF(CG$7&gt;=$E101,IF(CG$7&lt;=$F101,'Construction Interest'!$E$38,0),0)</f>
        <v>0</v>
      </c>
      <c r="CH101" s="479">
        <f>-IF(CH$7&gt;=$E101,IF(CH$7&lt;=$F101,'Construction Interest'!$E$38,0),0)</f>
        <v>0</v>
      </c>
      <c r="CI101" s="479">
        <f>-IF(CI$7&gt;=$E101,IF(CI$7&lt;=$F101,'Construction Interest'!$E$38,0),0)</f>
        <v>0</v>
      </c>
      <c r="CJ101" s="479">
        <f>-IF(CJ$7&gt;=$E101,IF(CJ$7&lt;=$F101,'Construction Interest'!$E$38,0),0)</f>
        <v>0</v>
      </c>
      <c r="CK101" s="479">
        <f>-IF(CK$7&gt;=$E101,IF(CK$7&lt;=$F101,'Construction Interest'!$E$38,0),0)</f>
        <v>0</v>
      </c>
      <c r="CL101" s="479">
        <f>-IF(CL$7&gt;=$E101,IF(CL$7&lt;=$F101,'Construction Interest'!$E$38,0),0)</f>
        <v>0</v>
      </c>
      <c r="CM101" s="479">
        <f>-IF(CM$7&gt;=$E101,IF(CM$7&lt;=$F101,'Construction Interest'!$E$38,0),0)</f>
        <v>0</v>
      </c>
      <c r="CN101" s="479">
        <f>-IF(CN$7&gt;=$E101,IF(CN$7&lt;=$F101,'Construction Interest'!$E$38,0),0)</f>
        <v>0</v>
      </c>
      <c r="CO101" s="479">
        <f>-IF(CO$7&gt;=$E101,IF(CO$7&lt;=$F101,'Construction Interest'!$E$38,0),0)</f>
        <v>0</v>
      </c>
      <c r="CP101" s="479">
        <f>-IF(CP$7&gt;=$E101,IF(CP$7&lt;=$F101,'Construction Interest'!$E$38,0),0)</f>
        <v>0</v>
      </c>
      <c r="CQ101" s="479">
        <f>-IF(CQ$7&gt;=$E101,IF(CQ$7&lt;=$F101,'Construction Interest'!$E$38,0),0)</f>
        <v>0</v>
      </c>
      <c r="CR101" s="479">
        <f>-IF(CR$7&gt;=$E101,IF(CR$7&lt;=$F101,'Construction Interest'!$E$38,0),0)</f>
        <v>0</v>
      </c>
      <c r="CS101" s="479">
        <f>-IF(CS$7&gt;=$E101,IF(CS$7&lt;=$F101,'Construction Interest'!$E$38,0),0)</f>
        <v>0</v>
      </c>
      <c r="CT101" s="479">
        <f>-IF(CT$7&gt;=$E101,IF(CT$7&lt;=$F101,'Construction Interest'!$E$38,0),0)</f>
        <v>0</v>
      </c>
      <c r="CU101" s="479">
        <f>-IF(CU$7&gt;=$E101,IF(CU$7&lt;=$F101,'Construction Interest'!$E$38,0),0)</f>
        <v>0</v>
      </c>
      <c r="CV101" s="479">
        <f>-IF(CV$7&gt;=$E101,IF(CV$7&lt;=$F101,'Construction Interest'!$E$38,0),0)</f>
        <v>0</v>
      </c>
      <c r="CW101" s="479">
        <f>-IF(CW$7&gt;=$E101,IF(CW$7&lt;=$F101,'Construction Interest'!$E$38,0),0)</f>
        <v>0</v>
      </c>
      <c r="CX101" s="479">
        <f>-IF(CX$7&gt;=$E101,IF(CX$7&lt;=$F101,'Construction Interest'!$E$38,0),0)</f>
        <v>0</v>
      </c>
      <c r="CY101" s="479">
        <f>-IF(CY$7&gt;=$E101,IF(CY$7&lt;=$F101,'Construction Interest'!$E$38,0),0)</f>
        <v>0</v>
      </c>
      <c r="CZ101" s="479">
        <f>-IF(CZ$7&gt;=$E101,IF(CZ$7&lt;=$F101,'Construction Interest'!$E$38,0),0)</f>
        <v>0</v>
      </c>
      <c r="DA101" s="479">
        <f>-IF(DA$7&gt;=$E101,IF(DA$7&lt;=$F101,'Construction Interest'!$E$38,0),0)</f>
        <v>0</v>
      </c>
      <c r="DB101" s="479">
        <f>-IF(DB$7&gt;=$E101,IF(DB$7&lt;=$F101,'Construction Interest'!$E$38,0),0)</f>
        <v>0</v>
      </c>
      <c r="DC101" s="479">
        <f>-IF(DC$7&gt;=$E101,IF(DC$7&lt;=$F101,'Construction Interest'!$E$38,0),0)</f>
        <v>0</v>
      </c>
      <c r="DD101" s="479">
        <f>-IF(DD$7&gt;=$E101,IF(DD$7&lt;=$F101,'Construction Interest'!$E$38,0),0)</f>
        <v>0</v>
      </c>
      <c r="DE101" s="479">
        <f>-IF(DE$7&gt;=$E101,IF(DE$7&lt;=$F101,'Construction Interest'!$E$38,0),0)</f>
        <v>0</v>
      </c>
      <c r="DF101" s="479">
        <f>-IF(DF$7&gt;=$E101,IF(DF$7&lt;=$F101,'Construction Interest'!$E$38,0),0)</f>
        <v>0</v>
      </c>
      <c r="DG101" s="479">
        <f>-IF(DG$7&gt;=$E101,IF(DG$7&lt;=$F101,'Construction Interest'!$E$38,0),0)</f>
        <v>0</v>
      </c>
      <c r="DH101" s="479">
        <f>-IF(DH$7&gt;=$E101,IF(DH$7&lt;=$F101,'Construction Interest'!$E$38,0),0)</f>
        <v>0</v>
      </c>
      <c r="DI101" s="479">
        <f>-IF(DI$7&gt;=$E101,IF(DI$7&lt;=$F101,'Construction Interest'!$E$38,0),0)</f>
        <v>0</v>
      </c>
      <c r="DJ101" s="479">
        <f>-IF(DJ$7&gt;=$E101,IF(DJ$7&lt;=$F101,'Construction Interest'!$E$38,0),0)</f>
        <v>0</v>
      </c>
      <c r="DK101" s="479">
        <f>-IF(DK$7&gt;=$E101,IF(DK$7&lt;=$F101,'Construction Interest'!$E$38,0),0)</f>
        <v>0</v>
      </c>
      <c r="DL101" s="479">
        <f>-IF(DL$7&gt;=$E101,IF(DL$7&lt;=$F101,'Construction Interest'!$E$38,0),0)</f>
        <v>0</v>
      </c>
      <c r="DM101" s="479">
        <f>-IF(DM$7&gt;=$E101,IF(DM$7&lt;=$F101,'Construction Interest'!$E$38,0),0)</f>
        <v>0</v>
      </c>
      <c r="DN101" s="479">
        <f>-IF(DN$7&gt;=$E101,IF(DN$7&lt;=$F101,'Construction Interest'!$E$38,0),0)</f>
        <v>0</v>
      </c>
      <c r="DO101" s="479">
        <f>-IF(DO$7&gt;=$E101,IF(DO$7&lt;=$F101,'Construction Interest'!$E$38,0),0)</f>
        <v>0</v>
      </c>
      <c r="DP101" s="479">
        <f>-IF(DP$7&gt;=$E101,IF(DP$7&lt;=$F101,'Construction Interest'!$E$38,0),0)</f>
        <v>0</v>
      </c>
      <c r="DQ101" s="479">
        <f>-IF(DQ$7&gt;=$E101,IF(DQ$7&lt;=$F101,'Construction Interest'!$E$38,0),0)</f>
        <v>0</v>
      </c>
      <c r="DR101" s="479">
        <f>-IF(DR$7&gt;=$E101,IF(DR$7&lt;=$F101,'Construction Interest'!$E$38,0),0)</f>
        <v>0</v>
      </c>
      <c r="DS101" s="479">
        <f>-IF(DS$7&gt;=$E101,IF(DS$7&lt;=$F101,'Construction Interest'!$E$38,0),0)</f>
        <v>0</v>
      </c>
      <c r="DT101" s="479">
        <f>-IF(DT$7&gt;=$E101,IF(DT$7&lt;=$F101,'Construction Interest'!$E$38,0),0)</f>
        <v>0</v>
      </c>
      <c r="DU101" s="479">
        <f>-IF(DU$7&gt;=$E101,IF(DU$7&lt;=$F101,'Construction Interest'!$E$38,0),0)</f>
        <v>0</v>
      </c>
      <c r="DV101" s="479">
        <f>-IF(DV$7&gt;=$E101,IF(DV$7&lt;=$F101,'Construction Interest'!$E$38,0),0)</f>
        <v>0</v>
      </c>
      <c r="DW101" s="479">
        <f>-IF(DW$7&gt;=$E101,IF(DW$7&lt;=$F101,'Construction Interest'!$E$38,0),0)</f>
        <v>0</v>
      </c>
      <c r="DX101" s="479">
        <f>-IF(DX$7&gt;=$E101,IF(DX$7&lt;=$F101,'Construction Interest'!$E$38,0),0)</f>
        <v>0</v>
      </c>
      <c r="DY101" s="479">
        <f>-IF(DY$7&gt;=$E101,IF(DY$7&lt;=$F101,'Construction Interest'!$E$38,0),0)</f>
        <v>0</v>
      </c>
      <c r="DZ101" s="479">
        <f>-IF(DZ$7&gt;=$E101,IF(DZ$7&lt;=$F101,'Construction Interest'!$E$38,0),0)</f>
        <v>0</v>
      </c>
      <c r="EA101" s="479">
        <f>-IF(EA$7&gt;=$E101,IF(EA$7&lt;=$F101,'Construction Interest'!$E$38,0),0)</f>
        <v>0</v>
      </c>
      <c r="EB101" s="479">
        <f>-IF(EB$7&gt;=$E101,IF(EB$7&lt;=$F101,'Construction Interest'!$E$38,0),0)</f>
        <v>0</v>
      </c>
      <c r="EC101" s="479">
        <f>-IF(EC$7&gt;=$E101,IF(EC$7&lt;=$F101,'Construction Interest'!$E$38,0),0)</f>
        <v>0</v>
      </c>
      <c r="ED101" s="479">
        <f>-IF(ED$7&gt;=$E101,IF(ED$7&lt;=$F101,'Construction Interest'!$E$38,0),0)</f>
        <v>0</v>
      </c>
      <c r="EE101" s="479">
        <f>-IF(EE$7&gt;=$E101,IF(EE$7&lt;=$F101,'Construction Interest'!$E$38,0),0)</f>
        <v>0</v>
      </c>
      <c r="EF101" s="479">
        <f>-IF(EF$7&gt;=$E101,IF(EF$7&lt;=$F101,'Construction Interest'!$E$38,0),0)</f>
        <v>0</v>
      </c>
      <c r="EG101" s="479">
        <f>-IF(EG$7&gt;=$E101,IF(EG$7&lt;=$F101,'Construction Interest'!$E$38,0),0)</f>
        <v>0</v>
      </c>
      <c r="EH101" s="479">
        <f>-IF(EH$7&gt;=$E101,IF(EH$7&lt;=$F101,'Construction Interest'!$E$38,0),0)</f>
        <v>0</v>
      </c>
      <c r="EI101" s="479">
        <f>-IF(EI$7&gt;=$E101,IF(EI$7&lt;=$F101,'Construction Interest'!$E$38,0),0)</f>
        <v>0</v>
      </c>
      <c r="EJ101" s="479">
        <f>-IF(EJ$7&gt;=$E101,IF(EJ$7&lt;=$F101,'Construction Interest'!$E$38,0),0)</f>
        <v>0</v>
      </c>
      <c r="EK101" s="479">
        <f>-IF(EK$7&gt;=$E101,IF(EK$7&lt;=$F101,'Construction Interest'!$E$38,0),0)</f>
        <v>0</v>
      </c>
      <c r="EL101" s="479">
        <f>-IF(EL$7&gt;=$E101,IF(EL$7&lt;=$F101,'Construction Interest'!$E$38,0),0)</f>
        <v>0</v>
      </c>
      <c r="EM101" s="479">
        <f>-IF(EM$7&gt;=$E101,IF(EM$7&lt;=$F101,'Construction Interest'!$E$38,0),0)</f>
        <v>0</v>
      </c>
      <c r="EN101" s="479">
        <f>-IF(EN$7&gt;=$E101,IF(EN$7&lt;=$F101,'Construction Interest'!$E$38,0),0)</f>
        <v>0</v>
      </c>
      <c r="EO101" s="479">
        <f>-IF(EO$7&gt;=$E101,IF(EO$7&lt;=$F101,'Construction Interest'!$E$38,0),0)</f>
        <v>0</v>
      </c>
      <c r="EP101" s="479">
        <f>-IF(EP$7&gt;=$E101,IF(EP$7&lt;=$F101,'Construction Interest'!$E$38,0),0)</f>
        <v>0</v>
      </c>
      <c r="EQ101" s="479">
        <f>-IF(EQ$7&gt;=$E101,IF(EQ$7&lt;=$F101,'Construction Interest'!$E$38,0),0)</f>
        <v>0</v>
      </c>
      <c r="ER101" s="479">
        <f>-IF(ER$7&gt;=$E101,IF(ER$7&lt;=$F101,'Construction Interest'!$E$38,0),0)</f>
        <v>0</v>
      </c>
      <c r="ES101" s="479">
        <f>-IF(ES$7&gt;=$E101,IF(ES$7&lt;=$F101,'Construction Interest'!$E$38,0),0)</f>
        <v>0</v>
      </c>
      <c r="ET101" s="479">
        <f>-IF(ET$7&gt;=$E101,IF(ET$7&lt;=$F101,'Construction Interest'!$E$38,0),0)</f>
        <v>0</v>
      </c>
      <c r="EU101" s="479">
        <f>-IF(EU$7&gt;=$E101,IF(EU$7&lt;=$F101,'Construction Interest'!$E$38,0),0)</f>
        <v>0</v>
      </c>
      <c r="EV101" s="479">
        <f>-IF(EV$7&gt;=$E101,IF(EV$7&lt;=$F101,'Construction Interest'!$E$38,0),0)</f>
        <v>0</v>
      </c>
      <c r="EW101" s="479">
        <f>-IF(EW$7&gt;=$E101,IF(EW$7&lt;=$F101,'Construction Interest'!$E$38,0),0)</f>
        <v>0</v>
      </c>
      <c r="EX101" s="479">
        <f>-IF(EX$7&gt;=$E101,IF(EX$7&lt;=$F101,'Construction Interest'!$E$38,0),0)</f>
        <v>0</v>
      </c>
      <c r="EY101" s="479">
        <f>-IF(EY$7&gt;=$E101,IF(EY$7&lt;=$F101,'Construction Interest'!$E$38,0),0)</f>
        <v>0</v>
      </c>
      <c r="EZ101" s="479">
        <f>-IF(EZ$7&gt;=$E101,IF(EZ$7&lt;=$F101,'Construction Interest'!$E$38,0),0)</f>
        <v>0</v>
      </c>
      <c r="FA101" s="479">
        <f>-IF(FA$7&gt;=$E101,IF(FA$7&lt;=$F101,'Construction Interest'!$E$38,0),0)</f>
        <v>0</v>
      </c>
      <c r="FB101" s="479">
        <f>-IF(FB$7&gt;=$E101,IF(FB$7&lt;=$F101,'Construction Interest'!$E$38,0),0)</f>
        <v>0</v>
      </c>
      <c r="FC101" s="479">
        <f>-IF(FC$7&gt;=$E101,IF(FC$7&lt;=$F101,'Construction Interest'!$E$38,0),0)</f>
        <v>0</v>
      </c>
      <c r="FD101" s="479">
        <f>-IF(FD$7&gt;=$E101,IF(FD$7&lt;=$F101,'Construction Interest'!$E$38,0),0)</f>
        <v>0</v>
      </c>
      <c r="FE101" s="479">
        <f>-IF(FE$7&gt;=$E101,IF(FE$7&lt;=$F101,'Construction Interest'!$E$38,0),0)</f>
        <v>0</v>
      </c>
      <c r="FF101" s="479">
        <f>-IF(FF$7&gt;=$E101,IF(FF$7&lt;=$F101,'Construction Interest'!$E$38,0),0)</f>
        <v>0</v>
      </c>
      <c r="FG101" s="479">
        <f>-IF(FG$7&gt;=$E101,IF(FG$7&lt;=$F101,'Construction Interest'!$E$38,0),0)</f>
        <v>0</v>
      </c>
      <c r="FH101" s="479">
        <f>-IF(FH$7&gt;=$E101,IF(FH$7&lt;=$F101,'Construction Interest'!$E$38,0),0)</f>
        <v>0</v>
      </c>
      <c r="FI101" s="479">
        <f>-IF(FI$7&gt;=$E101,IF(FI$7&lt;=$F101,'Construction Interest'!$E$38,0),0)</f>
        <v>0</v>
      </c>
      <c r="FJ101" s="479">
        <f>-IF(FJ$7&gt;=$E101,IF(FJ$7&lt;=$F101,'Construction Interest'!$E$38,0),0)</f>
        <v>0</v>
      </c>
      <c r="FK101" s="479">
        <f>-IF(FK$7&gt;=$E101,IF(FK$7&lt;=$F101,'Construction Interest'!$E$38,0),0)</f>
        <v>0</v>
      </c>
      <c r="FL101" s="479">
        <f>-IF(FL$7&gt;=$E101,IF(FL$7&lt;=$F101,'Construction Interest'!$E$38,0),0)</f>
        <v>0</v>
      </c>
      <c r="FM101" s="479">
        <f>-IF(FM$7&gt;=$E101,IF(FM$7&lt;=$F101,'Construction Interest'!$E$38,0),0)</f>
        <v>0</v>
      </c>
      <c r="FN101" s="479">
        <f>-IF(FN$7&gt;=$E101,IF(FN$7&lt;=$F101,'Construction Interest'!$E$38,0),0)</f>
        <v>0</v>
      </c>
      <c r="FO101" s="479">
        <f>-IF(FO$7&gt;=$E101,IF(FO$7&lt;=$F101,'Construction Interest'!$E$38,0),0)</f>
        <v>0</v>
      </c>
      <c r="FP101" s="479">
        <f>-IF(FP$7&gt;=$E101,IF(FP$7&lt;=$F101,'Construction Interest'!$E$38,0),0)</f>
        <v>0</v>
      </c>
      <c r="FQ101" s="479">
        <f>-IF(FQ$7&gt;=$E101,IF(FQ$7&lt;=$F101,'Construction Interest'!$E$38,0),0)</f>
        <v>0</v>
      </c>
      <c r="FR101" s="479">
        <f>-IF(FR$7&gt;=$E101,IF(FR$7&lt;=$F101,'Construction Interest'!$E$38,0),0)</f>
        <v>0</v>
      </c>
      <c r="FS101" s="479">
        <f>-IF(FS$7&gt;=$E101,IF(FS$7&lt;=$F101,'Construction Interest'!$E$38,0),0)</f>
        <v>0</v>
      </c>
      <c r="FT101" s="479">
        <f>-IF(FT$7&gt;=$E101,IF(FT$7&lt;=$F101,'Construction Interest'!$E$38,0),0)</f>
        <v>0</v>
      </c>
      <c r="FU101" s="479">
        <f>-IF(FU$7&gt;=$E101,IF(FU$7&lt;=$F101,'Construction Interest'!$E$38,0),0)</f>
        <v>0</v>
      </c>
      <c r="FV101" s="479">
        <f>-IF(FV$7&gt;=$E101,IF(FV$7&lt;=$F101,'Construction Interest'!$E$38,0),0)</f>
        <v>0</v>
      </c>
      <c r="FW101" s="479">
        <f>-IF(FW$7&gt;=$E101,IF(FW$7&lt;=$F101,'Construction Interest'!$E$38,0),0)</f>
        <v>0</v>
      </c>
      <c r="FX101" s="479">
        <f>-IF(FX$7&gt;=$E101,IF(FX$7&lt;=$F101,'Construction Interest'!$E$38,0),0)</f>
        <v>0</v>
      </c>
      <c r="FY101" s="479">
        <f>-IF(FY$7&gt;=$E101,IF(FY$7&lt;=$F101,'Construction Interest'!$E$38,0),0)</f>
        <v>0</v>
      </c>
      <c r="FZ101" s="479">
        <f>-IF(FZ$7&gt;=$E101,IF(FZ$7&lt;=$F101,'Construction Interest'!$E$38,0),0)</f>
        <v>0</v>
      </c>
      <c r="GA101" s="479">
        <f>-IF(GA$7&gt;=$E101,IF(GA$7&lt;=$F101,'Construction Interest'!$E$38,0),0)</f>
        <v>0</v>
      </c>
      <c r="GB101" s="479">
        <f>-IF(GB$7&gt;=$E101,IF(GB$7&lt;=$F101,'Construction Interest'!$E$38,0),0)</f>
        <v>0</v>
      </c>
      <c r="GC101" s="479">
        <f>-IF(GC$7&gt;=$E101,IF(GC$7&lt;=$F101,'Construction Interest'!$E$38,0),0)</f>
        <v>0</v>
      </c>
      <c r="GD101" s="479">
        <f>-IF(GD$7&gt;=$E101,IF(GD$7&lt;=$F101,'Construction Interest'!$E$38,0),0)</f>
        <v>0</v>
      </c>
      <c r="GE101" s="479">
        <f>-IF(GE$7&gt;=$E101,IF(GE$7&lt;=$F101,'Construction Interest'!$E$38,0),0)</f>
        <v>0</v>
      </c>
      <c r="GF101" s="479">
        <f>-IF(GF$7&gt;=$E101,IF(GF$7&lt;=$F101,'Construction Interest'!$E$38,0),0)</f>
        <v>0</v>
      </c>
      <c r="GG101" s="479">
        <f>-IF(GG$7&gt;=$E101,IF(GG$7&lt;=$F101,'Construction Interest'!$E$38,0),0)</f>
        <v>0</v>
      </c>
      <c r="GH101" s="479">
        <f>-IF(GH$7&gt;=$E101,IF(GH$7&lt;=$F101,'Construction Interest'!$E$38,0),0)</f>
        <v>0</v>
      </c>
      <c r="GI101" s="479">
        <f>-IF(GI$7&gt;=$E101,IF(GI$7&lt;=$F101,'Construction Interest'!$E$38,0),0)</f>
        <v>0</v>
      </c>
      <c r="GJ101" s="479">
        <f>-IF(GJ$7&gt;=$E101,IF(GJ$7&lt;=$F101,'Construction Interest'!$E$38,0),0)</f>
        <v>0</v>
      </c>
      <c r="GK101" s="479">
        <f>-IF(GK$7&gt;=$E101,IF(GK$7&lt;=$F101,'Construction Interest'!$E$38,0),0)</f>
        <v>0</v>
      </c>
      <c r="GL101" s="479">
        <f>-IF(GL$7&gt;=$E101,IF(GL$7&lt;=$F101,'Construction Interest'!$E$38,0),0)</f>
        <v>0</v>
      </c>
      <c r="GM101" s="479">
        <f>-IF(GM$7&gt;=$E101,IF(GM$7&lt;=$F101,'Construction Interest'!$E$38,0),0)</f>
        <v>0</v>
      </c>
      <c r="GN101" s="479">
        <f>-IF(GN$7&gt;=$E101,IF(GN$7&lt;=$F101,'Construction Interest'!$E$38,0),0)</f>
        <v>0</v>
      </c>
      <c r="GO101" s="479">
        <f>-IF(GO$7&gt;=$E101,IF(GO$7&lt;=$F101,'Construction Interest'!$E$38,0),0)</f>
        <v>0</v>
      </c>
      <c r="GP101" s="479">
        <f>-IF(GP$7&gt;=$E101,IF(GP$7&lt;=$F101,'Construction Interest'!$E$38,0),0)</f>
        <v>0</v>
      </c>
      <c r="GQ101" s="479">
        <f>-IF(GQ$7&gt;=$E101,IF(GQ$7&lt;=$F101,'Construction Interest'!$E$38,0),0)</f>
        <v>0</v>
      </c>
      <c r="GR101" s="479">
        <f>-IF(GR$7&gt;=$E101,IF(GR$7&lt;=$F101,'Construction Interest'!$E$38,0),0)</f>
        <v>0</v>
      </c>
      <c r="GS101" s="479">
        <f>-IF(GS$7&gt;=$E101,IF(GS$7&lt;=$F101,'Construction Interest'!$E$38,0),0)</f>
        <v>0</v>
      </c>
      <c r="GT101" s="479">
        <f>-IF(GT$7&gt;=$E101,IF(GT$7&lt;=$F101,'Construction Interest'!$E$38,0),0)</f>
        <v>0</v>
      </c>
      <c r="GU101" s="479">
        <f>-IF(GU$7&gt;=$E101,IF(GU$7&lt;=$F101,'Construction Interest'!$E$38,0),0)</f>
        <v>0</v>
      </c>
      <c r="GV101" s="479">
        <f>-IF(GV$7&gt;=$E101,IF(GV$7&lt;=$F101,'Construction Interest'!$E$38,0),0)</f>
        <v>0</v>
      </c>
      <c r="GW101" s="479">
        <f>-IF(GW$7&gt;=$E101,IF(GW$7&lt;=$F101,'Construction Interest'!$E$38,0),0)</f>
        <v>0</v>
      </c>
      <c r="GX101" s="479">
        <f>-IF(GX$7&gt;=$E101,IF(GX$7&lt;=$F101,'Construction Interest'!$E$38,0),0)</f>
        <v>0</v>
      </c>
      <c r="GY101" s="479">
        <f>-IF(GY$7&gt;=$E101,IF(GY$7&lt;=$F101,'Construction Interest'!$E$38,0),0)</f>
        <v>0</v>
      </c>
      <c r="GZ101" s="479">
        <f>-IF(GZ$7&gt;=$E101,IF(GZ$7&lt;=$F101,'Construction Interest'!$E$38,0),0)</f>
        <v>0</v>
      </c>
      <c r="HA101" s="479">
        <f>-IF(HA$7&gt;=$E101,IF(HA$7&lt;=$F101,'Construction Interest'!$E$38,0),0)</f>
        <v>0</v>
      </c>
      <c r="HB101" s="479">
        <f>-IF(HB$7&gt;=$E101,IF(HB$7&lt;=$F101,'Construction Interest'!$E$38,0),0)</f>
        <v>0</v>
      </c>
      <c r="HC101" s="479">
        <f>-IF(HC$7&gt;=$E101,IF(HC$7&lt;=$F101,'Construction Interest'!$E$38,0),0)</f>
        <v>0</v>
      </c>
      <c r="HD101" s="479">
        <f>-IF(HD$7&gt;=$E101,IF(HD$7&lt;=$F101,'Construction Interest'!$E$38,0),0)</f>
        <v>0</v>
      </c>
      <c r="HE101" s="479">
        <f>-IF(HE$7&gt;=$E101,IF(HE$7&lt;=$F101,'Construction Interest'!$E$38,0),0)</f>
        <v>0</v>
      </c>
      <c r="HF101" s="479">
        <f>-IF(HF$7&gt;=$E101,IF(HF$7&lt;=$F101,'Construction Interest'!$E$38,0),0)</f>
        <v>0</v>
      </c>
      <c r="HG101" s="479">
        <f>-IF(HG$7&gt;=$E101,IF(HG$7&lt;=$F101,'Construction Interest'!$E$38,0),0)</f>
        <v>0</v>
      </c>
      <c r="HH101" s="479">
        <f>-IF(HH$7&gt;=$E101,IF(HH$7&lt;=$F101,'Construction Interest'!$E$38,0),0)</f>
        <v>0</v>
      </c>
      <c r="HI101" s="479">
        <f>-IF(HI$7&gt;=$E101,IF(HI$7&lt;=$F101,'Construction Interest'!$E$38,0),0)</f>
        <v>0</v>
      </c>
      <c r="HJ101" s="479">
        <f>-IF(HJ$7&gt;=$E101,IF(HJ$7&lt;=$F101,'Construction Interest'!$E$38,0),0)</f>
        <v>0</v>
      </c>
      <c r="HK101" s="479">
        <f>-IF(HK$7&gt;=$E101,IF(HK$7&lt;=$F101,'Construction Interest'!$E$38,0),0)</f>
        <v>0</v>
      </c>
      <c r="HL101" s="479">
        <f>-IF(HL$7&gt;=$E101,IF(HL$7&lt;=$F101,'Construction Interest'!$E$38,0),0)</f>
        <v>0</v>
      </c>
      <c r="HM101" s="479">
        <f>-IF(HM$7&gt;=$E101,IF(HM$7&lt;=$F101,'Construction Interest'!$E$38,0),0)</f>
        <v>0</v>
      </c>
      <c r="HN101" s="479">
        <f>-IF(HN$7&gt;=$E101,IF(HN$7&lt;=$F101,'Construction Interest'!$E$38,0),0)</f>
        <v>0</v>
      </c>
      <c r="HO101" s="479">
        <f>-IF(HO$7&gt;=$E101,IF(HO$7&lt;=$F101,'Construction Interest'!$E$38,0),0)</f>
        <v>0</v>
      </c>
      <c r="HP101" s="479">
        <f>-IF(HP$7&gt;=$E101,IF(HP$7&lt;=$F101,'Construction Interest'!$E$38,0),0)</f>
        <v>0</v>
      </c>
      <c r="HQ101" s="479">
        <f>-IF(HQ$7&gt;=$E101,IF(HQ$7&lt;=$F101,'Construction Interest'!$E$38,0),0)</f>
        <v>0</v>
      </c>
      <c r="HR101" s="479">
        <f>-IF(HR$7&gt;=$E101,IF(HR$7&lt;=$F101,'Construction Interest'!$E$38,0),0)</f>
        <v>0</v>
      </c>
      <c r="HS101" s="479">
        <f>-IF(HS$7&gt;=$E101,IF(HS$7&lt;=$F101,'Construction Interest'!$E$38,0),0)</f>
        <v>0</v>
      </c>
      <c r="HT101" s="479">
        <f>-IF(HT$7&gt;=$E101,IF(HT$7&lt;=$F101,'Construction Interest'!$E$38,0),0)</f>
        <v>0</v>
      </c>
      <c r="HU101" s="479">
        <f>-IF(HU$7&gt;=$E101,IF(HU$7&lt;=$F101,'Construction Interest'!$E$38,0),0)</f>
        <v>0</v>
      </c>
      <c r="HV101" s="479">
        <f>-IF(HV$7&gt;=$E101,IF(HV$7&lt;=$F101,'Construction Interest'!$E$38,0),0)</f>
        <v>0</v>
      </c>
      <c r="HW101" s="479">
        <f>-IF(HW$7&gt;=$E101,IF(HW$7&lt;=$F101,'Construction Interest'!$E$38,0),0)</f>
        <v>0</v>
      </c>
      <c r="HX101" s="479">
        <f>-IF(HX$7&gt;=$E101,IF(HX$7&lt;=$F101,'Construction Interest'!$E$38,0),0)</f>
        <v>0</v>
      </c>
      <c r="HY101" s="479">
        <f>-IF(HY$7&gt;=$E101,IF(HY$7&lt;=$F101,'Construction Interest'!$E$38,0),0)</f>
        <v>0</v>
      </c>
      <c r="HZ101" s="479">
        <f>-IF(HZ$7&gt;=$E101,IF(HZ$7&lt;=$F101,'Construction Interest'!$E$38,0),0)</f>
        <v>0</v>
      </c>
      <c r="IA101" s="479">
        <f>-IF(IA$7&gt;=$E101,IF(IA$7&lt;=$F101,'Construction Interest'!$E$38,0),0)</f>
        <v>0</v>
      </c>
      <c r="IB101" s="479">
        <f>-IF(IB$7&gt;=$E101,IF(IB$7&lt;=$F101,'Construction Interest'!$E$38,0),0)</f>
        <v>0</v>
      </c>
      <c r="IC101" s="479">
        <f>-IF(IC$7&gt;=$E101,IF(IC$7&lt;=$F101,'Construction Interest'!$E$38,0),0)</f>
        <v>0</v>
      </c>
      <c r="ID101" s="479">
        <f>-IF(ID$7&gt;=$E101,IF(ID$7&lt;=$F101,'Construction Interest'!$E$38,0),0)</f>
        <v>0</v>
      </c>
      <c r="IE101" s="479">
        <f>-IF(IE$7&gt;=$E101,IF(IE$7&lt;=$F101,'Construction Interest'!$E$38,0),0)</f>
        <v>0</v>
      </c>
      <c r="IF101" s="479">
        <f>-IF(IF$7&gt;=$E101,IF(IF$7&lt;=$F101,'Construction Interest'!$E$38,0),0)</f>
        <v>0</v>
      </c>
      <c r="IG101" s="479">
        <f>-IF(IG$7&gt;=$E101,IF(IG$7&lt;=$F101,'Construction Interest'!$E$38,0),0)</f>
        <v>0</v>
      </c>
      <c r="IH101" s="479">
        <f>-IF(IH$7&gt;=$E101,IF(IH$7&lt;=$F101,'Construction Interest'!$E$38,0),0)</f>
        <v>0</v>
      </c>
      <c r="II101" s="479">
        <f>-IF(II$7&gt;=$E101,IF(II$7&lt;=$F101,'Construction Interest'!$E$38,0),0)</f>
        <v>0</v>
      </c>
      <c r="IJ101" s="479">
        <f>-IF(IJ$7&gt;=$E101,IF(IJ$7&lt;=$F101,'Construction Interest'!$E$38,0),0)</f>
        <v>0</v>
      </c>
      <c r="IK101" s="479">
        <f>-IF(IK$7&gt;=$E101,IF(IK$7&lt;=$F101,'Construction Interest'!$E$38,0),0)</f>
        <v>0</v>
      </c>
      <c r="IL101" s="479">
        <f>-IF(IL$7&gt;=$E101,IF(IL$7&lt;=$F101,'Construction Interest'!$E$38,0),0)</f>
        <v>0</v>
      </c>
      <c r="IM101" s="479">
        <f>-IF(IM$7&gt;=$E101,IF(IM$7&lt;=$F101,'Construction Interest'!$E$38,0),0)</f>
        <v>0</v>
      </c>
      <c r="IN101" s="479">
        <f>-IF(IN$7&gt;=$E101,IF(IN$7&lt;=$F101,'Construction Interest'!$E$38,0),0)</f>
        <v>0</v>
      </c>
      <c r="IO101" s="479">
        <f>-IF(IO$7&gt;=$E101,IF(IO$7&lt;=$F101,'Construction Interest'!$E$38,0),0)</f>
        <v>0</v>
      </c>
      <c r="IP101" s="479">
        <f>-IF(IP$7&gt;=$E101,IF(IP$7&lt;=$F101,'Construction Interest'!$E$38,0),0)</f>
        <v>0</v>
      </c>
      <c r="IQ101" s="479">
        <f>-IF(IQ$7&gt;=$E101,IF(IQ$7&lt;=$F101,'Construction Interest'!$E$38,0),0)</f>
        <v>0</v>
      </c>
      <c r="IR101" s="479">
        <f>-IF(IR$7&gt;=$E101,IF(IR$7&lt;=$F101,'Construction Interest'!$E$38,0),0)</f>
        <v>0</v>
      </c>
      <c r="IS101" s="479">
        <f>-IF(IS$7&gt;=$E101,IF(IS$7&lt;=$F101,'Construction Interest'!$E$38,0),0)</f>
        <v>0</v>
      </c>
      <c r="IT101" s="479">
        <f>-IF(IT$7&gt;=$E101,IF(IT$7&lt;=$F101,'Construction Interest'!$E$38,0),0)</f>
        <v>0</v>
      </c>
      <c r="IU101" s="479">
        <f>-IF(IU$7&gt;=$E101,IF(IU$7&lt;=$F101,'Construction Interest'!$E$38,0),0)</f>
        <v>0</v>
      </c>
      <c r="IV101" s="479">
        <f>-IF(IV$7&gt;=$E101,IF(IV$7&lt;=$F101,'Construction Interest'!$E$38,0),0)</f>
        <v>0</v>
      </c>
      <c r="IW101" s="479">
        <f>-IF(IW$7&gt;=$E101,IF(IW$7&lt;=$F101,'Construction Interest'!$E$38,0),0)</f>
        <v>0</v>
      </c>
      <c r="IX101" s="479">
        <f>-IF(IX$7&gt;=$E101,IF(IX$7&lt;=$F101,'Construction Interest'!$E$38,0),0)</f>
        <v>0</v>
      </c>
      <c r="IY101" s="479">
        <f>-IF(IY$7&gt;=$E101,IF(IY$7&lt;=$F101,'Construction Interest'!$E$38,0),0)</f>
        <v>0</v>
      </c>
      <c r="IZ101" s="479">
        <f>-IF(IZ$7&gt;=$E101,IF(IZ$7&lt;=$F101,'Construction Interest'!$E$38,0),0)</f>
        <v>0</v>
      </c>
      <c r="JA101" s="479">
        <f>-IF(JA$7&gt;=$E101,IF(JA$7&lt;=$F101,'Construction Interest'!$E$38,0),0)</f>
        <v>0</v>
      </c>
      <c r="JB101" s="479">
        <f>-IF(JB$7&gt;=$E101,IF(JB$7&lt;=$F101,'Construction Interest'!$E$38,0),0)</f>
        <v>0</v>
      </c>
      <c r="JC101" s="479">
        <f>-IF(JC$7&gt;=$E101,IF(JC$7&lt;=$F101,'Construction Interest'!$E$38,0),0)</f>
        <v>0</v>
      </c>
      <c r="JD101" s="479">
        <f>-IF(JD$7&gt;=$E101,IF(JD$7&lt;=$F101,'Construction Interest'!$E$38,0),0)</f>
        <v>0</v>
      </c>
      <c r="JE101" s="479">
        <f>-IF(JE$7&gt;=$E101,IF(JE$7&lt;=$F101,'Construction Interest'!$E$38,0),0)</f>
        <v>0</v>
      </c>
      <c r="JF101" s="479">
        <f>-IF(JF$7&gt;=$E101,IF(JF$7&lt;=$F101,'Construction Interest'!$E$38,0),0)</f>
        <v>0</v>
      </c>
      <c r="JG101" s="479">
        <f>-IF(JG$7&gt;=$E101,IF(JG$7&lt;=$F101,'Construction Interest'!$E$38,0),0)</f>
        <v>0</v>
      </c>
      <c r="JH101" s="479">
        <f>-IF(JH$7&gt;=$E101,IF(JH$7&lt;=$F101,'Construction Interest'!$E$38,0),0)</f>
        <v>0</v>
      </c>
      <c r="JI101" s="479">
        <f>-IF(JI$7&gt;=$E101,IF(JI$7&lt;=$F101,'Construction Interest'!$E$38,0),0)</f>
        <v>0</v>
      </c>
      <c r="JJ101" s="479">
        <f>-IF(JJ$7&gt;=$E101,IF(JJ$7&lt;=$F101,'Construction Interest'!$E$38,0),0)</f>
        <v>0</v>
      </c>
      <c r="JK101" s="479">
        <f>-IF(JK$7&gt;=$E101,IF(JK$7&lt;=$F101,'Construction Interest'!$E$38,0),0)</f>
        <v>0</v>
      </c>
      <c r="JL101" s="479">
        <f>-IF(JL$7&gt;=$E101,IF(JL$7&lt;=$F101,'Construction Interest'!$E$38,0),0)</f>
        <v>0</v>
      </c>
      <c r="JM101" s="479">
        <f>-IF(JM$7&gt;=$E101,IF(JM$7&lt;=$F101,'Construction Interest'!$E$38,0),0)</f>
        <v>0</v>
      </c>
      <c r="JN101" s="479">
        <f>-IF(JN$7&gt;=$E101,IF(JN$7&lt;=$F101,'Construction Interest'!$E$38,0),0)</f>
        <v>0</v>
      </c>
      <c r="JO101" s="479">
        <f>-IF(JO$7&gt;=$E101,IF(JO$7&lt;=$F101,'Construction Interest'!$E$38,0),0)</f>
        <v>0</v>
      </c>
      <c r="JP101" s="479">
        <f>-IF(JP$7&gt;=$E101,IF(JP$7&lt;=$F101,'Construction Interest'!$E$38,0),0)</f>
        <v>0</v>
      </c>
      <c r="JQ101" s="479">
        <f>-IF(JQ$7&gt;=$E101,IF(JQ$7&lt;=$F101,'Construction Interest'!$E$38,0),0)</f>
        <v>0</v>
      </c>
      <c r="JR101" s="479">
        <f>-IF(JR$7&gt;=$E101,IF(JR$7&lt;=$F101,'Construction Interest'!$E$38,0),0)</f>
        <v>0</v>
      </c>
      <c r="JS101" s="479">
        <f>-IF(JS$7&gt;=$E101,IF(JS$7&lt;=$F101,'Construction Interest'!$E$38,0),0)</f>
        <v>0</v>
      </c>
      <c r="JT101" s="479">
        <f>-IF(JT$7&gt;=$E101,IF(JT$7&lt;=$F101,'Construction Interest'!$E$38,0),0)</f>
        <v>0</v>
      </c>
      <c r="JU101" s="479">
        <f>-IF(JU$7&gt;=$E101,IF(JU$7&lt;=$F101,'Construction Interest'!$E$38,0),0)</f>
        <v>0</v>
      </c>
      <c r="JV101" s="479">
        <f>-IF(JV$7&gt;=$E101,IF(JV$7&lt;=$F101,'Construction Interest'!$E$38,0),0)</f>
        <v>0</v>
      </c>
      <c r="JW101" s="479">
        <f>-IF(JW$7&gt;=$E101,IF(JW$7&lt;=$F101,'Construction Interest'!$E$38,0),0)</f>
        <v>0</v>
      </c>
      <c r="JX101" s="479">
        <f>-IF(JX$7&gt;=$E101,IF(JX$7&lt;=$F101,'Construction Interest'!$E$38,0),0)</f>
        <v>0</v>
      </c>
      <c r="JY101" s="479">
        <f>-IF(JY$7&gt;=$E101,IF(JY$7&lt;=$F101,'Construction Interest'!$E$38,0),0)</f>
        <v>0</v>
      </c>
      <c r="JZ101" s="479">
        <f>-IF(JZ$7&gt;=$E101,IF(JZ$7&lt;=$F101,'Construction Interest'!$E$38,0),0)</f>
        <v>0</v>
      </c>
      <c r="KA101" s="479">
        <f>-IF(KA$7&gt;=$E101,IF(KA$7&lt;=$F101,'Construction Interest'!$E$38,0),0)</f>
        <v>0</v>
      </c>
      <c r="KB101" s="479">
        <f>-IF(KB$7&gt;=$E101,IF(KB$7&lt;=$F101,'Construction Interest'!$E$38,0),0)</f>
        <v>0</v>
      </c>
      <c r="KC101" s="479">
        <f>-IF(KC$7&gt;=$E101,IF(KC$7&lt;=$F101,'Construction Interest'!$E$38,0),0)</f>
        <v>0</v>
      </c>
      <c r="KD101" s="479">
        <f>-IF(KD$7&gt;=$E101,IF(KD$7&lt;=$F101,'Construction Interest'!$E$38,0),0)</f>
        <v>0</v>
      </c>
      <c r="KE101" s="479">
        <f>-IF(KE$7&gt;=$E101,IF(KE$7&lt;=$F101,'Construction Interest'!$E$38,0),0)</f>
        <v>0</v>
      </c>
      <c r="KF101" s="479">
        <f>-IF(KF$7&gt;=$E101,IF(KF$7&lt;=$F101,'Construction Interest'!$E$38,0),0)</f>
        <v>0</v>
      </c>
      <c r="KG101" s="479">
        <f>-IF(KG$7&gt;=$E101,IF(KG$7&lt;=$F101,'Construction Interest'!$E$38,0),0)</f>
        <v>0</v>
      </c>
      <c r="KH101" s="479">
        <f>-IF(KH$7&gt;=$E101,IF(KH$7&lt;=$F101,'Construction Interest'!$E$38,0),0)</f>
        <v>0</v>
      </c>
      <c r="KI101" s="479">
        <f>-IF(KI$7&gt;=$E101,IF(KI$7&lt;=$F101,'Construction Interest'!$E$38,0),0)</f>
        <v>0</v>
      </c>
      <c r="KJ101" s="479">
        <f>-IF(KJ$7&gt;=$E101,IF(KJ$7&lt;=$F101,'Construction Interest'!$E$38,0),0)</f>
        <v>0</v>
      </c>
      <c r="KK101" s="479">
        <f>-IF(KK$7&gt;=$E101,IF(KK$7&lt;=$F101,'Construction Interest'!$E$38,0),0)</f>
        <v>0</v>
      </c>
      <c r="KL101" s="479">
        <f>-IF(KL$7&gt;=$E101,IF(KL$7&lt;=$F101,'Construction Interest'!$E$38,0),0)</f>
        <v>0</v>
      </c>
      <c r="KM101" s="479">
        <f>-IF(KM$7&gt;=$E101,IF(KM$7&lt;=$F101,'Construction Interest'!$E$38,0),0)</f>
        <v>0</v>
      </c>
      <c r="KN101" s="479">
        <f>-IF(KN$7&gt;=$E101,IF(KN$7&lt;=$F101,'Construction Interest'!$E$38,0),0)</f>
        <v>0</v>
      </c>
      <c r="KO101" s="479">
        <f>-IF(KO$7&gt;=$E101,IF(KO$7&lt;=$F101,'Construction Interest'!$E$38,0),0)</f>
        <v>0</v>
      </c>
      <c r="KP101" s="479">
        <f>-IF(KP$7&gt;=$E101,IF(KP$7&lt;=$F101,'Construction Interest'!$E$38,0),0)</f>
        <v>0</v>
      </c>
      <c r="KQ101" s="479">
        <f>-IF(KQ$7&gt;=$E101,IF(KQ$7&lt;=$F101,'Construction Interest'!$E$38,0),0)</f>
        <v>0</v>
      </c>
      <c r="KR101" s="479">
        <f>-IF(KR$7&gt;=$E101,IF(KR$7&lt;=$F101,'Construction Interest'!$E$38,0),0)</f>
        <v>0</v>
      </c>
      <c r="KS101" s="479">
        <f>-IF(KS$7&gt;=$E101,IF(KS$7&lt;=$F101,'Construction Interest'!$E$38,0),0)</f>
        <v>0</v>
      </c>
      <c r="KT101" s="479">
        <f>-IF(KT$7&gt;=$E101,IF(KT$7&lt;=$F101,'Construction Interest'!$E$38,0),0)</f>
        <v>0</v>
      </c>
      <c r="KU101" s="479">
        <f>-IF(KU$7&gt;=$E101,IF(KU$7&lt;=$F101,'Construction Interest'!$E$38,0),0)</f>
        <v>0</v>
      </c>
      <c r="KV101" s="479">
        <f>-IF(KV$7&gt;=$E101,IF(KV$7&lt;=$F101,'Construction Interest'!$E$38,0),0)</f>
        <v>0</v>
      </c>
      <c r="KW101" s="479">
        <f>-IF(KW$7&gt;=$E101,IF(KW$7&lt;=$F101,'Construction Interest'!$E$38,0),0)</f>
        <v>0</v>
      </c>
      <c r="KX101" s="479">
        <f>-IF(KX$7&gt;=$E101,IF(KX$7&lt;=$F101,'Construction Interest'!$E$38,0),0)</f>
        <v>0</v>
      </c>
      <c r="KY101" s="479">
        <f>-IF(KY$7&gt;=$E101,IF(KY$7&lt;=$F101,'Construction Interest'!$E$38,0),0)</f>
        <v>0</v>
      </c>
      <c r="KZ101" s="479">
        <f>-IF(KZ$7&gt;=$E101,IF(KZ$7&lt;=$F101,'Construction Interest'!$E$38,0),0)</f>
        <v>0</v>
      </c>
      <c r="LA101" s="479">
        <f>-IF(LA$7&gt;=$E101,IF(LA$7&lt;=$F101,'Construction Interest'!$E$38,0),0)</f>
        <v>0</v>
      </c>
      <c r="LB101" s="479">
        <f>-IF(LB$7&gt;=$E101,IF(LB$7&lt;=$F101,'Construction Interest'!$E$38,0),0)</f>
        <v>0</v>
      </c>
      <c r="LC101" s="479">
        <f>-IF(LC$7&gt;=$E101,IF(LC$7&lt;=$F101,'Construction Interest'!$E$38,0),0)</f>
        <v>0</v>
      </c>
      <c r="LD101" s="479">
        <f>-IF(LD$7&gt;=$E101,IF(LD$7&lt;=$F101,'Construction Interest'!$E$38,0),0)</f>
        <v>0</v>
      </c>
      <c r="LE101" s="479">
        <f>-IF(LE$7&gt;=$E101,IF(LE$7&lt;=$F101,'Construction Interest'!$E$38,0),0)</f>
        <v>0</v>
      </c>
      <c r="LF101" s="479">
        <f>-IF(LF$7&gt;=$E101,IF(LF$7&lt;=$F101,'Construction Interest'!$E$38,0),0)</f>
        <v>0</v>
      </c>
      <c r="LG101" s="479">
        <f>-IF(LG$7&gt;=$E101,IF(LG$7&lt;=$F101,'Construction Interest'!$E$38,0),0)</f>
        <v>0</v>
      </c>
      <c r="LH101" s="479">
        <f>-IF(LH$7&gt;=$E101,IF(LH$7&lt;=$F101,'Construction Interest'!$E$38,0),0)</f>
        <v>0</v>
      </c>
      <c r="LI101" s="479">
        <f>-IF(LI$7&gt;=$E101,IF(LI$7&lt;=$F101,'Construction Interest'!$E$38,0),0)</f>
        <v>0</v>
      </c>
      <c r="LJ101" s="479">
        <f>-IF(LJ$7&gt;=$E101,IF(LJ$7&lt;=$F101,'Construction Interest'!$E$38,0),0)</f>
        <v>0</v>
      </c>
      <c r="LK101" s="479">
        <f>-IF(LK$7&gt;=$E101,IF(LK$7&lt;=$F101,'Construction Interest'!$E$38,0),0)</f>
        <v>0</v>
      </c>
      <c r="LL101" s="479">
        <f>-IF(LL$7&gt;=$E101,IF(LL$7&lt;=$F101,'Construction Interest'!$E$38,0),0)</f>
        <v>0</v>
      </c>
      <c r="LM101" s="479">
        <f>-IF(LM$7&gt;=$E101,IF(LM$7&lt;=$F101,'Construction Interest'!$E$38,0),0)</f>
        <v>0</v>
      </c>
      <c r="LN101" s="479">
        <f>-IF(LN$7&gt;=$E101,IF(LN$7&lt;=$F101,'Construction Interest'!$E$38,0),0)</f>
        <v>0</v>
      </c>
      <c r="LO101" s="479">
        <f>-IF(LO$7&gt;=$E101,IF(LO$7&lt;=$F101,'Construction Interest'!$E$38,0),0)</f>
        <v>0</v>
      </c>
      <c r="LP101" s="479">
        <f>-IF(LP$7&gt;=$E101,IF(LP$7&lt;=$F101,'Construction Interest'!$E$38,0),0)</f>
        <v>0</v>
      </c>
      <c r="LQ101" s="479">
        <f>-IF(LQ$7&gt;=$E101,IF(LQ$7&lt;=$F101,'Construction Interest'!$E$38,0),0)</f>
        <v>0</v>
      </c>
      <c r="LR101" s="479">
        <f>-IF(LR$7&gt;=$E101,IF(LR$7&lt;=$F101,'Construction Interest'!$E$38,0),0)</f>
        <v>0</v>
      </c>
      <c r="LS101" s="479">
        <f>-IF(LS$7&gt;=$E101,IF(LS$7&lt;=$F101,'Construction Interest'!$E$38,0),0)</f>
        <v>0</v>
      </c>
      <c r="LT101" s="479">
        <f>-IF(LT$7&gt;=$E101,IF(LT$7&lt;=$F101,'Construction Interest'!$E$38,0),0)</f>
        <v>0</v>
      </c>
      <c r="LU101" s="479">
        <f>-IF(LU$7&gt;=$E101,IF(LU$7&lt;=$F101,'Construction Interest'!$E$38,0),0)</f>
        <v>0</v>
      </c>
      <c r="LV101" s="479">
        <f>-IF(LV$7&gt;=$E101,IF(LV$7&lt;=$F101,'Construction Interest'!$E$38,0),0)</f>
        <v>0</v>
      </c>
      <c r="LW101" s="479">
        <f>-IF(LW$7&gt;=$E101,IF(LW$7&lt;=$F101,'Construction Interest'!$E$38,0),0)</f>
        <v>0</v>
      </c>
      <c r="LX101" s="479">
        <f>-IF(LX$7&gt;=$E101,IF(LX$7&lt;=$F101,'Construction Interest'!$E$38,0),0)</f>
        <v>0</v>
      </c>
      <c r="LY101" s="479">
        <f>-IF(LY$7&gt;=$E101,IF(LY$7&lt;=$F101,'Construction Interest'!$E$38,0),0)</f>
        <v>0</v>
      </c>
      <c r="LZ101" s="479">
        <f>-IF(LZ$7&gt;=$E101,IF(LZ$7&lt;=$F101,'Construction Interest'!$E$38,0),0)</f>
        <v>0</v>
      </c>
      <c r="MA101" s="479">
        <f>-IF(MA$7&gt;=$E101,IF(MA$7&lt;=$F101,'Construction Interest'!$E$38,0),0)</f>
        <v>0</v>
      </c>
      <c r="MB101" s="479">
        <f>-IF(MB$7&gt;=$E101,IF(MB$7&lt;=$F101,'Construction Interest'!$E$38,0),0)</f>
        <v>0</v>
      </c>
      <c r="MC101" s="479">
        <f>-IF(MC$7&gt;=$E101,IF(MC$7&lt;=$F101,'Construction Interest'!$E$38,0),0)</f>
        <v>0</v>
      </c>
      <c r="MD101" s="479">
        <f>-IF(MD$7&gt;=$E101,IF(MD$7&lt;=$F101,'Construction Interest'!$E$38,0),0)</f>
        <v>0</v>
      </c>
      <c r="ME101" s="479">
        <f>-IF(ME$7&gt;=$E101,IF(ME$7&lt;=$F101,'Construction Interest'!$E$38,0),0)</f>
        <v>0</v>
      </c>
      <c r="MF101" s="479">
        <f>-IF(MF$7&gt;=$E101,IF(MF$7&lt;=$F101,'Construction Interest'!$E$38,0),0)</f>
        <v>0</v>
      </c>
      <c r="MG101" s="479">
        <f>-IF(MG$7&gt;=$E101,IF(MG$7&lt;=$F101,'Construction Interest'!$E$38,0),0)</f>
        <v>0</v>
      </c>
      <c r="MH101" s="479">
        <f>-IF(MH$7&gt;=$E101,IF(MH$7&lt;=$F101,'Construction Interest'!$E$38,0),0)</f>
        <v>0</v>
      </c>
      <c r="MI101" s="479">
        <f>-IF(MI$7&gt;=$E101,IF(MI$7&lt;=$F101,'Construction Interest'!$E$38,0),0)</f>
        <v>0</v>
      </c>
      <c r="MJ101" s="479">
        <f>-IF(MJ$7&gt;=$E101,IF(MJ$7&lt;=$F101,'Construction Interest'!$E$38,0),0)</f>
        <v>0</v>
      </c>
      <c r="MK101" s="479">
        <f>-IF(MK$7&gt;=$E101,IF(MK$7&lt;=$F101,'Construction Interest'!$E$38,0),0)</f>
        <v>0</v>
      </c>
      <c r="ML101" s="479">
        <f>-IF(ML$7&gt;=$E101,IF(ML$7&lt;=$F101,'Construction Interest'!$E$38,0),0)</f>
        <v>0</v>
      </c>
      <c r="MM101" s="479">
        <f>-IF(MM$7&gt;=$E101,IF(MM$7&lt;=$F101,'Construction Interest'!$E$38,0),0)</f>
        <v>0</v>
      </c>
      <c r="MN101" s="479">
        <f>-IF(MN$7&gt;=$E101,IF(MN$7&lt;=$F101,'Construction Interest'!$E$38,0),0)</f>
        <v>0</v>
      </c>
      <c r="MO101" s="479">
        <f>-IF(MO$7&gt;=$E101,IF(MO$7&lt;=$F101,'Construction Interest'!$E$38,0),0)</f>
        <v>0</v>
      </c>
      <c r="MP101" s="479">
        <f>-IF(MP$7&gt;=$E101,IF(MP$7&lt;=$F101,'Construction Interest'!$E$38,0),0)</f>
        <v>0</v>
      </c>
      <c r="MQ101" s="479">
        <f>-IF(MQ$7&gt;=$E101,IF(MQ$7&lt;=$F101,'Construction Interest'!$E$38,0),0)</f>
        <v>0</v>
      </c>
      <c r="MR101" s="479">
        <f>-IF(MR$7&gt;=$E101,IF(MR$7&lt;=$F101,'Construction Interest'!$E$38,0),0)</f>
        <v>0</v>
      </c>
      <c r="MS101" s="479">
        <f>-IF(MS$7&gt;=$E101,IF(MS$7&lt;=$F101,'Construction Interest'!$E$38,0),0)</f>
        <v>0</v>
      </c>
      <c r="MT101" s="479">
        <f>-IF(MT$7&gt;=$E101,IF(MT$7&lt;=$F101,'Construction Interest'!$E$38,0),0)</f>
        <v>0</v>
      </c>
      <c r="MU101" s="479">
        <f>-IF(MU$7&gt;=$E101,IF(MU$7&lt;=$F101,'Construction Interest'!$E$38,0),0)</f>
        <v>0</v>
      </c>
      <c r="MV101" s="479">
        <f>-IF(MV$7&gt;=$E101,IF(MV$7&lt;=$F101,'Construction Interest'!$E$38,0),0)</f>
        <v>0</v>
      </c>
      <c r="MW101" s="479">
        <f>-IF(MW$7&gt;=$E101,IF(MW$7&lt;=$F101,'Construction Interest'!$E$38,0),0)</f>
        <v>0</v>
      </c>
      <c r="MX101" s="479">
        <f>-IF(MX$7&gt;=$E101,IF(MX$7&lt;=$F101,'Construction Interest'!$E$38,0),0)</f>
        <v>0</v>
      </c>
      <c r="MY101" s="479">
        <f>-IF(MY$7&gt;=$E101,IF(MY$7&lt;=$F101,'Construction Interest'!$E$38,0),0)</f>
        <v>0</v>
      </c>
      <c r="MZ101" s="479">
        <f>-IF(MZ$7&gt;=$E101,IF(MZ$7&lt;=$F101,'Construction Interest'!$E$38,0),0)</f>
        <v>0</v>
      </c>
      <c r="NA101" s="479">
        <f>-IF(NA$7&gt;=$E101,IF(NA$7&lt;=$F101,'Construction Interest'!$E$38,0),0)</f>
        <v>0</v>
      </c>
      <c r="NB101" s="479">
        <f>-IF(NB$7&gt;=$E101,IF(NB$7&lt;=$F101,'Construction Interest'!$E$38,0),0)</f>
        <v>0</v>
      </c>
      <c r="NC101" s="479">
        <f>-IF(NC$7&gt;=$E101,IF(NC$7&lt;=$F101,'Construction Interest'!$E$38,0),0)</f>
        <v>0</v>
      </c>
      <c r="ND101" s="479">
        <f>-IF(ND$7&gt;=$E101,IF(ND$7&lt;=$F101,'Construction Interest'!$E$38,0),0)</f>
        <v>0</v>
      </c>
      <c r="NE101" s="479">
        <f>-IF(NE$7&gt;=$E101,IF(NE$7&lt;=$F101,'Construction Interest'!$E$38,0),0)</f>
        <v>0</v>
      </c>
      <c r="NF101" s="479">
        <f>-IF(NF$7&gt;=$E101,IF(NF$7&lt;=$F101,'Construction Interest'!$E$38,0),0)</f>
        <v>0</v>
      </c>
      <c r="NG101" s="479">
        <f>-IF(NG$7&gt;=$E101,IF(NG$7&lt;=$F101,'Construction Interest'!$E$38,0),0)</f>
        <v>0</v>
      </c>
      <c r="NH101" s="479">
        <f>-IF(NH$7&gt;=$E101,IF(NH$7&lt;=$F101,'Construction Interest'!$E$38,0),0)</f>
        <v>0</v>
      </c>
      <c r="NI101" s="479">
        <f>-IF(NI$7&gt;=$E101,IF(NI$7&lt;=$F101,'Construction Interest'!$E$38,0),0)</f>
        <v>0</v>
      </c>
      <c r="NJ101" s="479">
        <f>-IF(NJ$7&gt;=$E101,IF(NJ$7&lt;=$F101,'Construction Interest'!$E$38,0),0)</f>
        <v>0</v>
      </c>
      <c r="NK101" s="479">
        <f>-IF(NK$7&gt;=$E101,IF(NK$7&lt;=$F101,'Construction Interest'!$E$38,0),0)</f>
        <v>0</v>
      </c>
      <c r="NL101" s="479">
        <f>-IF(NL$7&gt;=$E101,IF(NL$7&lt;=$F101,'Construction Interest'!$E$38,0),0)</f>
        <v>0</v>
      </c>
      <c r="NM101" s="479">
        <f>-IF(NM$7&gt;=$E101,IF(NM$7&lt;=$F101,'Construction Interest'!$E$38,0),0)</f>
        <v>0</v>
      </c>
      <c r="NN101" s="479">
        <f>-IF(NN$7&gt;=$E101,IF(NN$7&lt;=$F101,'Construction Interest'!$E$38,0),0)</f>
        <v>0</v>
      </c>
      <c r="NO101" s="479">
        <f>-IF(NO$7&gt;=$E101,IF(NO$7&lt;=$F101,'Construction Interest'!$E$38,0),0)</f>
        <v>0</v>
      </c>
      <c r="NP101" s="479">
        <f>-IF(NP$7&gt;=$E101,IF(NP$7&lt;=$F101,'Construction Interest'!$E$38,0),0)</f>
        <v>0</v>
      </c>
      <c r="NQ101" s="479">
        <f>-IF(NQ$7&gt;=$E101,IF(NQ$7&lt;=$F101,'Construction Interest'!$E$38,0),0)</f>
        <v>0</v>
      </c>
      <c r="NR101" s="479">
        <f>-IF(NR$7&gt;=$E101,IF(NR$7&lt;=$F101,'Construction Interest'!$E$38,0),0)</f>
        <v>0</v>
      </c>
      <c r="NS101" s="479">
        <f>-IF(NS$7&gt;=$E101,IF(NS$7&lt;=$F101,'Construction Interest'!$E$38,0),0)</f>
        <v>0</v>
      </c>
      <c r="NT101" s="479">
        <f>-IF(NT$7&gt;=$E101,IF(NT$7&lt;=$F101,'Construction Interest'!$E$38,0),0)</f>
        <v>0</v>
      </c>
      <c r="NU101" s="479">
        <f>-IF(NU$7&gt;=$E101,IF(NU$7&lt;=$F101,'Construction Interest'!$E$38,0),0)</f>
        <v>0</v>
      </c>
      <c r="NV101" s="479">
        <f>-IF(NV$7&gt;=$E101,IF(NV$7&lt;=$F101,'Construction Interest'!$E$38,0),0)</f>
        <v>0</v>
      </c>
      <c r="NW101" s="479">
        <f>-IF(NW$7&gt;=$E101,IF(NW$7&lt;=$F101,'Construction Interest'!$E$38,0),0)</f>
        <v>0</v>
      </c>
      <c r="NX101" s="479">
        <f>-IF(NX$7&gt;=$E101,IF(NX$7&lt;=$F101,'Construction Interest'!$E$38,0),0)</f>
        <v>0</v>
      </c>
      <c r="NY101" s="479">
        <f>-IF(NY$7&gt;=$E101,IF(NY$7&lt;=$F101,'Construction Interest'!$E$38,0),0)</f>
        <v>0</v>
      </c>
      <c r="NZ101" s="479">
        <f>-IF(NZ$7&gt;=$E101,IF(NZ$7&lt;=$F101,'Construction Interest'!$E$38,0),0)</f>
        <v>0</v>
      </c>
      <c r="OA101" s="479">
        <f>-IF(OA$7&gt;=$E101,IF(OA$7&lt;=$F101,'Construction Interest'!$E$38,0),0)</f>
        <v>0</v>
      </c>
      <c r="OB101" s="479">
        <f>-IF(OB$7&gt;=$E101,IF(OB$7&lt;=$F101,'Construction Interest'!$E$38,0),0)</f>
        <v>0</v>
      </c>
      <c r="OC101" s="479">
        <f>-IF(OC$7&gt;=$E101,IF(OC$7&lt;=$F101,'Construction Interest'!$E$38,0),0)</f>
        <v>0</v>
      </c>
      <c r="OD101" s="479">
        <f>-IF(OD$7&gt;=$E101,IF(OD$7&lt;=$F101,'Construction Interest'!$E$38,0),0)</f>
        <v>0</v>
      </c>
      <c r="OE101" s="479">
        <f>-IF(OE$7&gt;=$E101,IF(OE$7&lt;=$F101,'Construction Interest'!$E$38,0),0)</f>
        <v>0</v>
      </c>
      <c r="OF101" s="479">
        <f>-IF(OF$7&gt;=$E101,IF(OF$7&lt;=$F101,'Construction Interest'!$E$38,0),0)</f>
        <v>0</v>
      </c>
      <c r="OG101" s="479">
        <f>-IF(OG$7&gt;=$E101,IF(OG$7&lt;=$F101,'Construction Interest'!$E$38,0),0)</f>
        <v>0</v>
      </c>
      <c r="OH101" s="479">
        <f>-IF(OH$7&gt;=$E101,IF(OH$7&lt;=$F101,'Construction Interest'!$E$38,0),0)</f>
        <v>0</v>
      </c>
      <c r="OI101" s="479">
        <f>-IF(OI$7&gt;=$E101,IF(OI$7&lt;=$F101,'Construction Interest'!$E$38,0),0)</f>
        <v>0</v>
      </c>
      <c r="OJ101" s="479">
        <f>-IF(OJ$7&gt;=$E101,IF(OJ$7&lt;=$F101,'Construction Interest'!$E$38,0),0)</f>
        <v>0</v>
      </c>
      <c r="OK101" s="479">
        <f>-IF(OK$7&gt;=$E101,IF(OK$7&lt;=$F101,'Construction Interest'!$E$38,0),0)</f>
        <v>0</v>
      </c>
      <c r="OL101" s="479">
        <f>-IF(OL$7&gt;=$E101,IF(OL$7&lt;=$F101,'Construction Interest'!$E$38,0),0)</f>
        <v>0</v>
      </c>
      <c r="OM101" s="479">
        <f>-IF(OM$7&gt;=$E101,IF(OM$7&lt;=$F101,'Construction Interest'!$E$38,0),0)</f>
        <v>0</v>
      </c>
      <c r="ON101" s="479">
        <f>-IF(ON$7&gt;=$E101,IF(ON$7&lt;=$F101,'Construction Interest'!$E$38,0),0)</f>
        <v>0</v>
      </c>
      <c r="OO101" s="528">
        <f>-IF(OO$7&gt;=$E101,IF(OO$7&lt;=$F101,'Construction Interest'!$E$38,0),0)</f>
        <v>0</v>
      </c>
    </row>
    <row r="102" spans="2:405">
      <c r="B102" s="62" t="s">
        <v>442</v>
      </c>
      <c r="C102" s="450">
        <f>Mortgage!C36</f>
        <v>5.7500000000000002E-2</v>
      </c>
      <c r="D102" s="171"/>
      <c r="E102" s="507">
        <f>Assumptions!C13</f>
        <v>47330</v>
      </c>
      <c r="F102" s="507">
        <f>EOMONTH(E102,Assumptions!$C$14-1)</f>
        <v>58256</v>
      </c>
      <c r="G102" s="97">
        <f t="shared" si="555"/>
        <v>360</v>
      </c>
      <c r="J102" s="479">
        <f>-IF(J$7&gt;=$E102,IF(J$7&lt;=$F102,($C$102*Mortgage!$C$48)/12,0),0)</f>
        <v>0</v>
      </c>
      <c r="K102" s="479">
        <f>-IF(K$7&gt;=$E102,IF(K$7&lt;=$F102,($C$102*Mortgage!$C$48)/12,0),0)</f>
        <v>0</v>
      </c>
      <c r="L102" s="479">
        <f>-IF(L$7&gt;=$E102,IF(L$7&lt;=$F102,($C$102*Mortgage!$C$48)/12,0),0)</f>
        <v>0</v>
      </c>
      <c r="M102" s="479">
        <f>-IF(M$7&gt;=$E102,IF(M$7&lt;=$F102,($C$102*Mortgage!$C$48)/12,0),0)</f>
        <v>0</v>
      </c>
      <c r="N102" s="479">
        <f>-IF(N$7&gt;=$E102,IF(N$7&lt;=$F102,($C$102*Mortgage!$C$48)/12,0),0)</f>
        <v>0</v>
      </c>
      <c r="O102" s="479">
        <f>-IF(O$7&gt;=$E102,IF(O$7&lt;=$F102,($C$102*Mortgage!$C$48)/12,0),0)</f>
        <v>0</v>
      </c>
      <c r="P102" s="479">
        <f>-IF(P$7&gt;=$E102,IF(P$7&lt;=$F102,($C$102*Mortgage!$C$48)/12,0),0)</f>
        <v>0</v>
      </c>
      <c r="Q102" s="479">
        <f>-IF(Q$7&gt;=$E102,IF(Q$7&lt;=$F102,($C$102*Mortgage!$C$48)/12,0),0)</f>
        <v>0</v>
      </c>
      <c r="R102" s="479">
        <f>-IF(R$7&gt;=$E102,IF(R$7&lt;=$F102,($C$102*Mortgage!$C$48)/12,0),0)</f>
        <v>0</v>
      </c>
      <c r="S102" s="479">
        <f>-IF(S$7&gt;=$E102,IF(S$7&lt;=$F102,($C$102*Mortgage!$C$48)/12,0),0)</f>
        <v>0</v>
      </c>
      <c r="T102" s="479">
        <f>-IF(T$7&gt;=$E102,IF(T$7&lt;=$F102,($C$102*Mortgage!$C$48)/12,0),0)</f>
        <v>0</v>
      </c>
      <c r="U102" s="479">
        <f>-IF(U$7&gt;=$E102,IF(U$7&lt;=$F102,($C$102*Mortgage!$C$48)/12,0),0)</f>
        <v>0</v>
      </c>
      <c r="V102" s="479">
        <f>-IF(V$7&gt;=$E102,IF(V$7&lt;=$F102,($C$102*Mortgage!$C$48)/12,0),0)</f>
        <v>0</v>
      </c>
      <c r="W102" s="479">
        <f>-IF(W$7&gt;=$E102,IF(W$7&lt;=$F102,($C$102*Mortgage!$C$48)/12,0),0)</f>
        <v>0</v>
      </c>
      <c r="X102" s="479">
        <f>-IF(X$7&gt;=$E102,IF(X$7&lt;=$F102,($C$102*Mortgage!$C$48)/12,0),0)</f>
        <v>0</v>
      </c>
      <c r="Y102" s="479">
        <f>-IF(Y$7&gt;=$E102,IF(Y$7&lt;=$F102,($C$102*Mortgage!$C$48)/12,0),0)</f>
        <v>0</v>
      </c>
      <c r="Z102" s="479">
        <f>-IF(Z$7&gt;=$E102,IF(Z$7&lt;=$F102,($C$102*Mortgage!$C$48)/12,0),0)</f>
        <v>0</v>
      </c>
      <c r="AA102" s="479">
        <f>-IF(AA$7&gt;=$E102,IF(AA$7&lt;=$F102,($C$102*Mortgage!$C$48)/12,0),0)</f>
        <v>0</v>
      </c>
      <c r="AB102" s="479">
        <f>-IF(AB$7&gt;=$E102,IF(AB$7&lt;=$F102,($C$102*Mortgage!$C$48)/12,0),0)</f>
        <v>0</v>
      </c>
      <c r="AC102" s="479">
        <f>-IF(AC$7&gt;=$E102,IF(AC$7&lt;=$F102,($C$102*Mortgage!$C$48)/12,0),0)</f>
        <v>0</v>
      </c>
      <c r="AD102" s="479">
        <f>-IF(AD$7&gt;=$E102,IF(AD$7&lt;=$F102,($C$102*Mortgage!$C$48)/12,0),0)</f>
        <v>0</v>
      </c>
      <c r="AE102" s="479">
        <f>-IF(AE$7&gt;=$E102,IF(AE$7&lt;=$F102,($C$102*Mortgage!$C$48)/12,0),0)</f>
        <v>0</v>
      </c>
      <c r="AF102" s="479">
        <f>-IF(AF$7&gt;=$E102,IF(AF$7&lt;=$F102,($C$102*Mortgage!$C$48)/12,0),0)</f>
        <v>0</v>
      </c>
      <c r="AG102" s="479">
        <f>-IF(AG$7&gt;=$E102,IF(AG$7&lt;=$F102,($C$102*Mortgage!$C$48)/12,0),0)</f>
        <v>0</v>
      </c>
      <c r="AH102" s="479">
        <f>-IF(AH$7&gt;=$E102,IF(AH$7&lt;=$F102,($C$102*Mortgage!$C$48)/12,0),0)</f>
        <v>0</v>
      </c>
      <c r="AI102" s="479">
        <f>-IF(AI$7&gt;=$E102,IF(AI$7&lt;=$F102,($C$102*Mortgage!$C$48)/12,0),0)</f>
        <v>0</v>
      </c>
      <c r="AJ102" s="479">
        <f>-IF(AJ$7&gt;=$E102,IF(AJ$7&lt;=$F102,($C$102*Mortgage!$C$48)/12,0),0)</f>
        <v>0</v>
      </c>
      <c r="AK102" s="479">
        <f>-IF(AK$7&gt;=$E102,IF(AK$7&lt;=$F102,($C$102*Mortgage!$C$48)/12,0),0)</f>
        <v>0</v>
      </c>
      <c r="AL102" s="479">
        <f>-IF(AL$7&gt;=$E102,IF(AL$7&lt;=$F102,($C$102*Mortgage!$C$48)/12,0),0)</f>
        <v>0</v>
      </c>
      <c r="AM102" s="479">
        <f>-IF(AM$7&gt;=$E102,IF(AM$7&lt;=$F102,($C$102*Mortgage!$C$48)/12,0),0)</f>
        <v>0</v>
      </c>
      <c r="AN102" s="479">
        <f>-IF(AN$7&gt;=$E102,IF(AN$7&lt;=$F102,($C$102*Mortgage!$C$48)/12,0),0)</f>
        <v>0</v>
      </c>
      <c r="AO102" s="479">
        <f>-IF(AO$7&gt;=$E102,IF(AO$7&lt;=$F102,($C$102*Mortgage!$C$48)/12,0),0)</f>
        <v>0</v>
      </c>
      <c r="AP102" s="479">
        <f>-IF(AP$7&gt;=$E102,IF(AP$7&lt;=$F102,($C$102*Mortgage!$C$48)/12,0),0)</f>
        <v>0</v>
      </c>
      <c r="AQ102" s="479">
        <f>-IF(AQ$7&gt;=$E102,IF(AQ$7&lt;=$F102,($C$102*Mortgage!$C$48)/12,0),0)</f>
        <v>0</v>
      </c>
      <c r="AR102" s="479">
        <f>-IF(AR$7&gt;=$E102,IF(AR$7&lt;=$F102,($C$102*Mortgage!$C$48)/12,0),0)</f>
        <v>0</v>
      </c>
      <c r="AS102" s="479">
        <f>-IF(AS$7&gt;=$E102,IF(AS$7&lt;=$F102,($C$102*Mortgage!$C$48)/12,0),0)</f>
        <v>0</v>
      </c>
      <c r="AT102" s="479">
        <f>-IF(AT$7&gt;=$E102,IF(AT$7&lt;=$F102,($C$102*Mortgage!$C$48)/12,0),0)</f>
        <v>-226099.63300681769</v>
      </c>
      <c r="AU102" s="479">
        <f>-IF(AU$7&gt;=$E102,IF(AU$7&lt;=$F102,($C$102*Mortgage!$C$48)/12,0),0)</f>
        <v>-226099.63300681769</v>
      </c>
      <c r="AV102" s="479">
        <f>-IF(AV$7&gt;=$E102,IF(AV$7&lt;=$F102,($C$102*Mortgage!$C$48)/12,0),0)</f>
        <v>-226099.63300681769</v>
      </c>
      <c r="AW102" s="479">
        <f>-IF(AW$7&gt;=$E102,IF(AW$7&lt;=$F102,($C$102*Mortgage!$C$48)/12,0),0)</f>
        <v>-226099.63300681769</v>
      </c>
      <c r="AX102" s="479">
        <f>-IF(AX$7&gt;=$E102,IF(AX$7&lt;=$F102,($C$102*Mortgage!$C$48)/12,0),0)</f>
        <v>-226099.63300681769</v>
      </c>
      <c r="AY102" s="479">
        <f>-IF(AY$7&gt;=$E102,IF(AY$7&lt;=$F102,($C$102*Mortgage!$C$48)/12,0),0)</f>
        <v>-226099.63300681769</v>
      </c>
      <c r="AZ102" s="479">
        <f>-IF(AZ$7&gt;=$E102,IF(AZ$7&lt;=$F102,($C$102*Mortgage!$C$48)/12,0),0)</f>
        <v>-226099.63300681769</v>
      </c>
      <c r="BA102" s="479">
        <f>-IF(BA$7&gt;=$E102,IF(BA$7&lt;=$F102,($C$102*Mortgage!$C$48)/12,0),0)</f>
        <v>-226099.63300681769</v>
      </c>
      <c r="BB102" s="479">
        <f>-IF(BB$7&gt;=$E102,IF(BB$7&lt;=$F102,($C$102*Mortgage!$C$48)/12,0),0)</f>
        <v>-226099.63300681769</v>
      </c>
      <c r="BC102" s="479">
        <f>-IF(BC$7&gt;=$E102,IF(BC$7&lt;=$F102,($C$102*Mortgage!$C$48)/12,0),0)</f>
        <v>-226099.63300681769</v>
      </c>
      <c r="BD102" s="479">
        <f>-IF(BD$7&gt;=$E102,IF(BD$7&lt;=$F102,($C$102*Mortgage!$C$48)/12,0),0)</f>
        <v>-226099.63300681769</v>
      </c>
      <c r="BE102" s="479">
        <f>-IF(BE$7&gt;=$E102,IF(BE$7&lt;=$F102,($C$102*Mortgage!$C$48)/12,0),0)</f>
        <v>-226099.63300681769</v>
      </c>
      <c r="BF102" s="479">
        <f>-IF(BF$7&gt;=$E102,IF(BF$7&lt;=$F102,($C$102*Mortgage!$C$48)/12,0),0)</f>
        <v>-226099.63300681769</v>
      </c>
      <c r="BG102" s="479">
        <f>-IF(BG$7&gt;=$E102,IF(BG$7&lt;=$F102,($C$102*Mortgage!$C$48)/12,0),0)</f>
        <v>-226099.63300681769</v>
      </c>
      <c r="BH102" s="479">
        <f>-IF(BH$7&gt;=$E102,IF(BH$7&lt;=$F102,($C$102*Mortgage!$C$48)/12,0),0)</f>
        <v>-226099.63300681769</v>
      </c>
      <c r="BI102" s="479">
        <f>-IF(BI$7&gt;=$E102,IF(BI$7&lt;=$F102,($C$102*Mortgage!$C$48)/12,0),0)</f>
        <v>-226099.63300681769</v>
      </c>
      <c r="BJ102" s="479">
        <f>-IF(BJ$7&gt;=$E102,IF(BJ$7&lt;=$F102,($C$102*Mortgage!$C$48)/12,0),0)</f>
        <v>-226099.63300681769</v>
      </c>
      <c r="BK102" s="479">
        <f>-IF(BK$7&gt;=$E102,IF(BK$7&lt;=$F102,($C$102*Mortgage!$C$48)/12,0),0)</f>
        <v>-226099.63300681769</v>
      </c>
      <c r="BL102" s="479">
        <f>-IF(BL$7&gt;=$E102,IF(BL$7&lt;=$F102,($C$102*Mortgage!$C$48)/12,0),0)</f>
        <v>-226099.63300681769</v>
      </c>
      <c r="BM102" s="479">
        <f>-IF(BM$7&gt;=$E102,IF(BM$7&lt;=$F102,($C$102*Mortgage!$C$48)/12,0),0)</f>
        <v>-226099.63300681769</v>
      </c>
      <c r="BN102" s="479">
        <f>-IF(BN$7&gt;=$E102,IF(BN$7&lt;=$F102,($C$102*Mortgage!$C$48)/12,0),0)</f>
        <v>-226099.63300681769</v>
      </c>
      <c r="BO102" s="479">
        <f>-IF(BO$7&gt;=$E102,IF(BO$7&lt;=$F102,($C$102*Mortgage!$C$48)/12,0),0)</f>
        <v>-226099.63300681769</v>
      </c>
      <c r="BP102" s="479">
        <f>-IF(BP$7&gt;=$E102,IF(BP$7&lt;=$F102,($C$102*Mortgage!$C$48)/12,0),0)</f>
        <v>-226099.63300681769</v>
      </c>
      <c r="BQ102" s="479">
        <f>-IF(BQ$7&gt;=$E102,IF(BQ$7&lt;=$F102,($C$102*Mortgage!$C$48)/12,0),0)</f>
        <v>-226099.63300681769</v>
      </c>
      <c r="BR102" s="479">
        <f>-IF(BR$7&gt;=$E102,IF(BR$7&lt;=$F102,($C$102*Mortgage!$C$48)/12,0),0)</f>
        <v>-226099.63300681769</v>
      </c>
      <c r="BS102" s="479">
        <f>-IF(BS$7&gt;=$E102,IF(BS$7&lt;=$F102,($C$102*Mortgage!$C$48)/12,0),0)</f>
        <v>-226099.63300681769</v>
      </c>
      <c r="BT102" s="479">
        <f>-IF(BT$7&gt;=$E102,IF(BT$7&lt;=$F102,($C$102*Mortgage!$C$48)/12,0),0)</f>
        <v>-226099.63300681769</v>
      </c>
      <c r="BU102" s="479">
        <f>-IF(BU$7&gt;=$E102,IF(BU$7&lt;=$F102,($C$102*Mortgage!$C$48)/12,0),0)</f>
        <v>-226099.63300681769</v>
      </c>
      <c r="BV102" s="479">
        <f>-IF(BV$7&gt;=$E102,IF(BV$7&lt;=$F102,($C$102*Mortgage!$C$48)/12,0),0)</f>
        <v>-226099.63300681769</v>
      </c>
      <c r="BW102" s="479">
        <f>-IF(BW$7&gt;=$E102,IF(BW$7&lt;=$F102,($C$102*Mortgage!$C$48)/12,0),0)</f>
        <v>-226099.63300681769</v>
      </c>
      <c r="BX102" s="479">
        <f>-IF(BX$7&gt;=$E102,IF(BX$7&lt;=$F102,($C$102*Mortgage!$C$48)/12,0),0)</f>
        <v>-226099.63300681769</v>
      </c>
      <c r="BY102" s="479">
        <f>-IF(BY$7&gt;=$E102,IF(BY$7&lt;=$F102,($C$102*Mortgage!$C$48)/12,0),0)</f>
        <v>-226099.63300681769</v>
      </c>
      <c r="BZ102" s="479">
        <f>-IF(BZ$7&gt;=$E102,IF(BZ$7&lt;=$F102,($C$102*Mortgage!$C$48)/12,0),0)</f>
        <v>-226099.63300681769</v>
      </c>
      <c r="CA102" s="479">
        <f>-IF(CA$7&gt;=$E102,IF(CA$7&lt;=$F102,($C$102*Mortgage!$C$48)/12,0),0)</f>
        <v>-226099.63300681769</v>
      </c>
      <c r="CB102" s="479">
        <f>-IF(CB$7&gt;=$E102,IF(CB$7&lt;=$F102,($C$102*Mortgage!$C$48)/12,0),0)</f>
        <v>-226099.63300681769</v>
      </c>
      <c r="CC102" s="479">
        <f>-IF(CC$7&gt;=$E102,IF(CC$7&lt;=$F102,($C$102*Mortgage!$C$48)/12,0),0)</f>
        <v>-226099.63300681769</v>
      </c>
      <c r="CD102" s="479">
        <f>-IF(CD$7&gt;=$E102,IF(CD$7&lt;=$F102,($C$102*Mortgage!$C$48)/12,0),0)</f>
        <v>-226099.63300681769</v>
      </c>
      <c r="CE102" s="479">
        <f>-IF(CE$7&gt;=$E102,IF(CE$7&lt;=$F102,($C$102*Mortgage!$C$48)/12,0),0)</f>
        <v>-226099.63300681769</v>
      </c>
      <c r="CF102" s="479">
        <f>-IF(CF$7&gt;=$E102,IF(CF$7&lt;=$F102,($C$102*Mortgage!$C$48)/12,0),0)</f>
        <v>-226099.63300681769</v>
      </c>
      <c r="CG102" s="479">
        <f>-IF(CG$7&gt;=$E102,IF(CG$7&lt;=$F102,($C$102*Mortgage!$C$48)/12,0),0)</f>
        <v>-226099.63300681769</v>
      </c>
      <c r="CH102" s="479">
        <f>-IF(CH$7&gt;=$E102,IF(CH$7&lt;=$F102,($C$102*Mortgage!$C$48)/12,0),0)</f>
        <v>-226099.63300681769</v>
      </c>
      <c r="CI102" s="479">
        <f>-IF(CI$7&gt;=$E102,IF(CI$7&lt;=$F102,($C$102*Mortgage!$C$48)/12,0),0)</f>
        <v>-226099.63300681769</v>
      </c>
      <c r="CJ102" s="479">
        <f>-IF(CJ$7&gt;=$E102,IF(CJ$7&lt;=$F102,($C$102*Mortgage!$C$48)/12,0),0)</f>
        <v>-226099.63300681769</v>
      </c>
      <c r="CK102" s="479">
        <f>-IF(CK$7&gt;=$E102,IF(CK$7&lt;=$F102,($C$102*Mortgage!$C$48)/12,0),0)</f>
        <v>-226099.63300681769</v>
      </c>
      <c r="CL102" s="479">
        <f>-IF(CL$7&gt;=$E102,IF(CL$7&lt;=$F102,($C$102*Mortgage!$C$48)/12,0),0)</f>
        <v>-226099.63300681769</v>
      </c>
      <c r="CM102" s="479">
        <f>-IF(CM$7&gt;=$E102,IF(CM$7&lt;=$F102,($C$102*Mortgage!$C$48)/12,0),0)</f>
        <v>-226099.63300681769</v>
      </c>
      <c r="CN102" s="479">
        <f>-IF(CN$7&gt;=$E102,IF(CN$7&lt;=$F102,($C$102*Mortgage!$C$48)/12,0),0)</f>
        <v>-226099.63300681769</v>
      </c>
      <c r="CO102" s="479">
        <f>-IF(CO$7&gt;=$E102,IF(CO$7&lt;=$F102,($C$102*Mortgage!$C$48)/12,0),0)</f>
        <v>-226099.63300681769</v>
      </c>
      <c r="CP102" s="479">
        <f>-IF(CP$7&gt;=$E102,IF(CP$7&lt;=$F102,($C$102*Mortgage!$C$48)/12,0),0)</f>
        <v>-226099.63300681769</v>
      </c>
      <c r="CQ102" s="479">
        <f>-IF(CQ$7&gt;=$E102,IF(CQ$7&lt;=$F102,($C$102*Mortgage!$C$48)/12,0),0)</f>
        <v>-226099.63300681769</v>
      </c>
      <c r="CR102" s="479">
        <f>-IF(CR$7&gt;=$E102,IF(CR$7&lt;=$F102,($C$102*Mortgage!$C$48)/12,0),0)</f>
        <v>-226099.63300681769</v>
      </c>
      <c r="CS102" s="479">
        <f>-IF(CS$7&gt;=$E102,IF(CS$7&lt;=$F102,($C$102*Mortgage!$C$48)/12,0),0)</f>
        <v>-226099.63300681769</v>
      </c>
      <c r="CT102" s="479">
        <f>-IF(CT$7&gt;=$E102,IF(CT$7&lt;=$F102,($C$102*Mortgage!$C$48)/12,0),0)</f>
        <v>-226099.63300681769</v>
      </c>
      <c r="CU102" s="479">
        <f>-IF(CU$7&gt;=$E102,IF(CU$7&lt;=$F102,($C$102*Mortgage!$C$48)/12,0),0)</f>
        <v>-226099.63300681769</v>
      </c>
      <c r="CV102" s="479">
        <f>-IF(CV$7&gt;=$E102,IF(CV$7&lt;=$F102,($C$102*Mortgage!$C$48)/12,0),0)</f>
        <v>-226099.63300681769</v>
      </c>
      <c r="CW102" s="479">
        <f>-IF(CW$7&gt;=$E102,IF(CW$7&lt;=$F102,($C$102*Mortgage!$C$48)/12,0),0)</f>
        <v>-226099.63300681769</v>
      </c>
      <c r="CX102" s="479">
        <f>-IF(CX$7&gt;=$E102,IF(CX$7&lt;=$F102,($C$102*Mortgage!$C$48)/12,0),0)</f>
        <v>-226099.63300681769</v>
      </c>
      <c r="CY102" s="479">
        <f>-IF(CY$7&gt;=$E102,IF(CY$7&lt;=$F102,($C$102*Mortgage!$C$48)/12,0),0)</f>
        <v>-226099.63300681769</v>
      </c>
      <c r="CZ102" s="479">
        <f>-IF(CZ$7&gt;=$E102,IF(CZ$7&lt;=$F102,($C$102*Mortgage!$C$48)/12,0),0)</f>
        <v>-226099.63300681769</v>
      </c>
      <c r="DA102" s="479">
        <f>-IF(DA$7&gt;=$E102,IF(DA$7&lt;=$F102,($C$102*Mortgage!$C$48)/12,0),0)</f>
        <v>-226099.63300681769</v>
      </c>
      <c r="DB102" s="479">
        <f>-IF(DB$7&gt;=$E102,IF(DB$7&lt;=$F102,($C$102*Mortgage!$C$48)/12,0),0)</f>
        <v>-226099.63300681769</v>
      </c>
      <c r="DC102" s="479">
        <f>-IF(DC$7&gt;=$E102,IF(DC$7&lt;=$F102,($C$102*Mortgage!$C$48)/12,0),0)</f>
        <v>-226099.63300681769</v>
      </c>
      <c r="DD102" s="479">
        <f>-IF(DD$7&gt;=$E102,IF(DD$7&lt;=$F102,($C$102*Mortgage!$C$48)/12,0),0)</f>
        <v>-226099.63300681769</v>
      </c>
      <c r="DE102" s="479">
        <f>-IF(DE$7&gt;=$E102,IF(DE$7&lt;=$F102,($C$102*Mortgage!$C$48)/12,0),0)</f>
        <v>-226099.63300681769</v>
      </c>
      <c r="DF102" s="479">
        <f>-IF(DF$7&gt;=$E102,IF(DF$7&lt;=$F102,($C$102*Mortgage!$C$48)/12,0),0)</f>
        <v>-226099.63300681769</v>
      </c>
      <c r="DG102" s="479">
        <f>-IF(DG$7&gt;=$E102,IF(DG$7&lt;=$F102,($C$102*Mortgage!$C$48)/12,0),0)</f>
        <v>-226099.63300681769</v>
      </c>
      <c r="DH102" s="479">
        <f>-IF(DH$7&gt;=$E102,IF(DH$7&lt;=$F102,($C$102*Mortgage!$C$48)/12,0),0)</f>
        <v>-226099.63300681769</v>
      </c>
      <c r="DI102" s="479">
        <f>-IF(DI$7&gt;=$E102,IF(DI$7&lt;=$F102,($C$102*Mortgage!$C$48)/12,0),0)</f>
        <v>-226099.63300681769</v>
      </c>
      <c r="DJ102" s="479">
        <f>-IF(DJ$7&gt;=$E102,IF(DJ$7&lt;=$F102,($C$102*Mortgage!$C$48)/12,0),0)</f>
        <v>-226099.63300681769</v>
      </c>
      <c r="DK102" s="479">
        <f>-IF(DK$7&gt;=$E102,IF(DK$7&lt;=$F102,($C$102*Mortgage!$C$48)/12,0),0)</f>
        <v>-226099.63300681769</v>
      </c>
      <c r="DL102" s="479">
        <f>-IF(DL$7&gt;=$E102,IF(DL$7&lt;=$F102,($C$102*Mortgage!$C$48)/12,0),0)</f>
        <v>-226099.63300681769</v>
      </c>
      <c r="DM102" s="479">
        <f>-IF(DM$7&gt;=$E102,IF(DM$7&lt;=$F102,($C$102*Mortgage!$C$48)/12,0),0)</f>
        <v>-226099.63300681769</v>
      </c>
      <c r="DN102" s="479">
        <f>-IF(DN$7&gt;=$E102,IF(DN$7&lt;=$F102,($C$102*Mortgage!$C$48)/12,0),0)</f>
        <v>-226099.63300681769</v>
      </c>
      <c r="DO102" s="479">
        <f>-IF(DO$7&gt;=$E102,IF(DO$7&lt;=$F102,($C$102*Mortgage!$C$48)/12,0),0)</f>
        <v>-226099.63300681769</v>
      </c>
      <c r="DP102" s="479">
        <f>-IF(DP$7&gt;=$E102,IF(DP$7&lt;=$F102,($C$102*Mortgage!$C$48)/12,0),0)</f>
        <v>-226099.63300681769</v>
      </c>
      <c r="DQ102" s="479">
        <f>-IF(DQ$7&gt;=$E102,IF(DQ$7&lt;=$F102,($C$102*Mortgage!$C$48)/12,0),0)</f>
        <v>-226099.63300681769</v>
      </c>
      <c r="DR102" s="479">
        <f>-IF(DR$7&gt;=$E102,IF(DR$7&lt;=$F102,($C$102*Mortgage!$C$48)/12,0),0)</f>
        <v>-226099.63300681769</v>
      </c>
      <c r="DS102" s="479">
        <f>-IF(DS$7&gt;=$E102,IF(DS$7&lt;=$F102,($C$102*Mortgage!$C$48)/12,0),0)</f>
        <v>-226099.63300681769</v>
      </c>
      <c r="DT102" s="479">
        <f>-IF(DT$7&gt;=$E102,IF(DT$7&lt;=$F102,($C$102*Mortgage!$C$48)/12,0),0)</f>
        <v>-226099.63300681769</v>
      </c>
      <c r="DU102" s="479">
        <f>-IF(DU$7&gt;=$E102,IF(DU$7&lt;=$F102,($C$102*Mortgage!$C$48)/12,0),0)</f>
        <v>-226099.63300681769</v>
      </c>
      <c r="DV102" s="479">
        <f>-IF(DV$7&gt;=$E102,IF(DV$7&lt;=$F102,($C$102*Mortgage!$C$48)/12,0),0)</f>
        <v>-226099.63300681769</v>
      </c>
      <c r="DW102" s="479">
        <f>-IF(DW$7&gt;=$E102,IF(DW$7&lt;=$F102,($C$102*Mortgage!$C$48)/12,0),0)</f>
        <v>-226099.63300681769</v>
      </c>
      <c r="DX102" s="479">
        <f>-IF(DX$7&gt;=$E102,IF(DX$7&lt;=$F102,($C$102*Mortgage!$C$48)/12,0),0)</f>
        <v>-226099.63300681769</v>
      </c>
      <c r="DY102" s="479">
        <f>-IF(DY$7&gt;=$E102,IF(DY$7&lt;=$F102,($C$102*Mortgage!$C$48)/12,0),0)</f>
        <v>-226099.63300681769</v>
      </c>
      <c r="DZ102" s="479">
        <f>-IF(DZ$7&gt;=$E102,IF(DZ$7&lt;=$F102,($C$102*Mortgage!$C$48)/12,0),0)</f>
        <v>-226099.63300681769</v>
      </c>
      <c r="EA102" s="479">
        <f>-IF(EA$7&gt;=$E102,IF(EA$7&lt;=$F102,($C$102*Mortgage!$C$48)/12,0),0)</f>
        <v>-226099.63300681769</v>
      </c>
      <c r="EB102" s="479">
        <f>-IF(EB$7&gt;=$E102,IF(EB$7&lt;=$F102,($C$102*Mortgage!$C$48)/12,0),0)</f>
        <v>-226099.63300681769</v>
      </c>
      <c r="EC102" s="479">
        <f>-IF(EC$7&gt;=$E102,IF(EC$7&lt;=$F102,($C$102*Mortgage!$C$48)/12,0),0)</f>
        <v>-226099.63300681769</v>
      </c>
      <c r="ED102" s="479">
        <f>-IF(ED$7&gt;=$E102,IF(ED$7&lt;=$F102,($C$102*Mortgage!$C$48)/12,0),0)</f>
        <v>-226099.63300681769</v>
      </c>
      <c r="EE102" s="479">
        <f>-IF(EE$7&gt;=$E102,IF(EE$7&lt;=$F102,($C$102*Mortgage!$C$48)/12,0),0)</f>
        <v>-226099.63300681769</v>
      </c>
      <c r="EF102" s="479">
        <f>-IF(EF$7&gt;=$E102,IF(EF$7&lt;=$F102,($C$102*Mortgage!$C$48)/12,0),0)</f>
        <v>-226099.63300681769</v>
      </c>
      <c r="EG102" s="479">
        <f>-IF(EG$7&gt;=$E102,IF(EG$7&lt;=$F102,($C$102*Mortgage!$C$48)/12,0),0)</f>
        <v>-226099.63300681769</v>
      </c>
      <c r="EH102" s="479">
        <f>-IF(EH$7&gt;=$E102,IF(EH$7&lt;=$F102,($C$102*Mortgage!$C$48)/12,0),0)</f>
        <v>-226099.63300681769</v>
      </c>
      <c r="EI102" s="479">
        <f>-IF(EI$7&gt;=$E102,IF(EI$7&lt;=$F102,($C$102*Mortgage!$C$48)/12,0),0)</f>
        <v>-226099.63300681769</v>
      </c>
      <c r="EJ102" s="479">
        <f>-IF(EJ$7&gt;=$E102,IF(EJ$7&lt;=$F102,($C$102*Mortgage!$C$48)/12,0),0)</f>
        <v>-226099.63300681769</v>
      </c>
      <c r="EK102" s="479">
        <f>-IF(EK$7&gt;=$E102,IF(EK$7&lt;=$F102,($C$102*Mortgage!$C$48)/12,0),0)</f>
        <v>-226099.63300681769</v>
      </c>
      <c r="EL102" s="479">
        <f>-IF(EL$7&gt;=$E102,IF(EL$7&lt;=$F102,($C$102*Mortgage!$C$48)/12,0),0)</f>
        <v>-226099.63300681769</v>
      </c>
      <c r="EM102" s="479">
        <f>-IF(EM$7&gt;=$E102,IF(EM$7&lt;=$F102,($C$102*Mortgage!$C$48)/12,0),0)</f>
        <v>-226099.63300681769</v>
      </c>
      <c r="EN102" s="479">
        <f>-IF(EN$7&gt;=$E102,IF(EN$7&lt;=$F102,($C$102*Mortgage!$C$48)/12,0),0)</f>
        <v>-226099.63300681769</v>
      </c>
      <c r="EO102" s="479">
        <f>-IF(EO$7&gt;=$E102,IF(EO$7&lt;=$F102,($C$102*Mortgage!$C$48)/12,0),0)</f>
        <v>-226099.63300681769</v>
      </c>
      <c r="EP102" s="479">
        <f>-IF(EP$7&gt;=$E102,IF(EP$7&lt;=$F102,($C$102*Mortgage!$C$48)/12,0),0)</f>
        <v>-226099.63300681769</v>
      </c>
      <c r="EQ102" s="479">
        <f>-IF(EQ$7&gt;=$E102,IF(EQ$7&lt;=$F102,($C$102*Mortgage!$C$48)/12,0),0)</f>
        <v>-226099.63300681769</v>
      </c>
      <c r="ER102" s="479">
        <f>-IF(ER$7&gt;=$E102,IF(ER$7&lt;=$F102,($C$102*Mortgage!$C$48)/12,0),0)</f>
        <v>-226099.63300681769</v>
      </c>
      <c r="ES102" s="479">
        <f>-IF(ES$7&gt;=$E102,IF(ES$7&lt;=$F102,($C$102*Mortgage!$C$48)/12,0),0)</f>
        <v>-226099.63300681769</v>
      </c>
      <c r="ET102" s="479">
        <f>-IF(ET$7&gt;=$E102,IF(ET$7&lt;=$F102,($C$102*Mortgage!$C$48)/12,0),0)</f>
        <v>-226099.63300681769</v>
      </c>
      <c r="EU102" s="479">
        <f>-IF(EU$7&gt;=$E102,IF(EU$7&lt;=$F102,($C$102*Mortgage!$C$48)/12,0),0)</f>
        <v>-226099.63300681769</v>
      </c>
      <c r="EV102" s="479">
        <f>-IF(EV$7&gt;=$E102,IF(EV$7&lt;=$F102,($C$102*Mortgage!$C$48)/12,0),0)</f>
        <v>-226099.63300681769</v>
      </c>
      <c r="EW102" s="479">
        <f>-IF(EW$7&gt;=$E102,IF(EW$7&lt;=$F102,($C$102*Mortgage!$C$48)/12,0),0)</f>
        <v>-226099.63300681769</v>
      </c>
      <c r="EX102" s="479">
        <f>-IF(EX$7&gt;=$E102,IF(EX$7&lt;=$F102,($C$102*Mortgage!$C$48)/12,0),0)</f>
        <v>-226099.63300681769</v>
      </c>
      <c r="EY102" s="479">
        <f>-IF(EY$7&gt;=$E102,IF(EY$7&lt;=$F102,($C$102*Mortgage!$C$48)/12,0),0)</f>
        <v>-226099.63300681769</v>
      </c>
      <c r="EZ102" s="479">
        <f>-IF(EZ$7&gt;=$E102,IF(EZ$7&lt;=$F102,($C$102*Mortgage!$C$48)/12,0),0)</f>
        <v>-226099.63300681769</v>
      </c>
      <c r="FA102" s="479">
        <f>-IF(FA$7&gt;=$E102,IF(FA$7&lt;=$F102,($C$102*Mortgage!$C$48)/12,0),0)</f>
        <v>-226099.63300681769</v>
      </c>
      <c r="FB102" s="479">
        <f>-IF(FB$7&gt;=$E102,IF(FB$7&lt;=$F102,($C$102*Mortgage!$C$48)/12,0),0)</f>
        <v>-226099.63300681769</v>
      </c>
      <c r="FC102" s="479">
        <f>-IF(FC$7&gt;=$E102,IF(FC$7&lt;=$F102,($C$102*Mortgage!$C$48)/12,0),0)</f>
        <v>-226099.63300681769</v>
      </c>
      <c r="FD102" s="479">
        <f>-IF(FD$7&gt;=$E102,IF(FD$7&lt;=$F102,($C$102*Mortgage!$C$48)/12,0),0)</f>
        <v>-226099.63300681769</v>
      </c>
      <c r="FE102" s="479">
        <f>-IF(FE$7&gt;=$E102,IF(FE$7&lt;=$F102,($C$102*Mortgage!$C$48)/12,0),0)</f>
        <v>-226099.63300681769</v>
      </c>
      <c r="FF102" s="479">
        <f>-IF(FF$7&gt;=$E102,IF(FF$7&lt;=$F102,($C$102*Mortgage!$C$48)/12,0),0)</f>
        <v>-226099.63300681769</v>
      </c>
      <c r="FG102" s="479">
        <f>-IF(FG$7&gt;=$E102,IF(FG$7&lt;=$F102,($C$102*Mortgage!$C$48)/12,0),0)</f>
        <v>-226099.63300681769</v>
      </c>
      <c r="FH102" s="479">
        <f>-IF(FH$7&gt;=$E102,IF(FH$7&lt;=$F102,($C$102*Mortgage!$C$48)/12,0),0)</f>
        <v>-226099.63300681769</v>
      </c>
      <c r="FI102" s="479">
        <f>-IF(FI$7&gt;=$E102,IF(FI$7&lt;=$F102,($C$102*Mortgage!$C$48)/12,0),0)</f>
        <v>-226099.63300681769</v>
      </c>
      <c r="FJ102" s="479">
        <f>-IF(FJ$7&gt;=$E102,IF(FJ$7&lt;=$F102,($C$102*Mortgage!$C$48)/12,0),0)</f>
        <v>-226099.63300681769</v>
      </c>
      <c r="FK102" s="479">
        <f>-IF(FK$7&gt;=$E102,IF(FK$7&lt;=$F102,($C$102*Mortgage!$C$48)/12,0),0)</f>
        <v>-226099.63300681769</v>
      </c>
      <c r="FL102" s="479">
        <f>-IF(FL$7&gt;=$E102,IF(FL$7&lt;=$F102,($C$102*Mortgage!$C$48)/12,0),0)</f>
        <v>-226099.63300681769</v>
      </c>
      <c r="FM102" s="479">
        <f>-IF(FM$7&gt;=$E102,IF(FM$7&lt;=$F102,($C$102*Mortgage!$C$48)/12,0),0)</f>
        <v>-226099.63300681769</v>
      </c>
      <c r="FN102" s="479">
        <f>-IF(FN$7&gt;=$E102,IF(FN$7&lt;=$F102,($C$102*Mortgage!$C$48)/12,0),0)</f>
        <v>-226099.63300681769</v>
      </c>
      <c r="FO102" s="479">
        <f>-IF(FO$7&gt;=$E102,IF(FO$7&lt;=$F102,($C$102*Mortgage!$C$48)/12,0),0)</f>
        <v>-226099.63300681769</v>
      </c>
      <c r="FP102" s="479">
        <f>-IF(FP$7&gt;=$E102,IF(FP$7&lt;=$F102,($C$102*Mortgage!$C$48)/12,0),0)</f>
        <v>-226099.63300681769</v>
      </c>
      <c r="FQ102" s="479">
        <f>-IF(FQ$7&gt;=$E102,IF(FQ$7&lt;=$F102,($C$102*Mortgage!$C$48)/12,0),0)</f>
        <v>-226099.63300681769</v>
      </c>
      <c r="FR102" s="479">
        <f>-IF(FR$7&gt;=$E102,IF(FR$7&lt;=$F102,($C$102*Mortgage!$C$48)/12,0),0)</f>
        <v>-226099.63300681769</v>
      </c>
      <c r="FS102" s="479">
        <f>-IF(FS$7&gt;=$E102,IF(FS$7&lt;=$F102,($C$102*Mortgage!$C$48)/12,0),0)</f>
        <v>-226099.63300681769</v>
      </c>
      <c r="FT102" s="479">
        <f>-IF(FT$7&gt;=$E102,IF(FT$7&lt;=$F102,($C$102*Mortgage!$C$48)/12,0),0)</f>
        <v>-226099.63300681769</v>
      </c>
      <c r="FU102" s="479">
        <f>-IF(FU$7&gt;=$E102,IF(FU$7&lt;=$F102,($C$102*Mortgage!$C$48)/12,0),0)</f>
        <v>-226099.63300681769</v>
      </c>
      <c r="FV102" s="479">
        <f>-IF(FV$7&gt;=$E102,IF(FV$7&lt;=$F102,($C$102*Mortgage!$C$48)/12,0),0)</f>
        <v>-226099.63300681769</v>
      </c>
      <c r="FW102" s="479">
        <f>-IF(FW$7&gt;=$E102,IF(FW$7&lt;=$F102,($C$102*Mortgage!$C$48)/12,0),0)</f>
        <v>-226099.63300681769</v>
      </c>
      <c r="FX102" s="479">
        <f>-IF(FX$7&gt;=$E102,IF(FX$7&lt;=$F102,($C$102*Mortgage!$C$48)/12,0),0)</f>
        <v>-226099.63300681769</v>
      </c>
      <c r="FY102" s="479">
        <f>-IF(FY$7&gt;=$E102,IF(FY$7&lt;=$F102,($C$102*Mortgage!$C$48)/12,0),0)</f>
        <v>-226099.63300681769</v>
      </c>
      <c r="FZ102" s="479">
        <f>-IF(FZ$7&gt;=$E102,IF(FZ$7&lt;=$F102,($C$102*Mortgage!$C$48)/12,0),0)</f>
        <v>-226099.63300681769</v>
      </c>
      <c r="GA102" s="479">
        <f>-IF(GA$7&gt;=$E102,IF(GA$7&lt;=$F102,($C$102*Mortgage!$C$48)/12,0),0)</f>
        <v>-226099.63300681769</v>
      </c>
      <c r="GB102" s="479">
        <f>-IF(GB$7&gt;=$E102,IF(GB$7&lt;=$F102,($C$102*Mortgage!$C$48)/12,0),0)</f>
        <v>-226099.63300681769</v>
      </c>
      <c r="GC102" s="479">
        <f>-IF(GC$7&gt;=$E102,IF(GC$7&lt;=$F102,($C$102*Mortgage!$C$48)/12,0),0)</f>
        <v>-226099.63300681769</v>
      </c>
      <c r="GD102" s="479">
        <f>-IF(GD$7&gt;=$E102,IF(GD$7&lt;=$F102,($C$102*Mortgage!$C$48)/12,0),0)</f>
        <v>-226099.63300681769</v>
      </c>
      <c r="GE102" s="479">
        <f>-IF(GE$7&gt;=$E102,IF(GE$7&lt;=$F102,($C$102*Mortgage!$C$48)/12,0),0)</f>
        <v>-226099.63300681769</v>
      </c>
      <c r="GF102" s="479">
        <f>-IF(GF$7&gt;=$E102,IF(GF$7&lt;=$F102,($C$102*Mortgage!$C$48)/12,0),0)</f>
        <v>-226099.63300681769</v>
      </c>
      <c r="GG102" s="479">
        <f>-IF(GG$7&gt;=$E102,IF(GG$7&lt;=$F102,($C$102*Mortgage!$C$48)/12,0),0)</f>
        <v>-226099.63300681769</v>
      </c>
      <c r="GH102" s="479">
        <f>-IF(GH$7&gt;=$E102,IF(GH$7&lt;=$F102,($C$102*Mortgage!$C$48)/12,0),0)</f>
        <v>-226099.63300681769</v>
      </c>
      <c r="GI102" s="479">
        <f>-IF(GI$7&gt;=$E102,IF(GI$7&lt;=$F102,($C$102*Mortgage!$C$48)/12,0),0)</f>
        <v>-226099.63300681769</v>
      </c>
      <c r="GJ102" s="479">
        <f>-IF(GJ$7&gt;=$E102,IF(GJ$7&lt;=$F102,($C$102*Mortgage!$C$48)/12,0),0)</f>
        <v>-226099.63300681769</v>
      </c>
      <c r="GK102" s="479">
        <f>-IF(GK$7&gt;=$E102,IF(GK$7&lt;=$F102,($C$102*Mortgage!$C$48)/12,0),0)</f>
        <v>-226099.63300681769</v>
      </c>
      <c r="GL102" s="479">
        <f>-IF(GL$7&gt;=$E102,IF(GL$7&lt;=$F102,($C$102*Mortgage!$C$48)/12,0),0)</f>
        <v>-226099.63300681769</v>
      </c>
      <c r="GM102" s="479">
        <f>-IF(GM$7&gt;=$E102,IF(GM$7&lt;=$F102,($C$102*Mortgage!$C$48)/12,0),0)</f>
        <v>-226099.63300681769</v>
      </c>
      <c r="GN102" s="479">
        <f>-IF(GN$7&gt;=$E102,IF(GN$7&lt;=$F102,($C$102*Mortgage!$C$48)/12,0),0)</f>
        <v>-226099.63300681769</v>
      </c>
      <c r="GO102" s="479">
        <f>-IF(GO$7&gt;=$E102,IF(GO$7&lt;=$F102,($C$102*Mortgage!$C$48)/12,0),0)</f>
        <v>-226099.63300681769</v>
      </c>
      <c r="GP102" s="479">
        <f>-IF(GP$7&gt;=$E102,IF(GP$7&lt;=$F102,($C$102*Mortgage!$C$48)/12,0),0)</f>
        <v>-226099.63300681769</v>
      </c>
      <c r="GQ102" s="479">
        <f>-IF(GQ$7&gt;=$E102,IF(GQ$7&lt;=$F102,($C$102*Mortgage!$C$48)/12,0),0)</f>
        <v>-226099.63300681769</v>
      </c>
      <c r="GR102" s="479">
        <f>-IF(GR$7&gt;=$E102,IF(GR$7&lt;=$F102,($C$102*Mortgage!$C$48)/12,0),0)</f>
        <v>-226099.63300681769</v>
      </c>
      <c r="GS102" s="479">
        <f>-IF(GS$7&gt;=$E102,IF(GS$7&lt;=$F102,($C$102*Mortgage!$C$48)/12,0),0)</f>
        <v>-226099.63300681769</v>
      </c>
      <c r="GT102" s="479">
        <f>-IF(GT$7&gt;=$E102,IF(GT$7&lt;=$F102,($C$102*Mortgage!$C$48)/12,0),0)</f>
        <v>-226099.63300681769</v>
      </c>
      <c r="GU102" s="479">
        <f>-IF(GU$7&gt;=$E102,IF(GU$7&lt;=$F102,($C$102*Mortgage!$C$48)/12,0),0)</f>
        <v>-226099.63300681769</v>
      </c>
      <c r="GV102" s="479">
        <f>-IF(GV$7&gt;=$E102,IF(GV$7&lt;=$F102,($C$102*Mortgage!$C$48)/12,0),0)</f>
        <v>-226099.63300681769</v>
      </c>
      <c r="GW102" s="479">
        <f>-IF(GW$7&gt;=$E102,IF(GW$7&lt;=$F102,($C$102*Mortgage!$C$48)/12,0),0)</f>
        <v>-226099.63300681769</v>
      </c>
      <c r="GX102" s="479">
        <f>-IF(GX$7&gt;=$E102,IF(GX$7&lt;=$F102,($C$102*Mortgage!$C$48)/12,0),0)</f>
        <v>-226099.63300681769</v>
      </c>
      <c r="GY102" s="479">
        <f>-IF(GY$7&gt;=$E102,IF(GY$7&lt;=$F102,($C$102*Mortgage!$C$48)/12,0),0)</f>
        <v>-226099.63300681769</v>
      </c>
      <c r="GZ102" s="479">
        <f>-IF(GZ$7&gt;=$E102,IF(GZ$7&lt;=$F102,($C$102*Mortgage!$C$48)/12,0),0)</f>
        <v>-226099.63300681769</v>
      </c>
      <c r="HA102" s="479">
        <f>-IF(HA$7&gt;=$E102,IF(HA$7&lt;=$F102,($C$102*Mortgage!$C$48)/12,0),0)</f>
        <v>-226099.63300681769</v>
      </c>
      <c r="HB102" s="479">
        <f>-IF(HB$7&gt;=$E102,IF(HB$7&lt;=$F102,($C$102*Mortgage!$C$48)/12,0),0)</f>
        <v>-226099.63300681769</v>
      </c>
      <c r="HC102" s="479">
        <f>-IF(HC$7&gt;=$E102,IF(HC$7&lt;=$F102,($C$102*Mortgage!$C$48)/12,0),0)</f>
        <v>-226099.63300681769</v>
      </c>
      <c r="HD102" s="479">
        <f>-IF(HD$7&gt;=$E102,IF(HD$7&lt;=$F102,($C$102*Mortgage!$C$48)/12,0),0)</f>
        <v>-226099.63300681769</v>
      </c>
      <c r="HE102" s="479">
        <f>-IF(HE$7&gt;=$E102,IF(HE$7&lt;=$F102,($C$102*Mortgage!$C$48)/12,0),0)</f>
        <v>-226099.63300681769</v>
      </c>
      <c r="HF102" s="479">
        <f>-IF(HF$7&gt;=$E102,IF(HF$7&lt;=$F102,($C$102*Mortgage!$C$48)/12,0),0)</f>
        <v>-226099.63300681769</v>
      </c>
      <c r="HG102" s="479">
        <f>-IF(HG$7&gt;=$E102,IF(HG$7&lt;=$F102,($C$102*Mortgage!$C$48)/12,0),0)</f>
        <v>-226099.63300681769</v>
      </c>
      <c r="HH102" s="479">
        <f>-IF(HH$7&gt;=$E102,IF(HH$7&lt;=$F102,($C$102*Mortgage!$C$48)/12,0),0)</f>
        <v>-226099.63300681769</v>
      </c>
      <c r="HI102" s="479">
        <f>-IF(HI$7&gt;=$E102,IF(HI$7&lt;=$F102,($C$102*Mortgage!$C$48)/12,0),0)</f>
        <v>-226099.63300681769</v>
      </c>
      <c r="HJ102" s="479">
        <f>-IF(HJ$7&gt;=$E102,IF(HJ$7&lt;=$F102,($C$102*Mortgage!$C$48)/12,0),0)</f>
        <v>-226099.63300681769</v>
      </c>
      <c r="HK102" s="479">
        <f>-IF(HK$7&gt;=$E102,IF(HK$7&lt;=$F102,($C$102*Mortgage!$C$48)/12,0),0)</f>
        <v>-226099.63300681769</v>
      </c>
      <c r="HL102" s="479">
        <f>-IF(HL$7&gt;=$E102,IF(HL$7&lt;=$F102,($C$102*Mortgage!$C$48)/12,0),0)</f>
        <v>-226099.63300681769</v>
      </c>
      <c r="HM102" s="479">
        <f>-IF(HM$7&gt;=$E102,IF(HM$7&lt;=$F102,($C$102*Mortgage!$C$48)/12,0),0)</f>
        <v>-226099.63300681769</v>
      </c>
      <c r="HN102" s="479">
        <f>-IF(HN$7&gt;=$E102,IF(HN$7&lt;=$F102,($C$102*Mortgage!$C$48)/12,0),0)</f>
        <v>-226099.63300681769</v>
      </c>
      <c r="HO102" s="479">
        <f>-IF(HO$7&gt;=$E102,IF(HO$7&lt;=$F102,($C$102*Mortgage!$C$48)/12,0),0)</f>
        <v>-226099.63300681769</v>
      </c>
      <c r="HP102" s="479">
        <f>-IF(HP$7&gt;=$E102,IF(HP$7&lt;=$F102,($C$102*Mortgage!$C$48)/12,0),0)</f>
        <v>-226099.63300681769</v>
      </c>
      <c r="HQ102" s="479">
        <f>-IF(HQ$7&gt;=$E102,IF(HQ$7&lt;=$F102,($C$102*Mortgage!$C$48)/12,0),0)</f>
        <v>-226099.63300681769</v>
      </c>
      <c r="HR102" s="479">
        <f>-IF(HR$7&gt;=$E102,IF(HR$7&lt;=$F102,($C$102*Mortgage!$C$48)/12,0),0)</f>
        <v>-226099.63300681769</v>
      </c>
      <c r="HS102" s="479">
        <f>-IF(HS$7&gt;=$E102,IF(HS$7&lt;=$F102,($C$102*Mortgage!$C$48)/12,0),0)</f>
        <v>-226099.63300681769</v>
      </c>
      <c r="HT102" s="479">
        <f>-IF(HT$7&gt;=$E102,IF(HT$7&lt;=$F102,($C$102*Mortgage!$C$48)/12,0),0)</f>
        <v>-226099.63300681769</v>
      </c>
      <c r="HU102" s="479">
        <f>-IF(HU$7&gt;=$E102,IF(HU$7&lt;=$F102,($C$102*Mortgage!$C$48)/12,0),0)</f>
        <v>-226099.63300681769</v>
      </c>
      <c r="HV102" s="479">
        <f>-IF(HV$7&gt;=$E102,IF(HV$7&lt;=$F102,($C$102*Mortgage!$C$48)/12,0),0)</f>
        <v>-226099.63300681769</v>
      </c>
      <c r="HW102" s="479">
        <f>-IF(HW$7&gt;=$E102,IF(HW$7&lt;=$F102,($C$102*Mortgage!$C$48)/12,0),0)</f>
        <v>-226099.63300681769</v>
      </c>
      <c r="HX102" s="479">
        <f>-IF(HX$7&gt;=$E102,IF(HX$7&lt;=$F102,($C$102*Mortgage!$C$48)/12,0),0)</f>
        <v>-226099.63300681769</v>
      </c>
      <c r="HY102" s="479">
        <f>-IF(HY$7&gt;=$E102,IF(HY$7&lt;=$F102,($C$102*Mortgage!$C$48)/12,0),0)</f>
        <v>-226099.63300681769</v>
      </c>
      <c r="HZ102" s="479">
        <f>-IF(HZ$7&gt;=$E102,IF(HZ$7&lt;=$F102,($C$102*Mortgage!$C$48)/12,0),0)</f>
        <v>-226099.63300681769</v>
      </c>
      <c r="IA102" s="479">
        <f>-IF(IA$7&gt;=$E102,IF(IA$7&lt;=$F102,($C$102*Mortgage!$C$48)/12,0),0)</f>
        <v>-226099.63300681769</v>
      </c>
      <c r="IB102" s="479">
        <f>-IF(IB$7&gt;=$E102,IF(IB$7&lt;=$F102,($C$102*Mortgage!$C$48)/12,0),0)</f>
        <v>-226099.63300681769</v>
      </c>
      <c r="IC102" s="479">
        <f>-IF(IC$7&gt;=$E102,IF(IC$7&lt;=$F102,($C$102*Mortgage!$C$48)/12,0),0)</f>
        <v>-226099.63300681769</v>
      </c>
      <c r="ID102" s="479">
        <f>-IF(ID$7&gt;=$E102,IF(ID$7&lt;=$F102,($C$102*Mortgage!$C$48)/12,0),0)</f>
        <v>-226099.63300681769</v>
      </c>
      <c r="IE102" s="479">
        <f>-IF(IE$7&gt;=$E102,IF(IE$7&lt;=$F102,($C$102*Mortgage!$C$48)/12,0),0)</f>
        <v>-226099.63300681769</v>
      </c>
      <c r="IF102" s="479">
        <f>-IF(IF$7&gt;=$E102,IF(IF$7&lt;=$F102,($C$102*Mortgage!$C$48)/12,0),0)</f>
        <v>-226099.63300681769</v>
      </c>
      <c r="IG102" s="479">
        <f>-IF(IG$7&gt;=$E102,IF(IG$7&lt;=$F102,($C$102*Mortgage!$C$48)/12,0),0)</f>
        <v>-226099.63300681769</v>
      </c>
      <c r="IH102" s="479">
        <f>-IF(IH$7&gt;=$E102,IF(IH$7&lt;=$F102,($C$102*Mortgage!$C$48)/12,0),0)</f>
        <v>-226099.63300681769</v>
      </c>
      <c r="II102" s="479">
        <f>-IF(II$7&gt;=$E102,IF(II$7&lt;=$F102,($C$102*Mortgage!$C$48)/12,0),0)</f>
        <v>-226099.63300681769</v>
      </c>
      <c r="IJ102" s="479">
        <f>-IF(IJ$7&gt;=$E102,IF(IJ$7&lt;=$F102,($C$102*Mortgage!$C$48)/12,0),0)</f>
        <v>-226099.63300681769</v>
      </c>
      <c r="IK102" s="479">
        <f>-IF(IK$7&gt;=$E102,IF(IK$7&lt;=$F102,($C$102*Mortgage!$C$48)/12,0),0)</f>
        <v>-226099.63300681769</v>
      </c>
      <c r="IL102" s="479">
        <f>-IF(IL$7&gt;=$E102,IF(IL$7&lt;=$F102,($C$102*Mortgage!$C$48)/12,0),0)</f>
        <v>-226099.63300681769</v>
      </c>
      <c r="IM102" s="479">
        <f>-IF(IM$7&gt;=$E102,IF(IM$7&lt;=$F102,($C$102*Mortgage!$C$48)/12,0),0)</f>
        <v>-226099.63300681769</v>
      </c>
      <c r="IN102" s="479">
        <f>-IF(IN$7&gt;=$E102,IF(IN$7&lt;=$F102,($C$102*Mortgage!$C$48)/12,0),0)</f>
        <v>-226099.63300681769</v>
      </c>
      <c r="IO102" s="479">
        <f>-IF(IO$7&gt;=$E102,IF(IO$7&lt;=$F102,($C$102*Mortgage!$C$48)/12,0),0)</f>
        <v>-226099.63300681769</v>
      </c>
      <c r="IP102" s="479">
        <f>-IF(IP$7&gt;=$E102,IF(IP$7&lt;=$F102,($C$102*Mortgage!$C$48)/12,0),0)</f>
        <v>-226099.63300681769</v>
      </c>
      <c r="IQ102" s="479">
        <f>-IF(IQ$7&gt;=$E102,IF(IQ$7&lt;=$F102,($C$102*Mortgage!$C$48)/12,0),0)</f>
        <v>-226099.63300681769</v>
      </c>
      <c r="IR102" s="479">
        <f>-IF(IR$7&gt;=$E102,IF(IR$7&lt;=$F102,($C$102*Mortgage!$C$48)/12,0),0)</f>
        <v>-226099.63300681769</v>
      </c>
      <c r="IS102" s="479">
        <f>-IF(IS$7&gt;=$E102,IF(IS$7&lt;=$F102,($C$102*Mortgage!$C$48)/12,0),0)</f>
        <v>-226099.63300681769</v>
      </c>
      <c r="IT102" s="479">
        <f>-IF(IT$7&gt;=$E102,IF(IT$7&lt;=$F102,($C$102*Mortgage!$C$48)/12,0),0)</f>
        <v>-226099.63300681769</v>
      </c>
      <c r="IU102" s="479">
        <f>-IF(IU$7&gt;=$E102,IF(IU$7&lt;=$F102,($C$102*Mortgage!$C$48)/12,0),0)</f>
        <v>-226099.63300681769</v>
      </c>
      <c r="IV102" s="479">
        <f>-IF(IV$7&gt;=$E102,IF(IV$7&lt;=$F102,($C$102*Mortgage!$C$48)/12,0),0)</f>
        <v>-226099.63300681769</v>
      </c>
      <c r="IW102" s="479">
        <f>-IF(IW$7&gt;=$E102,IF(IW$7&lt;=$F102,($C$102*Mortgage!$C$48)/12,0),0)</f>
        <v>-226099.63300681769</v>
      </c>
      <c r="IX102" s="479">
        <f>-IF(IX$7&gt;=$E102,IF(IX$7&lt;=$F102,($C$102*Mortgage!$C$48)/12,0),0)</f>
        <v>-226099.63300681769</v>
      </c>
      <c r="IY102" s="479">
        <f>-IF(IY$7&gt;=$E102,IF(IY$7&lt;=$F102,($C$102*Mortgage!$C$48)/12,0),0)</f>
        <v>-226099.63300681769</v>
      </c>
      <c r="IZ102" s="479">
        <f>-IF(IZ$7&gt;=$E102,IF(IZ$7&lt;=$F102,($C$102*Mortgage!$C$48)/12,0),0)</f>
        <v>-226099.63300681769</v>
      </c>
      <c r="JA102" s="479">
        <f>-IF(JA$7&gt;=$E102,IF(JA$7&lt;=$F102,($C$102*Mortgage!$C$48)/12,0),0)</f>
        <v>-226099.63300681769</v>
      </c>
      <c r="JB102" s="479">
        <f>-IF(JB$7&gt;=$E102,IF(JB$7&lt;=$F102,($C$102*Mortgage!$C$48)/12,0),0)</f>
        <v>-226099.63300681769</v>
      </c>
      <c r="JC102" s="479">
        <f>-IF(JC$7&gt;=$E102,IF(JC$7&lt;=$F102,($C$102*Mortgage!$C$48)/12,0),0)</f>
        <v>-226099.63300681769</v>
      </c>
      <c r="JD102" s="479">
        <f>-IF(JD$7&gt;=$E102,IF(JD$7&lt;=$F102,($C$102*Mortgage!$C$48)/12,0),0)</f>
        <v>-226099.63300681769</v>
      </c>
      <c r="JE102" s="479">
        <f>-IF(JE$7&gt;=$E102,IF(JE$7&lt;=$F102,($C$102*Mortgage!$C$48)/12,0),0)</f>
        <v>-226099.63300681769</v>
      </c>
      <c r="JF102" s="479">
        <f>-IF(JF$7&gt;=$E102,IF(JF$7&lt;=$F102,($C$102*Mortgage!$C$48)/12,0),0)</f>
        <v>-226099.63300681769</v>
      </c>
      <c r="JG102" s="479">
        <f>-IF(JG$7&gt;=$E102,IF(JG$7&lt;=$F102,($C$102*Mortgage!$C$48)/12,0),0)</f>
        <v>-226099.63300681769</v>
      </c>
      <c r="JH102" s="479">
        <f>-IF(JH$7&gt;=$E102,IF(JH$7&lt;=$F102,($C$102*Mortgage!$C$48)/12,0),0)</f>
        <v>-226099.63300681769</v>
      </c>
      <c r="JI102" s="479">
        <f>-IF(JI$7&gt;=$E102,IF(JI$7&lt;=$F102,($C$102*Mortgage!$C$48)/12,0),0)</f>
        <v>-226099.63300681769</v>
      </c>
      <c r="JJ102" s="479">
        <f>-IF(JJ$7&gt;=$E102,IF(JJ$7&lt;=$F102,($C$102*Mortgage!$C$48)/12,0),0)</f>
        <v>-226099.63300681769</v>
      </c>
      <c r="JK102" s="479">
        <f>-IF(JK$7&gt;=$E102,IF(JK$7&lt;=$F102,($C$102*Mortgage!$C$48)/12,0),0)</f>
        <v>-226099.63300681769</v>
      </c>
      <c r="JL102" s="479">
        <f>-IF(JL$7&gt;=$E102,IF(JL$7&lt;=$F102,($C$102*Mortgage!$C$48)/12,0),0)</f>
        <v>-226099.63300681769</v>
      </c>
      <c r="JM102" s="479">
        <f>-IF(JM$7&gt;=$E102,IF(JM$7&lt;=$F102,($C$102*Mortgage!$C$48)/12,0),0)</f>
        <v>-226099.63300681769</v>
      </c>
      <c r="JN102" s="479">
        <f>-IF(JN$7&gt;=$E102,IF(JN$7&lt;=$F102,($C$102*Mortgage!$C$48)/12,0),0)</f>
        <v>-226099.63300681769</v>
      </c>
      <c r="JO102" s="479">
        <f>-IF(JO$7&gt;=$E102,IF(JO$7&lt;=$F102,($C$102*Mortgage!$C$48)/12,0),0)</f>
        <v>-226099.63300681769</v>
      </c>
      <c r="JP102" s="479">
        <f>-IF(JP$7&gt;=$E102,IF(JP$7&lt;=$F102,($C$102*Mortgage!$C$48)/12,0),0)</f>
        <v>-226099.63300681769</v>
      </c>
      <c r="JQ102" s="479">
        <f>-IF(JQ$7&gt;=$E102,IF(JQ$7&lt;=$F102,($C$102*Mortgage!$C$48)/12,0),0)</f>
        <v>-226099.63300681769</v>
      </c>
      <c r="JR102" s="479">
        <f>-IF(JR$7&gt;=$E102,IF(JR$7&lt;=$F102,($C$102*Mortgage!$C$48)/12,0),0)</f>
        <v>-226099.63300681769</v>
      </c>
      <c r="JS102" s="479">
        <f>-IF(JS$7&gt;=$E102,IF(JS$7&lt;=$F102,($C$102*Mortgage!$C$48)/12,0),0)</f>
        <v>-226099.63300681769</v>
      </c>
      <c r="JT102" s="479">
        <f>-IF(JT$7&gt;=$E102,IF(JT$7&lt;=$F102,($C$102*Mortgage!$C$48)/12,0),0)</f>
        <v>-226099.63300681769</v>
      </c>
      <c r="JU102" s="479">
        <f>-IF(JU$7&gt;=$E102,IF(JU$7&lt;=$F102,($C$102*Mortgage!$C$48)/12,0),0)</f>
        <v>-226099.63300681769</v>
      </c>
      <c r="JV102" s="479">
        <f>-IF(JV$7&gt;=$E102,IF(JV$7&lt;=$F102,($C$102*Mortgage!$C$48)/12,0),0)</f>
        <v>-226099.63300681769</v>
      </c>
      <c r="JW102" s="479">
        <f>-IF(JW$7&gt;=$E102,IF(JW$7&lt;=$F102,($C$102*Mortgage!$C$48)/12,0),0)</f>
        <v>-226099.63300681769</v>
      </c>
      <c r="JX102" s="479">
        <f>-IF(JX$7&gt;=$E102,IF(JX$7&lt;=$F102,($C$102*Mortgage!$C$48)/12,0),0)</f>
        <v>-226099.63300681769</v>
      </c>
      <c r="JY102" s="479">
        <f>-IF(JY$7&gt;=$E102,IF(JY$7&lt;=$F102,($C$102*Mortgage!$C$48)/12,0),0)</f>
        <v>-226099.63300681769</v>
      </c>
      <c r="JZ102" s="479">
        <f>-IF(JZ$7&gt;=$E102,IF(JZ$7&lt;=$F102,($C$102*Mortgage!$C$48)/12,0),0)</f>
        <v>-226099.63300681769</v>
      </c>
      <c r="KA102" s="479">
        <f>-IF(KA$7&gt;=$E102,IF(KA$7&lt;=$F102,($C$102*Mortgage!$C$48)/12,0),0)</f>
        <v>-226099.63300681769</v>
      </c>
      <c r="KB102" s="479">
        <f>-IF(KB$7&gt;=$E102,IF(KB$7&lt;=$F102,($C$102*Mortgage!$C$48)/12,0),0)</f>
        <v>-226099.63300681769</v>
      </c>
      <c r="KC102" s="479">
        <f>-IF(KC$7&gt;=$E102,IF(KC$7&lt;=$F102,($C$102*Mortgage!$C$48)/12,0),0)</f>
        <v>-226099.63300681769</v>
      </c>
      <c r="KD102" s="479">
        <f>-IF(KD$7&gt;=$E102,IF(KD$7&lt;=$F102,($C$102*Mortgage!$C$48)/12,0),0)</f>
        <v>-226099.63300681769</v>
      </c>
      <c r="KE102" s="479">
        <f>-IF(KE$7&gt;=$E102,IF(KE$7&lt;=$F102,($C$102*Mortgage!$C$48)/12,0),0)</f>
        <v>-226099.63300681769</v>
      </c>
      <c r="KF102" s="479">
        <f>-IF(KF$7&gt;=$E102,IF(KF$7&lt;=$F102,($C$102*Mortgage!$C$48)/12,0),0)</f>
        <v>-226099.63300681769</v>
      </c>
      <c r="KG102" s="479">
        <f>-IF(KG$7&gt;=$E102,IF(KG$7&lt;=$F102,($C$102*Mortgage!$C$48)/12,0),0)</f>
        <v>-226099.63300681769</v>
      </c>
      <c r="KH102" s="479">
        <f>-IF(KH$7&gt;=$E102,IF(KH$7&lt;=$F102,($C$102*Mortgage!$C$48)/12,0),0)</f>
        <v>-226099.63300681769</v>
      </c>
      <c r="KI102" s="479">
        <f>-IF(KI$7&gt;=$E102,IF(KI$7&lt;=$F102,($C$102*Mortgage!$C$48)/12,0),0)</f>
        <v>-226099.63300681769</v>
      </c>
      <c r="KJ102" s="479">
        <f>-IF(KJ$7&gt;=$E102,IF(KJ$7&lt;=$F102,($C$102*Mortgage!$C$48)/12,0),0)</f>
        <v>-226099.63300681769</v>
      </c>
      <c r="KK102" s="479">
        <f>-IF(KK$7&gt;=$E102,IF(KK$7&lt;=$F102,($C$102*Mortgage!$C$48)/12,0),0)</f>
        <v>-226099.63300681769</v>
      </c>
      <c r="KL102" s="479">
        <f>-IF(KL$7&gt;=$E102,IF(KL$7&lt;=$F102,($C$102*Mortgage!$C$48)/12,0),0)</f>
        <v>-226099.63300681769</v>
      </c>
      <c r="KM102" s="479">
        <f>-IF(KM$7&gt;=$E102,IF(KM$7&lt;=$F102,($C$102*Mortgage!$C$48)/12,0),0)</f>
        <v>-226099.63300681769</v>
      </c>
      <c r="KN102" s="479">
        <f>-IF(KN$7&gt;=$E102,IF(KN$7&lt;=$F102,($C$102*Mortgage!$C$48)/12,0),0)</f>
        <v>-226099.63300681769</v>
      </c>
      <c r="KO102" s="479">
        <f>-IF(KO$7&gt;=$E102,IF(KO$7&lt;=$F102,($C$102*Mortgage!$C$48)/12,0),0)</f>
        <v>-226099.63300681769</v>
      </c>
      <c r="KP102" s="479">
        <f>-IF(KP$7&gt;=$E102,IF(KP$7&lt;=$F102,($C$102*Mortgage!$C$48)/12,0),0)</f>
        <v>-226099.63300681769</v>
      </c>
      <c r="KQ102" s="479">
        <f>-IF(KQ$7&gt;=$E102,IF(KQ$7&lt;=$F102,($C$102*Mortgage!$C$48)/12,0),0)</f>
        <v>-226099.63300681769</v>
      </c>
      <c r="KR102" s="479">
        <f>-IF(KR$7&gt;=$E102,IF(KR$7&lt;=$F102,($C$102*Mortgage!$C$48)/12,0),0)</f>
        <v>-226099.63300681769</v>
      </c>
      <c r="KS102" s="479">
        <f>-IF(KS$7&gt;=$E102,IF(KS$7&lt;=$F102,($C$102*Mortgage!$C$48)/12,0),0)</f>
        <v>-226099.63300681769</v>
      </c>
      <c r="KT102" s="479">
        <f>-IF(KT$7&gt;=$E102,IF(KT$7&lt;=$F102,($C$102*Mortgage!$C$48)/12,0),0)</f>
        <v>-226099.63300681769</v>
      </c>
      <c r="KU102" s="479">
        <f>-IF(KU$7&gt;=$E102,IF(KU$7&lt;=$F102,($C$102*Mortgage!$C$48)/12,0),0)</f>
        <v>-226099.63300681769</v>
      </c>
      <c r="KV102" s="479">
        <f>-IF(KV$7&gt;=$E102,IF(KV$7&lt;=$F102,($C$102*Mortgage!$C$48)/12,0),0)</f>
        <v>-226099.63300681769</v>
      </c>
      <c r="KW102" s="479">
        <f>-IF(KW$7&gt;=$E102,IF(KW$7&lt;=$F102,($C$102*Mortgage!$C$48)/12,0),0)</f>
        <v>-226099.63300681769</v>
      </c>
      <c r="KX102" s="479">
        <f>-IF(KX$7&gt;=$E102,IF(KX$7&lt;=$F102,($C$102*Mortgage!$C$48)/12,0),0)</f>
        <v>-226099.63300681769</v>
      </c>
      <c r="KY102" s="479">
        <f>-IF(KY$7&gt;=$E102,IF(KY$7&lt;=$F102,($C$102*Mortgage!$C$48)/12,0),0)</f>
        <v>-226099.63300681769</v>
      </c>
      <c r="KZ102" s="479">
        <f>-IF(KZ$7&gt;=$E102,IF(KZ$7&lt;=$F102,($C$102*Mortgage!$C$48)/12,0),0)</f>
        <v>-226099.63300681769</v>
      </c>
      <c r="LA102" s="479">
        <f>-IF(LA$7&gt;=$E102,IF(LA$7&lt;=$F102,($C$102*Mortgage!$C$48)/12,0),0)</f>
        <v>-226099.63300681769</v>
      </c>
      <c r="LB102" s="479">
        <f>-IF(LB$7&gt;=$E102,IF(LB$7&lt;=$F102,($C$102*Mortgage!$C$48)/12,0),0)</f>
        <v>-226099.63300681769</v>
      </c>
      <c r="LC102" s="479">
        <f>-IF(LC$7&gt;=$E102,IF(LC$7&lt;=$F102,($C$102*Mortgage!$C$48)/12,0),0)</f>
        <v>-226099.63300681769</v>
      </c>
      <c r="LD102" s="479">
        <f>-IF(LD$7&gt;=$E102,IF(LD$7&lt;=$F102,($C$102*Mortgage!$C$48)/12,0),0)</f>
        <v>-226099.63300681769</v>
      </c>
      <c r="LE102" s="479">
        <f>-IF(LE$7&gt;=$E102,IF(LE$7&lt;=$F102,($C$102*Mortgage!$C$48)/12,0),0)</f>
        <v>-226099.63300681769</v>
      </c>
      <c r="LF102" s="479">
        <f>-IF(LF$7&gt;=$E102,IF(LF$7&lt;=$F102,($C$102*Mortgage!$C$48)/12,0),0)</f>
        <v>-226099.63300681769</v>
      </c>
      <c r="LG102" s="479">
        <f>-IF(LG$7&gt;=$E102,IF(LG$7&lt;=$F102,($C$102*Mortgage!$C$48)/12,0),0)</f>
        <v>-226099.63300681769</v>
      </c>
      <c r="LH102" s="479">
        <f>-IF(LH$7&gt;=$E102,IF(LH$7&lt;=$F102,($C$102*Mortgage!$C$48)/12,0),0)</f>
        <v>-226099.63300681769</v>
      </c>
      <c r="LI102" s="479">
        <f>-IF(LI$7&gt;=$E102,IF(LI$7&lt;=$F102,($C$102*Mortgage!$C$48)/12,0),0)</f>
        <v>-226099.63300681769</v>
      </c>
      <c r="LJ102" s="479">
        <f>-IF(LJ$7&gt;=$E102,IF(LJ$7&lt;=$F102,($C$102*Mortgage!$C$48)/12,0),0)</f>
        <v>-226099.63300681769</v>
      </c>
      <c r="LK102" s="479">
        <f>-IF(LK$7&gt;=$E102,IF(LK$7&lt;=$F102,($C$102*Mortgage!$C$48)/12,0),0)</f>
        <v>-226099.63300681769</v>
      </c>
      <c r="LL102" s="479">
        <f>-IF(LL$7&gt;=$E102,IF(LL$7&lt;=$F102,($C$102*Mortgage!$C$48)/12,0),0)</f>
        <v>-226099.63300681769</v>
      </c>
      <c r="LM102" s="479">
        <f>-IF(LM$7&gt;=$E102,IF(LM$7&lt;=$F102,($C$102*Mortgage!$C$48)/12,0),0)</f>
        <v>-226099.63300681769</v>
      </c>
      <c r="LN102" s="479">
        <f>-IF(LN$7&gt;=$E102,IF(LN$7&lt;=$F102,($C$102*Mortgage!$C$48)/12,0),0)</f>
        <v>-226099.63300681769</v>
      </c>
      <c r="LO102" s="479">
        <f>-IF(LO$7&gt;=$E102,IF(LO$7&lt;=$F102,($C$102*Mortgage!$C$48)/12,0),0)</f>
        <v>-226099.63300681769</v>
      </c>
      <c r="LP102" s="479">
        <f>-IF(LP$7&gt;=$E102,IF(LP$7&lt;=$F102,($C$102*Mortgage!$C$48)/12,0),0)</f>
        <v>-226099.63300681769</v>
      </c>
      <c r="LQ102" s="479">
        <f>-IF(LQ$7&gt;=$E102,IF(LQ$7&lt;=$F102,($C$102*Mortgage!$C$48)/12,0),0)</f>
        <v>-226099.63300681769</v>
      </c>
      <c r="LR102" s="479">
        <f>-IF(LR$7&gt;=$E102,IF(LR$7&lt;=$F102,($C$102*Mortgage!$C$48)/12,0),0)</f>
        <v>-226099.63300681769</v>
      </c>
      <c r="LS102" s="479">
        <f>-IF(LS$7&gt;=$E102,IF(LS$7&lt;=$F102,($C$102*Mortgage!$C$48)/12,0),0)</f>
        <v>-226099.63300681769</v>
      </c>
      <c r="LT102" s="479">
        <f>-IF(LT$7&gt;=$E102,IF(LT$7&lt;=$F102,($C$102*Mortgage!$C$48)/12,0),0)</f>
        <v>-226099.63300681769</v>
      </c>
      <c r="LU102" s="479">
        <f>-IF(LU$7&gt;=$E102,IF(LU$7&lt;=$F102,($C$102*Mortgage!$C$48)/12,0),0)</f>
        <v>-226099.63300681769</v>
      </c>
      <c r="LV102" s="479">
        <f>-IF(LV$7&gt;=$E102,IF(LV$7&lt;=$F102,($C$102*Mortgage!$C$48)/12,0),0)</f>
        <v>-226099.63300681769</v>
      </c>
      <c r="LW102" s="479">
        <f>-IF(LW$7&gt;=$E102,IF(LW$7&lt;=$F102,($C$102*Mortgage!$C$48)/12,0),0)</f>
        <v>-226099.63300681769</v>
      </c>
      <c r="LX102" s="479">
        <f>-IF(LX$7&gt;=$E102,IF(LX$7&lt;=$F102,($C$102*Mortgage!$C$48)/12,0),0)</f>
        <v>-226099.63300681769</v>
      </c>
      <c r="LY102" s="479">
        <f>-IF(LY$7&gt;=$E102,IF(LY$7&lt;=$F102,($C$102*Mortgage!$C$48)/12,0),0)</f>
        <v>-226099.63300681769</v>
      </c>
      <c r="LZ102" s="479">
        <f>-IF(LZ$7&gt;=$E102,IF(LZ$7&lt;=$F102,($C$102*Mortgage!$C$48)/12,0),0)</f>
        <v>-226099.63300681769</v>
      </c>
      <c r="MA102" s="479">
        <f>-IF(MA$7&gt;=$E102,IF(MA$7&lt;=$F102,($C$102*Mortgage!$C$48)/12,0),0)</f>
        <v>-226099.63300681769</v>
      </c>
      <c r="MB102" s="479">
        <f>-IF(MB$7&gt;=$E102,IF(MB$7&lt;=$F102,($C$102*Mortgage!$C$48)/12,0),0)</f>
        <v>-226099.63300681769</v>
      </c>
      <c r="MC102" s="479">
        <f>-IF(MC$7&gt;=$E102,IF(MC$7&lt;=$F102,($C$102*Mortgage!$C$48)/12,0),0)</f>
        <v>-226099.63300681769</v>
      </c>
      <c r="MD102" s="479">
        <f>-IF(MD$7&gt;=$E102,IF(MD$7&lt;=$F102,($C$102*Mortgage!$C$48)/12,0),0)</f>
        <v>-226099.63300681769</v>
      </c>
      <c r="ME102" s="479">
        <f>-IF(ME$7&gt;=$E102,IF(ME$7&lt;=$F102,($C$102*Mortgage!$C$48)/12,0),0)</f>
        <v>-226099.63300681769</v>
      </c>
      <c r="MF102" s="479">
        <f>-IF(MF$7&gt;=$E102,IF(MF$7&lt;=$F102,($C$102*Mortgage!$C$48)/12,0),0)</f>
        <v>-226099.63300681769</v>
      </c>
      <c r="MG102" s="479">
        <f>-IF(MG$7&gt;=$E102,IF(MG$7&lt;=$F102,($C$102*Mortgage!$C$48)/12,0),0)</f>
        <v>-226099.63300681769</v>
      </c>
      <c r="MH102" s="479">
        <f>-IF(MH$7&gt;=$E102,IF(MH$7&lt;=$F102,($C$102*Mortgage!$C$48)/12,0),0)</f>
        <v>-226099.63300681769</v>
      </c>
      <c r="MI102" s="479">
        <f>-IF(MI$7&gt;=$E102,IF(MI$7&lt;=$F102,($C$102*Mortgage!$C$48)/12,0),0)</f>
        <v>-226099.63300681769</v>
      </c>
      <c r="MJ102" s="479">
        <f>-IF(MJ$7&gt;=$E102,IF(MJ$7&lt;=$F102,($C$102*Mortgage!$C$48)/12,0),0)</f>
        <v>-226099.63300681769</v>
      </c>
      <c r="MK102" s="479">
        <f>-IF(MK$7&gt;=$E102,IF(MK$7&lt;=$F102,($C$102*Mortgage!$C$48)/12,0),0)</f>
        <v>-226099.63300681769</v>
      </c>
      <c r="ML102" s="479">
        <f>-IF(ML$7&gt;=$E102,IF(ML$7&lt;=$F102,($C$102*Mortgage!$C$48)/12,0),0)</f>
        <v>-226099.63300681769</v>
      </c>
      <c r="MM102" s="479">
        <f>-IF(MM$7&gt;=$E102,IF(MM$7&lt;=$F102,($C$102*Mortgage!$C$48)/12,0),0)</f>
        <v>-226099.63300681769</v>
      </c>
      <c r="MN102" s="479">
        <f>-IF(MN$7&gt;=$E102,IF(MN$7&lt;=$F102,($C$102*Mortgage!$C$48)/12,0),0)</f>
        <v>-226099.63300681769</v>
      </c>
      <c r="MO102" s="479">
        <f>-IF(MO$7&gt;=$E102,IF(MO$7&lt;=$F102,($C$102*Mortgage!$C$48)/12,0),0)</f>
        <v>-226099.63300681769</v>
      </c>
      <c r="MP102" s="479">
        <f>-IF(MP$7&gt;=$E102,IF(MP$7&lt;=$F102,($C$102*Mortgage!$C$48)/12,0),0)</f>
        <v>-226099.63300681769</v>
      </c>
      <c r="MQ102" s="479">
        <f>-IF(MQ$7&gt;=$E102,IF(MQ$7&lt;=$F102,($C$102*Mortgage!$C$48)/12,0),0)</f>
        <v>-226099.63300681769</v>
      </c>
      <c r="MR102" s="479">
        <f>-IF(MR$7&gt;=$E102,IF(MR$7&lt;=$F102,($C$102*Mortgage!$C$48)/12,0),0)</f>
        <v>-226099.63300681769</v>
      </c>
      <c r="MS102" s="479">
        <f>-IF(MS$7&gt;=$E102,IF(MS$7&lt;=$F102,($C$102*Mortgage!$C$48)/12,0),0)</f>
        <v>-226099.63300681769</v>
      </c>
      <c r="MT102" s="479">
        <f>-IF(MT$7&gt;=$E102,IF(MT$7&lt;=$F102,($C$102*Mortgage!$C$48)/12,0),0)</f>
        <v>-226099.63300681769</v>
      </c>
      <c r="MU102" s="479">
        <f>-IF(MU$7&gt;=$E102,IF(MU$7&lt;=$F102,($C$102*Mortgage!$C$48)/12,0),0)</f>
        <v>-226099.63300681769</v>
      </c>
      <c r="MV102" s="479">
        <f>-IF(MV$7&gt;=$E102,IF(MV$7&lt;=$F102,($C$102*Mortgage!$C$48)/12,0),0)</f>
        <v>-226099.63300681769</v>
      </c>
      <c r="MW102" s="479">
        <f>-IF(MW$7&gt;=$E102,IF(MW$7&lt;=$F102,($C$102*Mortgage!$C$48)/12,0),0)</f>
        <v>-226099.63300681769</v>
      </c>
      <c r="MX102" s="479">
        <f>-IF(MX$7&gt;=$E102,IF(MX$7&lt;=$F102,($C$102*Mortgage!$C$48)/12,0),0)</f>
        <v>-226099.63300681769</v>
      </c>
      <c r="MY102" s="479">
        <f>-IF(MY$7&gt;=$E102,IF(MY$7&lt;=$F102,($C$102*Mortgage!$C$48)/12,0),0)</f>
        <v>-226099.63300681769</v>
      </c>
      <c r="MZ102" s="479">
        <f>-IF(MZ$7&gt;=$E102,IF(MZ$7&lt;=$F102,($C$102*Mortgage!$C$48)/12,0),0)</f>
        <v>-226099.63300681769</v>
      </c>
      <c r="NA102" s="479">
        <f>-IF(NA$7&gt;=$E102,IF(NA$7&lt;=$F102,($C$102*Mortgage!$C$48)/12,0),0)</f>
        <v>-226099.63300681769</v>
      </c>
      <c r="NB102" s="479">
        <f>-IF(NB$7&gt;=$E102,IF(NB$7&lt;=$F102,($C$102*Mortgage!$C$48)/12,0),0)</f>
        <v>-226099.63300681769</v>
      </c>
      <c r="NC102" s="479">
        <f>-IF(NC$7&gt;=$E102,IF(NC$7&lt;=$F102,($C$102*Mortgage!$C$48)/12,0),0)</f>
        <v>-226099.63300681769</v>
      </c>
      <c r="ND102" s="479">
        <f>-IF(ND$7&gt;=$E102,IF(ND$7&lt;=$F102,($C$102*Mortgage!$C$48)/12,0),0)</f>
        <v>-226099.63300681769</v>
      </c>
      <c r="NE102" s="479">
        <f>-IF(NE$7&gt;=$E102,IF(NE$7&lt;=$F102,($C$102*Mortgage!$C$48)/12,0),0)</f>
        <v>-226099.63300681769</v>
      </c>
      <c r="NF102" s="479">
        <f>-IF(NF$7&gt;=$E102,IF(NF$7&lt;=$F102,($C$102*Mortgage!$C$48)/12,0),0)</f>
        <v>-226099.63300681769</v>
      </c>
      <c r="NG102" s="479">
        <f>-IF(NG$7&gt;=$E102,IF(NG$7&lt;=$F102,($C$102*Mortgage!$C$48)/12,0),0)</f>
        <v>-226099.63300681769</v>
      </c>
      <c r="NH102" s="479">
        <f>-IF(NH$7&gt;=$E102,IF(NH$7&lt;=$F102,($C$102*Mortgage!$C$48)/12,0),0)</f>
        <v>-226099.63300681769</v>
      </c>
      <c r="NI102" s="479">
        <f>-IF(NI$7&gt;=$E102,IF(NI$7&lt;=$F102,($C$102*Mortgage!$C$48)/12,0),0)</f>
        <v>-226099.63300681769</v>
      </c>
      <c r="NJ102" s="479">
        <f>-IF(NJ$7&gt;=$E102,IF(NJ$7&lt;=$F102,($C$102*Mortgage!$C$48)/12,0),0)</f>
        <v>-226099.63300681769</v>
      </c>
      <c r="NK102" s="479">
        <f>-IF(NK$7&gt;=$E102,IF(NK$7&lt;=$F102,($C$102*Mortgage!$C$48)/12,0),0)</f>
        <v>-226099.63300681769</v>
      </c>
      <c r="NL102" s="479">
        <f>-IF(NL$7&gt;=$E102,IF(NL$7&lt;=$F102,($C$102*Mortgage!$C$48)/12,0),0)</f>
        <v>-226099.63300681769</v>
      </c>
      <c r="NM102" s="479">
        <f>-IF(NM$7&gt;=$E102,IF(NM$7&lt;=$F102,($C$102*Mortgage!$C$48)/12,0),0)</f>
        <v>-226099.63300681769</v>
      </c>
      <c r="NN102" s="479">
        <f>-IF(NN$7&gt;=$E102,IF(NN$7&lt;=$F102,($C$102*Mortgage!$C$48)/12,0),0)</f>
        <v>-226099.63300681769</v>
      </c>
      <c r="NO102" s="479">
        <f>-IF(NO$7&gt;=$E102,IF(NO$7&lt;=$F102,($C$102*Mortgage!$C$48)/12,0),0)</f>
        <v>-226099.63300681769</v>
      </c>
      <c r="NP102" s="479">
        <f>-IF(NP$7&gt;=$E102,IF(NP$7&lt;=$F102,($C$102*Mortgage!$C$48)/12,0),0)</f>
        <v>-226099.63300681769</v>
      </c>
      <c r="NQ102" s="479">
        <f>-IF(NQ$7&gt;=$E102,IF(NQ$7&lt;=$F102,($C$102*Mortgage!$C$48)/12,0),0)</f>
        <v>-226099.63300681769</v>
      </c>
      <c r="NR102" s="479">
        <f>-IF(NR$7&gt;=$E102,IF(NR$7&lt;=$F102,($C$102*Mortgage!$C$48)/12,0),0)</f>
        <v>-226099.63300681769</v>
      </c>
      <c r="NS102" s="479">
        <f>-IF(NS$7&gt;=$E102,IF(NS$7&lt;=$F102,($C$102*Mortgage!$C$48)/12,0),0)</f>
        <v>-226099.63300681769</v>
      </c>
      <c r="NT102" s="479">
        <f>-IF(NT$7&gt;=$E102,IF(NT$7&lt;=$F102,($C$102*Mortgage!$C$48)/12,0),0)</f>
        <v>-226099.63300681769</v>
      </c>
      <c r="NU102" s="479">
        <f>-IF(NU$7&gt;=$E102,IF(NU$7&lt;=$F102,($C$102*Mortgage!$C$48)/12,0),0)</f>
        <v>-226099.63300681769</v>
      </c>
      <c r="NV102" s="479">
        <f>-IF(NV$7&gt;=$E102,IF(NV$7&lt;=$F102,($C$102*Mortgage!$C$48)/12,0),0)</f>
        <v>-226099.63300681769</v>
      </c>
      <c r="NW102" s="479">
        <f>-IF(NW$7&gt;=$E102,IF(NW$7&lt;=$F102,($C$102*Mortgage!$C$48)/12,0),0)</f>
        <v>-226099.63300681769</v>
      </c>
      <c r="NX102" s="479">
        <f>-IF(NX$7&gt;=$E102,IF(NX$7&lt;=$F102,($C$102*Mortgage!$C$48)/12,0),0)</f>
        <v>-226099.63300681769</v>
      </c>
      <c r="NY102" s="479">
        <f>-IF(NY$7&gt;=$E102,IF(NY$7&lt;=$F102,($C$102*Mortgage!$C$48)/12,0),0)</f>
        <v>-226099.63300681769</v>
      </c>
      <c r="NZ102" s="479">
        <f>-IF(NZ$7&gt;=$E102,IF(NZ$7&lt;=$F102,($C$102*Mortgage!$C$48)/12,0),0)</f>
        <v>-226099.63300681769</v>
      </c>
      <c r="OA102" s="479">
        <f>-IF(OA$7&gt;=$E102,IF(OA$7&lt;=$F102,($C$102*Mortgage!$C$48)/12,0),0)</f>
        <v>-226099.63300681769</v>
      </c>
      <c r="OB102" s="479">
        <f>-IF(OB$7&gt;=$E102,IF(OB$7&lt;=$F102,($C$102*Mortgage!$C$48)/12,0),0)</f>
        <v>-226099.63300681769</v>
      </c>
      <c r="OC102" s="479">
        <f>-IF(OC$7&gt;=$E102,IF(OC$7&lt;=$F102,($C$102*Mortgage!$C$48)/12,0),0)</f>
        <v>-226099.63300681769</v>
      </c>
      <c r="OD102" s="479">
        <f>-IF(OD$7&gt;=$E102,IF(OD$7&lt;=$F102,($C$102*Mortgage!$C$48)/12,0),0)</f>
        <v>-226099.63300681769</v>
      </c>
      <c r="OE102" s="479">
        <f>-IF(OE$7&gt;=$E102,IF(OE$7&lt;=$F102,($C$102*Mortgage!$C$48)/12,0),0)</f>
        <v>-226099.63300681769</v>
      </c>
      <c r="OF102" s="479">
        <f>-IF(OF$7&gt;=$E102,IF(OF$7&lt;=$F102,($C$102*Mortgage!$C$48)/12,0),0)</f>
        <v>-226099.63300681769</v>
      </c>
      <c r="OG102" s="479">
        <f>-IF(OG$7&gt;=$E102,IF(OG$7&lt;=$F102,($C$102*Mortgage!$C$48)/12,0),0)</f>
        <v>-226099.63300681769</v>
      </c>
      <c r="OH102" s="479">
        <f>-IF(OH$7&gt;=$E102,IF(OH$7&lt;=$F102,($C$102*Mortgage!$C$48)/12,0),0)</f>
        <v>-226099.63300681769</v>
      </c>
      <c r="OI102" s="479">
        <f>-IF(OI$7&gt;=$E102,IF(OI$7&lt;=$F102,($C$102*Mortgage!$C$48)/12,0),0)</f>
        <v>-226099.63300681769</v>
      </c>
      <c r="OJ102" s="479">
        <f>-IF(OJ$7&gt;=$E102,IF(OJ$7&lt;=$F102,($C$102*Mortgage!$C$48)/12,0),0)</f>
        <v>-226099.63300681769</v>
      </c>
      <c r="OK102" s="479">
        <f>-IF(OK$7&gt;=$E102,IF(OK$7&lt;=$F102,($C$102*Mortgage!$C$48)/12,0),0)</f>
        <v>-226099.63300681769</v>
      </c>
      <c r="OL102" s="479">
        <f>-IF(OL$7&gt;=$E102,IF(OL$7&lt;=$F102,($C$102*Mortgage!$C$48)/12,0),0)</f>
        <v>-226099.63300681769</v>
      </c>
      <c r="OM102" s="479">
        <f>-IF(OM$7&gt;=$E102,IF(OM$7&lt;=$F102,($C$102*Mortgage!$C$48)/12,0),0)</f>
        <v>-226099.63300681769</v>
      </c>
      <c r="ON102" s="479">
        <f>-IF(ON$7&gt;=$E102,IF(ON$7&lt;=$F102,($C$102*Mortgage!$C$48)/12,0),0)</f>
        <v>-226099.63300681769</v>
      </c>
      <c r="OO102" s="528">
        <f>-IF(OO$7&gt;=$E102,IF(OO$7&lt;=$F102,($C$102*Mortgage!$C$48)/12,0),0)</f>
        <v>-226099.63300681769</v>
      </c>
    </row>
    <row r="103" spans="2:405">
      <c r="B103" s="62"/>
      <c r="D103" s="171"/>
      <c r="OO103" s="65"/>
    </row>
    <row r="104" spans="2:405">
      <c r="B104" s="62" t="s">
        <v>441</v>
      </c>
      <c r="C104" s="450">
        <f>'Construction Interest'!C28</f>
        <v>5.0000000000000001E-3</v>
      </c>
      <c r="D104" s="171"/>
      <c r="E104" s="507">
        <f>Assumptions!$C$13</f>
        <v>47330</v>
      </c>
      <c r="F104" s="507">
        <f>EOMONTH(E104,Assumptions!$C$14-1)</f>
        <v>58256</v>
      </c>
      <c r="G104" s="97">
        <f t="shared" ref="G104" si="556">((YEAR(F104)-YEAR(E104))*12+MONTH(F104)-MONTH(E104)+1)</f>
        <v>360</v>
      </c>
      <c r="J104" s="479">
        <f>-IF(J$7&gt;=$E104,IF(J$7&lt;=$F104,($C$104*Mortgage!$C$63)/12,0),0)</f>
        <v>0</v>
      </c>
      <c r="K104" s="479">
        <f>-IF(K$7&gt;=$E104,IF(K$7&lt;=$F104,($C$104*Mortgage!$C$63)/12,0),0)</f>
        <v>0</v>
      </c>
      <c r="L104" s="479">
        <f>-IF(L$7&gt;=$E104,IF(L$7&lt;=$F104,($C$104*Mortgage!$C$63)/12,0),0)</f>
        <v>0</v>
      </c>
      <c r="M104" s="479">
        <f>-IF(M$7&gt;=$E104,IF(M$7&lt;=$F104,($C$104*Mortgage!$C$63)/12,0),0)</f>
        <v>0</v>
      </c>
      <c r="N104" s="479">
        <f>-IF(N$7&gt;=$E104,IF(N$7&lt;=$F104,($C$104*Mortgage!$C$63)/12,0),0)</f>
        <v>0</v>
      </c>
      <c r="O104" s="479">
        <f>-IF(O$7&gt;=$E104,IF(O$7&lt;=$F104,($C$104*Mortgage!$C$63)/12,0),0)</f>
        <v>0</v>
      </c>
      <c r="P104" s="479">
        <f>-IF(P$7&gt;=$E104,IF(P$7&lt;=$F104,($C$104*Mortgage!$C$63)/12,0),0)</f>
        <v>0</v>
      </c>
      <c r="Q104" s="479">
        <f>-IF(Q$7&gt;=$E104,IF(Q$7&lt;=$F104,($C$104*Mortgage!$C$63)/12,0),0)</f>
        <v>0</v>
      </c>
      <c r="R104" s="479">
        <f>-IF(R$7&gt;=$E104,IF(R$7&lt;=$F104,($C$104*Mortgage!$C$63)/12,0),0)</f>
        <v>0</v>
      </c>
      <c r="S104" s="479">
        <f>-IF(S$7&gt;=$E104,IF(S$7&lt;=$F104,($C$104*Mortgage!$C$63)/12,0),0)</f>
        <v>0</v>
      </c>
      <c r="T104" s="479">
        <f>-IF(T$7&gt;=$E104,IF(T$7&lt;=$F104,($C$104*Mortgage!$C$63)/12,0),0)</f>
        <v>0</v>
      </c>
      <c r="U104" s="479">
        <f>-IF(U$7&gt;=$E104,IF(U$7&lt;=$F104,($C$104*Mortgage!$C$63)/12,0),0)</f>
        <v>0</v>
      </c>
      <c r="V104" s="479">
        <f>-IF(V$7&gt;=$E104,IF(V$7&lt;=$F104,($C$104*Mortgage!$C$63)/12,0),0)</f>
        <v>0</v>
      </c>
      <c r="W104" s="479">
        <f>-IF(W$7&gt;=$E104,IF(W$7&lt;=$F104,($C$104*Mortgage!$C$63)/12,0),0)</f>
        <v>0</v>
      </c>
      <c r="X104" s="479">
        <f>-IF(X$7&gt;=$E104,IF(X$7&lt;=$F104,($C$104*Mortgage!$C$63)/12,0),0)</f>
        <v>0</v>
      </c>
      <c r="Y104" s="479">
        <f>-IF(Y$7&gt;=$E104,IF(Y$7&lt;=$F104,($C$104*Mortgage!$C$63)/12,0),0)</f>
        <v>0</v>
      </c>
      <c r="Z104" s="479">
        <f>-IF(Z$7&gt;=$E104,IF(Z$7&lt;=$F104,($C$104*Mortgage!$C$63)/12,0),0)</f>
        <v>0</v>
      </c>
      <c r="AA104" s="479">
        <f>-IF(AA$7&gt;=$E104,IF(AA$7&lt;=$F104,($C$104*Mortgage!$C$63)/12,0),0)</f>
        <v>0</v>
      </c>
      <c r="AB104" s="479">
        <f>-IF(AB$7&gt;=$E104,IF(AB$7&lt;=$F104,($C$104*Mortgage!$C$63)/12,0),0)</f>
        <v>0</v>
      </c>
      <c r="AC104" s="479">
        <f>-IF(AC$7&gt;=$E104,IF(AC$7&lt;=$F104,($C$104*Mortgage!$C$63)/12,0),0)</f>
        <v>0</v>
      </c>
      <c r="AD104" s="479">
        <f>-IF(AD$7&gt;=$E104,IF(AD$7&lt;=$F104,($C$104*Mortgage!$C$63)/12,0),0)</f>
        <v>0</v>
      </c>
      <c r="AE104" s="479">
        <f>-IF(AE$7&gt;=$E104,IF(AE$7&lt;=$F104,($C$104*Mortgage!$C$63)/12,0),0)</f>
        <v>0</v>
      </c>
      <c r="AF104" s="479">
        <f>-IF(AF$7&gt;=$E104,IF(AF$7&lt;=$F104,($C$104*Mortgage!$C$63)/12,0),0)</f>
        <v>0</v>
      </c>
      <c r="AG104" s="479">
        <f>-IF(AG$7&gt;=$E104,IF(AG$7&lt;=$F104,($C$104*Mortgage!$C$63)/12,0),0)</f>
        <v>0</v>
      </c>
      <c r="AH104" s="479">
        <f>-IF(AH$7&gt;=$E104,IF(AH$7&lt;=$F104,($C$104*Mortgage!$C$63)/12,0),0)</f>
        <v>0</v>
      </c>
      <c r="AI104" s="479">
        <f>-IF(AI$7&gt;=$E104,IF(AI$7&lt;=$F104,($C$104*Mortgage!$C$63)/12,0),0)</f>
        <v>0</v>
      </c>
      <c r="AJ104" s="479">
        <f>-IF(AJ$7&gt;=$E104,IF(AJ$7&lt;=$F104,($C$104*Mortgage!$C$63)/12,0),0)</f>
        <v>0</v>
      </c>
      <c r="AK104" s="479">
        <f>-IF(AK$7&gt;=$E104,IF(AK$7&lt;=$F104,($C$104*Mortgage!$C$63)/12,0),0)</f>
        <v>0</v>
      </c>
      <c r="AL104" s="479">
        <f>-IF(AL$7&gt;=$E104,IF(AL$7&lt;=$F104,($C$104*Mortgage!$C$63)/12,0),0)</f>
        <v>0</v>
      </c>
      <c r="AM104" s="479">
        <f>-IF(AM$7&gt;=$E104,IF(AM$7&lt;=$F104,($C$104*Mortgage!$C$63)/12,0),0)</f>
        <v>0</v>
      </c>
      <c r="AN104" s="479">
        <f>-IF(AN$7&gt;=$E104,IF(AN$7&lt;=$F104,($C$104*Mortgage!$C$63)/12,0),0)</f>
        <v>0</v>
      </c>
      <c r="AO104" s="479">
        <f>-IF(AO$7&gt;=$E104,IF(AO$7&lt;=$F104,($C$104*Mortgage!$C$63)/12,0),0)</f>
        <v>0</v>
      </c>
      <c r="AP104" s="479">
        <f>-IF(AP$7&gt;=$E104,IF(AP$7&lt;=$F104,($C$104*Mortgage!$C$63)/12,0),0)</f>
        <v>0</v>
      </c>
      <c r="AQ104" s="479">
        <f>-IF(AQ$7&gt;=$E104,IF(AQ$7&lt;=$F104,($C$104*Mortgage!$C$63)/12,0),0)</f>
        <v>0</v>
      </c>
      <c r="AR104" s="479">
        <f>-IF(AR$7&gt;=$E104,IF(AR$7&lt;=$F104,($C$104*Mortgage!$C$63)/12,0),0)</f>
        <v>0</v>
      </c>
      <c r="AS104" s="479">
        <f>-IF(AS$7&gt;=$E104,IF(AS$7&lt;=$F104,($C$104*Mortgage!$C$63)/12,0),0)</f>
        <v>0</v>
      </c>
      <c r="AT104" s="479">
        <f>-IF(AT$7&gt;=$E104,IF(AT$7&lt;=$F104,($C$104*Mortgage!$C$63)/12,0),0)</f>
        <v>-21866.666666666668</v>
      </c>
      <c r="AU104" s="479">
        <f>-IF(AU$7&gt;=$E104,IF(AU$7&lt;=$F104,($C$104*Mortgage!$C$63)/12,0),0)</f>
        <v>-21866.666666666668</v>
      </c>
      <c r="AV104" s="479">
        <f>-IF(AV$7&gt;=$E104,IF(AV$7&lt;=$F104,($C$104*Mortgage!$C$63)/12,0),0)</f>
        <v>-21866.666666666668</v>
      </c>
      <c r="AW104" s="479">
        <f>-IF(AW$7&gt;=$E104,IF(AW$7&lt;=$F104,($C$104*Mortgage!$C$63)/12,0),0)</f>
        <v>-21866.666666666668</v>
      </c>
      <c r="AX104" s="479">
        <f>-IF(AX$7&gt;=$E104,IF(AX$7&lt;=$F104,($C$104*Mortgage!$C$63)/12,0),0)</f>
        <v>-21866.666666666668</v>
      </c>
      <c r="AY104" s="479">
        <f>-IF(AY$7&gt;=$E104,IF(AY$7&lt;=$F104,($C$104*Mortgage!$C$63)/12,0),0)</f>
        <v>-21866.666666666668</v>
      </c>
      <c r="AZ104" s="479">
        <f>-IF(AZ$7&gt;=$E104,IF(AZ$7&lt;=$F104,($C$104*Mortgage!$C$63)/12,0),0)</f>
        <v>-21866.666666666668</v>
      </c>
      <c r="BA104" s="479">
        <f>-IF(BA$7&gt;=$E104,IF(BA$7&lt;=$F104,($C$104*Mortgage!$C$63)/12,0),0)</f>
        <v>-21866.666666666668</v>
      </c>
      <c r="BB104" s="479">
        <f>-IF(BB$7&gt;=$E104,IF(BB$7&lt;=$F104,($C$104*Mortgage!$C$63)/12,0),0)</f>
        <v>-21866.666666666668</v>
      </c>
      <c r="BC104" s="479">
        <f>-IF(BC$7&gt;=$E104,IF(BC$7&lt;=$F104,($C$104*Mortgage!$C$63)/12,0),0)</f>
        <v>-21866.666666666668</v>
      </c>
      <c r="BD104" s="479">
        <f>-IF(BD$7&gt;=$E104,IF(BD$7&lt;=$F104,($C$104*Mortgage!$C$63)/12,0),0)</f>
        <v>-21866.666666666668</v>
      </c>
      <c r="BE104" s="479">
        <f>-IF(BE$7&gt;=$E104,IF(BE$7&lt;=$F104,($C$104*Mortgage!$C$63)/12,0),0)</f>
        <v>-21866.666666666668</v>
      </c>
      <c r="BF104" s="479">
        <f>-IF(BF$7&gt;=$E104,IF(BF$7&lt;=$F104,($C$104*Mortgage!$C$63)/12,0),0)</f>
        <v>-21866.666666666668</v>
      </c>
      <c r="BG104" s="479">
        <f>-IF(BG$7&gt;=$E104,IF(BG$7&lt;=$F104,($C$104*Mortgage!$C$63)/12,0),0)</f>
        <v>-21866.666666666668</v>
      </c>
      <c r="BH104" s="479">
        <f>-IF(BH$7&gt;=$E104,IF(BH$7&lt;=$F104,($C$104*Mortgage!$C$63)/12,0),0)</f>
        <v>-21866.666666666668</v>
      </c>
      <c r="BI104" s="479">
        <f>-IF(BI$7&gt;=$E104,IF(BI$7&lt;=$F104,($C$104*Mortgage!$C$63)/12,0),0)</f>
        <v>-21866.666666666668</v>
      </c>
      <c r="BJ104" s="479">
        <f>-IF(BJ$7&gt;=$E104,IF(BJ$7&lt;=$F104,($C$104*Mortgage!$C$63)/12,0),0)</f>
        <v>-21866.666666666668</v>
      </c>
      <c r="BK104" s="479">
        <f>-IF(BK$7&gt;=$E104,IF(BK$7&lt;=$F104,($C$104*Mortgage!$C$63)/12,0),0)</f>
        <v>-21866.666666666668</v>
      </c>
      <c r="BL104" s="479">
        <f>-IF(BL$7&gt;=$E104,IF(BL$7&lt;=$F104,($C$104*Mortgage!$C$63)/12,0),0)</f>
        <v>-21866.666666666668</v>
      </c>
      <c r="BM104" s="479">
        <f>-IF(BM$7&gt;=$E104,IF(BM$7&lt;=$F104,($C$104*Mortgage!$C$63)/12,0),0)</f>
        <v>-21866.666666666668</v>
      </c>
      <c r="BN104" s="479">
        <f>-IF(BN$7&gt;=$E104,IF(BN$7&lt;=$F104,($C$104*Mortgage!$C$63)/12,0),0)</f>
        <v>-21866.666666666668</v>
      </c>
      <c r="BO104" s="479">
        <f>-IF(BO$7&gt;=$E104,IF(BO$7&lt;=$F104,($C$104*Mortgage!$C$63)/12,0),0)</f>
        <v>-21866.666666666668</v>
      </c>
      <c r="BP104" s="479">
        <f>-IF(BP$7&gt;=$E104,IF(BP$7&lt;=$F104,($C$104*Mortgage!$C$63)/12,0),0)</f>
        <v>-21866.666666666668</v>
      </c>
      <c r="BQ104" s="479">
        <f>-IF(BQ$7&gt;=$E104,IF(BQ$7&lt;=$F104,($C$104*Mortgage!$C$63)/12,0),0)</f>
        <v>-21866.666666666668</v>
      </c>
      <c r="BR104" s="479">
        <f>-IF(BR$7&gt;=$E104,IF(BR$7&lt;=$F104,($C$104*Mortgage!$C$63)/12,0),0)</f>
        <v>-21866.666666666668</v>
      </c>
      <c r="BS104" s="479">
        <f>-IF(BS$7&gt;=$E104,IF(BS$7&lt;=$F104,($C$104*Mortgage!$C$63)/12,0),0)</f>
        <v>-21866.666666666668</v>
      </c>
      <c r="BT104" s="479">
        <f>-IF(BT$7&gt;=$E104,IF(BT$7&lt;=$F104,($C$104*Mortgage!$C$63)/12,0),0)</f>
        <v>-21866.666666666668</v>
      </c>
      <c r="BU104" s="479">
        <f>-IF(BU$7&gt;=$E104,IF(BU$7&lt;=$F104,($C$104*Mortgage!$C$63)/12,0),0)</f>
        <v>-21866.666666666668</v>
      </c>
      <c r="BV104" s="479">
        <f>-IF(BV$7&gt;=$E104,IF(BV$7&lt;=$F104,($C$104*Mortgage!$C$63)/12,0),0)</f>
        <v>-21866.666666666668</v>
      </c>
      <c r="BW104" s="479">
        <f>-IF(BW$7&gt;=$E104,IF(BW$7&lt;=$F104,($C$104*Mortgage!$C$63)/12,0),0)</f>
        <v>-21866.666666666668</v>
      </c>
      <c r="BX104" s="479">
        <f>-IF(BX$7&gt;=$E104,IF(BX$7&lt;=$F104,($C$104*Mortgage!$C$63)/12,0),0)</f>
        <v>-21866.666666666668</v>
      </c>
      <c r="BY104" s="479">
        <f>-IF(BY$7&gt;=$E104,IF(BY$7&lt;=$F104,($C$104*Mortgage!$C$63)/12,0),0)</f>
        <v>-21866.666666666668</v>
      </c>
      <c r="BZ104" s="479">
        <f>-IF(BZ$7&gt;=$E104,IF(BZ$7&lt;=$F104,($C$104*Mortgage!$C$63)/12,0),0)</f>
        <v>-21866.666666666668</v>
      </c>
      <c r="CA104" s="479">
        <f>-IF(CA$7&gt;=$E104,IF(CA$7&lt;=$F104,($C$104*Mortgage!$C$63)/12,0),0)</f>
        <v>-21866.666666666668</v>
      </c>
      <c r="CB104" s="479">
        <f>-IF(CB$7&gt;=$E104,IF(CB$7&lt;=$F104,($C$104*Mortgage!$C$63)/12,0),0)</f>
        <v>-21866.666666666668</v>
      </c>
      <c r="CC104" s="479">
        <f>-IF(CC$7&gt;=$E104,IF(CC$7&lt;=$F104,($C$104*Mortgage!$C$63)/12,0),0)</f>
        <v>-21866.666666666668</v>
      </c>
      <c r="CD104" s="479">
        <f>-IF(CD$7&gt;=$E104,IF(CD$7&lt;=$F104,($C$104*Mortgage!$C$63)/12,0),0)</f>
        <v>-21866.666666666668</v>
      </c>
      <c r="CE104" s="479">
        <f>-IF(CE$7&gt;=$E104,IF(CE$7&lt;=$F104,($C$104*Mortgage!$C$63)/12,0),0)</f>
        <v>-21866.666666666668</v>
      </c>
      <c r="CF104" s="479">
        <f>-IF(CF$7&gt;=$E104,IF(CF$7&lt;=$F104,($C$104*Mortgage!$C$63)/12,0),0)</f>
        <v>-21866.666666666668</v>
      </c>
      <c r="CG104" s="479">
        <f>-IF(CG$7&gt;=$E104,IF(CG$7&lt;=$F104,($C$104*Mortgage!$C$63)/12,0),0)</f>
        <v>-21866.666666666668</v>
      </c>
      <c r="CH104" s="479">
        <f>-IF(CH$7&gt;=$E104,IF(CH$7&lt;=$F104,($C$104*Mortgage!$C$63)/12,0),0)</f>
        <v>-21866.666666666668</v>
      </c>
      <c r="CI104" s="479">
        <f>-IF(CI$7&gt;=$E104,IF(CI$7&lt;=$F104,($C$104*Mortgage!$C$63)/12,0),0)</f>
        <v>-21866.666666666668</v>
      </c>
      <c r="CJ104" s="479">
        <f>-IF(CJ$7&gt;=$E104,IF(CJ$7&lt;=$F104,($C$104*Mortgage!$C$63)/12,0),0)</f>
        <v>-21866.666666666668</v>
      </c>
      <c r="CK104" s="479">
        <f>-IF(CK$7&gt;=$E104,IF(CK$7&lt;=$F104,($C$104*Mortgage!$C$63)/12,0),0)</f>
        <v>-21866.666666666668</v>
      </c>
      <c r="CL104" s="479">
        <f>-IF(CL$7&gt;=$E104,IF(CL$7&lt;=$F104,($C$104*Mortgage!$C$63)/12,0),0)</f>
        <v>-21866.666666666668</v>
      </c>
      <c r="CM104" s="479">
        <f>-IF(CM$7&gt;=$E104,IF(CM$7&lt;=$F104,($C$104*Mortgage!$C$63)/12,0),0)</f>
        <v>-21866.666666666668</v>
      </c>
      <c r="CN104" s="479">
        <f>-IF(CN$7&gt;=$E104,IF(CN$7&lt;=$F104,($C$104*Mortgage!$C$63)/12,0),0)</f>
        <v>-21866.666666666668</v>
      </c>
      <c r="CO104" s="479">
        <f>-IF(CO$7&gt;=$E104,IF(CO$7&lt;=$F104,($C$104*Mortgage!$C$63)/12,0),0)</f>
        <v>-21866.666666666668</v>
      </c>
      <c r="CP104" s="479">
        <f>-IF(CP$7&gt;=$E104,IF(CP$7&lt;=$F104,($C$104*Mortgage!$C$63)/12,0),0)</f>
        <v>-21866.666666666668</v>
      </c>
      <c r="CQ104" s="479">
        <f>-IF(CQ$7&gt;=$E104,IF(CQ$7&lt;=$F104,($C$104*Mortgage!$C$63)/12,0),0)</f>
        <v>-21866.666666666668</v>
      </c>
      <c r="CR104" s="479">
        <f>-IF(CR$7&gt;=$E104,IF(CR$7&lt;=$F104,($C$104*Mortgage!$C$63)/12,0),0)</f>
        <v>-21866.666666666668</v>
      </c>
      <c r="CS104" s="479">
        <f>-IF(CS$7&gt;=$E104,IF(CS$7&lt;=$F104,($C$104*Mortgage!$C$63)/12,0),0)</f>
        <v>-21866.666666666668</v>
      </c>
      <c r="CT104" s="479">
        <f>-IF(CT$7&gt;=$E104,IF(CT$7&lt;=$F104,($C$104*Mortgage!$C$63)/12,0),0)</f>
        <v>-21866.666666666668</v>
      </c>
      <c r="CU104" s="479">
        <f>-IF(CU$7&gt;=$E104,IF(CU$7&lt;=$F104,($C$104*Mortgage!$C$63)/12,0),0)</f>
        <v>-21866.666666666668</v>
      </c>
      <c r="CV104" s="479">
        <f>-IF(CV$7&gt;=$E104,IF(CV$7&lt;=$F104,($C$104*Mortgage!$C$63)/12,0),0)</f>
        <v>-21866.666666666668</v>
      </c>
      <c r="CW104" s="479">
        <f>-IF(CW$7&gt;=$E104,IF(CW$7&lt;=$F104,($C$104*Mortgage!$C$63)/12,0),0)</f>
        <v>-21866.666666666668</v>
      </c>
      <c r="CX104" s="479">
        <f>-IF(CX$7&gt;=$E104,IF(CX$7&lt;=$F104,($C$104*Mortgage!$C$63)/12,0),0)</f>
        <v>-21866.666666666668</v>
      </c>
      <c r="CY104" s="479">
        <f>-IF(CY$7&gt;=$E104,IF(CY$7&lt;=$F104,($C$104*Mortgage!$C$63)/12,0),0)</f>
        <v>-21866.666666666668</v>
      </c>
      <c r="CZ104" s="479">
        <f>-IF(CZ$7&gt;=$E104,IF(CZ$7&lt;=$F104,($C$104*Mortgage!$C$63)/12,0),0)</f>
        <v>-21866.666666666668</v>
      </c>
      <c r="DA104" s="479">
        <f>-IF(DA$7&gt;=$E104,IF(DA$7&lt;=$F104,($C$104*Mortgage!$C$63)/12,0),0)</f>
        <v>-21866.666666666668</v>
      </c>
      <c r="DB104" s="479">
        <f>-IF(DB$7&gt;=$E104,IF(DB$7&lt;=$F104,($C$104*Mortgage!$C$63)/12,0),0)</f>
        <v>-21866.666666666668</v>
      </c>
      <c r="DC104" s="479">
        <f>-IF(DC$7&gt;=$E104,IF(DC$7&lt;=$F104,($C$104*Mortgage!$C$63)/12,0),0)</f>
        <v>-21866.666666666668</v>
      </c>
      <c r="DD104" s="479">
        <f>-IF(DD$7&gt;=$E104,IF(DD$7&lt;=$F104,($C$104*Mortgage!$C$63)/12,0),0)</f>
        <v>-21866.666666666668</v>
      </c>
      <c r="DE104" s="479">
        <f>-IF(DE$7&gt;=$E104,IF(DE$7&lt;=$F104,($C$104*Mortgage!$C$63)/12,0),0)</f>
        <v>-21866.666666666668</v>
      </c>
      <c r="DF104" s="479">
        <f>-IF(DF$7&gt;=$E104,IF(DF$7&lt;=$F104,($C$104*Mortgage!$C$63)/12,0),0)</f>
        <v>-21866.666666666668</v>
      </c>
      <c r="DG104" s="479">
        <f>-IF(DG$7&gt;=$E104,IF(DG$7&lt;=$F104,($C$104*Mortgage!$C$63)/12,0),0)</f>
        <v>-21866.666666666668</v>
      </c>
      <c r="DH104" s="479">
        <f>-IF(DH$7&gt;=$E104,IF(DH$7&lt;=$F104,($C$104*Mortgage!$C$63)/12,0),0)</f>
        <v>-21866.666666666668</v>
      </c>
      <c r="DI104" s="479">
        <f>-IF(DI$7&gt;=$E104,IF(DI$7&lt;=$F104,($C$104*Mortgage!$C$63)/12,0),0)</f>
        <v>-21866.666666666668</v>
      </c>
      <c r="DJ104" s="479">
        <f>-IF(DJ$7&gt;=$E104,IF(DJ$7&lt;=$F104,($C$104*Mortgage!$C$63)/12,0),0)</f>
        <v>-21866.666666666668</v>
      </c>
      <c r="DK104" s="479">
        <f>-IF(DK$7&gt;=$E104,IF(DK$7&lt;=$F104,($C$104*Mortgage!$C$63)/12,0),0)</f>
        <v>-21866.666666666668</v>
      </c>
      <c r="DL104" s="479">
        <f>-IF(DL$7&gt;=$E104,IF(DL$7&lt;=$F104,($C$104*Mortgage!$C$63)/12,0),0)</f>
        <v>-21866.666666666668</v>
      </c>
      <c r="DM104" s="479">
        <f>-IF(DM$7&gt;=$E104,IF(DM$7&lt;=$F104,($C$104*Mortgage!$C$63)/12,0),0)</f>
        <v>-21866.666666666668</v>
      </c>
      <c r="DN104" s="479">
        <f>-IF(DN$7&gt;=$E104,IF(DN$7&lt;=$F104,($C$104*Mortgage!$C$63)/12,0),0)</f>
        <v>-21866.666666666668</v>
      </c>
      <c r="DO104" s="479">
        <f>-IF(DO$7&gt;=$E104,IF(DO$7&lt;=$F104,($C$104*Mortgage!$C$63)/12,0),0)</f>
        <v>-21866.666666666668</v>
      </c>
      <c r="DP104" s="479">
        <f>-IF(DP$7&gt;=$E104,IF(DP$7&lt;=$F104,($C$104*Mortgage!$C$63)/12,0),0)</f>
        <v>-21866.666666666668</v>
      </c>
      <c r="DQ104" s="479">
        <f>-IF(DQ$7&gt;=$E104,IF(DQ$7&lt;=$F104,($C$104*Mortgage!$C$63)/12,0),0)</f>
        <v>-21866.666666666668</v>
      </c>
      <c r="DR104" s="479">
        <f>-IF(DR$7&gt;=$E104,IF(DR$7&lt;=$F104,($C$104*Mortgage!$C$63)/12,0),0)</f>
        <v>-21866.666666666668</v>
      </c>
      <c r="DS104" s="479">
        <f>-IF(DS$7&gt;=$E104,IF(DS$7&lt;=$F104,($C$104*Mortgage!$C$63)/12,0),0)</f>
        <v>-21866.666666666668</v>
      </c>
      <c r="DT104" s="479">
        <f>-IF(DT$7&gt;=$E104,IF(DT$7&lt;=$F104,($C$104*Mortgage!$C$63)/12,0),0)</f>
        <v>-21866.666666666668</v>
      </c>
      <c r="DU104" s="479">
        <f>-IF(DU$7&gt;=$E104,IF(DU$7&lt;=$F104,($C$104*Mortgage!$C$63)/12,0),0)</f>
        <v>-21866.666666666668</v>
      </c>
      <c r="DV104" s="479">
        <f>-IF(DV$7&gt;=$E104,IF(DV$7&lt;=$F104,($C$104*Mortgage!$C$63)/12,0),0)</f>
        <v>-21866.666666666668</v>
      </c>
      <c r="DW104" s="479">
        <f>-IF(DW$7&gt;=$E104,IF(DW$7&lt;=$F104,($C$104*Mortgage!$C$63)/12,0),0)</f>
        <v>-21866.666666666668</v>
      </c>
      <c r="DX104" s="479">
        <f>-IF(DX$7&gt;=$E104,IF(DX$7&lt;=$F104,($C$104*Mortgage!$C$63)/12,0),0)</f>
        <v>-21866.666666666668</v>
      </c>
      <c r="DY104" s="479">
        <f>-IF(DY$7&gt;=$E104,IF(DY$7&lt;=$F104,($C$104*Mortgage!$C$63)/12,0),0)</f>
        <v>-21866.666666666668</v>
      </c>
      <c r="DZ104" s="479">
        <f>-IF(DZ$7&gt;=$E104,IF(DZ$7&lt;=$F104,($C$104*Mortgage!$C$63)/12,0),0)</f>
        <v>-21866.666666666668</v>
      </c>
      <c r="EA104" s="479">
        <f>-IF(EA$7&gt;=$E104,IF(EA$7&lt;=$F104,($C$104*Mortgage!$C$63)/12,0),0)</f>
        <v>-21866.666666666668</v>
      </c>
      <c r="EB104" s="479">
        <f>-IF(EB$7&gt;=$E104,IF(EB$7&lt;=$F104,($C$104*Mortgage!$C$63)/12,0),0)</f>
        <v>-21866.666666666668</v>
      </c>
      <c r="EC104" s="479">
        <f>-IF(EC$7&gt;=$E104,IF(EC$7&lt;=$F104,($C$104*Mortgage!$C$63)/12,0),0)</f>
        <v>-21866.666666666668</v>
      </c>
      <c r="ED104" s="479">
        <f>-IF(ED$7&gt;=$E104,IF(ED$7&lt;=$F104,($C$104*Mortgage!$C$63)/12,0),0)</f>
        <v>-21866.666666666668</v>
      </c>
      <c r="EE104" s="479">
        <f>-IF(EE$7&gt;=$E104,IF(EE$7&lt;=$F104,($C$104*Mortgage!$C$63)/12,0),0)</f>
        <v>-21866.666666666668</v>
      </c>
      <c r="EF104" s="479">
        <f>-IF(EF$7&gt;=$E104,IF(EF$7&lt;=$F104,($C$104*Mortgage!$C$63)/12,0),0)</f>
        <v>-21866.666666666668</v>
      </c>
      <c r="EG104" s="479">
        <f>-IF(EG$7&gt;=$E104,IF(EG$7&lt;=$F104,($C$104*Mortgage!$C$63)/12,0),0)</f>
        <v>-21866.666666666668</v>
      </c>
      <c r="EH104" s="479">
        <f>-IF(EH$7&gt;=$E104,IF(EH$7&lt;=$F104,($C$104*Mortgage!$C$63)/12,0),0)</f>
        <v>-21866.666666666668</v>
      </c>
      <c r="EI104" s="479">
        <f>-IF(EI$7&gt;=$E104,IF(EI$7&lt;=$F104,($C$104*Mortgage!$C$63)/12,0),0)</f>
        <v>-21866.666666666668</v>
      </c>
      <c r="EJ104" s="479">
        <f>-IF(EJ$7&gt;=$E104,IF(EJ$7&lt;=$F104,($C$104*Mortgage!$C$63)/12,0),0)</f>
        <v>-21866.666666666668</v>
      </c>
      <c r="EK104" s="479">
        <f>-IF(EK$7&gt;=$E104,IF(EK$7&lt;=$F104,($C$104*Mortgage!$C$63)/12,0),0)</f>
        <v>-21866.666666666668</v>
      </c>
      <c r="EL104" s="479">
        <f>-IF(EL$7&gt;=$E104,IF(EL$7&lt;=$F104,($C$104*Mortgage!$C$63)/12,0),0)</f>
        <v>-21866.666666666668</v>
      </c>
      <c r="EM104" s="479">
        <f>-IF(EM$7&gt;=$E104,IF(EM$7&lt;=$F104,($C$104*Mortgage!$C$63)/12,0),0)</f>
        <v>-21866.666666666668</v>
      </c>
      <c r="EN104" s="479">
        <f>-IF(EN$7&gt;=$E104,IF(EN$7&lt;=$F104,($C$104*Mortgage!$C$63)/12,0),0)</f>
        <v>-21866.666666666668</v>
      </c>
      <c r="EO104" s="479">
        <f>-IF(EO$7&gt;=$E104,IF(EO$7&lt;=$F104,($C$104*Mortgage!$C$63)/12,0),0)</f>
        <v>-21866.666666666668</v>
      </c>
      <c r="EP104" s="479">
        <f>-IF(EP$7&gt;=$E104,IF(EP$7&lt;=$F104,($C$104*Mortgage!$C$63)/12,0),0)</f>
        <v>-21866.666666666668</v>
      </c>
      <c r="EQ104" s="479">
        <f>-IF(EQ$7&gt;=$E104,IF(EQ$7&lt;=$F104,($C$104*Mortgage!$C$63)/12,0),0)</f>
        <v>-21866.666666666668</v>
      </c>
      <c r="ER104" s="479">
        <f>-IF(ER$7&gt;=$E104,IF(ER$7&lt;=$F104,($C$104*Mortgage!$C$63)/12,0),0)</f>
        <v>-21866.666666666668</v>
      </c>
      <c r="ES104" s="479">
        <f>-IF(ES$7&gt;=$E104,IF(ES$7&lt;=$F104,($C$104*Mortgage!$C$63)/12,0),0)</f>
        <v>-21866.666666666668</v>
      </c>
      <c r="ET104" s="479">
        <f>-IF(ET$7&gt;=$E104,IF(ET$7&lt;=$F104,($C$104*Mortgage!$C$63)/12,0),0)</f>
        <v>-21866.666666666668</v>
      </c>
      <c r="EU104" s="479">
        <f>-IF(EU$7&gt;=$E104,IF(EU$7&lt;=$F104,($C$104*Mortgage!$C$63)/12,0),0)</f>
        <v>-21866.666666666668</v>
      </c>
      <c r="EV104" s="479">
        <f>-IF(EV$7&gt;=$E104,IF(EV$7&lt;=$F104,($C$104*Mortgage!$C$63)/12,0),0)</f>
        <v>-21866.666666666668</v>
      </c>
      <c r="EW104" s="479">
        <f>-IF(EW$7&gt;=$E104,IF(EW$7&lt;=$F104,($C$104*Mortgage!$C$63)/12,0),0)</f>
        <v>-21866.666666666668</v>
      </c>
      <c r="EX104" s="479">
        <f>-IF(EX$7&gt;=$E104,IF(EX$7&lt;=$F104,($C$104*Mortgage!$C$63)/12,0),0)</f>
        <v>-21866.666666666668</v>
      </c>
      <c r="EY104" s="479">
        <f>-IF(EY$7&gt;=$E104,IF(EY$7&lt;=$F104,($C$104*Mortgage!$C$63)/12,0),0)</f>
        <v>-21866.666666666668</v>
      </c>
      <c r="EZ104" s="479">
        <f>-IF(EZ$7&gt;=$E104,IF(EZ$7&lt;=$F104,($C$104*Mortgage!$C$63)/12,0),0)</f>
        <v>-21866.666666666668</v>
      </c>
      <c r="FA104" s="479">
        <f>-IF(FA$7&gt;=$E104,IF(FA$7&lt;=$F104,($C$104*Mortgage!$C$63)/12,0),0)</f>
        <v>-21866.666666666668</v>
      </c>
      <c r="FB104" s="479">
        <f>-IF(FB$7&gt;=$E104,IF(FB$7&lt;=$F104,($C$104*Mortgage!$C$63)/12,0),0)</f>
        <v>-21866.666666666668</v>
      </c>
      <c r="FC104" s="479">
        <f>-IF(FC$7&gt;=$E104,IF(FC$7&lt;=$F104,($C$104*Mortgage!$C$63)/12,0),0)</f>
        <v>-21866.666666666668</v>
      </c>
      <c r="FD104" s="479">
        <f>-IF(FD$7&gt;=$E104,IF(FD$7&lt;=$F104,($C$104*Mortgage!$C$63)/12,0),0)</f>
        <v>-21866.666666666668</v>
      </c>
      <c r="FE104" s="479">
        <f>-IF(FE$7&gt;=$E104,IF(FE$7&lt;=$F104,($C$104*Mortgage!$C$63)/12,0),0)</f>
        <v>-21866.666666666668</v>
      </c>
      <c r="FF104" s="479">
        <f>-IF(FF$7&gt;=$E104,IF(FF$7&lt;=$F104,($C$104*Mortgage!$C$63)/12,0),0)</f>
        <v>-21866.666666666668</v>
      </c>
      <c r="FG104" s="479">
        <f>-IF(FG$7&gt;=$E104,IF(FG$7&lt;=$F104,($C$104*Mortgage!$C$63)/12,0),0)</f>
        <v>-21866.666666666668</v>
      </c>
      <c r="FH104" s="479">
        <f>-IF(FH$7&gt;=$E104,IF(FH$7&lt;=$F104,($C$104*Mortgage!$C$63)/12,0),0)</f>
        <v>-21866.666666666668</v>
      </c>
      <c r="FI104" s="479">
        <f>-IF(FI$7&gt;=$E104,IF(FI$7&lt;=$F104,($C$104*Mortgage!$C$63)/12,0),0)</f>
        <v>-21866.666666666668</v>
      </c>
      <c r="FJ104" s="479">
        <f>-IF(FJ$7&gt;=$E104,IF(FJ$7&lt;=$F104,($C$104*Mortgage!$C$63)/12,0),0)</f>
        <v>-21866.666666666668</v>
      </c>
      <c r="FK104" s="479">
        <f>-IF(FK$7&gt;=$E104,IF(FK$7&lt;=$F104,($C$104*Mortgage!$C$63)/12,0),0)</f>
        <v>-21866.666666666668</v>
      </c>
      <c r="FL104" s="479">
        <f>-IF(FL$7&gt;=$E104,IF(FL$7&lt;=$F104,($C$104*Mortgage!$C$63)/12,0),0)</f>
        <v>-21866.666666666668</v>
      </c>
      <c r="FM104" s="479">
        <f>-IF(FM$7&gt;=$E104,IF(FM$7&lt;=$F104,($C$104*Mortgage!$C$63)/12,0),0)</f>
        <v>-21866.666666666668</v>
      </c>
      <c r="FN104" s="479">
        <f>-IF(FN$7&gt;=$E104,IF(FN$7&lt;=$F104,($C$104*Mortgage!$C$63)/12,0),0)</f>
        <v>-21866.666666666668</v>
      </c>
      <c r="FO104" s="479">
        <f>-IF(FO$7&gt;=$E104,IF(FO$7&lt;=$F104,($C$104*Mortgage!$C$63)/12,0),0)</f>
        <v>-21866.666666666668</v>
      </c>
      <c r="FP104" s="479">
        <f>-IF(FP$7&gt;=$E104,IF(FP$7&lt;=$F104,($C$104*Mortgage!$C$63)/12,0),0)</f>
        <v>-21866.666666666668</v>
      </c>
      <c r="FQ104" s="479">
        <f>-IF(FQ$7&gt;=$E104,IF(FQ$7&lt;=$F104,($C$104*Mortgage!$C$63)/12,0),0)</f>
        <v>-21866.666666666668</v>
      </c>
      <c r="FR104" s="479">
        <f>-IF(FR$7&gt;=$E104,IF(FR$7&lt;=$F104,($C$104*Mortgage!$C$63)/12,0),0)</f>
        <v>-21866.666666666668</v>
      </c>
      <c r="FS104" s="479">
        <f>-IF(FS$7&gt;=$E104,IF(FS$7&lt;=$F104,($C$104*Mortgage!$C$63)/12,0),0)</f>
        <v>-21866.666666666668</v>
      </c>
      <c r="FT104" s="479">
        <f>-IF(FT$7&gt;=$E104,IF(FT$7&lt;=$F104,($C$104*Mortgage!$C$63)/12,0),0)</f>
        <v>-21866.666666666668</v>
      </c>
      <c r="FU104" s="479">
        <f>-IF(FU$7&gt;=$E104,IF(FU$7&lt;=$F104,($C$104*Mortgage!$C$63)/12,0),0)</f>
        <v>-21866.666666666668</v>
      </c>
      <c r="FV104" s="479">
        <f>-IF(FV$7&gt;=$E104,IF(FV$7&lt;=$F104,($C$104*Mortgage!$C$63)/12,0),0)</f>
        <v>-21866.666666666668</v>
      </c>
      <c r="FW104" s="479">
        <f>-IF(FW$7&gt;=$E104,IF(FW$7&lt;=$F104,($C$104*Mortgage!$C$63)/12,0),0)</f>
        <v>-21866.666666666668</v>
      </c>
      <c r="FX104" s="479">
        <f>-IF(FX$7&gt;=$E104,IF(FX$7&lt;=$F104,($C$104*Mortgage!$C$63)/12,0),0)</f>
        <v>-21866.666666666668</v>
      </c>
      <c r="FY104" s="479">
        <f>-IF(FY$7&gt;=$E104,IF(FY$7&lt;=$F104,($C$104*Mortgage!$C$63)/12,0),0)</f>
        <v>-21866.666666666668</v>
      </c>
      <c r="FZ104" s="479">
        <f>-IF(FZ$7&gt;=$E104,IF(FZ$7&lt;=$F104,($C$104*Mortgage!$C$63)/12,0),0)</f>
        <v>-21866.666666666668</v>
      </c>
      <c r="GA104" s="479">
        <f>-IF(GA$7&gt;=$E104,IF(GA$7&lt;=$F104,($C$104*Mortgage!$C$63)/12,0),0)</f>
        <v>-21866.666666666668</v>
      </c>
      <c r="GB104" s="479">
        <f>-IF(GB$7&gt;=$E104,IF(GB$7&lt;=$F104,($C$104*Mortgage!$C$63)/12,0),0)</f>
        <v>-21866.666666666668</v>
      </c>
      <c r="GC104" s="479">
        <f>-IF(GC$7&gt;=$E104,IF(GC$7&lt;=$F104,($C$104*Mortgage!$C$63)/12,0),0)</f>
        <v>-21866.666666666668</v>
      </c>
      <c r="GD104" s="479">
        <f>-IF(GD$7&gt;=$E104,IF(GD$7&lt;=$F104,($C$104*Mortgage!$C$63)/12,0),0)</f>
        <v>-21866.666666666668</v>
      </c>
      <c r="GE104" s="479">
        <f>-IF(GE$7&gt;=$E104,IF(GE$7&lt;=$F104,($C$104*Mortgage!$C$63)/12,0),0)</f>
        <v>-21866.666666666668</v>
      </c>
      <c r="GF104" s="479">
        <f>-IF(GF$7&gt;=$E104,IF(GF$7&lt;=$F104,($C$104*Mortgage!$C$63)/12,0),0)</f>
        <v>-21866.666666666668</v>
      </c>
      <c r="GG104" s="479">
        <f>-IF(GG$7&gt;=$E104,IF(GG$7&lt;=$F104,($C$104*Mortgage!$C$63)/12,0),0)</f>
        <v>-21866.666666666668</v>
      </c>
      <c r="GH104" s="479">
        <f>-IF(GH$7&gt;=$E104,IF(GH$7&lt;=$F104,($C$104*Mortgage!$C$63)/12,0),0)</f>
        <v>-21866.666666666668</v>
      </c>
      <c r="GI104" s="479">
        <f>-IF(GI$7&gt;=$E104,IF(GI$7&lt;=$F104,($C$104*Mortgage!$C$63)/12,0),0)</f>
        <v>-21866.666666666668</v>
      </c>
      <c r="GJ104" s="479">
        <f>-IF(GJ$7&gt;=$E104,IF(GJ$7&lt;=$F104,($C$104*Mortgage!$C$63)/12,0),0)</f>
        <v>-21866.666666666668</v>
      </c>
      <c r="GK104" s="479">
        <f>-IF(GK$7&gt;=$E104,IF(GK$7&lt;=$F104,($C$104*Mortgage!$C$63)/12,0),0)</f>
        <v>-21866.666666666668</v>
      </c>
      <c r="GL104" s="479">
        <f>-IF(GL$7&gt;=$E104,IF(GL$7&lt;=$F104,($C$104*Mortgage!$C$63)/12,0),0)</f>
        <v>-21866.666666666668</v>
      </c>
      <c r="GM104" s="479">
        <f>-IF(GM$7&gt;=$E104,IF(GM$7&lt;=$F104,($C$104*Mortgage!$C$63)/12,0),0)</f>
        <v>-21866.666666666668</v>
      </c>
      <c r="GN104" s="479">
        <f>-IF(GN$7&gt;=$E104,IF(GN$7&lt;=$F104,($C$104*Mortgage!$C$63)/12,0),0)</f>
        <v>-21866.666666666668</v>
      </c>
      <c r="GO104" s="479">
        <f>-IF(GO$7&gt;=$E104,IF(GO$7&lt;=$F104,($C$104*Mortgage!$C$63)/12,0),0)</f>
        <v>-21866.666666666668</v>
      </c>
      <c r="GP104" s="479">
        <f>-IF(GP$7&gt;=$E104,IF(GP$7&lt;=$F104,($C$104*Mortgage!$C$63)/12,0),0)</f>
        <v>-21866.666666666668</v>
      </c>
      <c r="GQ104" s="479">
        <f>-IF(GQ$7&gt;=$E104,IF(GQ$7&lt;=$F104,($C$104*Mortgage!$C$63)/12,0),0)</f>
        <v>-21866.666666666668</v>
      </c>
      <c r="GR104" s="479">
        <f>-IF(GR$7&gt;=$E104,IF(GR$7&lt;=$F104,($C$104*Mortgage!$C$63)/12,0),0)</f>
        <v>-21866.666666666668</v>
      </c>
      <c r="GS104" s="479">
        <f>-IF(GS$7&gt;=$E104,IF(GS$7&lt;=$F104,($C$104*Mortgage!$C$63)/12,0),0)</f>
        <v>-21866.666666666668</v>
      </c>
      <c r="GT104" s="479">
        <f>-IF(GT$7&gt;=$E104,IF(GT$7&lt;=$F104,($C$104*Mortgage!$C$63)/12,0),0)</f>
        <v>-21866.666666666668</v>
      </c>
      <c r="GU104" s="479">
        <f>-IF(GU$7&gt;=$E104,IF(GU$7&lt;=$F104,($C$104*Mortgage!$C$63)/12,0),0)</f>
        <v>-21866.666666666668</v>
      </c>
      <c r="GV104" s="479">
        <f>-IF(GV$7&gt;=$E104,IF(GV$7&lt;=$F104,($C$104*Mortgage!$C$63)/12,0),0)</f>
        <v>-21866.666666666668</v>
      </c>
      <c r="GW104" s="479">
        <f>-IF(GW$7&gt;=$E104,IF(GW$7&lt;=$F104,($C$104*Mortgage!$C$63)/12,0),0)</f>
        <v>-21866.666666666668</v>
      </c>
      <c r="GX104" s="479">
        <f>-IF(GX$7&gt;=$E104,IF(GX$7&lt;=$F104,($C$104*Mortgage!$C$63)/12,0),0)</f>
        <v>-21866.666666666668</v>
      </c>
      <c r="GY104" s="479">
        <f>-IF(GY$7&gt;=$E104,IF(GY$7&lt;=$F104,($C$104*Mortgage!$C$63)/12,0),0)</f>
        <v>-21866.666666666668</v>
      </c>
      <c r="GZ104" s="479">
        <f>-IF(GZ$7&gt;=$E104,IF(GZ$7&lt;=$F104,($C$104*Mortgage!$C$63)/12,0),0)</f>
        <v>-21866.666666666668</v>
      </c>
      <c r="HA104" s="479">
        <f>-IF(HA$7&gt;=$E104,IF(HA$7&lt;=$F104,($C$104*Mortgage!$C$63)/12,0),0)</f>
        <v>-21866.666666666668</v>
      </c>
      <c r="HB104" s="479">
        <f>-IF(HB$7&gt;=$E104,IF(HB$7&lt;=$F104,($C$104*Mortgage!$C$63)/12,0),0)</f>
        <v>-21866.666666666668</v>
      </c>
      <c r="HC104" s="479">
        <f>-IF(HC$7&gt;=$E104,IF(HC$7&lt;=$F104,($C$104*Mortgage!$C$63)/12,0),0)</f>
        <v>-21866.666666666668</v>
      </c>
      <c r="HD104" s="479">
        <f>-IF(HD$7&gt;=$E104,IF(HD$7&lt;=$F104,($C$104*Mortgage!$C$63)/12,0),0)</f>
        <v>-21866.666666666668</v>
      </c>
      <c r="HE104" s="479">
        <f>-IF(HE$7&gt;=$E104,IF(HE$7&lt;=$F104,($C$104*Mortgage!$C$63)/12,0),0)</f>
        <v>-21866.666666666668</v>
      </c>
      <c r="HF104" s="479">
        <f>-IF(HF$7&gt;=$E104,IF(HF$7&lt;=$F104,($C$104*Mortgage!$C$63)/12,0),0)</f>
        <v>-21866.666666666668</v>
      </c>
      <c r="HG104" s="479">
        <f>-IF(HG$7&gt;=$E104,IF(HG$7&lt;=$F104,($C$104*Mortgage!$C$63)/12,0),0)</f>
        <v>-21866.666666666668</v>
      </c>
      <c r="HH104" s="479">
        <f>-IF(HH$7&gt;=$E104,IF(HH$7&lt;=$F104,($C$104*Mortgage!$C$63)/12,0),0)</f>
        <v>-21866.666666666668</v>
      </c>
      <c r="HI104" s="479">
        <f>-IF(HI$7&gt;=$E104,IF(HI$7&lt;=$F104,($C$104*Mortgage!$C$63)/12,0),0)</f>
        <v>-21866.666666666668</v>
      </c>
      <c r="HJ104" s="479">
        <f>-IF(HJ$7&gt;=$E104,IF(HJ$7&lt;=$F104,($C$104*Mortgage!$C$63)/12,0),0)</f>
        <v>-21866.666666666668</v>
      </c>
      <c r="HK104" s="479">
        <f>-IF(HK$7&gt;=$E104,IF(HK$7&lt;=$F104,($C$104*Mortgage!$C$63)/12,0),0)</f>
        <v>-21866.666666666668</v>
      </c>
      <c r="HL104" s="479">
        <f>-IF(HL$7&gt;=$E104,IF(HL$7&lt;=$F104,($C$104*Mortgage!$C$63)/12,0),0)</f>
        <v>-21866.666666666668</v>
      </c>
      <c r="HM104" s="479">
        <f>-IF(HM$7&gt;=$E104,IF(HM$7&lt;=$F104,($C$104*Mortgage!$C$63)/12,0),0)</f>
        <v>-21866.666666666668</v>
      </c>
      <c r="HN104" s="479">
        <f>-IF(HN$7&gt;=$E104,IF(HN$7&lt;=$F104,($C$104*Mortgage!$C$63)/12,0),0)</f>
        <v>-21866.666666666668</v>
      </c>
      <c r="HO104" s="479">
        <f>-IF(HO$7&gt;=$E104,IF(HO$7&lt;=$F104,($C$104*Mortgage!$C$63)/12,0),0)</f>
        <v>-21866.666666666668</v>
      </c>
      <c r="HP104" s="479">
        <f>-IF(HP$7&gt;=$E104,IF(HP$7&lt;=$F104,($C$104*Mortgage!$C$63)/12,0),0)</f>
        <v>-21866.666666666668</v>
      </c>
      <c r="HQ104" s="479">
        <f>-IF(HQ$7&gt;=$E104,IF(HQ$7&lt;=$F104,($C$104*Mortgage!$C$63)/12,0),0)</f>
        <v>-21866.666666666668</v>
      </c>
      <c r="HR104" s="479">
        <f>-IF(HR$7&gt;=$E104,IF(HR$7&lt;=$F104,($C$104*Mortgage!$C$63)/12,0),0)</f>
        <v>-21866.666666666668</v>
      </c>
      <c r="HS104" s="479">
        <f>-IF(HS$7&gt;=$E104,IF(HS$7&lt;=$F104,($C$104*Mortgage!$C$63)/12,0),0)</f>
        <v>-21866.666666666668</v>
      </c>
      <c r="HT104" s="479">
        <f>-IF(HT$7&gt;=$E104,IF(HT$7&lt;=$F104,($C$104*Mortgage!$C$63)/12,0),0)</f>
        <v>-21866.666666666668</v>
      </c>
      <c r="HU104" s="479">
        <f>-IF(HU$7&gt;=$E104,IF(HU$7&lt;=$F104,($C$104*Mortgage!$C$63)/12,0),0)</f>
        <v>-21866.666666666668</v>
      </c>
      <c r="HV104" s="479">
        <f>-IF(HV$7&gt;=$E104,IF(HV$7&lt;=$F104,($C$104*Mortgage!$C$63)/12,0),0)</f>
        <v>-21866.666666666668</v>
      </c>
      <c r="HW104" s="479">
        <f>-IF(HW$7&gt;=$E104,IF(HW$7&lt;=$F104,($C$104*Mortgage!$C$63)/12,0),0)</f>
        <v>-21866.666666666668</v>
      </c>
      <c r="HX104" s="479">
        <f>-IF(HX$7&gt;=$E104,IF(HX$7&lt;=$F104,($C$104*Mortgage!$C$63)/12,0),0)</f>
        <v>-21866.666666666668</v>
      </c>
      <c r="HY104" s="479">
        <f>-IF(HY$7&gt;=$E104,IF(HY$7&lt;=$F104,($C$104*Mortgage!$C$63)/12,0),0)</f>
        <v>-21866.666666666668</v>
      </c>
      <c r="HZ104" s="479">
        <f>-IF(HZ$7&gt;=$E104,IF(HZ$7&lt;=$F104,($C$104*Mortgage!$C$63)/12,0),0)</f>
        <v>-21866.666666666668</v>
      </c>
      <c r="IA104" s="479">
        <f>-IF(IA$7&gt;=$E104,IF(IA$7&lt;=$F104,($C$104*Mortgage!$C$63)/12,0),0)</f>
        <v>-21866.666666666668</v>
      </c>
      <c r="IB104" s="479">
        <f>-IF(IB$7&gt;=$E104,IF(IB$7&lt;=$F104,($C$104*Mortgage!$C$63)/12,0),0)</f>
        <v>-21866.666666666668</v>
      </c>
      <c r="IC104" s="479">
        <f>-IF(IC$7&gt;=$E104,IF(IC$7&lt;=$F104,($C$104*Mortgage!$C$63)/12,0),0)</f>
        <v>-21866.666666666668</v>
      </c>
      <c r="ID104" s="479">
        <f>-IF(ID$7&gt;=$E104,IF(ID$7&lt;=$F104,($C$104*Mortgage!$C$63)/12,0),0)</f>
        <v>-21866.666666666668</v>
      </c>
      <c r="IE104" s="479">
        <f>-IF(IE$7&gt;=$E104,IF(IE$7&lt;=$F104,($C$104*Mortgage!$C$63)/12,0),0)</f>
        <v>-21866.666666666668</v>
      </c>
      <c r="IF104" s="479">
        <f>-IF(IF$7&gt;=$E104,IF(IF$7&lt;=$F104,($C$104*Mortgage!$C$63)/12,0),0)</f>
        <v>-21866.666666666668</v>
      </c>
      <c r="IG104" s="479">
        <f>-IF(IG$7&gt;=$E104,IF(IG$7&lt;=$F104,($C$104*Mortgage!$C$63)/12,0),0)</f>
        <v>-21866.666666666668</v>
      </c>
      <c r="IH104" s="479">
        <f>-IF(IH$7&gt;=$E104,IF(IH$7&lt;=$F104,($C$104*Mortgage!$C$63)/12,0),0)</f>
        <v>-21866.666666666668</v>
      </c>
      <c r="II104" s="479">
        <f>-IF(II$7&gt;=$E104,IF(II$7&lt;=$F104,($C$104*Mortgage!$C$63)/12,0),0)</f>
        <v>-21866.666666666668</v>
      </c>
      <c r="IJ104" s="479">
        <f>-IF(IJ$7&gt;=$E104,IF(IJ$7&lt;=$F104,($C$104*Mortgage!$C$63)/12,0),0)</f>
        <v>-21866.666666666668</v>
      </c>
      <c r="IK104" s="479">
        <f>-IF(IK$7&gt;=$E104,IF(IK$7&lt;=$F104,($C$104*Mortgage!$C$63)/12,0),0)</f>
        <v>-21866.666666666668</v>
      </c>
      <c r="IL104" s="479">
        <f>-IF(IL$7&gt;=$E104,IF(IL$7&lt;=$F104,($C$104*Mortgage!$C$63)/12,0),0)</f>
        <v>-21866.666666666668</v>
      </c>
      <c r="IM104" s="479">
        <f>-IF(IM$7&gt;=$E104,IF(IM$7&lt;=$F104,($C$104*Mortgage!$C$63)/12,0),0)</f>
        <v>-21866.666666666668</v>
      </c>
      <c r="IN104" s="479">
        <f>-IF(IN$7&gt;=$E104,IF(IN$7&lt;=$F104,($C$104*Mortgage!$C$63)/12,0),0)</f>
        <v>-21866.666666666668</v>
      </c>
      <c r="IO104" s="479">
        <f>-IF(IO$7&gt;=$E104,IF(IO$7&lt;=$F104,($C$104*Mortgage!$C$63)/12,0),0)</f>
        <v>-21866.666666666668</v>
      </c>
      <c r="IP104" s="479">
        <f>-IF(IP$7&gt;=$E104,IF(IP$7&lt;=$F104,($C$104*Mortgage!$C$63)/12,0),0)</f>
        <v>-21866.666666666668</v>
      </c>
      <c r="IQ104" s="479">
        <f>-IF(IQ$7&gt;=$E104,IF(IQ$7&lt;=$F104,($C$104*Mortgage!$C$63)/12,0),0)</f>
        <v>-21866.666666666668</v>
      </c>
      <c r="IR104" s="479">
        <f>-IF(IR$7&gt;=$E104,IF(IR$7&lt;=$F104,($C$104*Mortgage!$C$63)/12,0),0)</f>
        <v>-21866.666666666668</v>
      </c>
      <c r="IS104" s="479">
        <f>-IF(IS$7&gt;=$E104,IF(IS$7&lt;=$F104,($C$104*Mortgage!$C$63)/12,0),0)</f>
        <v>-21866.666666666668</v>
      </c>
      <c r="IT104" s="479">
        <f>-IF(IT$7&gt;=$E104,IF(IT$7&lt;=$F104,($C$104*Mortgage!$C$63)/12,0),0)</f>
        <v>-21866.666666666668</v>
      </c>
      <c r="IU104" s="479">
        <f>-IF(IU$7&gt;=$E104,IF(IU$7&lt;=$F104,($C$104*Mortgage!$C$63)/12,0),0)</f>
        <v>-21866.666666666668</v>
      </c>
      <c r="IV104" s="479">
        <f>-IF(IV$7&gt;=$E104,IF(IV$7&lt;=$F104,($C$104*Mortgage!$C$63)/12,0),0)</f>
        <v>-21866.666666666668</v>
      </c>
      <c r="IW104" s="479">
        <f>-IF(IW$7&gt;=$E104,IF(IW$7&lt;=$F104,($C$104*Mortgage!$C$63)/12,0),0)</f>
        <v>-21866.666666666668</v>
      </c>
      <c r="IX104" s="479">
        <f>-IF(IX$7&gt;=$E104,IF(IX$7&lt;=$F104,($C$104*Mortgage!$C$63)/12,0),0)</f>
        <v>-21866.666666666668</v>
      </c>
      <c r="IY104" s="479">
        <f>-IF(IY$7&gt;=$E104,IF(IY$7&lt;=$F104,($C$104*Mortgage!$C$63)/12,0),0)</f>
        <v>-21866.666666666668</v>
      </c>
      <c r="IZ104" s="479">
        <f>-IF(IZ$7&gt;=$E104,IF(IZ$7&lt;=$F104,($C$104*Mortgage!$C$63)/12,0),0)</f>
        <v>-21866.666666666668</v>
      </c>
      <c r="JA104" s="479">
        <f>-IF(JA$7&gt;=$E104,IF(JA$7&lt;=$F104,($C$104*Mortgage!$C$63)/12,0),0)</f>
        <v>-21866.666666666668</v>
      </c>
      <c r="JB104" s="479">
        <f>-IF(JB$7&gt;=$E104,IF(JB$7&lt;=$F104,($C$104*Mortgage!$C$63)/12,0),0)</f>
        <v>-21866.666666666668</v>
      </c>
      <c r="JC104" s="479">
        <f>-IF(JC$7&gt;=$E104,IF(JC$7&lt;=$F104,($C$104*Mortgage!$C$63)/12,0),0)</f>
        <v>-21866.666666666668</v>
      </c>
      <c r="JD104" s="479">
        <f>-IF(JD$7&gt;=$E104,IF(JD$7&lt;=$F104,($C$104*Mortgage!$C$63)/12,0),0)</f>
        <v>-21866.666666666668</v>
      </c>
      <c r="JE104" s="479">
        <f>-IF(JE$7&gt;=$E104,IF(JE$7&lt;=$F104,($C$104*Mortgage!$C$63)/12,0),0)</f>
        <v>-21866.666666666668</v>
      </c>
      <c r="JF104" s="479">
        <f>-IF(JF$7&gt;=$E104,IF(JF$7&lt;=$F104,($C$104*Mortgage!$C$63)/12,0),0)</f>
        <v>-21866.666666666668</v>
      </c>
      <c r="JG104" s="479">
        <f>-IF(JG$7&gt;=$E104,IF(JG$7&lt;=$F104,($C$104*Mortgage!$C$63)/12,0),0)</f>
        <v>-21866.666666666668</v>
      </c>
      <c r="JH104" s="479">
        <f>-IF(JH$7&gt;=$E104,IF(JH$7&lt;=$F104,($C$104*Mortgage!$C$63)/12,0),0)</f>
        <v>-21866.666666666668</v>
      </c>
      <c r="JI104" s="479">
        <f>-IF(JI$7&gt;=$E104,IF(JI$7&lt;=$F104,($C$104*Mortgage!$C$63)/12,0),0)</f>
        <v>-21866.666666666668</v>
      </c>
      <c r="JJ104" s="479">
        <f>-IF(JJ$7&gt;=$E104,IF(JJ$7&lt;=$F104,($C$104*Mortgage!$C$63)/12,0),0)</f>
        <v>-21866.666666666668</v>
      </c>
      <c r="JK104" s="479">
        <f>-IF(JK$7&gt;=$E104,IF(JK$7&lt;=$F104,($C$104*Mortgage!$C$63)/12,0),0)</f>
        <v>-21866.666666666668</v>
      </c>
      <c r="JL104" s="479">
        <f>-IF(JL$7&gt;=$E104,IF(JL$7&lt;=$F104,($C$104*Mortgage!$C$63)/12,0),0)</f>
        <v>-21866.666666666668</v>
      </c>
      <c r="JM104" s="479">
        <f>-IF(JM$7&gt;=$E104,IF(JM$7&lt;=$F104,($C$104*Mortgage!$C$63)/12,0),0)</f>
        <v>-21866.666666666668</v>
      </c>
      <c r="JN104" s="479">
        <f>-IF(JN$7&gt;=$E104,IF(JN$7&lt;=$F104,($C$104*Mortgage!$C$63)/12,0),0)</f>
        <v>-21866.666666666668</v>
      </c>
      <c r="JO104" s="479">
        <f>-IF(JO$7&gt;=$E104,IF(JO$7&lt;=$F104,($C$104*Mortgage!$C$63)/12,0),0)</f>
        <v>-21866.666666666668</v>
      </c>
      <c r="JP104" s="479">
        <f>-IF(JP$7&gt;=$E104,IF(JP$7&lt;=$F104,($C$104*Mortgage!$C$63)/12,0),0)</f>
        <v>-21866.666666666668</v>
      </c>
      <c r="JQ104" s="479">
        <f>-IF(JQ$7&gt;=$E104,IF(JQ$7&lt;=$F104,($C$104*Mortgage!$C$63)/12,0),0)</f>
        <v>-21866.666666666668</v>
      </c>
      <c r="JR104" s="479">
        <f>-IF(JR$7&gt;=$E104,IF(JR$7&lt;=$F104,($C$104*Mortgage!$C$63)/12,0),0)</f>
        <v>-21866.666666666668</v>
      </c>
      <c r="JS104" s="479">
        <f>-IF(JS$7&gt;=$E104,IF(JS$7&lt;=$F104,($C$104*Mortgage!$C$63)/12,0),0)</f>
        <v>-21866.666666666668</v>
      </c>
      <c r="JT104" s="479">
        <f>-IF(JT$7&gt;=$E104,IF(JT$7&lt;=$F104,($C$104*Mortgage!$C$63)/12,0),0)</f>
        <v>-21866.666666666668</v>
      </c>
      <c r="JU104" s="479">
        <f>-IF(JU$7&gt;=$E104,IF(JU$7&lt;=$F104,($C$104*Mortgage!$C$63)/12,0),0)</f>
        <v>-21866.666666666668</v>
      </c>
      <c r="JV104" s="479">
        <f>-IF(JV$7&gt;=$E104,IF(JV$7&lt;=$F104,($C$104*Mortgage!$C$63)/12,0),0)</f>
        <v>-21866.666666666668</v>
      </c>
      <c r="JW104" s="479">
        <f>-IF(JW$7&gt;=$E104,IF(JW$7&lt;=$F104,($C$104*Mortgage!$C$63)/12,0),0)</f>
        <v>-21866.666666666668</v>
      </c>
      <c r="JX104" s="479">
        <f>-IF(JX$7&gt;=$E104,IF(JX$7&lt;=$F104,($C$104*Mortgage!$C$63)/12,0),0)</f>
        <v>-21866.666666666668</v>
      </c>
      <c r="JY104" s="479">
        <f>-IF(JY$7&gt;=$E104,IF(JY$7&lt;=$F104,($C$104*Mortgage!$C$63)/12,0),0)</f>
        <v>-21866.666666666668</v>
      </c>
      <c r="JZ104" s="479">
        <f>-IF(JZ$7&gt;=$E104,IF(JZ$7&lt;=$F104,($C$104*Mortgage!$C$63)/12,0),0)</f>
        <v>-21866.666666666668</v>
      </c>
      <c r="KA104" s="479">
        <f>-IF(KA$7&gt;=$E104,IF(KA$7&lt;=$F104,($C$104*Mortgage!$C$63)/12,0),0)</f>
        <v>-21866.666666666668</v>
      </c>
      <c r="KB104" s="479">
        <f>-IF(KB$7&gt;=$E104,IF(KB$7&lt;=$F104,($C$104*Mortgage!$C$63)/12,0),0)</f>
        <v>-21866.666666666668</v>
      </c>
      <c r="KC104" s="479">
        <f>-IF(KC$7&gt;=$E104,IF(KC$7&lt;=$F104,($C$104*Mortgage!$C$63)/12,0),0)</f>
        <v>-21866.666666666668</v>
      </c>
      <c r="KD104" s="479">
        <f>-IF(KD$7&gt;=$E104,IF(KD$7&lt;=$F104,($C$104*Mortgage!$C$63)/12,0),0)</f>
        <v>-21866.666666666668</v>
      </c>
      <c r="KE104" s="479">
        <f>-IF(KE$7&gt;=$E104,IF(KE$7&lt;=$F104,($C$104*Mortgage!$C$63)/12,0),0)</f>
        <v>-21866.666666666668</v>
      </c>
      <c r="KF104" s="479">
        <f>-IF(KF$7&gt;=$E104,IF(KF$7&lt;=$F104,($C$104*Mortgage!$C$63)/12,0),0)</f>
        <v>-21866.666666666668</v>
      </c>
      <c r="KG104" s="479">
        <f>-IF(KG$7&gt;=$E104,IF(KG$7&lt;=$F104,($C$104*Mortgage!$C$63)/12,0),0)</f>
        <v>-21866.666666666668</v>
      </c>
      <c r="KH104" s="479">
        <f>-IF(KH$7&gt;=$E104,IF(KH$7&lt;=$F104,($C$104*Mortgage!$C$63)/12,0),0)</f>
        <v>-21866.666666666668</v>
      </c>
      <c r="KI104" s="479">
        <f>-IF(KI$7&gt;=$E104,IF(KI$7&lt;=$F104,($C$104*Mortgage!$C$63)/12,0),0)</f>
        <v>-21866.666666666668</v>
      </c>
      <c r="KJ104" s="479">
        <f>-IF(KJ$7&gt;=$E104,IF(KJ$7&lt;=$F104,($C$104*Mortgage!$C$63)/12,0),0)</f>
        <v>-21866.666666666668</v>
      </c>
      <c r="KK104" s="479">
        <f>-IF(KK$7&gt;=$E104,IF(KK$7&lt;=$F104,($C$104*Mortgage!$C$63)/12,0),0)</f>
        <v>-21866.666666666668</v>
      </c>
      <c r="KL104" s="479">
        <f>-IF(KL$7&gt;=$E104,IF(KL$7&lt;=$F104,($C$104*Mortgage!$C$63)/12,0),0)</f>
        <v>-21866.666666666668</v>
      </c>
      <c r="KM104" s="479">
        <f>-IF(KM$7&gt;=$E104,IF(KM$7&lt;=$F104,($C$104*Mortgage!$C$63)/12,0),0)</f>
        <v>-21866.666666666668</v>
      </c>
      <c r="KN104" s="479">
        <f>-IF(KN$7&gt;=$E104,IF(KN$7&lt;=$F104,($C$104*Mortgage!$C$63)/12,0),0)</f>
        <v>-21866.666666666668</v>
      </c>
      <c r="KO104" s="479">
        <f>-IF(KO$7&gt;=$E104,IF(KO$7&lt;=$F104,($C$104*Mortgage!$C$63)/12,0),0)</f>
        <v>-21866.666666666668</v>
      </c>
      <c r="KP104" s="479">
        <f>-IF(KP$7&gt;=$E104,IF(KP$7&lt;=$F104,($C$104*Mortgage!$C$63)/12,0),0)</f>
        <v>-21866.666666666668</v>
      </c>
      <c r="KQ104" s="479">
        <f>-IF(KQ$7&gt;=$E104,IF(KQ$7&lt;=$F104,($C$104*Mortgage!$C$63)/12,0),0)</f>
        <v>-21866.666666666668</v>
      </c>
      <c r="KR104" s="479">
        <f>-IF(KR$7&gt;=$E104,IF(KR$7&lt;=$F104,($C$104*Mortgage!$C$63)/12,0),0)</f>
        <v>-21866.666666666668</v>
      </c>
      <c r="KS104" s="479">
        <f>-IF(KS$7&gt;=$E104,IF(KS$7&lt;=$F104,($C$104*Mortgage!$C$63)/12,0),0)</f>
        <v>-21866.666666666668</v>
      </c>
      <c r="KT104" s="479">
        <f>-IF(KT$7&gt;=$E104,IF(KT$7&lt;=$F104,($C$104*Mortgage!$C$63)/12,0),0)</f>
        <v>-21866.666666666668</v>
      </c>
      <c r="KU104" s="479">
        <f>-IF(KU$7&gt;=$E104,IF(KU$7&lt;=$F104,($C$104*Mortgage!$C$63)/12,0),0)</f>
        <v>-21866.666666666668</v>
      </c>
      <c r="KV104" s="479">
        <f>-IF(KV$7&gt;=$E104,IF(KV$7&lt;=$F104,($C$104*Mortgage!$C$63)/12,0),0)</f>
        <v>-21866.666666666668</v>
      </c>
      <c r="KW104" s="479">
        <f>-IF(KW$7&gt;=$E104,IF(KW$7&lt;=$F104,($C$104*Mortgage!$C$63)/12,0),0)</f>
        <v>-21866.666666666668</v>
      </c>
      <c r="KX104" s="479">
        <f>-IF(KX$7&gt;=$E104,IF(KX$7&lt;=$F104,($C$104*Mortgage!$C$63)/12,0),0)</f>
        <v>-21866.666666666668</v>
      </c>
      <c r="KY104" s="479">
        <f>-IF(KY$7&gt;=$E104,IF(KY$7&lt;=$F104,($C$104*Mortgage!$C$63)/12,0),0)</f>
        <v>-21866.666666666668</v>
      </c>
      <c r="KZ104" s="479">
        <f>-IF(KZ$7&gt;=$E104,IF(KZ$7&lt;=$F104,($C$104*Mortgage!$C$63)/12,0),0)</f>
        <v>-21866.666666666668</v>
      </c>
      <c r="LA104" s="479">
        <f>-IF(LA$7&gt;=$E104,IF(LA$7&lt;=$F104,($C$104*Mortgage!$C$63)/12,0),0)</f>
        <v>-21866.666666666668</v>
      </c>
      <c r="LB104" s="479">
        <f>-IF(LB$7&gt;=$E104,IF(LB$7&lt;=$F104,($C$104*Mortgage!$C$63)/12,0),0)</f>
        <v>-21866.666666666668</v>
      </c>
      <c r="LC104" s="479">
        <f>-IF(LC$7&gt;=$E104,IF(LC$7&lt;=$F104,($C$104*Mortgage!$C$63)/12,0),0)</f>
        <v>-21866.666666666668</v>
      </c>
      <c r="LD104" s="479">
        <f>-IF(LD$7&gt;=$E104,IF(LD$7&lt;=$F104,($C$104*Mortgage!$C$63)/12,0),0)</f>
        <v>-21866.666666666668</v>
      </c>
      <c r="LE104" s="479">
        <f>-IF(LE$7&gt;=$E104,IF(LE$7&lt;=$F104,($C$104*Mortgage!$C$63)/12,0),0)</f>
        <v>-21866.666666666668</v>
      </c>
      <c r="LF104" s="479">
        <f>-IF(LF$7&gt;=$E104,IF(LF$7&lt;=$F104,($C$104*Mortgage!$C$63)/12,0),0)</f>
        <v>-21866.666666666668</v>
      </c>
      <c r="LG104" s="479">
        <f>-IF(LG$7&gt;=$E104,IF(LG$7&lt;=$F104,($C$104*Mortgage!$C$63)/12,0),0)</f>
        <v>-21866.666666666668</v>
      </c>
      <c r="LH104" s="479">
        <f>-IF(LH$7&gt;=$E104,IF(LH$7&lt;=$F104,($C$104*Mortgage!$C$63)/12,0),0)</f>
        <v>-21866.666666666668</v>
      </c>
      <c r="LI104" s="479">
        <f>-IF(LI$7&gt;=$E104,IF(LI$7&lt;=$F104,($C$104*Mortgage!$C$63)/12,0),0)</f>
        <v>-21866.666666666668</v>
      </c>
      <c r="LJ104" s="479">
        <f>-IF(LJ$7&gt;=$E104,IF(LJ$7&lt;=$F104,($C$104*Mortgage!$C$63)/12,0),0)</f>
        <v>-21866.666666666668</v>
      </c>
      <c r="LK104" s="479">
        <f>-IF(LK$7&gt;=$E104,IF(LK$7&lt;=$F104,($C$104*Mortgage!$C$63)/12,0),0)</f>
        <v>-21866.666666666668</v>
      </c>
      <c r="LL104" s="479">
        <f>-IF(LL$7&gt;=$E104,IF(LL$7&lt;=$F104,($C$104*Mortgage!$C$63)/12,0),0)</f>
        <v>-21866.666666666668</v>
      </c>
      <c r="LM104" s="479">
        <f>-IF(LM$7&gt;=$E104,IF(LM$7&lt;=$F104,($C$104*Mortgage!$C$63)/12,0),0)</f>
        <v>-21866.666666666668</v>
      </c>
      <c r="LN104" s="479">
        <f>-IF(LN$7&gt;=$E104,IF(LN$7&lt;=$F104,($C$104*Mortgage!$C$63)/12,0),0)</f>
        <v>-21866.666666666668</v>
      </c>
      <c r="LO104" s="479">
        <f>-IF(LO$7&gt;=$E104,IF(LO$7&lt;=$F104,($C$104*Mortgage!$C$63)/12,0),0)</f>
        <v>-21866.666666666668</v>
      </c>
      <c r="LP104" s="479">
        <f>-IF(LP$7&gt;=$E104,IF(LP$7&lt;=$F104,($C$104*Mortgage!$C$63)/12,0),0)</f>
        <v>-21866.666666666668</v>
      </c>
      <c r="LQ104" s="479">
        <f>-IF(LQ$7&gt;=$E104,IF(LQ$7&lt;=$F104,($C$104*Mortgage!$C$63)/12,0),0)</f>
        <v>-21866.666666666668</v>
      </c>
      <c r="LR104" s="479">
        <f>-IF(LR$7&gt;=$E104,IF(LR$7&lt;=$F104,($C$104*Mortgage!$C$63)/12,0),0)</f>
        <v>-21866.666666666668</v>
      </c>
      <c r="LS104" s="479">
        <f>-IF(LS$7&gt;=$E104,IF(LS$7&lt;=$F104,($C$104*Mortgage!$C$63)/12,0),0)</f>
        <v>-21866.666666666668</v>
      </c>
      <c r="LT104" s="479">
        <f>-IF(LT$7&gt;=$E104,IF(LT$7&lt;=$F104,($C$104*Mortgage!$C$63)/12,0),0)</f>
        <v>-21866.666666666668</v>
      </c>
      <c r="LU104" s="479">
        <f>-IF(LU$7&gt;=$E104,IF(LU$7&lt;=$F104,($C$104*Mortgage!$C$63)/12,0),0)</f>
        <v>-21866.666666666668</v>
      </c>
      <c r="LV104" s="479">
        <f>-IF(LV$7&gt;=$E104,IF(LV$7&lt;=$F104,($C$104*Mortgage!$C$63)/12,0),0)</f>
        <v>-21866.666666666668</v>
      </c>
      <c r="LW104" s="479">
        <f>-IF(LW$7&gt;=$E104,IF(LW$7&lt;=$F104,($C$104*Mortgage!$C$63)/12,0),0)</f>
        <v>-21866.666666666668</v>
      </c>
      <c r="LX104" s="479">
        <f>-IF(LX$7&gt;=$E104,IF(LX$7&lt;=$F104,($C$104*Mortgage!$C$63)/12,0),0)</f>
        <v>-21866.666666666668</v>
      </c>
      <c r="LY104" s="479">
        <f>-IF(LY$7&gt;=$E104,IF(LY$7&lt;=$F104,($C$104*Mortgage!$C$63)/12,0),0)</f>
        <v>-21866.666666666668</v>
      </c>
      <c r="LZ104" s="479">
        <f>-IF(LZ$7&gt;=$E104,IF(LZ$7&lt;=$F104,($C$104*Mortgage!$C$63)/12,0),0)</f>
        <v>-21866.666666666668</v>
      </c>
      <c r="MA104" s="479">
        <f>-IF(MA$7&gt;=$E104,IF(MA$7&lt;=$F104,($C$104*Mortgage!$C$63)/12,0),0)</f>
        <v>-21866.666666666668</v>
      </c>
      <c r="MB104" s="479">
        <f>-IF(MB$7&gt;=$E104,IF(MB$7&lt;=$F104,($C$104*Mortgage!$C$63)/12,0),0)</f>
        <v>-21866.666666666668</v>
      </c>
      <c r="MC104" s="479">
        <f>-IF(MC$7&gt;=$E104,IF(MC$7&lt;=$F104,($C$104*Mortgage!$C$63)/12,0),0)</f>
        <v>-21866.666666666668</v>
      </c>
      <c r="MD104" s="479">
        <f>-IF(MD$7&gt;=$E104,IF(MD$7&lt;=$F104,($C$104*Mortgage!$C$63)/12,0),0)</f>
        <v>-21866.666666666668</v>
      </c>
      <c r="ME104" s="479">
        <f>-IF(ME$7&gt;=$E104,IF(ME$7&lt;=$F104,($C$104*Mortgage!$C$63)/12,0),0)</f>
        <v>-21866.666666666668</v>
      </c>
      <c r="MF104" s="479">
        <f>-IF(MF$7&gt;=$E104,IF(MF$7&lt;=$F104,($C$104*Mortgage!$C$63)/12,0),0)</f>
        <v>-21866.666666666668</v>
      </c>
      <c r="MG104" s="479">
        <f>-IF(MG$7&gt;=$E104,IF(MG$7&lt;=$F104,($C$104*Mortgage!$C$63)/12,0),0)</f>
        <v>-21866.666666666668</v>
      </c>
      <c r="MH104" s="479">
        <f>-IF(MH$7&gt;=$E104,IF(MH$7&lt;=$F104,($C$104*Mortgage!$C$63)/12,0),0)</f>
        <v>-21866.666666666668</v>
      </c>
      <c r="MI104" s="479">
        <f>-IF(MI$7&gt;=$E104,IF(MI$7&lt;=$F104,($C$104*Mortgage!$C$63)/12,0),0)</f>
        <v>-21866.666666666668</v>
      </c>
      <c r="MJ104" s="479">
        <f>-IF(MJ$7&gt;=$E104,IF(MJ$7&lt;=$F104,($C$104*Mortgage!$C$63)/12,0),0)</f>
        <v>-21866.666666666668</v>
      </c>
      <c r="MK104" s="479">
        <f>-IF(MK$7&gt;=$E104,IF(MK$7&lt;=$F104,($C$104*Mortgage!$C$63)/12,0),0)</f>
        <v>-21866.666666666668</v>
      </c>
      <c r="ML104" s="479">
        <f>-IF(ML$7&gt;=$E104,IF(ML$7&lt;=$F104,($C$104*Mortgage!$C$63)/12,0),0)</f>
        <v>-21866.666666666668</v>
      </c>
      <c r="MM104" s="479">
        <f>-IF(MM$7&gt;=$E104,IF(MM$7&lt;=$F104,($C$104*Mortgage!$C$63)/12,0),0)</f>
        <v>-21866.666666666668</v>
      </c>
      <c r="MN104" s="479">
        <f>-IF(MN$7&gt;=$E104,IF(MN$7&lt;=$F104,($C$104*Mortgage!$C$63)/12,0),0)</f>
        <v>-21866.666666666668</v>
      </c>
      <c r="MO104" s="479">
        <f>-IF(MO$7&gt;=$E104,IF(MO$7&lt;=$F104,($C$104*Mortgage!$C$63)/12,0),0)</f>
        <v>-21866.666666666668</v>
      </c>
      <c r="MP104" s="479">
        <f>-IF(MP$7&gt;=$E104,IF(MP$7&lt;=$F104,($C$104*Mortgage!$C$63)/12,0),0)</f>
        <v>-21866.666666666668</v>
      </c>
      <c r="MQ104" s="479">
        <f>-IF(MQ$7&gt;=$E104,IF(MQ$7&lt;=$F104,($C$104*Mortgage!$C$63)/12,0),0)</f>
        <v>-21866.666666666668</v>
      </c>
      <c r="MR104" s="479">
        <f>-IF(MR$7&gt;=$E104,IF(MR$7&lt;=$F104,($C$104*Mortgage!$C$63)/12,0),0)</f>
        <v>-21866.666666666668</v>
      </c>
      <c r="MS104" s="479">
        <f>-IF(MS$7&gt;=$E104,IF(MS$7&lt;=$F104,($C$104*Mortgage!$C$63)/12,0),0)</f>
        <v>-21866.666666666668</v>
      </c>
      <c r="MT104" s="479">
        <f>-IF(MT$7&gt;=$E104,IF(MT$7&lt;=$F104,($C$104*Mortgage!$C$63)/12,0),0)</f>
        <v>-21866.666666666668</v>
      </c>
      <c r="MU104" s="479">
        <f>-IF(MU$7&gt;=$E104,IF(MU$7&lt;=$F104,($C$104*Mortgage!$C$63)/12,0),0)</f>
        <v>-21866.666666666668</v>
      </c>
      <c r="MV104" s="479">
        <f>-IF(MV$7&gt;=$E104,IF(MV$7&lt;=$F104,($C$104*Mortgage!$C$63)/12,0),0)</f>
        <v>-21866.666666666668</v>
      </c>
      <c r="MW104" s="479">
        <f>-IF(MW$7&gt;=$E104,IF(MW$7&lt;=$F104,($C$104*Mortgage!$C$63)/12,0),0)</f>
        <v>-21866.666666666668</v>
      </c>
      <c r="MX104" s="479">
        <f>-IF(MX$7&gt;=$E104,IF(MX$7&lt;=$F104,($C$104*Mortgage!$C$63)/12,0),0)</f>
        <v>-21866.666666666668</v>
      </c>
      <c r="MY104" s="479">
        <f>-IF(MY$7&gt;=$E104,IF(MY$7&lt;=$F104,($C$104*Mortgage!$C$63)/12,0),0)</f>
        <v>-21866.666666666668</v>
      </c>
      <c r="MZ104" s="479">
        <f>-IF(MZ$7&gt;=$E104,IF(MZ$7&lt;=$F104,($C$104*Mortgage!$C$63)/12,0),0)</f>
        <v>-21866.666666666668</v>
      </c>
      <c r="NA104" s="479">
        <f>-IF(NA$7&gt;=$E104,IF(NA$7&lt;=$F104,($C$104*Mortgage!$C$63)/12,0),0)</f>
        <v>-21866.666666666668</v>
      </c>
      <c r="NB104" s="479">
        <f>-IF(NB$7&gt;=$E104,IF(NB$7&lt;=$F104,($C$104*Mortgage!$C$63)/12,0),0)</f>
        <v>-21866.666666666668</v>
      </c>
      <c r="NC104" s="479">
        <f>-IF(NC$7&gt;=$E104,IF(NC$7&lt;=$F104,($C$104*Mortgage!$C$63)/12,0),0)</f>
        <v>-21866.666666666668</v>
      </c>
      <c r="ND104" s="479">
        <f>-IF(ND$7&gt;=$E104,IF(ND$7&lt;=$F104,($C$104*Mortgage!$C$63)/12,0),0)</f>
        <v>-21866.666666666668</v>
      </c>
      <c r="NE104" s="479">
        <f>-IF(NE$7&gt;=$E104,IF(NE$7&lt;=$F104,($C$104*Mortgage!$C$63)/12,0),0)</f>
        <v>-21866.666666666668</v>
      </c>
      <c r="NF104" s="479">
        <f>-IF(NF$7&gt;=$E104,IF(NF$7&lt;=$F104,($C$104*Mortgage!$C$63)/12,0),0)</f>
        <v>-21866.666666666668</v>
      </c>
      <c r="NG104" s="479">
        <f>-IF(NG$7&gt;=$E104,IF(NG$7&lt;=$F104,($C$104*Mortgage!$C$63)/12,0),0)</f>
        <v>-21866.666666666668</v>
      </c>
      <c r="NH104" s="479">
        <f>-IF(NH$7&gt;=$E104,IF(NH$7&lt;=$F104,($C$104*Mortgage!$C$63)/12,0),0)</f>
        <v>-21866.666666666668</v>
      </c>
      <c r="NI104" s="479">
        <f>-IF(NI$7&gt;=$E104,IF(NI$7&lt;=$F104,($C$104*Mortgage!$C$63)/12,0),0)</f>
        <v>-21866.666666666668</v>
      </c>
      <c r="NJ104" s="479">
        <f>-IF(NJ$7&gt;=$E104,IF(NJ$7&lt;=$F104,($C$104*Mortgage!$C$63)/12,0),0)</f>
        <v>-21866.666666666668</v>
      </c>
      <c r="NK104" s="479">
        <f>-IF(NK$7&gt;=$E104,IF(NK$7&lt;=$F104,($C$104*Mortgage!$C$63)/12,0),0)</f>
        <v>-21866.666666666668</v>
      </c>
      <c r="NL104" s="479">
        <f>-IF(NL$7&gt;=$E104,IF(NL$7&lt;=$F104,($C$104*Mortgage!$C$63)/12,0),0)</f>
        <v>-21866.666666666668</v>
      </c>
      <c r="NM104" s="479">
        <f>-IF(NM$7&gt;=$E104,IF(NM$7&lt;=$F104,($C$104*Mortgage!$C$63)/12,0),0)</f>
        <v>-21866.666666666668</v>
      </c>
      <c r="NN104" s="479">
        <f>-IF(NN$7&gt;=$E104,IF(NN$7&lt;=$F104,($C$104*Mortgage!$C$63)/12,0),0)</f>
        <v>-21866.666666666668</v>
      </c>
      <c r="NO104" s="479">
        <f>-IF(NO$7&gt;=$E104,IF(NO$7&lt;=$F104,($C$104*Mortgage!$C$63)/12,0),0)</f>
        <v>-21866.666666666668</v>
      </c>
      <c r="NP104" s="479">
        <f>-IF(NP$7&gt;=$E104,IF(NP$7&lt;=$F104,($C$104*Mortgage!$C$63)/12,0),0)</f>
        <v>-21866.666666666668</v>
      </c>
      <c r="NQ104" s="479">
        <f>-IF(NQ$7&gt;=$E104,IF(NQ$7&lt;=$F104,($C$104*Mortgage!$C$63)/12,0),0)</f>
        <v>-21866.666666666668</v>
      </c>
      <c r="NR104" s="479">
        <f>-IF(NR$7&gt;=$E104,IF(NR$7&lt;=$F104,($C$104*Mortgage!$C$63)/12,0),0)</f>
        <v>-21866.666666666668</v>
      </c>
      <c r="NS104" s="479">
        <f>-IF(NS$7&gt;=$E104,IF(NS$7&lt;=$F104,($C$104*Mortgage!$C$63)/12,0),0)</f>
        <v>-21866.666666666668</v>
      </c>
      <c r="NT104" s="479">
        <f>-IF(NT$7&gt;=$E104,IF(NT$7&lt;=$F104,($C$104*Mortgage!$C$63)/12,0),0)</f>
        <v>-21866.666666666668</v>
      </c>
      <c r="NU104" s="479">
        <f>-IF(NU$7&gt;=$E104,IF(NU$7&lt;=$F104,($C$104*Mortgage!$C$63)/12,0),0)</f>
        <v>-21866.666666666668</v>
      </c>
      <c r="NV104" s="479">
        <f>-IF(NV$7&gt;=$E104,IF(NV$7&lt;=$F104,($C$104*Mortgage!$C$63)/12,0),0)</f>
        <v>-21866.666666666668</v>
      </c>
      <c r="NW104" s="479">
        <f>-IF(NW$7&gt;=$E104,IF(NW$7&lt;=$F104,($C$104*Mortgage!$C$63)/12,0),0)</f>
        <v>-21866.666666666668</v>
      </c>
      <c r="NX104" s="479">
        <f>-IF(NX$7&gt;=$E104,IF(NX$7&lt;=$F104,($C$104*Mortgage!$C$63)/12,0),0)</f>
        <v>-21866.666666666668</v>
      </c>
      <c r="NY104" s="479">
        <f>-IF(NY$7&gt;=$E104,IF(NY$7&lt;=$F104,($C$104*Mortgage!$C$63)/12,0),0)</f>
        <v>-21866.666666666668</v>
      </c>
      <c r="NZ104" s="479">
        <f>-IF(NZ$7&gt;=$E104,IF(NZ$7&lt;=$F104,($C$104*Mortgage!$C$63)/12,0),0)</f>
        <v>-21866.666666666668</v>
      </c>
      <c r="OA104" s="479">
        <f>-IF(OA$7&gt;=$E104,IF(OA$7&lt;=$F104,($C$104*Mortgage!$C$63)/12,0),0)</f>
        <v>-21866.666666666668</v>
      </c>
      <c r="OB104" s="479">
        <f>-IF(OB$7&gt;=$E104,IF(OB$7&lt;=$F104,($C$104*Mortgage!$C$63)/12,0),0)</f>
        <v>-21866.666666666668</v>
      </c>
      <c r="OC104" s="479">
        <f>-IF(OC$7&gt;=$E104,IF(OC$7&lt;=$F104,($C$104*Mortgage!$C$63)/12,0),0)</f>
        <v>-21866.666666666668</v>
      </c>
      <c r="OD104" s="479">
        <f>-IF(OD$7&gt;=$E104,IF(OD$7&lt;=$F104,($C$104*Mortgage!$C$63)/12,0),0)</f>
        <v>-21866.666666666668</v>
      </c>
      <c r="OE104" s="479">
        <f>-IF(OE$7&gt;=$E104,IF(OE$7&lt;=$F104,($C$104*Mortgage!$C$63)/12,0),0)</f>
        <v>-21866.666666666668</v>
      </c>
      <c r="OF104" s="479">
        <f>-IF(OF$7&gt;=$E104,IF(OF$7&lt;=$F104,($C$104*Mortgage!$C$63)/12,0),0)</f>
        <v>-21866.666666666668</v>
      </c>
      <c r="OG104" s="479">
        <f>-IF(OG$7&gt;=$E104,IF(OG$7&lt;=$F104,($C$104*Mortgage!$C$63)/12,0),0)</f>
        <v>-21866.666666666668</v>
      </c>
      <c r="OH104" s="479">
        <f>-IF(OH$7&gt;=$E104,IF(OH$7&lt;=$F104,($C$104*Mortgage!$C$63)/12,0),0)</f>
        <v>-21866.666666666668</v>
      </c>
      <c r="OI104" s="479">
        <f>-IF(OI$7&gt;=$E104,IF(OI$7&lt;=$F104,($C$104*Mortgage!$C$63)/12,0),0)</f>
        <v>-21866.666666666668</v>
      </c>
      <c r="OJ104" s="479">
        <f>-IF(OJ$7&gt;=$E104,IF(OJ$7&lt;=$F104,($C$104*Mortgage!$C$63)/12,0),0)</f>
        <v>-21866.666666666668</v>
      </c>
      <c r="OK104" s="479">
        <f>-IF(OK$7&gt;=$E104,IF(OK$7&lt;=$F104,($C$104*Mortgage!$C$63)/12,0),0)</f>
        <v>-21866.666666666668</v>
      </c>
      <c r="OL104" s="479">
        <f>-IF(OL$7&gt;=$E104,IF(OL$7&lt;=$F104,($C$104*Mortgage!$C$63)/12,0),0)</f>
        <v>-21866.666666666668</v>
      </c>
      <c r="OM104" s="479">
        <f>-IF(OM$7&gt;=$E104,IF(OM$7&lt;=$F104,($C$104*Mortgage!$C$63)/12,0),0)</f>
        <v>-21866.666666666668</v>
      </c>
      <c r="ON104" s="479">
        <f>-IF(ON$7&gt;=$E104,IF(ON$7&lt;=$F104,($C$104*Mortgage!$C$63)/12,0),0)</f>
        <v>-21866.666666666668</v>
      </c>
      <c r="OO104" s="528">
        <f>-IF(OO$7&gt;=$E104,IF(OO$7&lt;=$F104,($C$104*Mortgage!$C$63)/12,0),0)</f>
        <v>-21866.666666666668</v>
      </c>
    </row>
    <row r="105" spans="2:405">
      <c r="B105" s="490" t="s">
        <v>416</v>
      </c>
      <c r="C105" s="105"/>
      <c r="D105" s="446"/>
      <c r="E105" s="105"/>
      <c r="F105" s="105"/>
      <c r="G105" s="105"/>
      <c r="H105" s="105"/>
      <c r="I105" s="105"/>
      <c r="J105" s="447">
        <f t="shared" ref="J105:BU105" si="557">SUM(J101:J104)</f>
        <v>0</v>
      </c>
      <c r="K105" s="447">
        <f t="shared" si="557"/>
        <v>0</v>
      </c>
      <c r="L105" s="447">
        <f t="shared" si="557"/>
        <v>0</v>
      </c>
      <c r="M105" s="447">
        <f t="shared" si="557"/>
        <v>0</v>
      </c>
      <c r="N105" s="447">
        <f t="shared" si="557"/>
        <v>0</v>
      </c>
      <c r="O105" s="447">
        <f t="shared" si="557"/>
        <v>0</v>
      </c>
      <c r="P105" s="447">
        <f t="shared" si="557"/>
        <v>-196608.37652766754</v>
      </c>
      <c r="Q105" s="447">
        <f t="shared" si="557"/>
        <v>-196608.37652766754</v>
      </c>
      <c r="R105" s="447">
        <f t="shared" si="557"/>
        <v>-196608.37652766754</v>
      </c>
      <c r="S105" s="447">
        <f t="shared" si="557"/>
        <v>-196608.37652766754</v>
      </c>
      <c r="T105" s="447">
        <f t="shared" si="557"/>
        <v>-196608.37652766754</v>
      </c>
      <c r="U105" s="447">
        <f t="shared" si="557"/>
        <v>-196608.37652766754</v>
      </c>
      <c r="V105" s="447">
        <f t="shared" si="557"/>
        <v>-196608.37652766754</v>
      </c>
      <c r="W105" s="447">
        <f t="shared" si="557"/>
        <v>-196608.37652766754</v>
      </c>
      <c r="X105" s="447">
        <f t="shared" si="557"/>
        <v>-196608.37652766754</v>
      </c>
      <c r="Y105" s="447">
        <f t="shared" si="557"/>
        <v>-196608.37652766754</v>
      </c>
      <c r="Z105" s="447">
        <f t="shared" si="557"/>
        <v>-196608.37652766754</v>
      </c>
      <c r="AA105" s="447">
        <f t="shared" si="557"/>
        <v>-196608.37652766754</v>
      </c>
      <c r="AB105" s="447">
        <f t="shared" si="557"/>
        <v>-196608.37652766754</v>
      </c>
      <c r="AC105" s="447">
        <f t="shared" si="557"/>
        <v>-196608.37652766754</v>
      </c>
      <c r="AD105" s="447">
        <f t="shared" si="557"/>
        <v>-196608.37652766754</v>
      </c>
      <c r="AE105" s="447">
        <f t="shared" si="557"/>
        <v>-196608.37652766754</v>
      </c>
      <c r="AF105" s="447">
        <f t="shared" si="557"/>
        <v>-196608.37652766754</v>
      </c>
      <c r="AG105" s="447">
        <f t="shared" si="557"/>
        <v>-196608.37652766754</v>
      </c>
      <c r="AH105" s="447">
        <f t="shared" si="557"/>
        <v>-196608.37652766754</v>
      </c>
      <c r="AI105" s="447">
        <f t="shared" si="557"/>
        <v>-196608.37652766754</v>
      </c>
      <c r="AJ105" s="447">
        <f t="shared" si="557"/>
        <v>-196608.37652766754</v>
      </c>
      <c r="AK105" s="447">
        <f t="shared" si="557"/>
        <v>-196608.37652766754</v>
      </c>
      <c r="AL105" s="447">
        <f t="shared" si="557"/>
        <v>-196608.37652766754</v>
      </c>
      <c r="AM105" s="447">
        <f t="shared" si="557"/>
        <v>-196608.37652766754</v>
      </c>
      <c r="AN105" s="447">
        <f t="shared" si="557"/>
        <v>-196608.37652766754</v>
      </c>
      <c r="AO105" s="447">
        <f t="shared" si="557"/>
        <v>-196608.37652766754</v>
      </c>
      <c r="AP105" s="447">
        <f t="shared" si="557"/>
        <v>-196608.37652766754</v>
      </c>
      <c r="AQ105" s="447">
        <f t="shared" si="557"/>
        <v>-196608.37652766754</v>
      </c>
      <c r="AR105" s="447">
        <f t="shared" si="557"/>
        <v>-196608.37652766754</v>
      </c>
      <c r="AS105" s="447">
        <f t="shared" si="557"/>
        <v>-196608.37652766754</v>
      </c>
      <c r="AT105" s="447">
        <f t="shared" si="557"/>
        <v>-247966.29967348435</v>
      </c>
      <c r="AU105" s="447">
        <f t="shared" si="557"/>
        <v>-247966.29967348435</v>
      </c>
      <c r="AV105" s="447">
        <f t="shared" si="557"/>
        <v>-247966.29967348435</v>
      </c>
      <c r="AW105" s="447">
        <f t="shared" si="557"/>
        <v>-247966.29967348435</v>
      </c>
      <c r="AX105" s="447">
        <f t="shared" si="557"/>
        <v>-247966.29967348435</v>
      </c>
      <c r="AY105" s="447">
        <f t="shared" si="557"/>
        <v>-247966.29967348435</v>
      </c>
      <c r="AZ105" s="447">
        <f t="shared" si="557"/>
        <v>-247966.29967348435</v>
      </c>
      <c r="BA105" s="447">
        <f t="shared" si="557"/>
        <v>-247966.29967348435</v>
      </c>
      <c r="BB105" s="447">
        <f t="shared" si="557"/>
        <v>-247966.29967348435</v>
      </c>
      <c r="BC105" s="447">
        <f t="shared" si="557"/>
        <v>-247966.29967348435</v>
      </c>
      <c r="BD105" s="447">
        <f t="shared" si="557"/>
        <v>-247966.29967348435</v>
      </c>
      <c r="BE105" s="447">
        <f t="shared" si="557"/>
        <v>-247966.29967348435</v>
      </c>
      <c r="BF105" s="447">
        <f t="shared" si="557"/>
        <v>-247966.29967348435</v>
      </c>
      <c r="BG105" s="447">
        <f t="shared" si="557"/>
        <v>-247966.29967348435</v>
      </c>
      <c r="BH105" s="447">
        <f t="shared" si="557"/>
        <v>-247966.29967348435</v>
      </c>
      <c r="BI105" s="447">
        <f t="shared" si="557"/>
        <v>-247966.29967348435</v>
      </c>
      <c r="BJ105" s="447">
        <f t="shared" si="557"/>
        <v>-247966.29967348435</v>
      </c>
      <c r="BK105" s="447">
        <f t="shared" si="557"/>
        <v>-247966.29967348435</v>
      </c>
      <c r="BL105" s="447">
        <f t="shared" si="557"/>
        <v>-247966.29967348435</v>
      </c>
      <c r="BM105" s="447">
        <f t="shared" si="557"/>
        <v>-247966.29967348435</v>
      </c>
      <c r="BN105" s="447">
        <f t="shared" si="557"/>
        <v>-247966.29967348435</v>
      </c>
      <c r="BO105" s="447">
        <f t="shared" si="557"/>
        <v>-247966.29967348435</v>
      </c>
      <c r="BP105" s="447">
        <f t="shared" si="557"/>
        <v>-247966.29967348435</v>
      </c>
      <c r="BQ105" s="447">
        <f t="shared" si="557"/>
        <v>-247966.29967348435</v>
      </c>
      <c r="BR105" s="447">
        <f t="shared" si="557"/>
        <v>-247966.29967348435</v>
      </c>
      <c r="BS105" s="447">
        <f t="shared" si="557"/>
        <v>-247966.29967348435</v>
      </c>
      <c r="BT105" s="447">
        <f t="shared" si="557"/>
        <v>-247966.29967348435</v>
      </c>
      <c r="BU105" s="447">
        <f t="shared" si="557"/>
        <v>-247966.29967348435</v>
      </c>
      <c r="BV105" s="447">
        <f t="shared" ref="BV105:EG105" si="558">SUM(BV101:BV104)</f>
        <v>-247966.29967348435</v>
      </c>
      <c r="BW105" s="447">
        <f t="shared" si="558"/>
        <v>-247966.29967348435</v>
      </c>
      <c r="BX105" s="447">
        <f t="shared" si="558"/>
        <v>-247966.29967348435</v>
      </c>
      <c r="BY105" s="447">
        <f t="shared" si="558"/>
        <v>-247966.29967348435</v>
      </c>
      <c r="BZ105" s="447">
        <f t="shared" si="558"/>
        <v>-247966.29967348435</v>
      </c>
      <c r="CA105" s="447">
        <f t="shared" si="558"/>
        <v>-247966.29967348435</v>
      </c>
      <c r="CB105" s="447">
        <f t="shared" si="558"/>
        <v>-247966.29967348435</v>
      </c>
      <c r="CC105" s="447">
        <f t="shared" si="558"/>
        <v>-247966.29967348435</v>
      </c>
      <c r="CD105" s="447">
        <f t="shared" si="558"/>
        <v>-247966.29967348435</v>
      </c>
      <c r="CE105" s="447">
        <f t="shared" si="558"/>
        <v>-247966.29967348435</v>
      </c>
      <c r="CF105" s="447">
        <f t="shared" si="558"/>
        <v>-247966.29967348435</v>
      </c>
      <c r="CG105" s="447">
        <f t="shared" si="558"/>
        <v>-247966.29967348435</v>
      </c>
      <c r="CH105" s="447">
        <f t="shared" si="558"/>
        <v>-247966.29967348435</v>
      </c>
      <c r="CI105" s="447">
        <f t="shared" si="558"/>
        <v>-247966.29967348435</v>
      </c>
      <c r="CJ105" s="447">
        <f t="shared" si="558"/>
        <v>-247966.29967348435</v>
      </c>
      <c r="CK105" s="447">
        <f t="shared" si="558"/>
        <v>-247966.29967348435</v>
      </c>
      <c r="CL105" s="447">
        <f t="shared" si="558"/>
        <v>-247966.29967348435</v>
      </c>
      <c r="CM105" s="447">
        <f t="shared" si="558"/>
        <v>-247966.29967348435</v>
      </c>
      <c r="CN105" s="447">
        <f t="shared" si="558"/>
        <v>-247966.29967348435</v>
      </c>
      <c r="CO105" s="447">
        <f t="shared" si="558"/>
        <v>-247966.29967348435</v>
      </c>
      <c r="CP105" s="447">
        <f t="shared" si="558"/>
        <v>-247966.29967348435</v>
      </c>
      <c r="CQ105" s="447">
        <f t="shared" si="558"/>
        <v>-247966.29967348435</v>
      </c>
      <c r="CR105" s="447">
        <f t="shared" si="558"/>
        <v>-247966.29967348435</v>
      </c>
      <c r="CS105" s="447">
        <f t="shared" si="558"/>
        <v>-247966.29967348435</v>
      </c>
      <c r="CT105" s="447">
        <f t="shared" si="558"/>
        <v>-247966.29967348435</v>
      </c>
      <c r="CU105" s="447">
        <f t="shared" si="558"/>
        <v>-247966.29967348435</v>
      </c>
      <c r="CV105" s="447">
        <f t="shared" si="558"/>
        <v>-247966.29967348435</v>
      </c>
      <c r="CW105" s="447">
        <f t="shared" si="558"/>
        <v>-247966.29967348435</v>
      </c>
      <c r="CX105" s="447">
        <f t="shared" si="558"/>
        <v>-247966.29967348435</v>
      </c>
      <c r="CY105" s="447">
        <f t="shared" si="558"/>
        <v>-247966.29967348435</v>
      </c>
      <c r="CZ105" s="447">
        <f t="shared" si="558"/>
        <v>-247966.29967348435</v>
      </c>
      <c r="DA105" s="447">
        <f t="shared" si="558"/>
        <v>-247966.29967348435</v>
      </c>
      <c r="DB105" s="447">
        <f t="shared" si="558"/>
        <v>-247966.29967348435</v>
      </c>
      <c r="DC105" s="447">
        <f t="shared" si="558"/>
        <v>-247966.29967348435</v>
      </c>
      <c r="DD105" s="447">
        <f t="shared" si="558"/>
        <v>-247966.29967348435</v>
      </c>
      <c r="DE105" s="447">
        <f t="shared" si="558"/>
        <v>-247966.29967348435</v>
      </c>
      <c r="DF105" s="447">
        <f t="shared" si="558"/>
        <v>-247966.29967348435</v>
      </c>
      <c r="DG105" s="447">
        <f t="shared" si="558"/>
        <v>-247966.29967348435</v>
      </c>
      <c r="DH105" s="447">
        <f t="shared" si="558"/>
        <v>-247966.29967348435</v>
      </c>
      <c r="DI105" s="447">
        <f t="shared" si="558"/>
        <v>-247966.29967348435</v>
      </c>
      <c r="DJ105" s="447">
        <f t="shared" si="558"/>
        <v>-247966.29967348435</v>
      </c>
      <c r="DK105" s="447">
        <f t="shared" si="558"/>
        <v>-247966.29967348435</v>
      </c>
      <c r="DL105" s="447">
        <f t="shared" si="558"/>
        <v>-247966.29967348435</v>
      </c>
      <c r="DM105" s="447">
        <f t="shared" si="558"/>
        <v>-247966.29967348435</v>
      </c>
      <c r="DN105" s="447">
        <f t="shared" si="558"/>
        <v>-247966.29967348435</v>
      </c>
      <c r="DO105" s="447">
        <f t="shared" si="558"/>
        <v>-247966.29967348435</v>
      </c>
      <c r="DP105" s="447">
        <f t="shared" si="558"/>
        <v>-247966.29967348435</v>
      </c>
      <c r="DQ105" s="447">
        <f t="shared" si="558"/>
        <v>-247966.29967348435</v>
      </c>
      <c r="DR105" s="447">
        <f t="shared" si="558"/>
        <v>-247966.29967348435</v>
      </c>
      <c r="DS105" s="447">
        <f t="shared" si="558"/>
        <v>-247966.29967348435</v>
      </c>
      <c r="DT105" s="447">
        <f t="shared" si="558"/>
        <v>-247966.29967348435</v>
      </c>
      <c r="DU105" s="447">
        <f t="shared" si="558"/>
        <v>-247966.29967348435</v>
      </c>
      <c r="DV105" s="447">
        <f t="shared" si="558"/>
        <v>-247966.29967348435</v>
      </c>
      <c r="DW105" s="447">
        <f t="shared" si="558"/>
        <v>-247966.29967348435</v>
      </c>
      <c r="DX105" s="447">
        <f t="shared" si="558"/>
        <v>-247966.29967348435</v>
      </c>
      <c r="DY105" s="447">
        <f t="shared" si="558"/>
        <v>-247966.29967348435</v>
      </c>
      <c r="DZ105" s="447">
        <f t="shared" si="558"/>
        <v>-247966.29967348435</v>
      </c>
      <c r="EA105" s="447">
        <f t="shared" si="558"/>
        <v>-247966.29967348435</v>
      </c>
      <c r="EB105" s="447">
        <f t="shared" si="558"/>
        <v>-247966.29967348435</v>
      </c>
      <c r="EC105" s="447">
        <f t="shared" si="558"/>
        <v>-247966.29967348435</v>
      </c>
      <c r="ED105" s="447">
        <f t="shared" si="558"/>
        <v>-247966.29967348435</v>
      </c>
      <c r="EE105" s="447">
        <f t="shared" si="558"/>
        <v>-247966.29967348435</v>
      </c>
      <c r="EF105" s="447">
        <f t="shared" si="558"/>
        <v>-247966.29967348435</v>
      </c>
      <c r="EG105" s="447">
        <f t="shared" si="558"/>
        <v>-247966.29967348435</v>
      </c>
      <c r="EH105" s="447">
        <f t="shared" ref="EH105:GS105" si="559">SUM(EH101:EH104)</f>
        <v>-247966.29967348435</v>
      </c>
      <c r="EI105" s="447">
        <f t="shared" si="559"/>
        <v>-247966.29967348435</v>
      </c>
      <c r="EJ105" s="447">
        <f t="shared" si="559"/>
        <v>-247966.29967348435</v>
      </c>
      <c r="EK105" s="447">
        <f t="shared" si="559"/>
        <v>-247966.29967348435</v>
      </c>
      <c r="EL105" s="447">
        <f t="shared" si="559"/>
        <v>-247966.29967348435</v>
      </c>
      <c r="EM105" s="447">
        <f t="shared" si="559"/>
        <v>-247966.29967348435</v>
      </c>
      <c r="EN105" s="447">
        <f t="shared" si="559"/>
        <v>-247966.29967348435</v>
      </c>
      <c r="EO105" s="447">
        <f t="shared" si="559"/>
        <v>-247966.29967348435</v>
      </c>
      <c r="EP105" s="447">
        <f t="shared" si="559"/>
        <v>-247966.29967348435</v>
      </c>
      <c r="EQ105" s="447">
        <f t="shared" si="559"/>
        <v>-247966.29967348435</v>
      </c>
      <c r="ER105" s="447">
        <f t="shared" si="559"/>
        <v>-247966.29967348435</v>
      </c>
      <c r="ES105" s="447">
        <f t="shared" si="559"/>
        <v>-247966.29967348435</v>
      </c>
      <c r="ET105" s="447">
        <f t="shared" si="559"/>
        <v>-247966.29967348435</v>
      </c>
      <c r="EU105" s="447">
        <f t="shared" si="559"/>
        <v>-247966.29967348435</v>
      </c>
      <c r="EV105" s="447">
        <f t="shared" si="559"/>
        <v>-247966.29967348435</v>
      </c>
      <c r="EW105" s="447">
        <f t="shared" si="559"/>
        <v>-247966.29967348435</v>
      </c>
      <c r="EX105" s="447">
        <f t="shared" si="559"/>
        <v>-247966.29967348435</v>
      </c>
      <c r="EY105" s="447">
        <f t="shared" si="559"/>
        <v>-247966.29967348435</v>
      </c>
      <c r="EZ105" s="447">
        <f t="shared" si="559"/>
        <v>-247966.29967348435</v>
      </c>
      <c r="FA105" s="447">
        <f t="shared" si="559"/>
        <v>-247966.29967348435</v>
      </c>
      <c r="FB105" s="447">
        <f t="shared" si="559"/>
        <v>-247966.29967348435</v>
      </c>
      <c r="FC105" s="447">
        <f t="shared" si="559"/>
        <v>-247966.29967348435</v>
      </c>
      <c r="FD105" s="447">
        <f t="shared" si="559"/>
        <v>-247966.29967348435</v>
      </c>
      <c r="FE105" s="447">
        <f t="shared" si="559"/>
        <v>-247966.29967348435</v>
      </c>
      <c r="FF105" s="447">
        <f t="shared" si="559"/>
        <v>-247966.29967348435</v>
      </c>
      <c r="FG105" s="447">
        <f t="shared" si="559"/>
        <v>-247966.29967348435</v>
      </c>
      <c r="FH105" s="447">
        <f t="shared" si="559"/>
        <v>-247966.29967348435</v>
      </c>
      <c r="FI105" s="447">
        <f t="shared" si="559"/>
        <v>-247966.29967348435</v>
      </c>
      <c r="FJ105" s="447">
        <f t="shared" si="559"/>
        <v>-247966.29967348435</v>
      </c>
      <c r="FK105" s="447">
        <f t="shared" si="559"/>
        <v>-247966.29967348435</v>
      </c>
      <c r="FL105" s="447">
        <f t="shared" si="559"/>
        <v>-247966.29967348435</v>
      </c>
      <c r="FM105" s="447">
        <f t="shared" si="559"/>
        <v>-247966.29967348435</v>
      </c>
      <c r="FN105" s="447">
        <f t="shared" si="559"/>
        <v>-247966.29967348435</v>
      </c>
      <c r="FO105" s="447">
        <f t="shared" si="559"/>
        <v>-247966.29967348435</v>
      </c>
      <c r="FP105" s="447">
        <f t="shared" si="559"/>
        <v>-247966.29967348435</v>
      </c>
      <c r="FQ105" s="447">
        <f t="shared" si="559"/>
        <v>-247966.29967348435</v>
      </c>
      <c r="FR105" s="447">
        <f t="shared" si="559"/>
        <v>-247966.29967348435</v>
      </c>
      <c r="FS105" s="447">
        <f t="shared" si="559"/>
        <v>-247966.29967348435</v>
      </c>
      <c r="FT105" s="447">
        <f t="shared" si="559"/>
        <v>-247966.29967348435</v>
      </c>
      <c r="FU105" s="447">
        <f t="shared" si="559"/>
        <v>-247966.29967348435</v>
      </c>
      <c r="FV105" s="447">
        <f t="shared" si="559"/>
        <v>-247966.29967348435</v>
      </c>
      <c r="FW105" s="447">
        <f t="shared" si="559"/>
        <v>-247966.29967348435</v>
      </c>
      <c r="FX105" s="447">
        <f t="shared" si="559"/>
        <v>-247966.29967348435</v>
      </c>
      <c r="FY105" s="447">
        <f t="shared" si="559"/>
        <v>-247966.29967348435</v>
      </c>
      <c r="FZ105" s="447">
        <f t="shared" si="559"/>
        <v>-247966.29967348435</v>
      </c>
      <c r="GA105" s="447">
        <f t="shared" si="559"/>
        <v>-247966.29967348435</v>
      </c>
      <c r="GB105" s="447">
        <f t="shared" si="559"/>
        <v>-247966.29967348435</v>
      </c>
      <c r="GC105" s="447">
        <f t="shared" si="559"/>
        <v>-247966.29967348435</v>
      </c>
      <c r="GD105" s="447">
        <f t="shared" si="559"/>
        <v>-247966.29967348435</v>
      </c>
      <c r="GE105" s="447">
        <f t="shared" si="559"/>
        <v>-247966.29967348435</v>
      </c>
      <c r="GF105" s="447">
        <f t="shared" si="559"/>
        <v>-247966.29967348435</v>
      </c>
      <c r="GG105" s="447">
        <f t="shared" si="559"/>
        <v>-247966.29967348435</v>
      </c>
      <c r="GH105" s="447">
        <f t="shared" si="559"/>
        <v>-247966.29967348435</v>
      </c>
      <c r="GI105" s="447">
        <f t="shared" si="559"/>
        <v>-247966.29967348435</v>
      </c>
      <c r="GJ105" s="447">
        <f t="shared" si="559"/>
        <v>-247966.29967348435</v>
      </c>
      <c r="GK105" s="447">
        <f t="shared" si="559"/>
        <v>-247966.29967348435</v>
      </c>
      <c r="GL105" s="447">
        <f t="shared" si="559"/>
        <v>-247966.29967348435</v>
      </c>
      <c r="GM105" s="447">
        <f t="shared" si="559"/>
        <v>-247966.29967348435</v>
      </c>
      <c r="GN105" s="447">
        <f t="shared" si="559"/>
        <v>-247966.29967348435</v>
      </c>
      <c r="GO105" s="447">
        <f t="shared" si="559"/>
        <v>-247966.29967348435</v>
      </c>
      <c r="GP105" s="447">
        <f t="shared" si="559"/>
        <v>-247966.29967348435</v>
      </c>
      <c r="GQ105" s="447">
        <f t="shared" si="559"/>
        <v>-247966.29967348435</v>
      </c>
      <c r="GR105" s="447">
        <f t="shared" si="559"/>
        <v>-247966.29967348435</v>
      </c>
      <c r="GS105" s="447">
        <f t="shared" si="559"/>
        <v>-247966.29967348435</v>
      </c>
      <c r="GT105" s="447">
        <f t="shared" ref="GT105:JE105" si="560">SUM(GT101:GT104)</f>
        <v>-247966.29967348435</v>
      </c>
      <c r="GU105" s="447">
        <f t="shared" si="560"/>
        <v>-247966.29967348435</v>
      </c>
      <c r="GV105" s="447">
        <f t="shared" si="560"/>
        <v>-247966.29967348435</v>
      </c>
      <c r="GW105" s="447">
        <f t="shared" si="560"/>
        <v>-247966.29967348435</v>
      </c>
      <c r="GX105" s="447">
        <f t="shared" si="560"/>
        <v>-247966.29967348435</v>
      </c>
      <c r="GY105" s="447">
        <f t="shared" si="560"/>
        <v>-247966.29967348435</v>
      </c>
      <c r="GZ105" s="447">
        <f t="shared" si="560"/>
        <v>-247966.29967348435</v>
      </c>
      <c r="HA105" s="447">
        <f t="shared" si="560"/>
        <v>-247966.29967348435</v>
      </c>
      <c r="HB105" s="447">
        <f t="shared" si="560"/>
        <v>-247966.29967348435</v>
      </c>
      <c r="HC105" s="447">
        <f t="shared" si="560"/>
        <v>-247966.29967348435</v>
      </c>
      <c r="HD105" s="447">
        <f t="shared" si="560"/>
        <v>-247966.29967348435</v>
      </c>
      <c r="HE105" s="447">
        <f t="shared" si="560"/>
        <v>-247966.29967348435</v>
      </c>
      <c r="HF105" s="447">
        <f t="shared" si="560"/>
        <v>-247966.29967348435</v>
      </c>
      <c r="HG105" s="447">
        <f t="shared" si="560"/>
        <v>-247966.29967348435</v>
      </c>
      <c r="HH105" s="447">
        <f t="shared" si="560"/>
        <v>-247966.29967348435</v>
      </c>
      <c r="HI105" s="447">
        <f t="shared" si="560"/>
        <v>-247966.29967348435</v>
      </c>
      <c r="HJ105" s="447">
        <f t="shared" si="560"/>
        <v>-247966.29967348435</v>
      </c>
      <c r="HK105" s="447">
        <f t="shared" si="560"/>
        <v>-247966.29967348435</v>
      </c>
      <c r="HL105" s="447">
        <f t="shared" si="560"/>
        <v>-247966.29967348435</v>
      </c>
      <c r="HM105" s="447">
        <f t="shared" si="560"/>
        <v>-247966.29967348435</v>
      </c>
      <c r="HN105" s="447">
        <f t="shared" si="560"/>
        <v>-247966.29967348435</v>
      </c>
      <c r="HO105" s="447">
        <f t="shared" si="560"/>
        <v>-247966.29967348435</v>
      </c>
      <c r="HP105" s="447">
        <f t="shared" si="560"/>
        <v>-247966.29967348435</v>
      </c>
      <c r="HQ105" s="447">
        <f t="shared" si="560"/>
        <v>-247966.29967348435</v>
      </c>
      <c r="HR105" s="447">
        <f t="shared" si="560"/>
        <v>-247966.29967348435</v>
      </c>
      <c r="HS105" s="447">
        <f t="shared" si="560"/>
        <v>-247966.29967348435</v>
      </c>
      <c r="HT105" s="447">
        <f t="shared" si="560"/>
        <v>-247966.29967348435</v>
      </c>
      <c r="HU105" s="447">
        <f t="shared" si="560"/>
        <v>-247966.29967348435</v>
      </c>
      <c r="HV105" s="447">
        <f t="shared" si="560"/>
        <v>-247966.29967348435</v>
      </c>
      <c r="HW105" s="447">
        <f t="shared" si="560"/>
        <v>-247966.29967348435</v>
      </c>
      <c r="HX105" s="447">
        <f t="shared" si="560"/>
        <v>-247966.29967348435</v>
      </c>
      <c r="HY105" s="447">
        <f t="shared" si="560"/>
        <v>-247966.29967348435</v>
      </c>
      <c r="HZ105" s="447">
        <f t="shared" si="560"/>
        <v>-247966.29967348435</v>
      </c>
      <c r="IA105" s="447">
        <f t="shared" si="560"/>
        <v>-247966.29967348435</v>
      </c>
      <c r="IB105" s="447">
        <f t="shared" si="560"/>
        <v>-247966.29967348435</v>
      </c>
      <c r="IC105" s="447">
        <f t="shared" si="560"/>
        <v>-247966.29967348435</v>
      </c>
      <c r="ID105" s="447">
        <f t="shared" si="560"/>
        <v>-247966.29967348435</v>
      </c>
      <c r="IE105" s="447">
        <f t="shared" si="560"/>
        <v>-247966.29967348435</v>
      </c>
      <c r="IF105" s="447">
        <f t="shared" si="560"/>
        <v>-247966.29967348435</v>
      </c>
      <c r="IG105" s="447">
        <f t="shared" si="560"/>
        <v>-247966.29967348435</v>
      </c>
      <c r="IH105" s="447">
        <f t="shared" si="560"/>
        <v>-247966.29967348435</v>
      </c>
      <c r="II105" s="447">
        <f t="shared" si="560"/>
        <v>-247966.29967348435</v>
      </c>
      <c r="IJ105" s="447">
        <f t="shared" si="560"/>
        <v>-247966.29967348435</v>
      </c>
      <c r="IK105" s="447">
        <f t="shared" si="560"/>
        <v>-247966.29967348435</v>
      </c>
      <c r="IL105" s="447">
        <f t="shared" si="560"/>
        <v>-247966.29967348435</v>
      </c>
      <c r="IM105" s="447">
        <f t="shared" si="560"/>
        <v>-247966.29967348435</v>
      </c>
      <c r="IN105" s="447">
        <f t="shared" si="560"/>
        <v>-247966.29967348435</v>
      </c>
      <c r="IO105" s="447">
        <f t="shared" si="560"/>
        <v>-247966.29967348435</v>
      </c>
      <c r="IP105" s="447">
        <f t="shared" si="560"/>
        <v>-247966.29967348435</v>
      </c>
      <c r="IQ105" s="447">
        <f t="shared" si="560"/>
        <v>-247966.29967348435</v>
      </c>
      <c r="IR105" s="447">
        <f t="shared" si="560"/>
        <v>-247966.29967348435</v>
      </c>
      <c r="IS105" s="447">
        <f t="shared" si="560"/>
        <v>-247966.29967348435</v>
      </c>
      <c r="IT105" s="447">
        <f t="shared" si="560"/>
        <v>-247966.29967348435</v>
      </c>
      <c r="IU105" s="447">
        <f t="shared" si="560"/>
        <v>-247966.29967348435</v>
      </c>
      <c r="IV105" s="447">
        <f t="shared" si="560"/>
        <v>-247966.29967348435</v>
      </c>
      <c r="IW105" s="447">
        <f t="shared" si="560"/>
        <v>-247966.29967348435</v>
      </c>
      <c r="IX105" s="447">
        <f t="shared" si="560"/>
        <v>-247966.29967348435</v>
      </c>
      <c r="IY105" s="447">
        <f t="shared" si="560"/>
        <v>-247966.29967348435</v>
      </c>
      <c r="IZ105" s="447">
        <f t="shared" si="560"/>
        <v>-247966.29967348435</v>
      </c>
      <c r="JA105" s="447">
        <f t="shared" si="560"/>
        <v>-247966.29967348435</v>
      </c>
      <c r="JB105" s="447">
        <f t="shared" si="560"/>
        <v>-247966.29967348435</v>
      </c>
      <c r="JC105" s="447">
        <f t="shared" si="560"/>
        <v>-247966.29967348435</v>
      </c>
      <c r="JD105" s="447">
        <f t="shared" si="560"/>
        <v>-247966.29967348435</v>
      </c>
      <c r="JE105" s="447">
        <f t="shared" si="560"/>
        <v>-247966.29967348435</v>
      </c>
      <c r="JF105" s="447">
        <f t="shared" ref="JF105:LQ105" si="561">SUM(JF101:JF104)</f>
        <v>-247966.29967348435</v>
      </c>
      <c r="JG105" s="447">
        <f t="shared" si="561"/>
        <v>-247966.29967348435</v>
      </c>
      <c r="JH105" s="447">
        <f t="shared" si="561"/>
        <v>-247966.29967348435</v>
      </c>
      <c r="JI105" s="447">
        <f t="shared" si="561"/>
        <v>-247966.29967348435</v>
      </c>
      <c r="JJ105" s="447">
        <f t="shared" si="561"/>
        <v>-247966.29967348435</v>
      </c>
      <c r="JK105" s="447">
        <f t="shared" si="561"/>
        <v>-247966.29967348435</v>
      </c>
      <c r="JL105" s="447">
        <f t="shared" si="561"/>
        <v>-247966.29967348435</v>
      </c>
      <c r="JM105" s="447">
        <f t="shared" si="561"/>
        <v>-247966.29967348435</v>
      </c>
      <c r="JN105" s="447">
        <f t="shared" si="561"/>
        <v>-247966.29967348435</v>
      </c>
      <c r="JO105" s="447">
        <f t="shared" si="561"/>
        <v>-247966.29967348435</v>
      </c>
      <c r="JP105" s="447">
        <f t="shared" si="561"/>
        <v>-247966.29967348435</v>
      </c>
      <c r="JQ105" s="447">
        <f t="shared" si="561"/>
        <v>-247966.29967348435</v>
      </c>
      <c r="JR105" s="447">
        <f t="shared" si="561"/>
        <v>-247966.29967348435</v>
      </c>
      <c r="JS105" s="447">
        <f t="shared" si="561"/>
        <v>-247966.29967348435</v>
      </c>
      <c r="JT105" s="447">
        <f t="shared" si="561"/>
        <v>-247966.29967348435</v>
      </c>
      <c r="JU105" s="447">
        <f t="shared" si="561"/>
        <v>-247966.29967348435</v>
      </c>
      <c r="JV105" s="447">
        <f t="shared" si="561"/>
        <v>-247966.29967348435</v>
      </c>
      <c r="JW105" s="447">
        <f t="shared" si="561"/>
        <v>-247966.29967348435</v>
      </c>
      <c r="JX105" s="447">
        <f t="shared" si="561"/>
        <v>-247966.29967348435</v>
      </c>
      <c r="JY105" s="447">
        <f t="shared" si="561"/>
        <v>-247966.29967348435</v>
      </c>
      <c r="JZ105" s="447">
        <f t="shared" si="561"/>
        <v>-247966.29967348435</v>
      </c>
      <c r="KA105" s="447">
        <f t="shared" si="561"/>
        <v>-247966.29967348435</v>
      </c>
      <c r="KB105" s="447">
        <f t="shared" si="561"/>
        <v>-247966.29967348435</v>
      </c>
      <c r="KC105" s="447">
        <f t="shared" si="561"/>
        <v>-247966.29967348435</v>
      </c>
      <c r="KD105" s="447">
        <f t="shared" si="561"/>
        <v>-247966.29967348435</v>
      </c>
      <c r="KE105" s="447">
        <f t="shared" si="561"/>
        <v>-247966.29967348435</v>
      </c>
      <c r="KF105" s="447">
        <f t="shared" si="561"/>
        <v>-247966.29967348435</v>
      </c>
      <c r="KG105" s="447">
        <f t="shared" si="561"/>
        <v>-247966.29967348435</v>
      </c>
      <c r="KH105" s="447">
        <f t="shared" si="561"/>
        <v>-247966.29967348435</v>
      </c>
      <c r="KI105" s="447">
        <f t="shared" si="561"/>
        <v>-247966.29967348435</v>
      </c>
      <c r="KJ105" s="447">
        <f t="shared" si="561"/>
        <v>-247966.29967348435</v>
      </c>
      <c r="KK105" s="447">
        <f t="shared" si="561"/>
        <v>-247966.29967348435</v>
      </c>
      <c r="KL105" s="447">
        <f t="shared" si="561"/>
        <v>-247966.29967348435</v>
      </c>
      <c r="KM105" s="447">
        <f t="shared" si="561"/>
        <v>-247966.29967348435</v>
      </c>
      <c r="KN105" s="447">
        <f t="shared" si="561"/>
        <v>-247966.29967348435</v>
      </c>
      <c r="KO105" s="447">
        <f t="shared" si="561"/>
        <v>-247966.29967348435</v>
      </c>
      <c r="KP105" s="447">
        <f t="shared" si="561"/>
        <v>-247966.29967348435</v>
      </c>
      <c r="KQ105" s="447">
        <f t="shared" si="561"/>
        <v>-247966.29967348435</v>
      </c>
      <c r="KR105" s="447">
        <f t="shared" si="561"/>
        <v>-247966.29967348435</v>
      </c>
      <c r="KS105" s="447">
        <f t="shared" si="561"/>
        <v>-247966.29967348435</v>
      </c>
      <c r="KT105" s="447">
        <f t="shared" si="561"/>
        <v>-247966.29967348435</v>
      </c>
      <c r="KU105" s="447">
        <f t="shared" si="561"/>
        <v>-247966.29967348435</v>
      </c>
      <c r="KV105" s="447">
        <f t="shared" si="561"/>
        <v>-247966.29967348435</v>
      </c>
      <c r="KW105" s="447">
        <f t="shared" si="561"/>
        <v>-247966.29967348435</v>
      </c>
      <c r="KX105" s="447">
        <f t="shared" si="561"/>
        <v>-247966.29967348435</v>
      </c>
      <c r="KY105" s="447">
        <f t="shared" si="561"/>
        <v>-247966.29967348435</v>
      </c>
      <c r="KZ105" s="447">
        <f t="shared" si="561"/>
        <v>-247966.29967348435</v>
      </c>
      <c r="LA105" s="447">
        <f t="shared" si="561"/>
        <v>-247966.29967348435</v>
      </c>
      <c r="LB105" s="447">
        <f t="shared" si="561"/>
        <v>-247966.29967348435</v>
      </c>
      <c r="LC105" s="447">
        <f t="shared" si="561"/>
        <v>-247966.29967348435</v>
      </c>
      <c r="LD105" s="447">
        <f t="shared" si="561"/>
        <v>-247966.29967348435</v>
      </c>
      <c r="LE105" s="447">
        <f t="shared" si="561"/>
        <v>-247966.29967348435</v>
      </c>
      <c r="LF105" s="447">
        <f t="shared" si="561"/>
        <v>-247966.29967348435</v>
      </c>
      <c r="LG105" s="447">
        <f t="shared" si="561"/>
        <v>-247966.29967348435</v>
      </c>
      <c r="LH105" s="447">
        <f t="shared" si="561"/>
        <v>-247966.29967348435</v>
      </c>
      <c r="LI105" s="447">
        <f t="shared" si="561"/>
        <v>-247966.29967348435</v>
      </c>
      <c r="LJ105" s="447">
        <f t="shared" si="561"/>
        <v>-247966.29967348435</v>
      </c>
      <c r="LK105" s="447">
        <f t="shared" si="561"/>
        <v>-247966.29967348435</v>
      </c>
      <c r="LL105" s="447">
        <f t="shared" si="561"/>
        <v>-247966.29967348435</v>
      </c>
      <c r="LM105" s="447">
        <f t="shared" si="561"/>
        <v>-247966.29967348435</v>
      </c>
      <c r="LN105" s="447">
        <f t="shared" si="561"/>
        <v>-247966.29967348435</v>
      </c>
      <c r="LO105" s="447">
        <f t="shared" si="561"/>
        <v>-247966.29967348435</v>
      </c>
      <c r="LP105" s="447">
        <f t="shared" si="561"/>
        <v>-247966.29967348435</v>
      </c>
      <c r="LQ105" s="447">
        <f t="shared" si="561"/>
        <v>-247966.29967348435</v>
      </c>
      <c r="LR105" s="447">
        <f t="shared" ref="LR105:OC105" si="562">SUM(LR101:LR104)</f>
        <v>-247966.29967348435</v>
      </c>
      <c r="LS105" s="447">
        <f t="shared" si="562"/>
        <v>-247966.29967348435</v>
      </c>
      <c r="LT105" s="447">
        <f t="shared" si="562"/>
        <v>-247966.29967348435</v>
      </c>
      <c r="LU105" s="447">
        <f t="shared" si="562"/>
        <v>-247966.29967348435</v>
      </c>
      <c r="LV105" s="447">
        <f t="shared" si="562"/>
        <v>-247966.29967348435</v>
      </c>
      <c r="LW105" s="447">
        <f t="shared" si="562"/>
        <v>-247966.29967348435</v>
      </c>
      <c r="LX105" s="447">
        <f t="shared" si="562"/>
        <v>-247966.29967348435</v>
      </c>
      <c r="LY105" s="447">
        <f t="shared" si="562"/>
        <v>-247966.29967348435</v>
      </c>
      <c r="LZ105" s="447">
        <f t="shared" si="562"/>
        <v>-247966.29967348435</v>
      </c>
      <c r="MA105" s="447">
        <f t="shared" si="562"/>
        <v>-247966.29967348435</v>
      </c>
      <c r="MB105" s="447">
        <f t="shared" si="562"/>
        <v>-247966.29967348435</v>
      </c>
      <c r="MC105" s="447">
        <f t="shared" si="562"/>
        <v>-247966.29967348435</v>
      </c>
      <c r="MD105" s="447">
        <f t="shared" si="562"/>
        <v>-247966.29967348435</v>
      </c>
      <c r="ME105" s="447">
        <f t="shared" si="562"/>
        <v>-247966.29967348435</v>
      </c>
      <c r="MF105" s="447">
        <f t="shared" si="562"/>
        <v>-247966.29967348435</v>
      </c>
      <c r="MG105" s="447">
        <f t="shared" si="562"/>
        <v>-247966.29967348435</v>
      </c>
      <c r="MH105" s="447">
        <f t="shared" si="562"/>
        <v>-247966.29967348435</v>
      </c>
      <c r="MI105" s="447">
        <f t="shared" si="562"/>
        <v>-247966.29967348435</v>
      </c>
      <c r="MJ105" s="447">
        <f t="shared" si="562"/>
        <v>-247966.29967348435</v>
      </c>
      <c r="MK105" s="447">
        <f t="shared" si="562"/>
        <v>-247966.29967348435</v>
      </c>
      <c r="ML105" s="447">
        <f t="shared" si="562"/>
        <v>-247966.29967348435</v>
      </c>
      <c r="MM105" s="447">
        <f t="shared" si="562"/>
        <v>-247966.29967348435</v>
      </c>
      <c r="MN105" s="447">
        <f t="shared" si="562"/>
        <v>-247966.29967348435</v>
      </c>
      <c r="MO105" s="447">
        <f t="shared" si="562"/>
        <v>-247966.29967348435</v>
      </c>
      <c r="MP105" s="447">
        <f t="shared" si="562"/>
        <v>-247966.29967348435</v>
      </c>
      <c r="MQ105" s="447">
        <f t="shared" si="562"/>
        <v>-247966.29967348435</v>
      </c>
      <c r="MR105" s="447">
        <f t="shared" si="562"/>
        <v>-247966.29967348435</v>
      </c>
      <c r="MS105" s="447">
        <f t="shared" si="562"/>
        <v>-247966.29967348435</v>
      </c>
      <c r="MT105" s="447">
        <f t="shared" si="562"/>
        <v>-247966.29967348435</v>
      </c>
      <c r="MU105" s="447">
        <f t="shared" si="562"/>
        <v>-247966.29967348435</v>
      </c>
      <c r="MV105" s="447">
        <f t="shared" si="562"/>
        <v>-247966.29967348435</v>
      </c>
      <c r="MW105" s="447">
        <f t="shared" si="562"/>
        <v>-247966.29967348435</v>
      </c>
      <c r="MX105" s="447">
        <f t="shared" si="562"/>
        <v>-247966.29967348435</v>
      </c>
      <c r="MY105" s="447">
        <f t="shared" si="562"/>
        <v>-247966.29967348435</v>
      </c>
      <c r="MZ105" s="447">
        <f t="shared" si="562"/>
        <v>-247966.29967348435</v>
      </c>
      <c r="NA105" s="447">
        <f t="shared" si="562"/>
        <v>-247966.29967348435</v>
      </c>
      <c r="NB105" s="447">
        <f t="shared" si="562"/>
        <v>-247966.29967348435</v>
      </c>
      <c r="NC105" s="447">
        <f t="shared" si="562"/>
        <v>-247966.29967348435</v>
      </c>
      <c r="ND105" s="447">
        <f t="shared" si="562"/>
        <v>-247966.29967348435</v>
      </c>
      <c r="NE105" s="447">
        <f t="shared" si="562"/>
        <v>-247966.29967348435</v>
      </c>
      <c r="NF105" s="447">
        <f t="shared" si="562"/>
        <v>-247966.29967348435</v>
      </c>
      <c r="NG105" s="447">
        <f t="shared" si="562"/>
        <v>-247966.29967348435</v>
      </c>
      <c r="NH105" s="447">
        <f t="shared" si="562"/>
        <v>-247966.29967348435</v>
      </c>
      <c r="NI105" s="447">
        <f t="shared" si="562"/>
        <v>-247966.29967348435</v>
      </c>
      <c r="NJ105" s="447">
        <f t="shared" si="562"/>
        <v>-247966.29967348435</v>
      </c>
      <c r="NK105" s="447">
        <f t="shared" si="562"/>
        <v>-247966.29967348435</v>
      </c>
      <c r="NL105" s="447">
        <f t="shared" si="562"/>
        <v>-247966.29967348435</v>
      </c>
      <c r="NM105" s="447">
        <f t="shared" si="562"/>
        <v>-247966.29967348435</v>
      </c>
      <c r="NN105" s="447">
        <f t="shared" si="562"/>
        <v>-247966.29967348435</v>
      </c>
      <c r="NO105" s="447">
        <f t="shared" si="562"/>
        <v>-247966.29967348435</v>
      </c>
      <c r="NP105" s="447">
        <f t="shared" si="562"/>
        <v>-247966.29967348435</v>
      </c>
      <c r="NQ105" s="447">
        <f t="shared" si="562"/>
        <v>-247966.29967348435</v>
      </c>
      <c r="NR105" s="447">
        <f t="shared" si="562"/>
        <v>-247966.29967348435</v>
      </c>
      <c r="NS105" s="447">
        <f t="shared" si="562"/>
        <v>-247966.29967348435</v>
      </c>
      <c r="NT105" s="447">
        <f t="shared" si="562"/>
        <v>-247966.29967348435</v>
      </c>
      <c r="NU105" s="447">
        <f t="shared" si="562"/>
        <v>-247966.29967348435</v>
      </c>
      <c r="NV105" s="447">
        <f t="shared" si="562"/>
        <v>-247966.29967348435</v>
      </c>
      <c r="NW105" s="447">
        <f t="shared" si="562"/>
        <v>-247966.29967348435</v>
      </c>
      <c r="NX105" s="447">
        <f t="shared" si="562"/>
        <v>-247966.29967348435</v>
      </c>
      <c r="NY105" s="447">
        <f t="shared" si="562"/>
        <v>-247966.29967348435</v>
      </c>
      <c r="NZ105" s="447">
        <f t="shared" si="562"/>
        <v>-247966.29967348435</v>
      </c>
      <c r="OA105" s="447">
        <f t="shared" si="562"/>
        <v>-247966.29967348435</v>
      </c>
      <c r="OB105" s="447">
        <f t="shared" si="562"/>
        <v>-247966.29967348435</v>
      </c>
      <c r="OC105" s="447">
        <f t="shared" si="562"/>
        <v>-247966.29967348435</v>
      </c>
      <c r="OD105" s="447">
        <f t="shared" ref="OD105:OO105" si="563">SUM(OD101:OD104)</f>
        <v>-247966.29967348435</v>
      </c>
      <c r="OE105" s="447">
        <f t="shared" si="563"/>
        <v>-247966.29967348435</v>
      </c>
      <c r="OF105" s="447">
        <f t="shared" si="563"/>
        <v>-247966.29967348435</v>
      </c>
      <c r="OG105" s="447">
        <f t="shared" si="563"/>
        <v>-247966.29967348435</v>
      </c>
      <c r="OH105" s="447">
        <f t="shared" si="563"/>
        <v>-247966.29967348435</v>
      </c>
      <c r="OI105" s="447">
        <f t="shared" si="563"/>
        <v>-247966.29967348435</v>
      </c>
      <c r="OJ105" s="447">
        <f t="shared" si="563"/>
        <v>-247966.29967348435</v>
      </c>
      <c r="OK105" s="447">
        <f t="shared" si="563"/>
        <v>-247966.29967348435</v>
      </c>
      <c r="OL105" s="447">
        <f t="shared" si="563"/>
        <v>-247966.29967348435</v>
      </c>
      <c r="OM105" s="447">
        <f t="shared" si="563"/>
        <v>-247966.29967348435</v>
      </c>
      <c r="ON105" s="447">
        <f t="shared" si="563"/>
        <v>-247966.29967348435</v>
      </c>
      <c r="OO105" s="447">
        <f t="shared" si="563"/>
        <v>-247966.29967348435</v>
      </c>
    </row>
    <row r="106" spans="2:405">
      <c r="D106" s="171"/>
    </row>
    <row r="107" spans="2:405">
      <c r="B107" s="222" t="s">
        <v>474</v>
      </c>
      <c r="C107" s="223"/>
      <c r="D107" s="539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  <c r="AA107" s="223"/>
      <c r="AB107" s="223"/>
      <c r="AC107" s="223"/>
      <c r="AD107" s="223"/>
      <c r="AE107" s="223"/>
      <c r="AF107" s="223"/>
      <c r="AG107" s="223"/>
      <c r="AH107" s="223"/>
      <c r="AI107" s="223"/>
      <c r="AJ107" s="223"/>
      <c r="AK107" s="223"/>
      <c r="AL107" s="223"/>
      <c r="AM107" s="223"/>
      <c r="AN107" s="223"/>
      <c r="AO107" s="223"/>
      <c r="AP107" s="223"/>
      <c r="AQ107" s="223"/>
      <c r="AR107" s="223"/>
      <c r="AS107" s="223"/>
      <c r="AT107" s="223"/>
      <c r="AU107" s="223"/>
      <c r="AV107" s="223"/>
      <c r="AW107" s="223"/>
      <c r="AX107" s="223"/>
      <c r="AY107" s="223"/>
      <c r="AZ107" s="223"/>
      <c r="BA107" s="223"/>
      <c r="BB107" s="223"/>
      <c r="BC107" s="223"/>
      <c r="BD107" s="223"/>
      <c r="BE107" s="223"/>
      <c r="BF107" s="223"/>
      <c r="BG107" s="223"/>
      <c r="BH107" s="223"/>
      <c r="BI107" s="223"/>
      <c r="BJ107" s="223"/>
      <c r="BK107" s="223"/>
      <c r="BL107" s="223"/>
      <c r="BM107" s="223"/>
      <c r="BN107" s="223"/>
      <c r="BO107" s="223"/>
      <c r="BP107" s="223"/>
      <c r="BQ107" s="223"/>
      <c r="BR107" s="223"/>
      <c r="BS107" s="223"/>
      <c r="BT107" s="223"/>
      <c r="BU107" s="223"/>
      <c r="BV107" s="223"/>
      <c r="BW107" s="223"/>
      <c r="BX107" s="223"/>
      <c r="BY107" s="223"/>
      <c r="BZ107" s="223"/>
      <c r="CA107" s="223"/>
      <c r="CB107" s="223"/>
      <c r="CC107" s="223"/>
      <c r="CD107" s="223"/>
      <c r="CE107" s="223"/>
      <c r="CF107" s="223"/>
      <c r="CG107" s="223"/>
      <c r="CH107" s="223"/>
      <c r="CI107" s="223"/>
      <c r="CJ107" s="223"/>
      <c r="CK107" s="223"/>
      <c r="CL107" s="223"/>
      <c r="CM107" s="223"/>
      <c r="CN107" s="223"/>
      <c r="CO107" s="223"/>
      <c r="CP107" s="223"/>
      <c r="CQ107" s="223"/>
      <c r="CR107" s="223"/>
      <c r="CS107" s="223"/>
      <c r="CT107" s="223"/>
      <c r="CU107" s="223"/>
      <c r="CV107" s="223"/>
      <c r="CW107" s="223"/>
      <c r="CX107" s="223"/>
      <c r="CY107" s="223"/>
      <c r="CZ107" s="223"/>
      <c r="DA107" s="223"/>
      <c r="DB107" s="223"/>
      <c r="DC107" s="223"/>
      <c r="DD107" s="223"/>
      <c r="DE107" s="223"/>
      <c r="DF107" s="223"/>
      <c r="DG107" s="223"/>
      <c r="DH107" s="223"/>
      <c r="DI107" s="223"/>
      <c r="DJ107" s="223"/>
      <c r="DK107" s="223"/>
      <c r="DL107" s="223"/>
      <c r="DM107" s="223"/>
      <c r="DN107" s="223"/>
      <c r="DO107" s="223"/>
      <c r="DP107" s="223"/>
      <c r="DQ107" s="223"/>
      <c r="DR107" s="223"/>
      <c r="DS107" s="223"/>
      <c r="DT107" s="223"/>
      <c r="DU107" s="223"/>
      <c r="DV107" s="223"/>
      <c r="DW107" s="223"/>
      <c r="DX107" s="223"/>
      <c r="DY107" s="223"/>
      <c r="DZ107" s="223"/>
      <c r="EA107" s="223"/>
      <c r="EB107" s="223"/>
      <c r="EC107" s="223"/>
      <c r="ED107" s="223"/>
      <c r="EE107" s="223"/>
      <c r="EF107" s="223"/>
      <c r="EG107" s="223"/>
      <c r="EH107" s="223"/>
      <c r="EI107" s="223"/>
      <c r="EJ107" s="223"/>
      <c r="EK107" s="223"/>
      <c r="EL107" s="223"/>
      <c r="EM107" s="223"/>
      <c r="EN107" s="223"/>
      <c r="EO107" s="223"/>
      <c r="EP107" s="223"/>
      <c r="EQ107" s="223"/>
      <c r="ER107" s="223"/>
      <c r="ES107" s="223"/>
      <c r="ET107" s="223"/>
      <c r="EU107" s="223"/>
      <c r="EV107" s="223"/>
      <c r="EW107" s="223"/>
      <c r="EX107" s="223"/>
      <c r="EY107" s="223"/>
      <c r="EZ107" s="223"/>
      <c r="FA107" s="223"/>
      <c r="FB107" s="223"/>
      <c r="FC107" s="223"/>
      <c r="FD107" s="223"/>
      <c r="FE107" s="223"/>
      <c r="FF107" s="223"/>
      <c r="FG107" s="223"/>
      <c r="FH107" s="223"/>
      <c r="FI107" s="223"/>
      <c r="FJ107" s="223"/>
      <c r="FK107" s="223"/>
      <c r="FL107" s="223"/>
      <c r="FM107" s="223"/>
      <c r="FN107" s="223"/>
      <c r="FO107" s="223"/>
      <c r="FP107" s="223"/>
      <c r="FQ107" s="223"/>
      <c r="FR107" s="223"/>
      <c r="FS107" s="223"/>
      <c r="FT107" s="223"/>
      <c r="FU107" s="223"/>
      <c r="FV107" s="223"/>
      <c r="FW107" s="223"/>
      <c r="FX107" s="223"/>
      <c r="FY107" s="223"/>
      <c r="FZ107" s="223"/>
      <c r="GA107" s="223"/>
      <c r="GB107" s="223"/>
      <c r="GC107" s="223"/>
      <c r="GD107" s="223"/>
      <c r="GE107" s="223"/>
      <c r="GF107" s="223"/>
      <c r="GG107" s="223"/>
      <c r="GH107" s="223"/>
      <c r="GI107" s="223"/>
      <c r="GJ107" s="223"/>
      <c r="GK107" s="223"/>
      <c r="GL107" s="223"/>
      <c r="GM107" s="223"/>
      <c r="GN107" s="223"/>
      <c r="GO107" s="223"/>
      <c r="GP107" s="223"/>
      <c r="GQ107" s="223"/>
      <c r="GR107" s="223"/>
      <c r="GS107" s="223"/>
      <c r="GT107" s="223"/>
      <c r="GU107" s="223"/>
      <c r="GV107" s="223"/>
      <c r="GW107" s="223"/>
      <c r="GX107" s="223"/>
      <c r="GY107" s="223"/>
      <c r="GZ107" s="223"/>
      <c r="HA107" s="223"/>
      <c r="HB107" s="223"/>
      <c r="HC107" s="223"/>
      <c r="HD107" s="223"/>
      <c r="HE107" s="223"/>
      <c r="HF107" s="223"/>
      <c r="HG107" s="223"/>
      <c r="HH107" s="223"/>
      <c r="HI107" s="223"/>
      <c r="HJ107" s="223"/>
      <c r="HK107" s="223"/>
      <c r="HL107" s="223"/>
      <c r="HM107" s="223"/>
      <c r="HN107" s="223"/>
      <c r="HO107" s="223"/>
      <c r="HP107" s="223"/>
      <c r="HQ107" s="223"/>
      <c r="HR107" s="223"/>
      <c r="HS107" s="223"/>
      <c r="HT107" s="223"/>
      <c r="HU107" s="223"/>
      <c r="HV107" s="223"/>
      <c r="HW107" s="223"/>
      <c r="HX107" s="223"/>
      <c r="HY107" s="223"/>
      <c r="HZ107" s="223"/>
      <c r="IA107" s="223"/>
      <c r="IB107" s="223"/>
      <c r="IC107" s="223"/>
      <c r="ID107" s="223"/>
      <c r="IE107" s="223"/>
      <c r="IF107" s="223"/>
      <c r="IG107" s="223"/>
      <c r="IH107" s="223"/>
      <c r="II107" s="223"/>
      <c r="IJ107" s="223"/>
      <c r="IK107" s="223"/>
      <c r="IL107" s="223"/>
      <c r="IM107" s="223"/>
      <c r="IN107" s="223"/>
      <c r="IO107" s="223"/>
      <c r="IP107" s="223"/>
      <c r="IQ107" s="223"/>
      <c r="IR107" s="223"/>
      <c r="IS107" s="223"/>
      <c r="IT107" s="223"/>
      <c r="IU107" s="223"/>
      <c r="IV107" s="223"/>
      <c r="IW107" s="223"/>
      <c r="IX107" s="223"/>
      <c r="IY107" s="223"/>
      <c r="IZ107" s="223"/>
      <c r="JA107" s="223"/>
      <c r="JB107" s="223"/>
      <c r="JC107" s="223"/>
      <c r="JD107" s="223"/>
      <c r="JE107" s="223"/>
      <c r="JF107" s="223"/>
      <c r="JG107" s="223"/>
      <c r="JH107" s="223"/>
      <c r="JI107" s="223"/>
      <c r="JJ107" s="223"/>
      <c r="JK107" s="223"/>
      <c r="JL107" s="223"/>
      <c r="JM107" s="223"/>
      <c r="JN107" s="223"/>
      <c r="JO107" s="223"/>
      <c r="JP107" s="223"/>
      <c r="JQ107" s="223"/>
      <c r="JR107" s="223"/>
      <c r="JS107" s="223"/>
      <c r="JT107" s="223"/>
      <c r="JU107" s="223"/>
      <c r="JV107" s="223"/>
      <c r="JW107" s="223"/>
      <c r="JX107" s="223"/>
      <c r="JY107" s="223"/>
      <c r="JZ107" s="223"/>
      <c r="KA107" s="223"/>
      <c r="KB107" s="223"/>
      <c r="KC107" s="223"/>
      <c r="KD107" s="223"/>
      <c r="KE107" s="223"/>
      <c r="KF107" s="223"/>
      <c r="KG107" s="223"/>
      <c r="KH107" s="223"/>
      <c r="KI107" s="223"/>
      <c r="KJ107" s="223"/>
      <c r="KK107" s="223"/>
      <c r="KL107" s="223"/>
      <c r="KM107" s="223"/>
      <c r="KN107" s="223"/>
      <c r="KO107" s="223"/>
      <c r="KP107" s="223"/>
      <c r="KQ107" s="223"/>
      <c r="KR107" s="223"/>
      <c r="KS107" s="223"/>
      <c r="KT107" s="223"/>
      <c r="KU107" s="223"/>
      <c r="KV107" s="223"/>
      <c r="KW107" s="223"/>
      <c r="KX107" s="223"/>
      <c r="KY107" s="223"/>
      <c r="KZ107" s="223"/>
      <c r="LA107" s="223"/>
      <c r="LB107" s="223"/>
      <c r="LC107" s="223"/>
      <c r="LD107" s="223"/>
      <c r="LE107" s="223"/>
      <c r="LF107" s="223"/>
      <c r="LG107" s="223"/>
      <c r="LH107" s="223"/>
      <c r="LI107" s="223"/>
      <c r="LJ107" s="223"/>
      <c r="LK107" s="223"/>
      <c r="LL107" s="223"/>
      <c r="LM107" s="223"/>
      <c r="LN107" s="223"/>
      <c r="LO107" s="223"/>
      <c r="LP107" s="223"/>
      <c r="LQ107" s="223"/>
      <c r="LR107" s="223"/>
      <c r="LS107" s="223"/>
      <c r="LT107" s="223"/>
      <c r="LU107" s="223"/>
      <c r="LV107" s="223"/>
      <c r="LW107" s="223"/>
      <c r="LX107" s="223"/>
      <c r="LY107" s="223"/>
      <c r="LZ107" s="223"/>
      <c r="MA107" s="223"/>
      <c r="MB107" s="223"/>
      <c r="MC107" s="223"/>
      <c r="MD107" s="223"/>
      <c r="ME107" s="223"/>
      <c r="MF107" s="223"/>
      <c r="MG107" s="223"/>
      <c r="MH107" s="223"/>
      <c r="MI107" s="223"/>
      <c r="MJ107" s="223"/>
      <c r="MK107" s="223"/>
      <c r="ML107" s="223"/>
      <c r="MM107" s="223"/>
      <c r="MN107" s="223"/>
      <c r="MO107" s="223"/>
      <c r="MP107" s="223"/>
      <c r="MQ107" s="223"/>
      <c r="MR107" s="223"/>
      <c r="MS107" s="223"/>
      <c r="MT107" s="223"/>
      <c r="MU107" s="223"/>
      <c r="MV107" s="223"/>
      <c r="MW107" s="223"/>
      <c r="MX107" s="223"/>
      <c r="MY107" s="223"/>
      <c r="MZ107" s="223"/>
      <c r="NA107" s="223"/>
      <c r="NB107" s="223"/>
      <c r="NC107" s="223"/>
      <c r="ND107" s="223"/>
      <c r="NE107" s="223"/>
      <c r="NF107" s="223"/>
      <c r="NG107" s="223"/>
      <c r="NH107" s="223"/>
      <c r="NI107" s="223"/>
      <c r="NJ107" s="223"/>
      <c r="NK107" s="223"/>
      <c r="NL107" s="223"/>
      <c r="NM107" s="223"/>
      <c r="NN107" s="223"/>
      <c r="NO107" s="223"/>
      <c r="NP107" s="223"/>
      <c r="NQ107" s="223"/>
      <c r="NR107" s="223"/>
      <c r="NS107" s="223"/>
      <c r="NT107" s="223"/>
      <c r="NU107" s="223"/>
      <c r="NV107" s="223"/>
      <c r="NW107" s="223"/>
      <c r="NX107" s="223"/>
      <c r="NY107" s="223"/>
      <c r="NZ107" s="223"/>
      <c r="OA107" s="223"/>
      <c r="OB107" s="223"/>
      <c r="OC107" s="223"/>
      <c r="OD107" s="223"/>
      <c r="OE107" s="223"/>
      <c r="OF107" s="223"/>
      <c r="OG107" s="223"/>
      <c r="OH107" s="223"/>
      <c r="OI107" s="223"/>
      <c r="OJ107" s="223"/>
      <c r="OK107" s="223"/>
      <c r="OL107" s="223"/>
      <c r="OM107" s="223"/>
      <c r="ON107" s="223"/>
      <c r="OO107" s="224"/>
    </row>
    <row r="108" spans="2:405">
      <c r="B108" s="62" t="s">
        <v>360</v>
      </c>
      <c r="D108" s="571">
        <f>'Sources and Uses'!$C$8</f>
        <v>10635591.365277611</v>
      </c>
      <c r="E108" s="507">
        <f>Assumptions!$C$10</f>
        <v>46418</v>
      </c>
      <c r="F108" s="507">
        <f>E108</f>
        <v>46418</v>
      </c>
      <c r="G108" s="97">
        <f t="shared" ref="G108" si="564">((YEAR(F108)-YEAR(E108))*12+MONTH(F108)-MONTH(E108)+1)</f>
        <v>1</v>
      </c>
      <c r="J108" s="479">
        <f t="shared" ref="J108:BU108" si="565">IF(J$7&gt;=$E108,IF(J$7&lt;=$F108,$D$108/$G$108,0),0)</f>
        <v>0</v>
      </c>
      <c r="K108" s="479">
        <f t="shared" si="565"/>
        <v>0</v>
      </c>
      <c r="L108" s="479">
        <f t="shared" si="565"/>
        <v>0</v>
      </c>
      <c r="M108" s="479">
        <f t="shared" si="565"/>
        <v>0</v>
      </c>
      <c r="N108" s="479">
        <f t="shared" si="565"/>
        <v>0</v>
      </c>
      <c r="O108" s="479">
        <f t="shared" si="565"/>
        <v>0</v>
      </c>
      <c r="P108" s="479">
        <f t="shared" si="565"/>
        <v>10635591.365277611</v>
      </c>
      <c r="Q108" s="479">
        <f t="shared" si="565"/>
        <v>0</v>
      </c>
      <c r="R108" s="479">
        <f t="shared" si="565"/>
        <v>0</v>
      </c>
      <c r="S108" s="479">
        <f t="shared" si="565"/>
        <v>0</v>
      </c>
      <c r="T108" s="479">
        <f t="shared" si="565"/>
        <v>0</v>
      </c>
      <c r="U108" s="479">
        <f t="shared" si="565"/>
        <v>0</v>
      </c>
      <c r="V108" s="479">
        <f t="shared" si="565"/>
        <v>0</v>
      </c>
      <c r="W108" s="479">
        <f t="shared" si="565"/>
        <v>0</v>
      </c>
      <c r="X108" s="479">
        <f t="shared" si="565"/>
        <v>0</v>
      </c>
      <c r="Y108" s="479">
        <f t="shared" si="565"/>
        <v>0</v>
      </c>
      <c r="Z108" s="479">
        <f t="shared" si="565"/>
        <v>0</v>
      </c>
      <c r="AA108" s="479">
        <f t="shared" si="565"/>
        <v>0</v>
      </c>
      <c r="AB108" s="479">
        <f t="shared" si="565"/>
        <v>0</v>
      </c>
      <c r="AC108" s="479">
        <f t="shared" si="565"/>
        <v>0</v>
      </c>
      <c r="AD108" s="479">
        <f t="shared" si="565"/>
        <v>0</v>
      </c>
      <c r="AE108" s="479">
        <f t="shared" si="565"/>
        <v>0</v>
      </c>
      <c r="AF108" s="479">
        <f t="shared" si="565"/>
        <v>0</v>
      </c>
      <c r="AG108" s="479">
        <f t="shared" si="565"/>
        <v>0</v>
      </c>
      <c r="AH108" s="479">
        <f t="shared" si="565"/>
        <v>0</v>
      </c>
      <c r="AI108" s="479">
        <f t="shared" si="565"/>
        <v>0</v>
      </c>
      <c r="AJ108" s="479">
        <f t="shared" si="565"/>
        <v>0</v>
      </c>
      <c r="AK108" s="479">
        <f t="shared" si="565"/>
        <v>0</v>
      </c>
      <c r="AL108" s="479">
        <f t="shared" si="565"/>
        <v>0</v>
      </c>
      <c r="AM108" s="479">
        <f t="shared" si="565"/>
        <v>0</v>
      </c>
      <c r="AN108" s="479">
        <f t="shared" si="565"/>
        <v>0</v>
      </c>
      <c r="AO108" s="479">
        <f t="shared" si="565"/>
        <v>0</v>
      </c>
      <c r="AP108" s="479">
        <f t="shared" si="565"/>
        <v>0</v>
      </c>
      <c r="AQ108" s="479">
        <f t="shared" si="565"/>
        <v>0</v>
      </c>
      <c r="AR108" s="479">
        <f t="shared" si="565"/>
        <v>0</v>
      </c>
      <c r="AS108" s="479">
        <f t="shared" si="565"/>
        <v>0</v>
      </c>
      <c r="AT108" s="479">
        <f t="shared" si="565"/>
        <v>0</v>
      </c>
      <c r="AU108" s="479">
        <f t="shared" si="565"/>
        <v>0</v>
      </c>
      <c r="AV108" s="479">
        <f t="shared" si="565"/>
        <v>0</v>
      </c>
      <c r="AW108" s="479">
        <f t="shared" si="565"/>
        <v>0</v>
      </c>
      <c r="AX108" s="479">
        <f t="shared" si="565"/>
        <v>0</v>
      </c>
      <c r="AY108" s="479">
        <f t="shared" si="565"/>
        <v>0</v>
      </c>
      <c r="AZ108" s="479">
        <f t="shared" si="565"/>
        <v>0</v>
      </c>
      <c r="BA108" s="479">
        <f t="shared" si="565"/>
        <v>0</v>
      </c>
      <c r="BB108" s="479">
        <f t="shared" si="565"/>
        <v>0</v>
      </c>
      <c r="BC108" s="479">
        <f t="shared" si="565"/>
        <v>0</v>
      </c>
      <c r="BD108" s="479">
        <f t="shared" si="565"/>
        <v>0</v>
      </c>
      <c r="BE108" s="479">
        <f t="shared" si="565"/>
        <v>0</v>
      </c>
      <c r="BF108" s="479">
        <f t="shared" si="565"/>
        <v>0</v>
      </c>
      <c r="BG108" s="479">
        <f t="shared" si="565"/>
        <v>0</v>
      </c>
      <c r="BH108" s="479">
        <f t="shared" si="565"/>
        <v>0</v>
      </c>
      <c r="BI108" s="479">
        <f t="shared" si="565"/>
        <v>0</v>
      </c>
      <c r="BJ108" s="479">
        <f t="shared" si="565"/>
        <v>0</v>
      </c>
      <c r="BK108" s="479">
        <f t="shared" si="565"/>
        <v>0</v>
      </c>
      <c r="BL108" s="479">
        <f t="shared" si="565"/>
        <v>0</v>
      </c>
      <c r="BM108" s="479">
        <f t="shared" si="565"/>
        <v>0</v>
      </c>
      <c r="BN108" s="479">
        <f t="shared" si="565"/>
        <v>0</v>
      </c>
      <c r="BO108" s="479">
        <f t="shared" si="565"/>
        <v>0</v>
      </c>
      <c r="BP108" s="479">
        <f t="shared" si="565"/>
        <v>0</v>
      </c>
      <c r="BQ108" s="479">
        <f t="shared" si="565"/>
        <v>0</v>
      </c>
      <c r="BR108" s="479">
        <f t="shared" si="565"/>
        <v>0</v>
      </c>
      <c r="BS108" s="479">
        <f t="shared" si="565"/>
        <v>0</v>
      </c>
      <c r="BT108" s="479">
        <f t="shared" si="565"/>
        <v>0</v>
      </c>
      <c r="BU108" s="479">
        <f t="shared" si="565"/>
        <v>0</v>
      </c>
      <c r="BV108" s="479">
        <f t="shared" ref="BV108:EG108" si="566">IF(BV$7&gt;=$E108,IF(BV$7&lt;=$F108,$D$108/$G$108,0),0)</f>
        <v>0</v>
      </c>
      <c r="BW108" s="479">
        <f t="shared" si="566"/>
        <v>0</v>
      </c>
      <c r="BX108" s="479">
        <f t="shared" si="566"/>
        <v>0</v>
      </c>
      <c r="BY108" s="479">
        <f t="shared" si="566"/>
        <v>0</v>
      </c>
      <c r="BZ108" s="479">
        <f t="shared" si="566"/>
        <v>0</v>
      </c>
      <c r="CA108" s="479">
        <f t="shared" si="566"/>
        <v>0</v>
      </c>
      <c r="CB108" s="479">
        <f t="shared" si="566"/>
        <v>0</v>
      </c>
      <c r="CC108" s="479">
        <f t="shared" si="566"/>
        <v>0</v>
      </c>
      <c r="CD108" s="479">
        <f t="shared" si="566"/>
        <v>0</v>
      </c>
      <c r="CE108" s="479">
        <f t="shared" si="566"/>
        <v>0</v>
      </c>
      <c r="CF108" s="479">
        <f t="shared" si="566"/>
        <v>0</v>
      </c>
      <c r="CG108" s="479">
        <f t="shared" si="566"/>
        <v>0</v>
      </c>
      <c r="CH108" s="479">
        <f t="shared" si="566"/>
        <v>0</v>
      </c>
      <c r="CI108" s="479">
        <f t="shared" si="566"/>
        <v>0</v>
      </c>
      <c r="CJ108" s="479">
        <f t="shared" si="566"/>
        <v>0</v>
      </c>
      <c r="CK108" s="479">
        <f t="shared" si="566"/>
        <v>0</v>
      </c>
      <c r="CL108" s="479">
        <f t="shared" si="566"/>
        <v>0</v>
      </c>
      <c r="CM108" s="479">
        <f t="shared" si="566"/>
        <v>0</v>
      </c>
      <c r="CN108" s="479">
        <f t="shared" si="566"/>
        <v>0</v>
      </c>
      <c r="CO108" s="479">
        <f t="shared" si="566"/>
        <v>0</v>
      </c>
      <c r="CP108" s="479">
        <f t="shared" si="566"/>
        <v>0</v>
      </c>
      <c r="CQ108" s="479">
        <f t="shared" si="566"/>
        <v>0</v>
      </c>
      <c r="CR108" s="479">
        <f t="shared" si="566"/>
        <v>0</v>
      </c>
      <c r="CS108" s="479">
        <f t="shared" si="566"/>
        <v>0</v>
      </c>
      <c r="CT108" s="479">
        <f t="shared" si="566"/>
        <v>0</v>
      </c>
      <c r="CU108" s="479">
        <f t="shared" si="566"/>
        <v>0</v>
      </c>
      <c r="CV108" s="479">
        <f t="shared" si="566"/>
        <v>0</v>
      </c>
      <c r="CW108" s="479">
        <f t="shared" si="566"/>
        <v>0</v>
      </c>
      <c r="CX108" s="479">
        <f t="shared" si="566"/>
        <v>0</v>
      </c>
      <c r="CY108" s="479">
        <f t="shared" si="566"/>
        <v>0</v>
      </c>
      <c r="CZ108" s="479">
        <f t="shared" si="566"/>
        <v>0</v>
      </c>
      <c r="DA108" s="479">
        <f t="shared" si="566"/>
        <v>0</v>
      </c>
      <c r="DB108" s="479">
        <f t="shared" si="566"/>
        <v>0</v>
      </c>
      <c r="DC108" s="479">
        <f t="shared" si="566"/>
        <v>0</v>
      </c>
      <c r="DD108" s="479">
        <f t="shared" si="566"/>
        <v>0</v>
      </c>
      <c r="DE108" s="479">
        <f t="shared" si="566"/>
        <v>0</v>
      </c>
      <c r="DF108" s="479">
        <f t="shared" si="566"/>
        <v>0</v>
      </c>
      <c r="DG108" s="479">
        <f t="shared" si="566"/>
        <v>0</v>
      </c>
      <c r="DH108" s="479">
        <f t="shared" si="566"/>
        <v>0</v>
      </c>
      <c r="DI108" s="479">
        <f t="shared" si="566"/>
        <v>0</v>
      </c>
      <c r="DJ108" s="479">
        <f t="shared" si="566"/>
        <v>0</v>
      </c>
      <c r="DK108" s="479">
        <f t="shared" si="566"/>
        <v>0</v>
      </c>
      <c r="DL108" s="479">
        <f t="shared" si="566"/>
        <v>0</v>
      </c>
      <c r="DM108" s="479">
        <f t="shared" si="566"/>
        <v>0</v>
      </c>
      <c r="DN108" s="479">
        <f t="shared" si="566"/>
        <v>0</v>
      </c>
      <c r="DO108" s="479">
        <f t="shared" si="566"/>
        <v>0</v>
      </c>
      <c r="DP108" s="479">
        <f t="shared" si="566"/>
        <v>0</v>
      </c>
      <c r="DQ108" s="479">
        <f t="shared" si="566"/>
        <v>0</v>
      </c>
      <c r="DR108" s="479">
        <f t="shared" si="566"/>
        <v>0</v>
      </c>
      <c r="DS108" s="479">
        <f t="shared" si="566"/>
        <v>0</v>
      </c>
      <c r="DT108" s="479">
        <f t="shared" si="566"/>
        <v>0</v>
      </c>
      <c r="DU108" s="479">
        <f t="shared" si="566"/>
        <v>0</v>
      </c>
      <c r="DV108" s="479">
        <f t="shared" si="566"/>
        <v>0</v>
      </c>
      <c r="DW108" s="479">
        <f t="shared" si="566"/>
        <v>0</v>
      </c>
      <c r="DX108" s="479">
        <f t="shared" si="566"/>
        <v>0</v>
      </c>
      <c r="DY108" s="479">
        <f t="shared" si="566"/>
        <v>0</v>
      </c>
      <c r="DZ108" s="479">
        <f t="shared" si="566"/>
        <v>0</v>
      </c>
      <c r="EA108" s="479">
        <f t="shared" si="566"/>
        <v>0</v>
      </c>
      <c r="EB108" s="479">
        <f t="shared" si="566"/>
        <v>0</v>
      </c>
      <c r="EC108" s="479">
        <f t="shared" si="566"/>
        <v>0</v>
      </c>
      <c r="ED108" s="479">
        <f t="shared" si="566"/>
        <v>0</v>
      </c>
      <c r="EE108" s="479">
        <f t="shared" si="566"/>
        <v>0</v>
      </c>
      <c r="EF108" s="479">
        <f t="shared" si="566"/>
        <v>0</v>
      </c>
      <c r="EG108" s="479">
        <f t="shared" si="566"/>
        <v>0</v>
      </c>
      <c r="EH108" s="479">
        <f t="shared" ref="EH108:GS108" si="567">IF(EH$7&gt;=$E108,IF(EH$7&lt;=$F108,$D$108/$G$108,0),0)</f>
        <v>0</v>
      </c>
      <c r="EI108" s="479">
        <f t="shared" si="567"/>
        <v>0</v>
      </c>
      <c r="EJ108" s="479">
        <f t="shared" si="567"/>
        <v>0</v>
      </c>
      <c r="EK108" s="479">
        <f t="shared" si="567"/>
        <v>0</v>
      </c>
      <c r="EL108" s="479">
        <f t="shared" si="567"/>
        <v>0</v>
      </c>
      <c r="EM108" s="479">
        <f t="shared" si="567"/>
        <v>0</v>
      </c>
      <c r="EN108" s="479">
        <f t="shared" si="567"/>
        <v>0</v>
      </c>
      <c r="EO108" s="479">
        <f t="shared" si="567"/>
        <v>0</v>
      </c>
      <c r="EP108" s="479">
        <f t="shared" si="567"/>
        <v>0</v>
      </c>
      <c r="EQ108" s="479">
        <f t="shared" si="567"/>
        <v>0</v>
      </c>
      <c r="ER108" s="479">
        <f t="shared" si="567"/>
        <v>0</v>
      </c>
      <c r="ES108" s="479">
        <f t="shared" si="567"/>
        <v>0</v>
      </c>
      <c r="ET108" s="479">
        <f t="shared" si="567"/>
        <v>0</v>
      </c>
      <c r="EU108" s="479">
        <f t="shared" si="567"/>
        <v>0</v>
      </c>
      <c r="EV108" s="479">
        <f t="shared" si="567"/>
        <v>0</v>
      </c>
      <c r="EW108" s="479">
        <f t="shared" si="567"/>
        <v>0</v>
      </c>
      <c r="EX108" s="479">
        <f t="shared" si="567"/>
        <v>0</v>
      </c>
      <c r="EY108" s="479">
        <f t="shared" si="567"/>
        <v>0</v>
      </c>
      <c r="EZ108" s="479">
        <f t="shared" si="567"/>
        <v>0</v>
      </c>
      <c r="FA108" s="479">
        <f t="shared" si="567"/>
        <v>0</v>
      </c>
      <c r="FB108" s="479">
        <f t="shared" si="567"/>
        <v>0</v>
      </c>
      <c r="FC108" s="479">
        <f t="shared" si="567"/>
        <v>0</v>
      </c>
      <c r="FD108" s="479">
        <f t="shared" si="567"/>
        <v>0</v>
      </c>
      <c r="FE108" s="479">
        <f t="shared" si="567"/>
        <v>0</v>
      </c>
      <c r="FF108" s="479">
        <f t="shared" si="567"/>
        <v>0</v>
      </c>
      <c r="FG108" s="479">
        <f t="shared" si="567"/>
        <v>0</v>
      </c>
      <c r="FH108" s="479">
        <f t="shared" si="567"/>
        <v>0</v>
      </c>
      <c r="FI108" s="479">
        <f t="shared" si="567"/>
        <v>0</v>
      </c>
      <c r="FJ108" s="479">
        <f t="shared" si="567"/>
        <v>0</v>
      </c>
      <c r="FK108" s="479">
        <f t="shared" si="567"/>
        <v>0</v>
      </c>
      <c r="FL108" s="479">
        <f t="shared" si="567"/>
        <v>0</v>
      </c>
      <c r="FM108" s="479">
        <f t="shared" si="567"/>
        <v>0</v>
      </c>
      <c r="FN108" s="479">
        <f t="shared" si="567"/>
        <v>0</v>
      </c>
      <c r="FO108" s="479">
        <f t="shared" si="567"/>
        <v>0</v>
      </c>
      <c r="FP108" s="479">
        <f t="shared" si="567"/>
        <v>0</v>
      </c>
      <c r="FQ108" s="479">
        <f t="shared" si="567"/>
        <v>0</v>
      </c>
      <c r="FR108" s="479">
        <f t="shared" si="567"/>
        <v>0</v>
      </c>
      <c r="FS108" s="479">
        <f t="shared" si="567"/>
        <v>0</v>
      </c>
      <c r="FT108" s="479">
        <f t="shared" si="567"/>
        <v>0</v>
      </c>
      <c r="FU108" s="479">
        <f t="shared" si="567"/>
        <v>0</v>
      </c>
      <c r="FV108" s="479">
        <f t="shared" si="567"/>
        <v>0</v>
      </c>
      <c r="FW108" s="479">
        <f t="shared" si="567"/>
        <v>0</v>
      </c>
      <c r="FX108" s="479">
        <f t="shared" si="567"/>
        <v>0</v>
      </c>
      <c r="FY108" s="479">
        <f t="shared" si="567"/>
        <v>0</v>
      </c>
      <c r="FZ108" s="479">
        <f t="shared" si="567"/>
        <v>0</v>
      </c>
      <c r="GA108" s="479">
        <f t="shared" si="567"/>
        <v>0</v>
      </c>
      <c r="GB108" s="479">
        <f t="shared" si="567"/>
        <v>0</v>
      </c>
      <c r="GC108" s="479">
        <f t="shared" si="567"/>
        <v>0</v>
      </c>
      <c r="GD108" s="479">
        <f t="shared" si="567"/>
        <v>0</v>
      </c>
      <c r="GE108" s="479">
        <f t="shared" si="567"/>
        <v>0</v>
      </c>
      <c r="GF108" s="479">
        <f t="shared" si="567"/>
        <v>0</v>
      </c>
      <c r="GG108" s="479">
        <f t="shared" si="567"/>
        <v>0</v>
      </c>
      <c r="GH108" s="479">
        <f t="shared" si="567"/>
        <v>0</v>
      </c>
      <c r="GI108" s="479">
        <f t="shared" si="567"/>
        <v>0</v>
      </c>
      <c r="GJ108" s="479">
        <f t="shared" si="567"/>
        <v>0</v>
      </c>
      <c r="GK108" s="479">
        <f t="shared" si="567"/>
        <v>0</v>
      </c>
      <c r="GL108" s="479">
        <f t="shared" si="567"/>
        <v>0</v>
      </c>
      <c r="GM108" s="479">
        <f t="shared" si="567"/>
        <v>0</v>
      </c>
      <c r="GN108" s="479">
        <f t="shared" si="567"/>
        <v>0</v>
      </c>
      <c r="GO108" s="479">
        <f t="shared" si="567"/>
        <v>0</v>
      </c>
      <c r="GP108" s="479">
        <f t="shared" si="567"/>
        <v>0</v>
      </c>
      <c r="GQ108" s="479">
        <f t="shared" si="567"/>
        <v>0</v>
      </c>
      <c r="GR108" s="479">
        <f t="shared" si="567"/>
        <v>0</v>
      </c>
      <c r="GS108" s="479">
        <f t="shared" si="567"/>
        <v>0</v>
      </c>
      <c r="GT108" s="479">
        <f t="shared" ref="GT108:JE108" si="568">IF(GT$7&gt;=$E108,IF(GT$7&lt;=$F108,$D$108/$G$108,0),0)</f>
        <v>0</v>
      </c>
      <c r="GU108" s="479">
        <f t="shared" si="568"/>
        <v>0</v>
      </c>
      <c r="GV108" s="479">
        <f t="shared" si="568"/>
        <v>0</v>
      </c>
      <c r="GW108" s="479">
        <f t="shared" si="568"/>
        <v>0</v>
      </c>
      <c r="GX108" s="479">
        <f t="shared" si="568"/>
        <v>0</v>
      </c>
      <c r="GY108" s="479">
        <f t="shared" si="568"/>
        <v>0</v>
      </c>
      <c r="GZ108" s="479">
        <f t="shared" si="568"/>
        <v>0</v>
      </c>
      <c r="HA108" s="479">
        <f t="shared" si="568"/>
        <v>0</v>
      </c>
      <c r="HB108" s="479">
        <f t="shared" si="568"/>
        <v>0</v>
      </c>
      <c r="HC108" s="479">
        <f t="shared" si="568"/>
        <v>0</v>
      </c>
      <c r="HD108" s="479">
        <f t="shared" si="568"/>
        <v>0</v>
      </c>
      <c r="HE108" s="479">
        <f t="shared" si="568"/>
        <v>0</v>
      </c>
      <c r="HF108" s="479">
        <f t="shared" si="568"/>
        <v>0</v>
      </c>
      <c r="HG108" s="479">
        <f t="shared" si="568"/>
        <v>0</v>
      </c>
      <c r="HH108" s="479">
        <f t="shared" si="568"/>
        <v>0</v>
      </c>
      <c r="HI108" s="479">
        <f t="shared" si="568"/>
        <v>0</v>
      </c>
      <c r="HJ108" s="479">
        <f t="shared" si="568"/>
        <v>0</v>
      </c>
      <c r="HK108" s="479">
        <f t="shared" si="568"/>
        <v>0</v>
      </c>
      <c r="HL108" s="479">
        <f t="shared" si="568"/>
        <v>0</v>
      </c>
      <c r="HM108" s="479">
        <f t="shared" si="568"/>
        <v>0</v>
      </c>
      <c r="HN108" s="479">
        <f t="shared" si="568"/>
        <v>0</v>
      </c>
      <c r="HO108" s="479">
        <f t="shared" si="568"/>
        <v>0</v>
      </c>
      <c r="HP108" s="479">
        <f t="shared" si="568"/>
        <v>0</v>
      </c>
      <c r="HQ108" s="479">
        <f t="shared" si="568"/>
        <v>0</v>
      </c>
      <c r="HR108" s="479">
        <f t="shared" si="568"/>
        <v>0</v>
      </c>
      <c r="HS108" s="479">
        <f t="shared" si="568"/>
        <v>0</v>
      </c>
      <c r="HT108" s="479">
        <f t="shared" si="568"/>
        <v>0</v>
      </c>
      <c r="HU108" s="479">
        <f t="shared" si="568"/>
        <v>0</v>
      </c>
      <c r="HV108" s="479">
        <f t="shared" si="568"/>
        <v>0</v>
      </c>
      <c r="HW108" s="479">
        <f t="shared" si="568"/>
        <v>0</v>
      </c>
      <c r="HX108" s="479">
        <f t="shared" si="568"/>
        <v>0</v>
      </c>
      <c r="HY108" s="479">
        <f t="shared" si="568"/>
        <v>0</v>
      </c>
      <c r="HZ108" s="479">
        <f t="shared" si="568"/>
        <v>0</v>
      </c>
      <c r="IA108" s="479">
        <f t="shared" si="568"/>
        <v>0</v>
      </c>
      <c r="IB108" s="479">
        <f t="shared" si="568"/>
        <v>0</v>
      </c>
      <c r="IC108" s="479">
        <f t="shared" si="568"/>
        <v>0</v>
      </c>
      <c r="ID108" s="479">
        <f t="shared" si="568"/>
        <v>0</v>
      </c>
      <c r="IE108" s="479">
        <f t="shared" si="568"/>
        <v>0</v>
      </c>
      <c r="IF108" s="479">
        <f t="shared" si="568"/>
        <v>0</v>
      </c>
      <c r="IG108" s="479">
        <f t="shared" si="568"/>
        <v>0</v>
      </c>
      <c r="IH108" s="479">
        <f t="shared" si="568"/>
        <v>0</v>
      </c>
      <c r="II108" s="479">
        <f t="shared" si="568"/>
        <v>0</v>
      </c>
      <c r="IJ108" s="479">
        <f t="shared" si="568"/>
        <v>0</v>
      </c>
      <c r="IK108" s="479">
        <f t="shared" si="568"/>
        <v>0</v>
      </c>
      <c r="IL108" s="479">
        <f t="shared" si="568"/>
        <v>0</v>
      </c>
      <c r="IM108" s="479">
        <f t="shared" si="568"/>
        <v>0</v>
      </c>
      <c r="IN108" s="479">
        <f t="shared" si="568"/>
        <v>0</v>
      </c>
      <c r="IO108" s="479">
        <f t="shared" si="568"/>
        <v>0</v>
      </c>
      <c r="IP108" s="479">
        <f t="shared" si="568"/>
        <v>0</v>
      </c>
      <c r="IQ108" s="479">
        <f t="shared" si="568"/>
        <v>0</v>
      </c>
      <c r="IR108" s="479">
        <f t="shared" si="568"/>
        <v>0</v>
      </c>
      <c r="IS108" s="479">
        <f t="shared" si="568"/>
        <v>0</v>
      </c>
      <c r="IT108" s="479">
        <f t="shared" si="568"/>
        <v>0</v>
      </c>
      <c r="IU108" s="479">
        <f t="shared" si="568"/>
        <v>0</v>
      </c>
      <c r="IV108" s="479">
        <f t="shared" si="568"/>
        <v>0</v>
      </c>
      <c r="IW108" s="479">
        <f t="shared" si="568"/>
        <v>0</v>
      </c>
      <c r="IX108" s="479">
        <f t="shared" si="568"/>
        <v>0</v>
      </c>
      <c r="IY108" s="479">
        <f t="shared" si="568"/>
        <v>0</v>
      </c>
      <c r="IZ108" s="479">
        <f t="shared" si="568"/>
        <v>0</v>
      </c>
      <c r="JA108" s="479">
        <f t="shared" si="568"/>
        <v>0</v>
      </c>
      <c r="JB108" s="479">
        <f t="shared" si="568"/>
        <v>0</v>
      </c>
      <c r="JC108" s="479">
        <f t="shared" si="568"/>
        <v>0</v>
      </c>
      <c r="JD108" s="479">
        <f t="shared" si="568"/>
        <v>0</v>
      </c>
      <c r="JE108" s="479">
        <f t="shared" si="568"/>
        <v>0</v>
      </c>
      <c r="JF108" s="479">
        <f t="shared" ref="JF108:LQ108" si="569">IF(JF$7&gt;=$E108,IF(JF$7&lt;=$F108,$D$108/$G$108,0),0)</f>
        <v>0</v>
      </c>
      <c r="JG108" s="479">
        <f t="shared" si="569"/>
        <v>0</v>
      </c>
      <c r="JH108" s="479">
        <f t="shared" si="569"/>
        <v>0</v>
      </c>
      <c r="JI108" s="479">
        <f t="shared" si="569"/>
        <v>0</v>
      </c>
      <c r="JJ108" s="479">
        <f t="shared" si="569"/>
        <v>0</v>
      </c>
      <c r="JK108" s="479">
        <f t="shared" si="569"/>
        <v>0</v>
      </c>
      <c r="JL108" s="479">
        <f t="shared" si="569"/>
        <v>0</v>
      </c>
      <c r="JM108" s="479">
        <f t="shared" si="569"/>
        <v>0</v>
      </c>
      <c r="JN108" s="479">
        <f t="shared" si="569"/>
        <v>0</v>
      </c>
      <c r="JO108" s="479">
        <f t="shared" si="569"/>
        <v>0</v>
      </c>
      <c r="JP108" s="479">
        <f t="shared" si="569"/>
        <v>0</v>
      </c>
      <c r="JQ108" s="479">
        <f t="shared" si="569"/>
        <v>0</v>
      </c>
      <c r="JR108" s="479">
        <f t="shared" si="569"/>
        <v>0</v>
      </c>
      <c r="JS108" s="479">
        <f t="shared" si="569"/>
        <v>0</v>
      </c>
      <c r="JT108" s="479">
        <f t="shared" si="569"/>
        <v>0</v>
      </c>
      <c r="JU108" s="479">
        <f t="shared" si="569"/>
        <v>0</v>
      </c>
      <c r="JV108" s="479">
        <f t="shared" si="569"/>
        <v>0</v>
      </c>
      <c r="JW108" s="479">
        <f t="shared" si="569"/>
        <v>0</v>
      </c>
      <c r="JX108" s="479">
        <f t="shared" si="569"/>
        <v>0</v>
      </c>
      <c r="JY108" s="479">
        <f t="shared" si="569"/>
        <v>0</v>
      </c>
      <c r="JZ108" s="479">
        <f t="shared" si="569"/>
        <v>0</v>
      </c>
      <c r="KA108" s="479">
        <f t="shared" si="569"/>
        <v>0</v>
      </c>
      <c r="KB108" s="479">
        <f t="shared" si="569"/>
        <v>0</v>
      </c>
      <c r="KC108" s="479">
        <f t="shared" si="569"/>
        <v>0</v>
      </c>
      <c r="KD108" s="479">
        <f t="shared" si="569"/>
        <v>0</v>
      </c>
      <c r="KE108" s="479">
        <f t="shared" si="569"/>
        <v>0</v>
      </c>
      <c r="KF108" s="479">
        <f t="shared" si="569"/>
        <v>0</v>
      </c>
      <c r="KG108" s="479">
        <f t="shared" si="569"/>
        <v>0</v>
      </c>
      <c r="KH108" s="479">
        <f t="shared" si="569"/>
        <v>0</v>
      </c>
      <c r="KI108" s="479">
        <f t="shared" si="569"/>
        <v>0</v>
      </c>
      <c r="KJ108" s="479">
        <f t="shared" si="569"/>
        <v>0</v>
      </c>
      <c r="KK108" s="479">
        <f t="shared" si="569"/>
        <v>0</v>
      </c>
      <c r="KL108" s="479">
        <f t="shared" si="569"/>
        <v>0</v>
      </c>
      <c r="KM108" s="479">
        <f t="shared" si="569"/>
        <v>0</v>
      </c>
      <c r="KN108" s="479">
        <f t="shared" si="569"/>
        <v>0</v>
      </c>
      <c r="KO108" s="479">
        <f t="shared" si="569"/>
        <v>0</v>
      </c>
      <c r="KP108" s="479">
        <f t="shared" si="569"/>
        <v>0</v>
      </c>
      <c r="KQ108" s="479">
        <f t="shared" si="569"/>
        <v>0</v>
      </c>
      <c r="KR108" s="479">
        <f t="shared" si="569"/>
        <v>0</v>
      </c>
      <c r="KS108" s="479">
        <f t="shared" si="569"/>
        <v>0</v>
      </c>
      <c r="KT108" s="479">
        <f t="shared" si="569"/>
        <v>0</v>
      </c>
      <c r="KU108" s="479">
        <f t="shared" si="569"/>
        <v>0</v>
      </c>
      <c r="KV108" s="479">
        <f t="shared" si="569"/>
        <v>0</v>
      </c>
      <c r="KW108" s="479">
        <f t="shared" si="569"/>
        <v>0</v>
      </c>
      <c r="KX108" s="479">
        <f t="shared" si="569"/>
        <v>0</v>
      </c>
      <c r="KY108" s="479">
        <f t="shared" si="569"/>
        <v>0</v>
      </c>
      <c r="KZ108" s="479">
        <f t="shared" si="569"/>
        <v>0</v>
      </c>
      <c r="LA108" s="479">
        <f t="shared" si="569"/>
        <v>0</v>
      </c>
      <c r="LB108" s="479">
        <f t="shared" si="569"/>
        <v>0</v>
      </c>
      <c r="LC108" s="479">
        <f t="shared" si="569"/>
        <v>0</v>
      </c>
      <c r="LD108" s="479">
        <f t="shared" si="569"/>
        <v>0</v>
      </c>
      <c r="LE108" s="479">
        <f t="shared" si="569"/>
        <v>0</v>
      </c>
      <c r="LF108" s="479">
        <f t="shared" si="569"/>
        <v>0</v>
      </c>
      <c r="LG108" s="479">
        <f t="shared" si="569"/>
        <v>0</v>
      </c>
      <c r="LH108" s="479">
        <f t="shared" si="569"/>
        <v>0</v>
      </c>
      <c r="LI108" s="479">
        <f t="shared" si="569"/>
        <v>0</v>
      </c>
      <c r="LJ108" s="479">
        <f t="shared" si="569"/>
        <v>0</v>
      </c>
      <c r="LK108" s="479">
        <f t="shared" si="569"/>
        <v>0</v>
      </c>
      <c r="LL108" s="479">
        <f t="shared" si="569"/>
        <v>0</v>
      </c>
      <c r="LM108" s="479">
        <f t="shared" si="569"/>
        <v>0</v>
      </c>
      <c r="LN108" s="479">
        <f t="shared" si="569"/>
        <v>0</v>
      </c>
      <c r="LO108" s="479">
        <f t="shared" si="569"/>
        <v>0</v>
      </c>
      <c r="LP108" s="479">
        <f t="shared" si="569"/>
        <v>0</v>
      </c>
      <c r="LQ108" s="479">
        <f t="shared" si="569"/>
        <v>0</v>
      </c>
      <c r="LR108" s="479">
        <f t="shared" ref="LR108:OC108" si="570">IF(LR$7&gt;=$E108,IF(LR$7&lt;=$F108,$D$108/$G$108,0),0)</f>
        <v>0</v>
      </c>
      <c r="LS108" s="479">
        <f t="shared" si="570"/>
        <v>0</v>
      </c>
      <c r="LT108" s="479">
        <f t="shared" si="570"/>
        <v>0</v>
      </c>
      <c r="LU108" s="479">
        <f t="shared" si="570"/>
        <v>0</v>
      </c>
      <c r="LV108" s="479">
        <f t="shared" si="570"/>
        <v>0</v>
      </c>
      <c r="LW108" s="479">
        <f t="shared" si="570"/>
        <v>0</v>
      </c>
      <c r="LX108" s="479">
        <f t="shared" si="570"/>
        <v>0</v>
      </c>
      <c r="LY108" s="479">
        <f t="shared" si="570"/>
        <v>0</v>
      </c>
      <c r="LZ108" s="479">
        <f t="shared" si="570"/>
        <v>0</v>
      </c>
      <c r="MA108" s="479">
        <f t="shared" si="570"/>
        <v>0</v>
      </c>
      <c r="MB108" s="479">
        <f t="shared" si="570"/>
        <v>0</v>
      </c>
      <c r="MC108" s="479">
        <f t="shared" si="570"/>
        <v>0</v>
      </c>
      <c r="MD108" s="479">
        <f t="shared" si="570"/>
        <v>0</v>
      </c>
      <c r="ME108" s="479">
        <f t="shared" si="570"/>
        <v>0</v>
      </c>
      <c r="MF108" s="479">
        <f t="shared" si="570"/>
        <v>0</v>
      </c>
      <c r="MG108" s="479">
        <f t="shared" si="570"/>
        <v>0</v>
      </c>
      <c r="MH108" s="479">
        <f t="shared" si="570"/>
        <v>0</v>
      </c>
      <c r="MI108" s="479">
        <f t="shared" si="570"/>
        <v>0</v>
      </c>
      <c r="MJ108" s="479">
        <f t="shared" si="570"/>
        <v>0</v>
      </c>
      <c r="MK108" s="479">
        <f t="shared" si="570"/>
        <v>0</v>
      </c>
      <c r="ML108" s="479">
        <f t="shared" si="570"/>
        <v>0</v>
      </c>
      <c r="MM108" s="479">
        <f t="shared" si="570"/>
        <v>0</v>
      </c>
      <c r="MN108" s="479">
        <f t="shared" si="570"/>
        <v>0</v>
      </c>
      <c r="MO108" s="479">
        <f t="shared" si="570"/>
        <v>0</v>
      </c>
      <c r="MP108" s="479">
        <f t="shared" si="570"/>
        <v>0</v>
      </c>
      <c r="MQ108" s="479">
        <f t="shared" si="570"/>
        <v>0</v>
      </c>
      <c r="MR108" s="479">
        <f t="shared" si="570"/>
        <v>0</v>
      </c>
      <c r="MS108" s="479">
        <f t="shared" si="570"/>
        <v>0</v>
      </c>
      <c r="MT108" s="479">
        <f t="shared" si="570"/>
        <v>0</v>
      </c>
      <c r="MU108" s="479">
        <f t="shared" si="570"/>
        <v>0</v>
      </c>
      <c r="MV108" s="479">
        <f t="shared" si="570"/>
        <v>0</v>
      </c>
      <c r="MW108" s="479">
        <f t="shared" si="570"/>
        <v>0</v>
      </c>
      <c r="MX108" s="479">
        <f t="shared" si="570"/>
        <v>0</v>
      </c>
      <c r="MY108" s="479">
        <f t="shared" si="570"/>
        <v>0</v>
      </c>
      <c r="MZ108" s="479">
        <f t="shared" si="570"/>
        <v>0</v>
      </c>
      <c r="NA108" s="479">
        <f t="shared" si="570"/>
        <v>0</v>
      </c>
      <c r="NB108" s="479">
        <f t="shared" si="570"/>
        <v>0</v>
      </c>
      <c r="NC108" s="479">
        <f t="shared" si="570"/>
        <v>0</v>
      </c>
      <c r="ND108" s="479">
        <f t="shared" si="570"/>
        <v>0</v>
      </c>
      <c r="NE108" s="479">
        <f t="shared" si="570"/>
        <v>0</v>
      </c>
      <c r="NF108" s="479">
        <f t="shared" si="570"/>
        <v>0</v>
      </c>
      <c r="NG108" s="479">
        <f t="shared" si="570"/>
        <v>0</v>
      </c>
      <c r="NH108" s="479">
        <f t="shared" si="570"/>
        <v>0</v>
      </c>
      <c r="NI108" s="479">
        <f t="shared" si="570"/>
        <v>0</v>
      </c>
      <c r="NJ108" s="479">
        <f t="shared" si="570"/>
        <v>0</v>
      </c>
      <c r="NK108" s="479">
        <f t="shared" si="570"/>
        <v>0</v>
      </c>
      <c r="NL108" s="479">
        <f t="shared" si="570"/>
        <v>0</v>
      </c>
      <c r="NM108" s="479">
        <f t="shared" si="570"/>
        <v>0</v>
      </c>
      <c r="NN108" s="479">
        <f t="shared" si="570"/>
        <v>0</v>
      </c>
      <c r="NO108" s="479">
        <f t="shared" si="570"/>
        <v>0</v>
      </c>
      <c r="NP108" s="479">
        <f t="shared" si="570"/>
        <v>0</v>
      </c>
      <c r="NQ108" s="479">
        <f t="shared" si="570"/>
        <v>0</v>
      </c>
      <c r="NR108" s="479">
        <f t="shared" si="570"/>
        <v>0</v>
      </c>
      <c r="NS108" s="479">
        <f t="shared" si="570"/>
        <v>0</v>
      </c>
      <c r="NT108" s="479">
        <f t="shared" si="570"/>
        <v>0</v>
      </c>
      <c r="NU108" s="479">
        <f t="shared" si="570"/>
        <v>0</v>
      </c>
      <c r="NV108" s="479">
        <f t="shared" si="570"/>
        <v>0</v>
      </c>
      <c r="NW108" s="479">
        <f t="shared" si="570"/>
        <v>0</v>
      </c>
      <c r="NX108" s="479">
        <f t="shared" si="570"/>
        <v>0</v>
      </c>
      <c r="NY108" s="479">
        <f t="shared" si="570"/>
        <v>0</v>
      </c>
      <c r="NZ108" s="479">
        <f t="shared" si="570"/>
        <v>0</v>
      </c>
      <c r="OA108" s="479">
        <f t="shared" si="570"/>
        <v>0</v>
      </c>
      <c r="OB108" s="479">
        <f t="shared" si="570"/>
        <v>0</v>
      </c>
      <c r="OC108" s="479">
        <f t="shared" si="570"/>
        <v>0</v>
      </c>
      <c r="OD108" s="479">
        <f t="shared" ref="OD108:OO108" si="571">IF(OD$7&gt;=$E108,IF(OD$7&lt;=$F108,$D$108/$G$108,0),0)</f>
        <v>0</v>
      </c>
      <c r="OE108" s="479">
        <f t="shared" si="571"/>
        <v>0</v>
      </c>
      <c r="OF108" s="479">
        <f t="shared" si="571"/>
        <v>0</v>
      </c>
      <c r="OG108" s="479">
        <f t="shared" si="571"/>
        <v>0</v>
      </c>
      <c r="OH108" s="479">
        <f t="shared" si="571"/>
        <v>0</v>
      </c>
      <c r="OI108" s="479">
        <f t="shared" si="571"/>
        <v>0</v>
      </c>
      <c r="OJ108" s="479">
        <f t="shared" si="571"/>
        <v>0</v>
      </c>
      <c r="OK108" s="479">
        <f t="shared" si="571"/>
        <v>0</v>
      </c>
      <c r="OL108" s="479">
        <f t="shared" si="571"/>
        <v>0</v>
      </c>
      <c r="OM108" s="479">
        <f t="shared" si="571"/>
        <v>0</v>
      </c>
      <c r="ON108" s="479">
        <f t="shared" si="571"/>
        <v>0</v>
      </c>
      <c r="OO108" s="479">
        <f t="shared" si="571"/>
        <v>0</v>
      </c>
    </row>
    <row r="109" spans="2:405">
      <c r="B109" s="227" t="s">
        <v>361</v>
      </c>
      <c r="C109" s="67"/>
      <c r="D109" s="572">
        <f>'Tax Credit Analysis'!$D$8-Budget!D108</f>
        <v>95720322.287498474</v>
      </c>
      <c r="E109" s="570">
        <f>Assumptions!$C$13</f>
        <v>47330</v>
      </c>
      <c r="F109" s="570">
        <f>E109</f>
        <v>47330</v>
      </c>
      <c r="G109" s="101">
        <f>((YEAR(F109)-YEAR(E109))*12+MONTH(F109)-MONTH(E109)+1)</f>
        <v>1</v>
      </c>
      <c r="H109" s="67"/>
      <c r="I109" s="67"/>
      <c r="J109" s="503">
        <f t="shared" ref="J109:BU109" si="572">IF(J$7&gt;=$E109,IF(J$7&lt;=$F109,$D$109/$G$109,0),0)</f>
        <v>0</v>
      </c>
      <c r="K109" s="503">
        <f t="shared" si="572"/>
        <v>0</v>
      </c>
      <c r="L109" s="503">
        <f t="shared" si="572"/>
        <v>0</v>
      </c>
      <c r="M109" s="503">
        <f t="shared" si="572"/>
        <v>0</v>
      </c>
      <c r="N109" s="503">
        <f t="shared" si="572"/>
        <v>0</v>
      </c>
      <c r="O109" s="503">
        <f t="shared" si="572"/>
        <v>0</v>
      </c>
      <c r="P109" s="503">
        <f t="shared" si="572"/>
        <v>0</v>
      </c>
      <c r="Q109" s="503">
        <f t="shared" si="572"/>
        <v>0</v>
      </c>
      <c r="R109" s="503">
        <f t="shared" si="572"/>
        <v>0</v>
      </c>
      <c r="S109" s="503">
        <f t="shared" si="572"/>
        <v>0</v>
      </c>
      <c r="T109" s="503">
        <f t="shared" si="572"/>
        <v>0</v>
      </c>
      <c r="U109" s="503">
        <f t="shared" si="572"/>
        <v>0</v>
      </c>
      <c r="V109" s="503">
        <f t="shared" si="572"/>
        <v>0</v>
      </c>
      <c r="W109" s="503">
        <f t="shared" si="572"/>
        <v>0</v>
      </c>
      <c r="X109" s="503">
        <f t="shared" si="572"/>
        <v>0</v>
      </c>
      <c r="Y109" s="503">
        <f t="shared" si="572"/>
        <v>0</v>
      </c>
      <c r="Z109" s="503">
        <f t="shared" si="572"/>
        <v>0</v>
      </c>
      <c r="AA109" s="503">
        <f t="shared" si="572"/>
        <v>0</v>
      </c>
      <c r="AB109" s="503">
        <f t="shared" si="572"/>
        <v>0</v>
      </c>
      <c r="AC109" s="503">
        <f t="shared" si="572"/>
        <v>0</v>
      </c>
      <c r="AD109" s="503">
        <f t="shared" si="572"/>
        <v>0</v>
      </c>
      <c r="AE109" s="503">
        <f t="shared" si="572"/>
        <v>0</v>
      </c>
      <c r="AF109" s="503">
        <f t="shared" si="572"/>
        <v>0</v>
      </c>
      <c r="AG109" s="503">
        <f t="shared" si="572"/>
        <v>0</v>
      </c>
      <c r="AH109" s="503">
        <f t="shared" si="572"/>
        <v>0</v>
      </c>
      <c r="AI109" s="503">
        <f t="shared" si="572"/>
        <v>0</v>
      </c>
      <c r="AJ109" s="503">
        <f t="shared" si="572"/>
        <v>0</v>
      </c>
      <c r="AK109" s="503">
        <f t="shared" si="572"/>
        <v>0</v>
      </c>
      <c r="AL109" s="503">
        <f t="shared" si="572"/>
        <v>0</v>
      </c>
      <c r="AM109" s="503">
        <f t="shared" si="572"/>
        <v>0</v>
      </c>
      <c r="AN109" s="503">
        <f t="shared" si="572"/>
        <v>0</v>
      </c>
      <c r="AO109" s="503">
        <f t="shared" si="572"/>
        <v>0</v>
      </c>
      <c r="AP109" s="503">
        <f t="shared" si="572"/>
        <v>0</v>
      </c>
      <c r="AQ109" s="503">
        <f t="shared" si="572"/>
        <v>0</v>
      </c>
      <c r="AR109" s="503">
        <f t="shared" si="572"/>
        <v>0</v>
      </c>
      <c r="AS109" s="503">
        <f t="shared" si="572"/>
        <v>0</v>
      </c>
      <c r="AT109" s="503">
        <f t="shared" si="572"/>
        <v>95720322.287498474</v>
      </c>
      <c r="AU109" s="503">
        <f t="shared" si="572"/>
        <v>0</v>
      </c>
      <c r="AV109" s="503">
        <f t="shared" si="572"/>
        <v>0</v>
      </c>
      <c r="AW109" s="503">
        <f t="shared" si="572"/>
        <v>0</v>
      </c>
      <c r="AX109" s="503">
        <f t="shared" si="572"/>
        <v>0</v>
      </c>
      <c r="AY109" s="503">
        <f t="shared" si="572"/>
        <v>0</v>
      </c>
      <c r="AZ109" s="503">
        <f t="shared" si="572"/>
        <v>0</v>
      </c>
      <c r="BA109" s="503">
        <f t="shared" si="572"/>
        <v>0</v>
      </c>
      <c r="BB109" s="503">
        <f t="shared" si="572"/>
        <v>0</v>
      </c>
      <c r="BC109" s="503">
        <f t="shared" si="572"/>
        <v>0</v>
      </c>
      <c r="BD109" s="503">
        <f t="shared" si="572"/>
        <v>0</v>
      </c>
      <c r="BE109" s="503">
        <f t="shared" si="572"/>
        <v>0</v>
      </c>
      <c r="BF109" s="503">
        <f t="shared" si="572"/>
        <v>0</v>
      </c>
      <c r="BG109" s="503">
        <f t="shared" si="572"/>
        <v>0</v>
      </c>
      <c r="BH109" s="503">
        <f t="shared" si="572"/>
        <v>0</v>
      </c>
      <c r="BI109" s="503">
        <f t="shared" si="572"/>
        <v>0</v>
      </c>
      <c r="BJ109" s="503">
        <f t="shared" si="572"/>
        <v>0</v>
      </c>
      <c r="BK109" s="503">
        <f t="shared" si="572"/>
        <v>0</v>
      </c>
      <c r="BL109" s="503">
        <f t="shared" si="572"/>
        <v>0</v>
      </c>
      <c r="BM109" s="503">
        <f t="shared" si="572"/>
        <v>0</v>
      </c>
      <c r="BN109" s="503">
        <f t="shared" si="572"/>
        <v>0</v>
      </c>
      <c r="BO109" s="503">
        <f t="shared" si="572"/>
        <v>0</v>
      </c>
      <c r="BP109" s="503">
        <f t="shared" si="572"/>
        <v>0</v>
      </c>
      <c r="BQ109" s="503">
        <f t="shared" si="572"/>
        <v>0</v>
      </c>
      <c r="BR109" s="503">
        <f t="shared" si="572"/>
        <v>0</v>
      </c>
      <c r="BS109" s="503">
        <f t="shared" si="572"/>
        <v>0</v>
      </c>
      <c r="BT109" s="503">
        <f t="shared" si="572"/>
        <v>0</v>
      </c>
      <c r="BU109" s="503">
        <f t="shared" si="572"/>
        <v>0</v>
      </c>
      <c r="BV109" s="503">
        <f t="shared" ref="BV109:EG109" si="573">IF(BV$7&gt;=$E109,IF(BV$7&lt;=$F109,$D$109/$G$109,0),0)</f>
        <v>0</v>
      </c>
      <c r="BW109" s="503">
        <f t="shared" si="573"/>
        <v>0</v>
      </c>
      <c r="BX109" s="503">
        <f t="shared" si="573"/>
        <v>0</v>
      </c>
      <c r="BY109" s="503">
        <f t="shared" si="573"/>
        <v>0</v>
      </c>
      <c r="BZ109" s="503">
        <f t="shared" si="573"/>
        <v>0</v>
      </c>
      <c r="CA109" s="503">
        <f t="shared" si="573"/>
        <v>0</v>
      </c>
      <c r="CB109" s="503">
        <f t="shared" si="573"/>
        <v>0</v>
      </c>
      <c r="CC109" s="503">
        <f t="shared" si="573"/>
        <v>0</v>
      </c>
      <c r="CD109" s="503">
        <f t="shared" si="573"/>
        <v>0</v>
      </c>
      <c r="CE109" s="503">
        <f t="shared" si="573"/>
        <v>0</v>
      </c>
      <c r="CF109" s="503">
        <f t="shared" si="573"/>
        <v>0</v>
      </c>
      <c r="CG109" s="503">
        <f t="shared" si="573"/>
        <v>0</v>
      </c>
      <c r="CH109" s="503">
        <f t="shared" si="573"/>
        <v>0</v>
      </c>
      <c r="CI109" s="503">
        <f t="shared" si="573"/>
        <v>0</v>
      </c>
      <c r="CJ109" s="503">
        <f t="shared" si="573"/>
        <v>0</v>
      </c>
      <c r="CK109" s="503">
        <f t="shared" si="573"/>
        <v>0</v>
      </c>
      <c r="CL109" s="503">
        <f t="shared" si="573"/>
        <v>0</v>
      </c>
      <c r="CM109" s="503">
        <f t="shared" si="573"/>
        <v>0</v>
      </c>
      <c r="CN109" s="503">
        <f t="shared" si="573"/>
        <v>0</v>
      </c>
      <c r="CO109" s="503">
        <f t="shared" si="573"/>
        <v>0</v>
      </c>
      <c r="CP109" s="503">
        <f t="shared" si="573"/>
        <v>0</v>
      </c>
      <c r="CQ109" s="503">
        <f t="shared" si="573"/>
        <v>0</v>
      </c>
      <c r="CR109" s="503">
        <f t="shared" si="573"/>
        <v>0</v>
      </c>
      <c r="CS109" s="503">
        <f t="shared" si="573"/>
        <v>0</v>
      </c>
      <c r="CT109" s="503">
        <f t="shared" si="573"/>
        <v>0</v>
      </c>
      <c r="CU109" s="503">
        <f t="shared" si="573"/>
        <v>0</v>
      </c>
      <c r="CV109" s="503">
        <f t="shared" si="573"/>
        <v>0</v>
      </c>
      <c r="CW109" s="503">
        <f t="shared" si="573"/>
        <v>0</v>
      </c>
      <c r="CX109" s="503">
        <f t="shared" si="573"/>
        <v>0</v>
      </c>
      <c r="CY109" s="503">
        <f t="shared" si="573"/>
        <v>0</v>
      </c>
      <c r="CZ109" s="503">
        <f t="shared" si="573"/>
        <v>0</v>
      </c>
      <c r="DA109" s="503">
        <f t="shared" si="573"/>
        <v>0</v>
      </c>
      <c r="DB109" s="503">
        <f t="shared" si="573"/>
        <v>0</v>
      </c>
      <c r="DC109" s="503">
        <f t="shared" si="573"/>
        <v>0</v>
      </c>
      <c r="DD109" s="503">
        <f t="shared" si="573"/>
        <v>0</v>
      </c>
      <c r="DE109" s="503">
        <f t="shared" si="573"/>
        <v>0</v>
      </c>
      <c r="DF109" s="503">
        <f t="shared" si="573"/>
        <v>0</v>
      </c>
      <c r="DG109" s="503">
        <f t="shared" si="573"/>
        <v>0</v>
      </c>
      <c r="DH109" s="503">
        <f t="shared" si="573"/>
        <v>0</v>
      </c>
      <c r="DI109" s="503">
        <f t="shared" si="573"/>
        <v>0</v>
      </c>
      <c r="DJ109" s="503">
        <f t="shared" si="573"/>
        <v>0</v>
      </c>
      <c r="DK109" s="503">
        <f t="shared" si="573"/>
        <v>0</v>
      </c>
      <c r="DL109" s="503">
        <f t="shared" si="573"/>
        <v>0</v>
      </c>
      <c r="DM109" s="503">
        <f t="shared" si="573"/>
        <v>0</v>
      </c>
      <c r="DN109" s="503">
        <f t="shared" si="573"/>
        <v>0</v>
      </c>
      <c r="DO109" s="503">
        <f t="shared" si="573"/>
        <v>0</v>
      </c>
      <c r="DP109" s="503">
        <f t="shared" si="573"/>
        <v>0</v>
      </c>
      <c r="DQ109" s="503">
        <f t="shared" si="573"/>
        <v>0</v>
      </c>
      <c r="DR109" s="503">
        <f t="shared" si="573"/>
        <v>0</v>
      </c>
      <c r="DS109" s="503">
        <f t="shared" si="573"/>
        <v>0</v>
      </c>
      <c r="DT109" s="503">
        <f t="shared" si="573"/>
        <v>0</v>
      </c>
      <c r="DU109" s="503">
        <f t="shared" si="573"/>
        <v>0</v>
      </c>
      <c r="DV109" s="503">
        <f t="shared" si="573"/>
        <v>0</v>
      </c>
      <c r="DW109" s="503">
        <f t="shared" si="573"/>
        <v>0</v>
      </c>
      <c r="DX109" s="503">
        <f t="shared" si="573"/>
        <v>0</v>
      </c>
      <c r="DY109" s="503">
        <f t="shared" si="573"/>
        <v>0</v>
      </c>
      <c r="DZ109" s="503">
        <f t="shared" si="573"/>
        <v>0</v>
      </c>
      <c r="EA109" s="503">
        <f t="shared" si="573"/>
        <v>0</v>
      </c>
      <c r="EB109" s="503">
        <f t="shared" si="573"/>
        <v>0</v>
      </c>
      <c r="EC109" s="503">
        <f t="shared" si="573"/>
        <v>0</v>
      </c>
      <c r="ED109" s="503">
        <f t="shared" si="573"/>
        <v>0</v>
      </c>
      <c r="EE109" s="503">
        <f t="shared" si="573"/>
        <v>0</v>
      </c>
      <c r="EF109" s="503">
        <f t="shared" si="573"/>
        <v>0</v>
      </c>
      <c r="EG109" s="503">
        <f t="shared" si="573"/>
        <v>0</v>
      </c>
      <c r="EH109" s="503">
        <f t="shared" ref="EH109:GS109" si="574">IF(EH$7&gt;=$E109,IF(EH$7&lt;=$F109,$D$109/$G$109,0),0)</f>
        <v>0</v>
      </c>
      <c r="EI109" s="503">
        <f t="shared" si="574"/>
        <v>0</v>
      </c>
      <c r="EJ109" s="503">
        <f t="shared" si="574"/>
        <v>0</v>
      </c>
      <c r="EK109" s="503">
        <f t="shared" si="574"/>
        <v>0</v>
      </c>
      <c r="EL109" s="503">
        <f t="shared" si="574"/>
        <v>0</v>
      </c>
      <c r="EM109" s="503">
        <f t="shared" si="574"/>
        <v>0</v>
      </c>
      <c r="EN109" s="503">
        <f t="shared" si="574"/>
        <v>0</v>
      </c>
      <c r="EO109" s="503">
        <f t="shared" si="574"/>
        <v>0</v>
      </c>
      <c r="EP109" s="503">
        <f t="shared" si="574"/>
        <v>0</v>
      </c>
      <c r="EQ109" s="503">
        <f t="shared" si="574"/>
        <v>0</v>
      </c>
      <c r="ER109" s="503">
        <f t="shared" si="574"/>
        <v>0</v>
      </c>
      <c r="ES109" s="503">
        <f t="shared" si="574"/>
        <v>0</v>
      </c>
      <c r="ET109" s="503">
        <f t="shared" si="574"/>
        <v>0</v>
      </c>
      <c r="EU109" s="503">
        <f t="shared" si="574"/>
        <v>0</v>
      </c>
      <c r="EV109" s="503">
        <f t="shared" si="574"/>
        <v>0</v>
      </c>
      <c r="EW109" s="503">
        <f t="shared" si="574"/>
        <v>0</v>
      </c>
      <c r="EX109" s="503">
        <f t="shared" si="574"/>
        <v>0</v>
      </c>
      <c r="EY109" s="503">
        <f t="shared" si="574"/>
        <v>0</v>
      </c>
      <c r="EZ109" s="503">
        <f t="shared" si="574"/>
        <v>0</v>
      </c>
      <c r="FA109" s="503">
        <f t="shared" si="574"/>
        <v>0</v>
      </c>
      <c r="FB109" s="503">
        <f t="shared" si="574"/>
        <v>0</v>
      </c>
      <c r="FC109" s="503">
        <f t="shared" si="574"/>
        <v>0</v>
      </c>
      <c r="FD109" s="503">
        <f t="shared" si="574"/>
        <v>0</v>
      </c>
      <c r="FE109" s="503">
        <f t="shared" si="574"/>
        <v>0</v>
      </c>
      <c r="FF109" s="503">
        <f t="shared" si="574"/>
        <v>0</v>
      </c>
      <c r="FG109" s="503">
        <f t="shared" si="574"/>
        <v>0</v>
      </c>
      <c r="FH109" s="503">
        <f t="shared" si="574"/>
        <v>0</v>
      </c>
      <c r="FI109" s="503">
        <f t="shared" si="574"/>
        <v>0</v>
      </c>
      <c r="FJ109" s="503">
        <f t="shared" si="574"/>
        <v>0</v>
      </c>
      <c r="FK109" s="503">
        <f t="shared" si="574"/>
        <v>0</v>
      </c>
      <c r="FL109" s="503">
        <f t="shared" si="574"/>
        <v>0</v>
      </c>
      <c r="FM109" s="503">
        <f t="shared" si="574"/>
        <v>0</v>
      </c>
      <c r="FN109" s="503">
        <f t="shared" si="574"/>
        <v>0</v>
      </c>
      <c r="FO109" s="503">
        <f t="shared" si="574"/>
        <v>0</v>
      </c>
      <c r="FP109" s="503">
        <f t="shared" si="574"/>
        <v>0</v>
      </c>
      <c r="FQ109" s="503">
        <f t="shared" si="574"/>
        <v>0</v>
      </c>
      <c r="FR109" s="503">
        <f t="shared" si="574"/>
        <v>0</v>
      </c>
      <c r="FS109" s="503">
        <f t="shared" si="574"/>
        <v>0</v>
      </c>
      <c r="FT109" s="503">
        <f t="shared" si="574"/>
        <v>0</v>
      </c>
      <c r="FU109" s="503">
        <f t="shared" si="574"/>
        <v>0</v>
      </c>
      <c r="FV109" s="503">
        <f t="shared" si="574"/>
        <v>0</v>
      </c>
      <c r="FW109" s="503">
        <f t="shared" si="574"/>
        <v>0</v>
      </c>
      <c r="FX109" s="503">
        <f t="shared" si="574"/>
        <v>0</v>
      </c>
      <c r="FY109" s="503">
        <f t="shared" si="574"/>
        <v>0</v>
      </c>
      <c r="FZ109" s="503">
        <f t="shared" si="574"/>
        <v>0</v>
      </c>
      <c r="GA109" s="503">
        <f t="shared" si="574"/>
        <v>0</v>
      </c>
      <c r="GB109" s="503">
        <f t="shared" si="574"/>
        <v>0</v>
      </c>
      <c r="GC109" s="503">
        <f t="shared" si="574"/>
        <v>0</v>
      </c>
      <c r="GD109" s="503">
        <f t="shared" si="574"/>
        <v>0</v>
      </c>
      <c r="GE109" s="503">
        <f t="shared" si="574"/>
        <v>0</v>
      </c>
      <c r="GF109" s="503">
        <f t="shared" si="574"/>
        <v>0</v>
      </c>
      <c r="GG109" s="503">
        <f t="shared" si="574"/>
        <v>0</v>
      </c>
      <c r="GH109" s="503">
        <f t="shared" si="574"/>
        <v>0</v>
      </c>
      <c r="GI109" s="503">
        <f t="shared" si="574"/>
        <v>0</v>
      </c>
      <c r="GJ109" s="503">
        <f t="shared" si="574"/>
        <v>0</v>
      </c>
      <c r="GK109" s="503">
        <f t="shared" si="574"/>
        <v>0</v>
      </c>
      <c r="GL109" s="503">
        <f t="shared" si="574"/>
        <v>0</v>
      </c>
      <c r="GM109" s="503">
        <f t="shared" si="574"/>
        <v>0</v>
      </c>
      <c r="GN109" s="503">
        <f t="shared" si="574"/>
        <v>0</v>
      </c>
      <c r="GO109" s="503">
        <f t="shared" si="574"/>
        <v>0</v>
      </c>
      <c r="GP109" s="503">
        <f t="shared" si="574"/>
        <v>0</v>
      </c>
      <c r="GQ109" s="503">
        <f t="shared" si="574"/>
        <v>0</v>
      </c>
      <c r="GR109" s="503">
        <f t="shared" si="574"/>
        <v>0</v>
      </c>
      <c r="GS109" s="503">
        <f t="shared" si="574"/>
        <v>0</v>
      </c>
      <c r="GT109" s="503">
        <f t="shared" ref="GT109:JE109" si="575">IF(GT$7&gt;=$E109,IF(GT$7&lt;=$F109,$D$109/$G$109,0),0)</f>
        <v>0</v>
      </c>
      <c r="GU109" s="503">
        <f t="shared" si="575"/>
        <v>0</v>
      </c>
      <c r="GV109" s="503">
        <f t="shared" si="575"/>
        <v>0</v>
      </c>
      <c r="GW109" s="503">
        <f t="shared" si="575"/>
        <v>0</v>
      </c>
      <c r="GX109" s="503">
        <f t="shared" si="575"/>
        <v>0</v>
      </c>
      <c r="GY109" s="503">
        <f t="shared" si="575"/>
        <v>0</v>
      </c>
      <c r="GZ109" s="503">
        <f t="shared" si="575"/>
        <v>0</v>
      </c>
      <c r="HA109" s="503">
        <f t="shared" si="575"/>
        <v>0</v>
      </c>
      <c r="HB109" s="503">
        <f t="shared" si="575"/>
        <v>0</v>
      </c>
      <c r="HC109" s="503">
        <f t="shared" si="575"/>
        <v>0</v>
      </c>
      <c r="HD109" s="503">
        <f t="shared" si="575"/>
        <v>0</v>
      </c>
      <c r="HE109" s="503">
        <f t="shared" si="575"/>
        <v>0</v>
      </c>
      <c r="HF109" s="503">
        <f t="shared" si="575"/>
        <v>0</v>
      </c>
      <c r="HG109" s="503">
        <f t="shared" si="575"/>
        <v>0</v>
      </c>
      <c r="HH109" s="503">
        <f t="shared" si="575"/>
        <v>0</v>
      </c>
      <c r="HI109" s="503">
        <f t="shared" si="575"/>
        <v>0</v>
      </c>
      <c r="HJ109" s="503">
        <f t="shared" si="575"/>
        <v>0</v>
      </c>
      <c r="HK109" s="503">
        <f t="shared" si="575"/>
        <v>0</v>
      </c>
      <c r="HL109" s="503">
        <f t="shared" si="575"/>
        <v>0</v>
      </c>
      <c r="HM109" s="503">
        <f t="shared" si="575"/>
        <v>0</v>
      </c>
      <c r="HN109" s="503">
        <f t="shared" si="575"/>
        <v>0</v>
      </c>
      <c r="HO109" s="503">
        <f t="shared" si="575"/>
        <v>0</v>
      </c>
      <c r="HP109" s="503">
        <f t="shared" si="575"/>
        <v>0</v>
      </c>
      <c r="HQ109" s="503">
        <f t="shared" si="575"/>
        <v>0</v>
      </c>
      <c r="HR109" s="503">
        <f t="shared" si="575"/>
        <v>0</v>
      </c>
      <c r="HS109" s="503">
        <f t="shared" si="575"/>
        <v>0</v>
      </c>
      <c r="HT109" s="503">
        <f t="shared" si="575"/>
        <v>0</v>
      </c>
      <c r="HU109" s="503">
        <f t="shared" si="575"/>
        <v>0</v>
      </c>
      <c r="HV109" s="503">
        <f t="shared" si="575"/>
        <v>0</v>
      </c>
      <c r="HW109" s="503">
        <f t="shared" si="575"/>
        <v>0</v>
      </c>
      <c r="HX109" s="503">
        <f t="shared" si="575"/>
        <v>0</v>
      </c>
      <c r="HY109" s="503">
        <f t="shared" si="575"/>
        <v>0</v>
      </c>
      <c r="HZ109" s="503">
        <f t="shared" si="575"/>
        <v>0</v>
      </c>
      <c r="IA109" s="503">
        <f t="shared" si="575"/>
        <v>0</v>
      </c>
      <c r="IB109" s="503">
        <f t="shared" si="575"/>
        <v>0</v>
      </c>
      <c r="IC109" s="503">
        <f t="shared" si="575"/>
        <v>0</v>
      </c>
      <c r="ID109" s="503">
        <f t="shared" si="575"/>
        <v>0</v>
      </c>
      <c r="IE109" s="503">
        <f t="shared" si="575"/>
        <v>0</v>
      </c>
      <c r="IF109" s="503">
        <f t="shared" si="575"/>
        <v>0</v>
      </c>
      <c r="IG109" s="503">
        <f t="shared" si="575"/>
        <v>0</v>
      </c>
      <c r="IH109" s="503">
        <f t="shared" si="575"/>
        <v>0</v>
      </c>
      <c r="II109" s="503">
        <f t="shared" si="575"/>
        <v>0</v>
      </c>
      <c r="IJ109" s="503">
        <f t="shared" si="575"/>
        <v>0</v>
      </c>
      <c r="IK109" s="503">
        <f t="shared" si="575"/>
        <v>0</v>
      </c>
      <c r="IL109" s="503">
        <f t="shared" si="575"/>
        <v>0</v>
      </c>
      <c r="IM109" s="503">
        <f t="shared" si="575"/>
        <v>0</v>
      </c>
      <c r="IN109" s="503">
        <f t="shared" si="575"/>
        <v>0</v>
      </c>
      <c r="IO109" s="503">
        <f t="shared" si="575"/>
        <v>0</v>
      </c>
      <c r="IP109" s="503">
        <f t="shared" si="575"/>
        <v>0</v>
      </c>
      <c r="IQ109" s="503">
        <f t="shared" si="575"/>
        <v>0</v>
      </c>
      <c r="IR109" s="503">
        <f t="shared" si="575"/>
        <v>0</v>
      </c>
      <c r="IS109" s="503">
        <f t="shared" si="575"/>
        <v>0</v>
      </c>
      <c r="IT109" s="503">
        <f t="shared" si="575"/>
        <v>0</v>
      </c>
      <c r="IU109" s="503">
        <f t="shared" si="575"/>
        <v>0</v>
      </c>
      <c r="IV109" s="503">
        <f t="shared" si="575"/>
        <v>0</v>
      </c>
      <c r="IW109" s="503">
        <f t="shared" si="575"/>
        <v>0</v>
      </c>
      <c r="IX109" s="503">
        <f t="shared" si="575"/>
        <v>0</v>
      </c>
      <c r="IY109" s="503">
        <f t="shared" si="575"/>
        <v>0</v>
      </c>
      <c r="IZ109" s="503">
        <f t="shared" si="575"/>
        <v>0</v>
      </c>
      <c r="JA109" s="503">
        <f t="shared" si="575"/>
        <v>0</v>
      </c>
      <c r="JB109" s="503">
        <f t="shared" si="575"/>
        <v>0</v>
      </c>
      <c r="JC109" s="503">
        <f t="shared" si="575"/>
        <v>0</v>
      </c>
      <c r="JD109" s="503">
        <f t="shared" si="575"/>
        <v>0</v>
      </c>
      <c r="JE109" s="503">
        <f t="shared" si="575"/>
        <v>0</v>
      </c>
      <c r="JF109" s="503">
        <f t="shared" ref="JF109:LQ109" si="576">IF(JF$7&gt;=$E109,IF(JF$7&lt;=$F109,$D$109/$G$109,0),0)</f>
        <v>0</v>
      </c>
      <c r="JG109" s="503">
        <f t="shared" si="576"/>
        <v>0</v>
      </c>
      <c r="JH109" s="503">
        <f t="shared" si="576"/>
        <v>0</v>
      </c>
      <c r="JI109" s="503">
        <f t="shared" si="576"/>
        <v>0</v>
      </c>
      <c r="JJ109" s="503">
        <f t="shared" si="576"/>
        <v>0</v>
      </c>
      <c r="JK109" s="503">
        <f t="shared" si="576"/>
        <v>0</v>
      </c>
      <c r="JL109" s="503">
        <f t="shared" si="576"/>
        <v>0</v>
      </c>
      <c r="JM109" s="503">
        <f t="shared" si="576"/>
        <v>0</v>
      </c>
      <c r="JN109" s="503">
        <f t="shared" si="576"/>
        <v>0</v>
      </c>
      <c r="JO109" s="503">
        <f t="shared" si="576"/>
        <v>0</v>
      </c>
      <c r="JP109" s="503">
        <f t="shared" si="576"/>
        <v>0</v>
      </c>
      <c r="JQ109" s="503">
        <f t="shared" si="576"/>
        <v>0</v>
      </c>
      <c r="JR109" s="503">
        <f t="shared" si="576"/>
        <v>0</v>
      </c>
      <c r="JS109" s="503">
        <f t="shared" si="576"/>
        <v>0</v>
      </c>
      <c r="JT109" s="503">
        <f t="shared" si="576"/>
        <v>0</v>
      </c>
      <c r="JU109" s="503">
        <f t="shared" si="576"/>
        <v>0</v>
      </c>
      <c r="JV109" s="503">
        <f t="shared" si="576"/>
        <v>0</v>
      </c>
      <c r="JW109" s="503">
        <f t="shared" si="576"/>
        <v>0</v>
      </c>
      <c r="JX109" s="503">
        <f t="shared" si="576"/>
        <v>0</v>
      </c>
      <c r="JY109" s="503">
        <f t="shared" si="576"/>
        <v>0</v>
      </c>
      <c r="JZ109" s="503">
        <f t="shared" si="576"/>
        <v>0</v>
      </c>
      <c r="KA109" s="503">
        <f t="shared" si="576"/>
        <v>0</v>
      </c>
      <c r="KB109" s="503">
        <f t="shared" si="576"/>
        <v>0</v>
      </c>
      <c r="KC109" s="503">
        <f t="shared" si="576"/>
        <v>0</v>
      </c>
      <c r="KD109" s="503">
        <f t="shared" si="576"/>
        <v>0</v>
      </c>
      <c r="KE109" s="503">
        <f t="shared" si="576"/>
        <v>0</v>
      </c>
      <c r="KF109" s="503">
        <f t="shared" si="576"/>
        <v>0</v>
      </c>
      <c r="KG109" s="503">
        <f t="shared" si="576"/>
        <v>0</v>
      </c>
      <c r="KH109" s="503">
        <f t="shared" si="576"/>
        <v>0</v>
      </c>
      <c r="KI109" s="503">
        <f t="shared" si="576"/>
        <v>0</v>
      </c>
      <c r="KJ109" s="503">
        <f t="shared" si="576"/>
        <v>0</v>
      </c>
      <c r="KK109" s="503">
        <f t="shared" si="576"/>
        <v>0</v>
      </c>
      <c r="KL109" s="503">
        <f t="shared" si="576"/>
        <v>0</v>
      </c>
      <c r="KM109" s="503">
        <f t="shared" si="576"/>
        <v>0</v>
      </c>
      <c r="KN109" s="503">
        <f t="shared" si="576"/>
        <v>0</v>
      </c>
      <c r="KO109" s="503">
        <f t="shared" si="576"/>
        <v>0</v>
      </c>
      <c r="KP109" s="503">
        <f t="shared" si="576"/>
        <v>0</v>
      </c>
      <c r="KQ109" s="503">
        <f t="shared" si="576"/>
        <v>0</v>
      </c>
      <c r="KR109" s="503">
        <f t="shared" si="576"/>
        <v>0</v>
      </c>
      <c r="KS109" s="503">
        <f t="shared" si="576"/>
        <v>0</v>
      </c>
      <c r="KT109" s="503">
        <f t="shared" si="576"/>
        <v>0</v>
      </c>
      <c r="KU109" s="503">
        <f t="shared" si="576"/>
        <v>0</v>
      </c>
      <c r="KV109" s="503">
        <f t="shared" si="576"/>
        <v>0</v>
      </c>
      <c r="KW109" s="503">
        <f t="shared" si="576"/>
        <v>0</v>
      </c>
      <c r="KX109" s="503">
        <f t="shared" si="576"/>
        <v>0</v>
      </c>
      <c r="KY109" s="503">
        <f t="shared" si="576"/>
        <v>0</v>
      </c>
      <c r="KZ109" s="503">
        <f t="shared" si="576"/>
        <v>0</v>
      </c>
      <c r="LA109" s="503">
        <f t="shared" si="576"/>
        <v>0</v>
      </c>
      <c r="LB109" s="503">
        <f t="shared" si="576"/>
        <v>0</v>
      </c>
      <c r="LC109" s="503">
        <f t="shared" si="576"/>
        <v>0</v>
      </c>
      <c r="LD109" s="503">
        <f t="shared" si="576"/>
        <v>0</v>
      </c>
      <c r="LE109" s="503">
        <f t="shared" si="576"/>
        <v>0</v>
      </c>
      <c r="LF109" s="503">
        <f t="shared" si="576"/>
        <v>0</v>
      </c>
      <c r="LG109" s="503">
        <f t="shared" si="576"/>
        <v>0</v>
      </c>
      <c r="LH109" s="503">
        <f t="shared" si="576"/>
        <v>0</v>
      </c>
      <c r="LI109" s="503">
        <f t="shared" si="576"/>
        <v>0</v>
      </c>
      <c r="LJ109" s="503">
        <f t="shared" si="576"/>
        <v>0</v>
      </c>
      <c r="LK109" s="503">
        <f t="shared" si="576"/>
        <v>0</v>
      </c>
      <c r="LL109" s="503">
        <f t="shared" si="576"/>
        <v>0</v>
      </c>
      <c r="LM109" s="503">
        <f t="shared" si="576"/>
        <v>0</v>
      </c>
      <c r="LN109" s="503">
        <f t="shared" si="576"/>
        <v>0</v>
      </c>
      <c r="LO109" s="503">
        <f t="shared" si="576"/>
        <v>0</v>
      </c>
      <c r="LP109" s="503">
        <f t="shared" si="576"/>
        <v>0</v>
      </c>
      <c r="LQ109" s="503">
        <f t="shared" si="576"/>
        <v>0</v>
      </c>
      <c r="LR109" s="503">
        <f t="shared" ref="LR109:OC109" si="577">IF(LR$7&gt;=$E109,IF(LR$7&lt;=$F109,$D$109/$G$109,0),0)</f>
        <v>0</v>
      </c>
      <c r="LS109" s="503">
        <f t="shared" si="577"/>
        <v>0</v>
      </c>
      <c r="LT109" s="503">
        <f t="shared" si="577"/>
        <v>0</v>
      </c>
      <c r="LU109" s="503">
        <f t="shared" si="577"/>
        <v>0</v>
      </c>
      <c r="LV109" s="503">
        <f t="shared" si="577"/>
        <v>0</v>
      </c>
      <c r="LW109" s="503">
        <f t="shared" si="577"/>
        <v>0</v>
      </c>
      <c r="LX109" s="503">
        <f t="shared" si="577"/>
        <v>0</v>
      </c>
      <c r="LY109" s="503">
        <f t="shared" si="577"/>
        <v>0</v>
      </c>
      <c r="LZ109" s="503">
        <f t="shared" si="577"/>
        <v>0</v>
      </c>
      <c r="MA109" s="503">
        <f t="shared" si="577"/>
        <v>0</v>
      </c>
      <c r="MB109" s="503">
        <f t="shared" si="577"/>
        <v>0</v>
      </c>
      <c r="MC109" s="503">
        <f t="shared" si="577"/>
        <v>0</v>
      </c>
      <c r="MD109" s="503">
        <f t="shared" si="577"/>
        <v>0</v>
      </c>
      <c r="ME109" s="503">
        <f t="shared" si="577"/>
        <v>0</v>
      </c>
      <c r="MF109" s="503">
        <f t="shared" si="577"/>
        <v>0</v>
      </c>
      <c r="MG109" s="503">
        <f t="shared" si="577"/>
        <v>0</v>
      </c>
      <c r="MH109" s="503">
        <f t="shared" si="577"/>
        <v>0</v>
      </c>
      <c r="MI109" s="503">
        <f t="shared" si="577"/>
        <v>0</v>
      </c>
      <c r="MJ109" s="503">
        <f t="shared" si="577"/>
        <v>0</v>
      </c>
      <c r="MK109" s="503">
        <f t="shared" si="577"/>
        <v>0</v>
      </c>
      <c r="ML109" s="503">
        <f t="shared" si="577"/>
        <v>0</v>
      </c>
      <c r="MM109" s="503">
        <f t="shared" si="577"/>
        <v>0</v>
      </c>
      <c r="MN109" s="503">
        <f t="shared" si="577"/>
        <v>0</v>
      </c>
      <c r="MO109" s="503">
        <f t="shared" si="577"/>
        <v>0</v>
      </c>
      <c r="MP109" s="503">
        <f t="shared" si="577"/>
        <v>0</v>
      </c>
      <c r="MQ109" s="503">
        <f t="shared" si="577"/>
        <v>0</v>
      </c>
      <c r="MR109" s="503">
        <f t="shared" si="577"/>
        <v>0</v>
      </c>
      <c r="MS109" s="503">
        <f t="shared" si="577"/>
        <v>0</v>
      </c>
      <c r="MT109" s="503">
        <f t="shared" si="577"/>
        <v>0</v>
      </c>
      <c r="MU109" s="503">
        <f t="shared" si="577"/>
        <v>0</v>
      </c>
      <c r="MV109" s="503">
        <f t="shared" si="577"/>
        <v>0</v>
      </c>
      <c r="MW109" s="503">
        <f t="shared" si="577"/>
        <v>0</v>
      </c>
      <c r="MX109" s="503">
        <f t="shared" si="577"/>
        <v>0</v>
      </c>
      <c r="MY109" s="503">
        <f t="shared" si="577"/>
        <v>0</v>
      </c>
      <c r="MZ109" s="503">
        <f t="shared" si="577"/>
        <v>0</v>
      </c>
      <c r="NA109" s="503">
        <f t="shared" si="577"/>
        <v>0</v>
      </c>
      <c r="NB109" s="503">
        <f t="shared" si="577"/>
        <v>0</v>
      </c>
      <c r="NC109" s="503">
        <f t="shared" si="577"/>
        <v>0</v>
      </c>
      <c r="ND109" s="503">
        <f t="shared" si="577"/>
        <v>0</v>
      </c>
      <c r="NE109" s="503">
        <f t="shared" si="577"/>
        <v>0</v>
      </c>
      <c r="NF109" s="503">
        <f t="shared" si="577"/>
        <v>0</v>
      </c>
      <c r="NG109" s="503">
        <f t="shared" si="577"/>
        <v>0</v>
      </c>
      <c r="NH109" s="503">
        <f t="shared" si="577"/>
        <v>0</v>
      </c>
      <c r="NI109" s="503">
        <f t="shared" si="577"/>
        <v>0</v>
      </c>
      <c r="NJ109" s="503">
        <f t="shared" si="577"/>
        <v>0</v>
      </c>
      <c r="NK109" s="503">
        <f t="shared" si="577"/>
        <v>0</v>
      </c>
      <c r="NL109" s="503">
        <f t="shared" si="577"/>
        <v>0</v>
      </c>
      <c r="NM109" s="503">
        <f t="shared" si="577"/>
        <v>0</v>
      </c>
      <c r="NN109" s="503">
        <f t="shared" si="577"/>
        <v>0</v>
      </c>
      <c r="NO109" s="503">
        <f t="shared" si="577"/>
        <v>0</v>
      </c>
      <c r="NP109" s="503">
        <f t="shared" si="577"/>
        <v>0</v>
      </c>
      <c r="NQ109" s="503">
        <f t="shared" si="577"/>
        <v>0</v>
      </c>
      <c r="NR109" s="503">
        <f t="shared" si="577"/>
        <v>0</v>
      </c>
      <c r="NS109" s="503">
        <f t="shared" si="577"/>
        <v>0</v>
      </c>
      <c r="NT109" s="503">
        <f t="shared" si="577"/>
        <v>0</v>
      </c>
      <c r="NU109" s="503">
        <f t="shared" si="577"/>
        <v>0</v>
      </c>
      <c r="NV109" s="503">
        <f t="shared" si="577"/>
        <v>0</v>
      </c>
      <c r="NW109" s="503">
        <f t="shared" si="577"/>
        <v>0</v>
      </c>
      <c r="NX109" s="503">
        <f t="shared" si="577"/>
        <v>0</v>
      </c>
      <c r="NY109" s="503">
        <f t="shared" si="577"/>
        <v>0</v>
      </c>
      <c r="NZ109" s="503">
        <f t="shared" si="577"/>
        <v>0</v>
      </c>
      <c r="OA109" s="503">
        <f t="shared" si="577"/>
        <v>0</v>
      </c>
      <c r="OB109" s="503">
        <f t="shared" si="577"/>
        <v>0</v>
      </c>
      <c r="OC109" s="503">
        <f t="shared" si="577"/>
        <v>0</v>
      </c>
      <c r="OD109" s="503">
        <f t="shared" ref="OD109:OO109" si="578">IF(OD$7&gt;=$E109,IF(OD$7&lt;=$F109,$D$109/$G$109,0),0)</f>
        <v>0</v>
      </c>
      <c r="OE109" s="503">
        <f t="shared" si="578"/>
        <v>0</v>
      </c>
      <c r="OF109" s="503">
        <f t="shared" si="578"/>
        <v>0</v>
      </c>
      <c r="OG109" s="503">
        <f t="shared" si="578"/>
        <v>0</v>
      </c>
      <c r="OH109" s="503">
        <f t="shared" si="578"/>
        <v>0</v>
      </c>
      <c r="OI109" s="503">
        <f t="shared" si="578"/>
        <v>0</v>
      </c>
      <c r="OJ109" s="503">
        <f t="shared" si="578"/>
        <v>0</v>
      </c>
      <c r="OK109" s="503">
        <f t="shared" si="578"/>
        <v>0</v>
      </c>
      <c r="OL109" s="503">
        <f t="shared" si="578"/>
        <v>0</v>
      </c>
      <c r="OM109" s="503">
        <f t="shared" si="578"/>
        <v>0</v>
      </c>
      <c r="ON109" s="503">
        <f t="shared" si="578"/>
        <v>0</v>
      </c>
      <c r="OO109" s="503">
        <f t="shared" si="578"/>
        <v>0</v>
      </c>
    </row>
    <row r="112" spans="2:405">
      <c r="B112" s="7" t="s">
        <v>475</v>
      </c>
    </row>
    <row r="113" spans="2:43">
      <c r="B113" s="282"/>
      <c r="C113" s="282"/>
      <c r="D113" s="282"/>
      <c r="E113" s="282"/>
      <c r="F113" s="282"/>
      <c r="G113" s="282"/>
      <c r="H113" s="282"/>
      <c r="I113" s="282"/>
      <c r="J113" s="282">
        <v>1</v>
      </c>
      <c r="K113" s="282">
        <v>2</v>
      </c>
      <c r="L113" s="282">
        <v>3</v>
      </c>
      <c r="M113" s="282">
        <v>4</v>
      </c>
      <c r="N113" s="282">
        <v>5</v>
      </c>
      <c r="O113" s="282">
        <v>6</v>
      </c>
      <c r="P113" s="282">
        <v>7</v>
      </c>
      <c r="Q113" s="282">
        <v>8</v>
      </c>
      <c r="R113" s="282">
        <v>9</v>
      </c>
      <c r="S113" s="282">
        <v>10</v>
      </c>
      <c r="T113" s="282">
        <v>11</v>
      </c>
      <c r="U113" s="282">
        <v>12</v>
      </c>
      <c r="V113" s="282">
        <v>13</v>
      </c>
      <c r="W113" s="282">
        <v>14</v>
      </c>
      <c r="X113" s="282">
        <v>15</v>
      </c>
      <c r="Y113" s="282">
        <v>16</v>
      </c>
      <c r="Z113" s="282">
        <v>17</v>
      </c>
      <c r="AA113" s="282">
        <v>18</v>
      </c>
      <c r="AB113" s="282">
        <v>19</v>
      </c>
      <c r="AC113" s="282">
        <v>20</v>
      </c>
      <c r="AD113" s="282">
        <v>21</v>
      </c>
      <c r="AE113" s="282">
        <v>22</v>
      </c>
      <c r="AF113" s="282">
        <v>23</v>
      </c>
      <c r="AG113" s="282">
        <v>24</v>
      </c>
      <c r="AH113" s="282">
        <v>25</v>
      </c>
      <c r="AI113" s="282">
        <v>26</v>
      </c>
      <c r="AJ113" s="282">
        <v>27</v>
      </c>
      <c r="AK113" s="282">
        <v>28</v>
      </c>
      <c r="AL113" s="282">
        <v>29</v>
      </c>
      <c r="AM113" s="282">
        <v>30</v>
      </c>
      <c r="AN113" s="282">
        <v>31</v>
      </c>
      <c r="AO113" s="282">
        <v>32</v>
      </c>
      <c r="AP113" s="282">
        <v>33</v>
      </c>
      <c r="AQ113" s="282">
        <v>33</v>
      </c>
    </row>
    <row r="114" spans="2:43">
      <c r="B114" s="282"/>
      <c r="C114" s="282"/>
      <c r="D114" s="282"/>
      <c r="E114" s="282"/>
      <c r="F114" s="282"/>
      <c r="G114" s="282"/>
      <c r="H114" s="282"/>
      <c r="I114" s="282"/>
      <c r="J114" s="282">
        <f>YEAR(J115)</f>
        <v>2026</v>
      </c>
      <c r="K114" s="282">
        <f>YEAR(K115)</f>
        <v>2027</v>
      </c>
      <c r="L114" s="282">
        <f>YEAR(L115)</f>
        <v>2028</v>
      </c>
      <c r="M114" s="282">
        <f t="shared" ref="M114:W114" si="579">YEAR(M115)</f>
        <v>2029</v>
      </c>
      <c r="N114" s="282">
        <f t="shared" si="579"/>
        <v>2030</v>
      </c>
      <c r="O114" s="282">
        <f t="shared" si="579"/>
        <v>2031</v>
      </c>
      <c r="P114" s="282">
        <f t="shared" si="579"/>
        <v>2032</v>
      </c>
      <c r="Q114" s="282">
        <f t="shared" si="579"/>
        <v>2033</v>
      </c>
      <c r="R114" s="282">
        <f t="shared" si="579"/>
        <v>2034</v>
      </c>
      <c r="S114" s="282">
        <f t="shared" si="579"/>
        <v>2035</v>
      </c>
      <c r="T114" s="282">
        <f t="shared" si="579"/>
        <v>2036</v>
      </c>
      <c r="U114" s="282">
        <f t="shared" si="579"/>
        <v>2037</v>
      </c>
      <c r="V114" s="282">
        <f t="shared" si="579"/>
        <v>2038</v>
      </c>
      <c r="W114" s="282">
        <f t="shared" si="579"/>
        <v>2039</v>
      </c>
      <c r="X114" s="282">
        <f t="shared" ref="X114" si="580">YEAR(X115)</f>
        <v>2040</v>
      </c>
      <c r="Y114" s="282">
        <f t="shared" ref="Y114" si="581">YEAR(Y115)</f>
        <v>2041</v>
      </c>
      <c r="Z114" s="282">
        <f t="shared" ref="Z114" si="582">YEAR(Z115)</f>
        <v>2042</v>
      </c>
      <c r="AA114" s="282">
        <f t="shared" ref="AA114" si="583">YEAR(AA115)</f>
        <v>2043</v>
      </c>
      <c r="AB114" s="282">
        <f t="shared" ref="AB114" si="584">YEAR(AB115)</f>
        <v>2044</v>
      </c>
      <c r="AC114" s="282">
        <f t="shared" ref="AC114" si="585">YEAR(AC115)</f>
        <v>2045</v>
      </c>
      <c r="AD114" s="282">
        <f t="shared" ref="AD114" si="586">YEAR(AD115)</f>
        <v>2046</v>
      </c>
      <c r="AE114" s="282">
        <f t="shared" ref="AE114" si="587">YEAR(AE115)</f>
        <v>2047</v>
      </c>
      <c r="AF114" s="282">
        <f t="shared" ref="AF114:AH114" si="588">YEAR(AF115)</f>
        <v>2048</v>
      </c>
      <c r="AG114" s="282">
        <f t="shared" si="588"/>
        <v>2049</v>
      </c>
      <c r="AH114" s="282">
        <f t="shared" si="588"/>
        <v>2050</v>
      </c>
      <c r="AI114" s="282">
        <f t="shared" ref="AI114" si="589">YEAR(AI115)</f>
        <v>2051</v>
      </c>
      <c r="AJ114" s="282">
        <f t="shared" ref="AJ114" si="590">YEAR(AJ115)</f>
        <v>2052</v>
      </c>
      <c r="AK114" s="282">
        <f t="shared" ref="AK114" si="591">YEAR(AK115)</f>
        <v>2053</v>
      </c>
      <c r="AL114" s="282">
        <f>YEAR(AL115)</f>
        <v>2054</v>
      </c>
      <c r="AM114" s="282">
        <f>YEAR(AM115)</f>
        <v>2055</v>
      </c>
      <c r="AN114" s="282">
        <f t="shared" ref="AN114" si="592">YEAR(AN115)</f>
        <v>2056</v>
      </c>
      <c r="AO114" s="282">
        <f t="shared" ref="AO114" si="593">YEAR(AO115)</f>
        <v>2057</v>
      </c>
      <c r="AP114" s="282">
        <f t="shared" ref="AP114:AQ114" si="594">YEAR(AP115)</f>
        <v>2058</v>
      </c>
      <c r="AQ114" s="282">
        <f t="shared" si="594"/>
        <v>2059</v>
      </c>
    </row>
    <row r="115" spans="2:43">
      <c r="B115" s="282"/>
      <c r="C115" s="282"/>
      <c r="D115" s="282"/>
      <c r="E115" s="282"/>
      <c r="F115" s="282"/>
      <c r="G115" s="282"/>
      <c r="H115" s="282"/>
      <c r="I115" s="529" t="s">
        <v>38</v>
      </c>
      <c r="J115" s="283">
        <v>46387</v>
      </c>
      <c r="K115" s="283">
        <f>EOMONTH(J115,12)</f>
        <v>46752</v>
      </c>
      <c r="L115" s="283">
        <f t="shared" ref="L115:AP115" si="595">EOMONTH(K115,12)</f>
        <v>47118</v>
      </c>
      <c r="M115" s="283">
        <f t="shared" si="595"/>
        <v>47483</v>
      </c>
      <c r="N115" s="283">
        <f t="shared" si="595"/>
        <v>47848</v>
      </c>
      <c r="O115" s="283">
        <f t="shared" si="595"/>
        <v>48213</v>
      </c>
      <c r="P115" s="283">
        <f t="shared" si="595"/>
        <v>48579</v>
      </c>
      <c r="Q115" s="283">
        <f t="shared" si="595"/>
        <v>48944</v>
      </c>
      <c r="R115" s="283">
        <f t="shared" si="595"/>
        <v>49309</v>
      </c>
      <c r="S115" s="283">
        <f t="shared" si="595"/>
        <v>49674</v>
      </c>
      <c r="T115" s="283">
        <f t="shared" si="595"/>
        <v>50040</v>
      </c>
      <c r="U115" s="283">
        <f t="shared" si="595"/>
        <v>50405</v>
      </c>
      <c r="V115" s="283">
        <f t="shared" si="595"/>
        <v>50770</v>
      </c>
      <c r="W115" s="283">
        <f t="shared" si="595"/>
        <v>51135</v>
      </c>
      <c r="X115" s="283">
        <f t="shared" si="595"/>
        <v>51501</v>
      </c>
      <c r="Y115" s="283">
        <f t="shared" si="595"/>
        <v>51866</v>
      </c>
      <c r="Z115" s="283">
        <f t="shared" si="595"/>
        <v>52231</v>
      </c>
      <c r="AA115" s="283">
        <f t="shared" si="595"/>
        <v>52596</v>
      </c>
      <c r="AB115" s="283">
        <f t="shared" si="595"/>
        <v>52962</v>
      </c>
      <c r="AC115" s="283">
        <f t="shared" si="595"/>
        <v>53327</v>
      </c>
      <c r="AD115" s="283">
        <f t="shared" si="595"/>
        <v>53692</v>
      </c>
      <c r="AE115" s="283">
        <f t="shared" si="595"/>
        <v>54057</v>
      </c>
      <c r="AF115" s="283">
        <f t="shared" si="595"/>
        <v>54423</v>
      </c>
      <c r="AG115" s="283">
        <f t="shared" si="595"/>
        <v>54788</v>
      </c>
      <c r="AH115" s="283">
        <f t="shared" si="595"/>
        <v>55153</v>
      </c>
      <c r="AI115" s="283">
        <f t="shared" si="595"/>
        <v>55518</v>
      </c>
      <c r="AJ115" s="283">
        <f t="shared" si="595"/>
        <v>55884</v>
      </c>
      <c r="AK115" s="283">
        <f t="shared" si="595"/>
        <v>56249</v>
      </c>
      <c r="AL115" s="283">
        <f t="shared" si="595"/>
        <v>56614</v>
      </c>
      <c r="AM115" s="283">
        <f t="shared" si="595"/>
        <v>56979</v>
      </c>
      <c r="AN115" s="283">
        <f t="shared" si="595"/>
        <v>57345</v>
      </c>
      <c r="AO115" s="283">
        <f t="shared" si="595"/>
        <v>57710</v>
      </c>
      <c r="AP115" s="283">
        <f t="shared" si="595"/>
        <v>58075</v>
      </c>
      <c r="AQ115" s="283">
        <f t="shared" ref="AQ115" si="596">EOMONTH(AP115,12)</f>
        <v>58440</v>
      </c>
    </row>
    <row r="117" spans="2:43" ht="15">
      <c r="B117" s="513" t="str">
        <f>B9</f>
        <v>DEVELOPMENT PHASE</v>
      </c>
      <c r="C117" s="513"/>
      <c r="D117" s="510"/>
      <c r="E117" s="511"/>
      <c r="F117" s="511"/>
      <c r="G117" s="511"/>
      <c r="H117" s="511"/>
      <c r="I117" s="512"/>
      <c r="J117" s="512"/>
      <c r="K117" s="512"/>
      <c r="L117" s="512"/>
      <c r="M117" s="512"/>
      <c r="N117" s="512"/>
      <c r="O117" s="512"/>
      <c r="P117" s="512"/>
      <c r="Q117" s="512"/>
      <c r="R117" s="512"/>
      <c r="S117" s="512"/>
      <c r="T117" s="512"/>
      <c r="U117" s="512"/>
      <c r="V117" s="512"/>
      <c r="W117" s="512"/>
      <c r="X117" s="512"/>
      <c r="Y117" s="512"/>
      <c r="Z117" s="512"/>
      <c r="AA117" s="512"/>
      <c r="AB117" s="512"/>
      <c r="AC117" s="512"/>
      <c r="AD117" s="512"/>
      <c r="AE117" s="512"/>
      <c r="AF117" s="512"/>
      <c r="AG117" s="512"/>
      <c r="AH117" s="512"/>
      <c r="AI117" s="512"/>
      <c r="AJ117" s="512"/>
      <c r="AK117" s="512"/>
      <c r="AL117" s="512"/>
      <c r="AM117" s="512"/>
      <c r="AN117" s="512"/>
      <c r="AO117" s="512"/>
      <c r="AP117" s="512"/>
      <c r="AQ117" s="512"/>
    </row>
    <row r="118" spans="2:43" ht="15">
      <c r="B118" s="501"/>
      <c r="C118" s="501"/>
      <c r="D118" s="71"/>
      <c r="E118" s="71"/>
      <c r="F118" s="71"/>
      <c r="G118" s="71"/>
      <c r="H118" s="71"/>
      <c r="I118" s="71"/>
      <c r="J118" s="71"/>
      <c r="K118" s="502"/>
      <c r="L118" s="502"/>
      <c r="M118" s="502"/>
      <c r="N118" s="502"/>
      <c r="O118" s="502"/>
      <c r="P118" s="502"/>
      <c r="Q118" s="502"/>
      <c r="R118" s="502"/>
      <c r="S118" s="502"/>
      <c r="T118" s="502"/>
      <c r="U118" s="502"/>
      <c r="V118" s="502"/>
      <c r="W118" s="502"/>
      <c r="X118" s="502"/>
      <c r="Y118" s="502"/>
      <c r="Z118" s="502"/>
      <c r="AA118" s="502"/>
      <c r="AB118" s="502"/>
      <c r="AC118" s="502"/>
      <c r="AD118" s="502"/>
      <c r="AE118" s="502"/>
      <c r="AF118" s="502"/>
      <c r="AG118" s="502"/>
      <c r="AH118" s="502"/>
      <c r="AI118" s="502"/>
      <c r="AJ118" s="502"/>
      <c r="AK118" s="502"/>
      <c r="AL118" s="502"/>
      <c r="AM118" s="502"/>
      <c r="AN118" s="502"/>
      <c r="AO118" s="502"/>
      <c r="AP118" s="502"/>
      <c r="AQ118" s="502"/>
    </row>
    <row r="119" spans="2:43">
      <c r="B119" s="477" t="str">
        <f>B11</f>
        <v>Acquisition Costs</v>
      </c>
      <c r="C119" s="477"/>
      <c r="D119" s="478"/>
      <c r="E119" s="97"/>
      <c r="F119" s="97"/>
      <c r="G119" s="97"/>
      <c r="H119" s="97"/>
      <c r="I119" s="97"/>
      <c r="J119" s="97"/>
      <c r="K119" s="97"/>
      <c r="L119" s="479"/>
      <c r="M119" s="479"/>
      <c r="N119" s="479"/>
      <c r="O119" s="479"/>
      <c r="P119" s="479"/>
      <c r="Q119" s="479"/>
      <c r="R119" s="479"/>
      <c r="S119" s="479"/>
      <c r="T119" s="479"/>
      <c r="U119" s="479"/>
      <c r="V119" s="479"/>
      <c r="W119" s="479"/>
      <c r="X119" s="479"/>
      <c r="Y119" s="479"/>
      <c r="Z119" s="479"/>
      <c r="AA119" s="479"/>
      <c r="AB119" s="479"/>
      <c r="AC119" s="479"/>
      <c r="AD119" s="479"/>
      <c r="AE119" s="479"/>
      <c r="AF119" s="479"/>
      <c r="AG119" s="479"/>
      <c r="AH119" s="479"/>
      <c r="AI119" s="479"/>
      <c r="AJ119" s="479"/>
      <c r="AK119" s="479"/>
      <c r="AL119" s="479"/>
      <c r="AM119" s="479"/>
      <c r="AN119" s="479"/>
      <c r="AO119" s="479"/>
      <c r="AP119" s="97"/>
      <c r="AQ119" s="97"/>
    </row>
    <row r="120" spans="2:43">
      <c r="B120" s="97" t="str">
        <f>B12</f>
        <v>Building Acquisition</v>
      </c>
      <c r="C120" s="97"/>
      <c r="D120" s="500"/>
      <c r="E120" s="507"/>
      <c r="F120" s="507"/>
      <c r="G120" s="97"/>
      <c r="H120" s="97"/>
      <c r="I120" s="540">
        <f>SUM(J120:AQ120)</f>
        <v>0</v>
      </c>
      <c r="J120" s="479">
        <f t="shared" ref="J120:AQ120" si="597">SUMIF($J$6:$OO$6,J$114,$J12:$OO12)</f>
        <v>0</v>
      </c>
      <c r="K120" s="479">
        <f t="shared" si="597"/>
        <v>0</v>
      </c>
      <c r="L120" s="479">
        <f t="shared" si="597"/>
        <v>0</v>
      </c>
      <c r="M120" s="479">
        <f t="shared" si="597"/>
        <v>0</v>
      </c>
      <c r="N120" s="479">
        <f t="shared" si="597"/>
        <v>0</v>
      </c>
      <c r="O120" s="479">
        <f t="shared" si="597"/>
        <v>0</v>
      </c>
      <c r="P120" s="479">
        <f t="shared" si="597"/>
        <v>0</v>
      </c>
      <c r="Q120" s="479">
        <f t="shared" si="597"/>
        <v>0</v>
      </c>
      <c r="R120" s="479">
        <f t="shared" si="597"/>
        <v>0</v>
      </c>
      <c r="S120" s="479">
        <f t="shared" si="597"/>
        <v>0</v>
      </c>
      <c r="T120" s="479">
        <f t="shared" si="597"/>
        <v>0</v>
      </c>
      <c r="U120" s="479">
        <f t="shared" si="597"/>
        <v>0</v>
      </c>
      <c r="V120" s="479">
        <f t="shared" si="597"/>
        <v>0</v>
      </c>
      <c r="W120" s="479">
        <f t="shared" si="597"/>
        <v>0</v>
      </c>
      <c r="X120" s="479">
        <f t="shared" si="597"/>
        <v>0</v>
      </c>
      <c r="Y120" s="479">
        <f t="shared" si="597"/>
        <v>0</v>
      </c>
      <c r="Z120" s="479">
        <f t="shared" si="597"/>
        <v>0</v>
      </c>
      <c r="AA120" s="479">
        <f t="shared" si="597"/>
        <v>0</v>
      </c>
      <c r="AB120" s="479">
        <f t="shared" si="597"/>
        <v>0</v>
      </c>
      <c r="AC120" s="479">
        <f t="shared" si="597"/>
        <v>0</v>
      </c>
      <c r="AD120" s="479">
        <f t="shared" si="597"/>
        <v>0</v>
      </c>
      <c r="AE120" s="479">
        <f t="shared" si="597"/>
        <v>0</v>
      </c>
      <c r="AF120" s="479">
        <f t="shared" si="597"/>
        <v>0</v>
      </c>
      <c r="AG120" s="479">
        <f t="shared" si="597"/>
        <v>0</v>
      </c>
      <c r="AH120" s="479">
        <f t="shared" si="597"/>
        <v>0</v>
      </c>
      <c r="AI120" s="479">
        <f t="shared" si="597"/>
        <v>0</v>
      </c>
      <c r="AJ120" s="479">
        <f t="shared" si="597"/>
        <v>0</v>
      </c>
      <c r="AK120" s="479">
        <f t="shared" si="597"/>
        <v>0</v>
      </c>
      <c r="AL120" s="479">
        <f t="shared" si="597"/>
        <v>0</v>
      </c>
      <c r="AM120" s="479">
        <f t="shared" si="597"/>
        <v>0</v>
      </c>
      <c r="AN120" s="479">
        <f t="shared" si="597"/>
        <v>0</v>
      </c>
      <c r="AO120" s="479">
        <f t="shared" si="597"/>
        <v>0</v>
      </c>
      <c r="AP120" s="479">
        <f t="shared" si="597"/>
        <v>0</v>
      </c>
      <c r="AQ120" s="479">
        <f t="shared" si="597"/>
        <v>0</v>
      </c>
    </row>
    <row r="121" spans="2:43">
      <c r="B121" s="97" t="str">
        <f>B13</f>
        <v>Land Acquisition</v>
      </c>
      <c r="C121" s="97"/>
      <c r="D121" s="500"/>
      <c r="E121" s="507"/>
      <c r="F121" s="507"/>
      <c r="G121" s="97"/>
      <c r="H121" s="97"/>
      <c r="I121" s="540">
        <f t="shared" ref="I121:I186" si="598">SUM(J121:AQ121)</f>
        <v>-1</v>
      </c>
      <c r="J121" s="479">
        <f t="shared" ref="J121:AQ121" si="599">SUMIF($J$6:$OO$6,J$114,$J13:$OO13)</f>
        <v>-1</v>
      </c>
      <c r="K121" s="479">
        <f t="shared" si="599"/>
        <v>0</v>
      </c>
      <c r="L121" s="479">
        <f t="shared" si="599"/>
        <v>0</v>
      </c>
      <c r="M121" s="479">
        <f t="shared" si="599"/>
        <v>0</v>
      </c>
      <c r="N121" s="479">
        <f t="shared" si="599"/>
        <v>0</v>
      </c>
      <c r="O121" s="479">
        <f t="shared" si="599"/>
        <v>0</v>
      </c>
      <c r="P121" s="479">
        <f t="shared" si="599"/>
        <v>0</v>
      </c>
      <c r="Q121" s="479">
        <f t="shared" si="599"/>
        <v>0</v>
      </c>
      <c r="R121" s="479">
        <f t="shared" si="599"/>
        <v>0</v>
      </c>
      <c r="S121" s="479">
        <f t="shared" si="599"/>
        <v>0</v>
      </c>
      <c r="T121" s="479">
        <f t="shared" si="599"/>
        <v>0</v>
      </c>
      <c r="U121" s="479">
        <f t="shared" si="599"/>
        <v>0</v>
      </c>
      <c r="V121" s="479">
        <f t="shared" si="599"/>
        <v>0</v>
      </c>
      <c r="W121" s="479">
        <f t="shared" si="599"/>
        <v>0</v>
      </c>
      <c r="X121" s="479">
        <f t="shared" si="599"/>
        <v>0</v>
      </c>
      <c r="Y121" s="479">
        <f t="shared" si="599"/>
        <v>0</v>
      </c>
      <c r="Z121" s="479">
        <f t="shared" si="599"/>
        <v>0</v>
      </c>
      <c r="AA121" s="479">
        <f t="shared" si="599"/>
        <v>0</v>
      </c>
      <c r="AB121" s="479">
        <f t="shared" si="599"/>
        <v>0</v>
      </c>
      <c r="AC121" s="479">
        <f t="shared" si="599"/>
        <v>0</v>
      </c>
      <c r="AD121" s="479">
        <f t="shared" si="599"/>
        <v>0</v>
      </c>
      <c r="AE121" s="479">
        <f t="shared" si="599"/>
        <v>0</v>
      </c>
      <c r="AF121" s="479">
        <f t="shared" si="599"/>
        <v>0</v>
      </c>
      <c r="AG121" s="479">
        <f t="shared" si="599"/>
        <v>0</v>
      </c>
      <c r="AH121" s="479">
        <f t="shared" si="599"/>
        <v>0</v>
      </c>
      <c r="AI121" s="479">
        <f t="shared" si="599"/>
        <v>0</v>
      </c>
      <c r="AJ121" s="479">
        <f t="shared" si="599"/>
        <v>0</v>
      </c>
      <c r="AK121" s="479">
        <f t="shared" si="599"/>
        <v>0</v>
      </c>
      <c r="AL121" s="479">
        <f t="shared" si="599"/>
        <v>0</v>
      </c>
      <c r="AM121" s="479">
        <f t="shared" si="599"/>
        <v>0</v>
      </c>
      <c r="AN121" s="479">
        <f t="shared" si="599"/>
        <v>0</v>
      </c>
      <c r="AO121" s="479">
        <f t="shared" si="599"/>
        <v>0</v>
      </c>
      <c r="AP121" s="479">
        <f t="shared" si="599"/>
        <v>0</v>
      </c>
      <c r="AQ121" s="479">
        <f t="shared" si="599"/>
        <v>0</v>
      </c>
    </row>
    <row r="122" spans="2:43">
      <c r="B122" s="506" t="str">
        <f>B14</f>
        <v>Total Acquisition Costs</v>
      </c>
      <c r="C122" s="506"/>
      <c r="D122" s="504"/>
      <c r="E122" s="244"/>
      <c r="F122" s="244"/>
      <c r="G122" s="244"/>
      <c r="H122" s="244"/>
      <c r="I122" s="541">
        <f t="shared" si="598"/>
        <v>-1</v>
      </c>
      <c r="J122" s="505">
        <f t="shared" ref="J122:AQ122" si="600">SUMIF($J$6:$OO$6,J$114,$J14:$OO14)</f>
        <v>-1</v>
      </c>
      <c r="K122" s="505">
        <f t="shared" si="600"/>
        <v>0</v>
      </c>
      <c r="L122" s="505">
        <f t="shared" si="600"/>
        <v>0</v>
      </c>
      <c r="M122" s="505">
        <f t="shared" si="600"/>
        <v>0</v>
      </c>
      <c r="N122" s="505">
        <f t="shared" si="600"/>
        <v>0</v>
      </c>
      <c r="O122" s="505">
        <f t="shared" si="600"/>
        <v>0</v>
      </c>
      <c r="P122" s="505">
        <f t="shared" si="600"/>
        <v>0</v>
      </c>
      <c r="Q122" s="505">
        <f t="shared" si="600"/>
        <v>0</v>
      </c>
      <c r="R122" s="505">
        <f t="shared" si="600"/>
        <v>0</v>
      </c>
      <c r="S122" s="505">
        <f t="shared" si="600"/>
        <v>0</v>
      </c>
      <c r="T122" s="505">
        <f t="shared" si="600"/>
        <v>0</v>
      </c>
      <c r="U122" s="505">
        <f t="shared" si="600"/>
        <v>0</v>
      </c>
      <c r="V122" s="505">
        <f t="shared" si="600"/>
        <v>0</v>
      </c>
      <c r="W122" s="505">
        <f t="shared" si="600"/>
        <v>0</v>
      </c>
      <c r="X122" s="505">
        <f t="shared" si="600"/>
        <v>0</v>
      </c>
      <c r="Y122" s="505">
        <f t="shared" si="600"/>
        <v>0</v>
      </c>
      <c r="Z122" s="505">
        <f t="shared" si="600"/>
        <v>0</v>
      </c>
      <c r="AA122" s="505">
        <f t="shared" si="600"/>
        <v>0</v>
      </c>
      <c r="AB122" s="505">
        <f t="shared" si="600"/>
        <v>0</v>
      </c>
      <c r="AC122" s="505">
        <f t="shared" si="600"/>
        <v>0</v>
      </c>
      <c r="AD122" s="505">
        <f t="shared" si="600"/>
        <v>0</v>
      </c>
      <c r="AE122" s="505">
        <f t="shared" si="600"/>
        <v>0</v>
      </c>
      <c r="AF122" s="505">
        <f t="shared" si="600"/>
        <v>0</v>
      </c>
      <c r="AG122" s="505">
        <f t="shared" si="600"/>
        <v>0</v>
      </c>
      <c r="AH122" s="505">
        <f t="shared" si="600"/>
        <v>0</v>
      </c>
      <c r="AI122" s="505">
        <f t="shared" si="600"/>
        <v>0</v>
      </c>
      <c r="AJ122" s="505">
        <f t="shared" si="600"/>
        <v>0</v>
      </c>
      <c r="AK122" s="505">
        <f t="shared" si="600"/>
        <v>0</v>
      </c>
      <c r="AL122" s="505">
        <f t="shared" si="600"/>
        <v>0</v>
      </c>
      <c r="AM122" s="505">
        <f t="shared" si="600"/>
        <v>0</v>
      </c>
      <c r="AN122" s="505">
        <f t="shared" si="600"/>
        <v>0</v>
      </c>
      <c r="AO122" s="505">
        <f t="shared" si="600"/>
        <v>0</v>
      </c>
      <c r="AP122" s="505">
        <f t="shared" si="600"/>
        <v>0</v>
      </c>
      <c r="AQ122" s="505">
        <f t="shared" si="600"/>
        <v>0</v>
      </c>
    </row>
    <row r="123" spans="2:43">
      <c r="B123" s="97"/>
      <c r="C123" s="97"/>
      <c r="D123" s="478"/>
      <c r="E123" s="97"/>
      <c r="F123" s="97"/>
      <c r="G123" s="97"/>
      <c r="H123" s="97"/>
      <c r="I123" s="540"/>
      <c r="J123" s="97"/>
      <c r="K123" s="97"/>
      <c r="L123" s="479"/>
      <c r="M123" s="479"/>
      <c r="N123" s="479"/>
      <c r="O123" s="479"/>
      <c r="P123" s="479"/>
      <c r="Q123" s="479"/>
      <c r="R123" s="479"/>
      <c r="S123" s="479"/>
      <c r="T123" s="479"/>
      <c r="U123" s="479"/>
      <c r="V123" s="479"/>
      <c r="W123" s="479"/>
      <c r="X123" s="479"/>
      <c r="Y123" s="479"/>
      <c r="Z123" s="479"/>
      <c r="AA123" s="479"/>
      <c r="AB123" s="479"/>
      <c r="AC123" s="479"/>
      <c r="AD123" s="479"/>
      <c r="AE123" s="479"/>
      <c r="AF123" s="479"/>
      <c r="AG123" s="479"/>
      <c r="AH123" s="479"/>
      <c r="AI123" s="479"/>
      <c r="AJ123" s="479"/>
      <c r="AK123" s="479"/>
      <c r="AL123" s="479"/>
      <c r="AM123" s="479"/>
      <c r="AN123" s="479"/>
      <c r="AO123" s="479"/>
      <c r="AP123" s="97"/>
      <c r="AQ123" s="97"/>
    </row>
    <row r="124" spans="2:43">
      <c r="B124" s="52" t="str">
        <f t="shared" ref="B124:B136" si="601">B16</f>
        <v>Hard Cost &amp; Soft Cost</v>
      </c>
      <c r="C124" s="52"/>
      <c r="D124" s="478"/>
      <c r="E124" s="97"/>
      <c r="F124" s="97"/>
      <c r="G124" s="97"/>
      <c r="H124" s="97"/>
      <c r="I124" s="540"/>
      <c r="J124" s="97"/>
      <c r="K124" s="97"/>
      <c r="L124" s="479"/>
      <c r="M124" s="479"/>
      <c r="N124" s="479"/>
      <c r="O124" s="479"/>
      <c r="P124" s="479"/>
      <c r="Q124" s="479"/>
      <c r="R124" s="479"/>
      <c r="S124" s="479"/>
      <c r="T124" s="479"/>
      <c r="U124" s="479"/>
      <c r="V124" s="479"/>
      <c r="W124" s="479"/>
      <c r="X124" s="479"/>
      <c r="Y124" s="479"/>
      <c r="Z124" s="479"/>
      <c r="AA124" s="479"/>
      <c r="AB124" s="479"/>
      <c r="AC124" s="479"/>
      <c r="AD124" s="479"/>
      <c r="AE124" s="479"/>
      <c r="AF124" s="479"/>
      <c r="AG124" s="479"/>
      <c r="AH124" s="479"/>
      <c r="AI124" s="479"/>
      <c r="AJ124" s="479"/>
      <c r="AK124" s="479"/>
      <c r="AL124" s="479"/>
      <c r="AM124" s="479"/>
      <c r="AN124" s="479"/>
      <c r="AO124" s="479"/>
      <c r="AP124" s="97"/>
      <c r="AQ124" s="97"/>
    </row>
    <row r="125" spans="2:43">
      <c r="B125" s="97" t="str">
        <f t="shared" si="601"/>
        <v>Contractor Price</v>
      </c>
      <c r="C125" s="97"/>
      <c r="D125" s="500"/>
      <c r="E125" s="507"/>
      <c r="F125" s="507"/>
      <c r="G125" s="97"/>
      <c r="H125" s="97"/>
      <c r="I125" s="540">
        <f t="shared" si="598"/>
        <v>0</v>
      </c>
      <c r="J125" s="479">
        <f t="shared" ref="J125:AQ125" si="602">SUMIF($J$6:$OO$6,J$114,$J17:$OO17)</f>
        <v>0</v>
      </c>
      <c r="K125" s="479">
        <f t="shared" si="602"/>
        <v>0</v>
      </c>
      <c r="L125" s="479">
        <f t="shared" si="602"/>
        <v>0</v>
      </c>
      <c r="M125" s="479">
        <f t="shared" si="602"/>
        <v>0</v>
      </c>
      <c r="N125" s="479">
        <f t="shared" si="602"/>
        <v>0</v>
      </c>
      <c r="O125" s="479">
        <f t="shared" si="602"/>
        <v>0</v>
      </c>
      <c r="P125" s="479">
        <f t="shared" si="602"/>
        <v>0</v>
      </c>
      <c r="Q125" s="479">
        <f t="shared" si="602"/>
        <v>0</v>
      </c>
      <c r="R125" s="479">
        <f t="shared" si="602"/>
        <v>0</v>
      </c>
      <c r="S125" s="479">
        <f t="shared" si="602"/>
        <v>0</v>
      </c>
      <c r="T125" s="479">
        <f t="shared" si="602"/>
        <v>0</v>
      </c>
      <c r="U125" s="479">
        <f t="shared" si="602"/>
        <v>0</v>
      </c>
      <c r="V125" s="479">
        <f t="shared" si="602"/>
        <v>0</v>
      </c>
      <c r="W125" s="479">
        <f t="shared" si="602"/>
        <v>0</v>
      </c>
      <c r="X125" s="479">
        <f t="shared" si="602"/>
        <v>0</v>
      </c>
      <c r="Y125" s="479">
        <f t="shared" si="602"/>
        <v>0</v>
      </c>
      <c r="Z125" s="479">
        <f t="shared" si="602"/>
        <v>0</v>
      </c>
      <c r="AA125" s="479">
        <f t="shared" si="602"/>
        <v>0</v>
      </c>
      <c r="AB125" s="479">
        <f t="shared" si="602"/>
        <v>0</v>
      </c>
      <c r="AC125" s="479">
        <f t="shared" si="602"/>
        <v>0</v>
      </c>
      <c r="AD125" s="479">
        <f t="shared" si="602"/>
        <v>0</v>
      </c>
      <c r="AE125" s="479">
        <f t="shared" si="602"/>
        <v>0</v>
      </c>
      <c r="AF125" s="479">
        <f t="shared" si="602"/>
        <v>0</v>
      </c>
      <c r="AG125" s="479">
        <f t="shared" si="602"/>
        <v>0</v>
      </c>
      <c r="AH125" s="479">
        <f t="shared" si="602"/>
        <v>0</v>
      </c>
      <c r="AI125" s="479">
        <f t="shared" si="602"/>
        <v>0</v>
      </c>
      <c r="AJ125" s="479">
        <f t="shared" si="602"/>
        <v>0</v>
      </c>
      <c r="AK125" s="479">
        <f t="shared" si="602"/>
        <v>0</v>
      </c>
      <c r="AL125" s="479">
        <f t="shared" si="602"/>
        <v>0</v>
      </c>
      <c r="AM125" s="479">
        <f t="shared" si="602"/>
        <v>0</v>
      </c>
      <c r="AN125" s="479">
        <f t="shared" si="602"/>
        <v>0</v>
      </c>
      <c r="AO125" s="479">
        <f t="shared" si="602"/>
        <v>0</v>
      </c>
      <c r="AP125" s="479">
        <f t="shared" si="602"/>
        <v>0</v>
      </c>
      <c r="AQ125" s="479">
        <f t="shared" si="602"/>
        <v>0</v>
      </c>
    </row>
    <row r="126" spans="2:43">
      <c r="B126" s="97" t="str">
        <f t="shared" si="601"/>
        <v>Residential</v>
      </c>
      <c r="C126" s="97"/>
      <c r="D126" s="500"/>
      <c r="E126" s="507"/>
      <c r="F126" s="507"/>
      <c r="G126" s="97"/>
      <c r="H126" s="97"/>
      <c r="I126" s="540">
        <f t="shared" si="598"/>
        <v>-164862000</v>
      </c>
      <c r="J126" s="479">
        <f t="shared" ref="J126:AQ126" si="603">SUMIF($J$6:$OO$6,J$114,$J18:$OO18)</f>
        <v>0</v>
      </c>
      <c r="K126" s="479">
        <f t="shared" si="603"/>
        <v>-82431000</v>
      </c>
      <c r="L126" s="479">
        <f t="shared" si="603"/>
        <v>-82431000</v>
      </c>
      <c r="M126" s="479">
        <f t="shared" si="603"/>
        <v>0</v>
      </c>
      <c r="N126" s="479">
        <f t="shared" si="603"/>
        <v>0</v>
      </c>
      <c r="O126" s="479">
        <f t="shared" si="603"/>
        <v>0</v>
      </c>
      <c r="P126" s="479">
        <f t="shared" si="603"/>
        <v>0</v>
      </c>
      <c r="Q126" s="479">
        <f t="shared" si="603"/>
        <v>0</v>
      </c>
      <c r="R126" s="479">
        <f t="shared" si="603"/>
        <v>0</v>
      </c>
      <c r="S126" s="479">
        <f t="shared" si="603"/>
        <v>0</v>
      </c>
      <c r="T126" s="479">
        <f t="shared" si="603"/>
        <v>0</v>
      </c>
      <c r="U126" s="479">
        <f t="shared" si="603"/>
        <v>0</v>
      </c>
      <c r="V126" s="479">
        <f t="shared" si="603"/>
        <v>0</v>
      </c>
      <c r="W126" s="479">
        <f t="shared" si="603"/>
        <v>0</v>
      </c>
      <c r="X126" s="479">
        <f t="shared" si="603"/>
        <v>0</v>
      </c>
      <c r="Y126" s="479">
        <f t="shared" si="603"/>
        <v>0</v>
      </c>
      <c r="Z126" s="479">
        <f t="shared" si="603"/>
        <v>0</v>
      </c>
      <c r="AA126" s="479">
        <f t="shared" si="603"/>
        <v>0</v>
      </c>
      <c r="AB126" s="479">
        <f t="shared" si="603"/>
        <v>0</v>
      </c>
      <c r="AC126" s="479">
        <f t="shared" si="603"/>
        <v>0</v>
      </c>
      <c r="AD126" s="479">
        <f t="shared" si="603"/>
        <v>0</v>
      </c>
      <c r="AE126" s="479">
        <f t="shared" si="603"/>
        <v>0</v>
      </c>
      <c r="AF126" s="479">
        <f t="shared" si="603"/>
        <v>0</v>
      </c>
      <c r="AG126" s="479">
        <f t="shared" si="603"/>
        <v>0</v>
      </c>
      <c r="AH126" s="479">
        <f t="shared" si="603"/>
        <v>0</v>
      </c>
      <c r="AI126" s="479">
        <f t="shared" si="603"/>
        <v>0</v>
      </c>
      <c r="AJ126" s="479">
        <f t="shared" si="603"/>
        <v>0</v>
      </c>
      <c r="AK126" s="479">
        <f t="shared" si="603"/>
        <v>0</v>
      </c>
      <c r="AL126" s="479">
        <f t="shared" si="603"/>
        <v>0</v>
      </c>
      <c r="AM126" s="479">
        <f t="shared" si="603"/>
        <v>0</v>
      </c>
      <c r="AN126" s="479">
        <f t="shared" si="603"/>
        <v>0</v>
      </c>
      <c r="AO126" s="479">
        <f t="shared" si="603"/>
        <v>0</v>
      </c>
      <c r="AP126" s="479">
        <f t="shared" si="603"/>
        <v>0</v>
      </c>
      <c r="AQ126" s="479">
        <f t="shared" si="603"/>
        <v>0</v>
      </c>
    </row>
    <row r="127" spans="2:43">
      <c r="B127" s="97" t="str">
        <f t="shared" si="601"/>
        <v>Commercial Space</v>
      </c>
      <c r="C127" s="97"/>
      <c r="D127" s="500"/>
      <c r="E127" s="507"/>
      <c r="F127" s="507"/>
      <c r="G127" s="97"/>
      <c r="H127" s="97"/>
      <c r="I127" s="540">
        <f t="shared" si="598"/>
        <v>0</v>
      </c>
      <c r="J127" s="479">
        <f t="shared" ref="J127:AQ127" si="604">SUMIF($J$6:$OO$6,J$114,$J19:$OO19)</f>
        <v>0</v>
      </c>
      <c r="K127" s="479">
        <f t="shared" si="604"/>
        <v>0</v>
      </c>
      <c r="L127" s="479">
        <f t="shared" si="604"/>
        <v>0</v>
      </c>
      <c r="M127" s="479">
        <f t="shared" si="604"/>
        <v>0</v>
      </c>
      <c r="N127" s="479">
        <f t="shared" si="604"/>
        <v>0</v>
      </c>
      <c r="O127" s="479">
        <f t="shared" si="604"/>
        <v>0</v>
      </c>
      <c r="P127" s="479">
        <f t="shared" si="604"/>
        <v>0</v>
      </c>
      <c r="Q127" s="479">
        <f t="shared" si="604"/>
        <v>0</v>
      </c>
      <c r="R127" s="479">
        <f t="shared" si="604"/>
        <v>0</v>
      </c>
      <c r="S127" s="479">
        <f t="shared" si="604"/>
        <v>0</v>
      </c>
      <c r="T127" s="479">
        <f t="shared" si="604"/>
        <v>0</v>
      </c>
      <c r="U127" s="479">
        <f t="shared" si="604"/>
        <v>0</v>
      </c>
      <c r="V127" s="479">
        <f t="shared" si="604"/>
        <v>0</v>
      </c>
      <c r="W127" s="479">
        <f t="shared" si="604"/>
        <v>0</v>
      </c>
      <c r="X127" s="479">
        <f t="shared" si="604"/>
        <v>0</v>
      </c>
      <c r="Y127" s="479">
        <f t="shared" si="604"/>
        <v>0</v>
      </c>
      <c r="Z127" s="479">
        <f t="shared" si="604"/>
        <v>0</v>
      </c>
      <c r="AA127" s="479">
        <f t="shared" si="604"/>
        <v>0</v>
      </c>
      <c r="AB127" s="479">
        <f t="shared" si="604"/>
        <v>0</v>
      </c>
      <c r="AC127" s="479">
        <f t="shared" si="604"/>
        <v>0</v>
      </c>
      <c r="AD127" s="479">
        <f t="shared" si="604"/>
        <v>0</v>
      </c>
      <c r="AE127" s="479">
        <f t="shared" si="604"/>
        <v>0</v>
      </c>
      <c r="AF127" s="479">
        <f t="shared" si="604"/>
        <v>0</v>
      </c>
      <c r="AG127" s="479">
        <f t="shared" si="604"/>
        <v>0</v>
      </c>
      <c r="AH127" s="479">
        <f t="shared" si="604"/>
        <v>0</v>
      </c>
      <c r="AI127" s="479">
        <f t="shared" si="604"/>
        <v>0</v>
      </c>
      <c r="AJ127" s="479">
        <f t="shared" si="604"/>
        <v>0</v>
      </c>
      <c r="AK127" s="479">
        <f t="shared" si="604"/>
        <v>0</v>
      </c>
      <c r="AL127" s="479">
        <f t="shared" si="604"/>
        <v>0</v>
      </c>
      <c r="AM127" s="479">
        <f t="shared" si="604"/>
        <v>0</v>
      </c>
      <c r="AN127" s="479">
        <f t="shared" si="604"/>
        <v>0</v>
      </c>
      <c r="AO127" s="479">
        <f t="shared" si="604"/>
        <v>0</v>
      </c>
      <c r="AP127" s="479">
        <f t="shared" si="604"/>
        <v>0</v>
      </c>
      <c r="AQ127" s="479">
        <f t="shared" si="604"/>
        <v>0</v>
      </c>
    </row>
    <row r="128" spans="2:43">
      <c r="B128" s="97" t="str">
        <f t="shared" si="601"/>
        <v>Community Space</v>
      </c>
      <c r="C128" s="97"/>
      <c r="D128" s="500"/>
      <c r="E128" s="507"/>
      <c r="F128" s="507"/>
      <c r="G128" s="97"/>
      <c r="H128" s="97"/>
      <c r="I128" s="540">
        <f>SUM(J128:AQ128)</f>
        <v>-6300000</v>
      </c>
      <c r="J128" s="479">
        <f t="shared" ref="J128:AQ128" si="605">SUMIF($J$6:$OO$6,J$114,$J20:$OO20)</f>
        <v>0</v>
      </c>
      <c r="K128" s="479">
        <f t="shared" si="605"/>
        <v>-3150000</v>
      </c>
      <c r="L128" s="479">
        <f t="shared" si="605"/>
        <v>-3150000</v>
      </c>
      <c r="M128" s="479">
        <f t="shared" si="605"/>
        <v>0</v>
      </c>
      <c r="N128" s="479">
        <f t="shared" si="605"/>
        <v>0</v>
      </c>
      <c r="O128" s="479">
        <f t="shared" si="605"/>
        <v>0</v>
      </c>
      <c r="P128" s="479">
        <f t="shared" si="605"/>
        <v>0</v>
      </c>
      <c r="Q128" s="479">
        <f t="shared" si="605"/>
        <v>0</v>
      </c>
      <c r="R128" s="479">
        <f t="shared" si="605"/>
        <v>0</v>
      </c>
      <c r="S128" s="479">
        <f t="shared" si="605"/>
        <v>0</v>
      </c>
      <c r="T128" s="479">
        <f t="shared" si="605"/>
        <v>0</v>
      </c>
      <c r="U128" s="479">
        <f t="shared" si="605"/>
        <v>0</v>
      </c>
      <c r="V128" s="479">
        <f t="shared" si="605"/>
        <v>0</v>
      </c>
      <c r="W128" s="479">
        <f t="shared" si="605"/>
        <v>0</v>
      </c>
      <c r="X128" s="479">
        <f t="shared" si="605"/>
        <v>0</v>
      </c>
      <c r="Y128" s="479">
        <f t="shared" si="605"/>
        <v>0</v>
      </c>
      <c r="Z128" s="479">
        <f t="shared" si="605"/>
        <v>0</v>
      </c>
      <c r="AA128" s="479">
        <f t="shared" si="605"/>
        <v>0</v>
      </c>
      <c r="AB128" s="479">
        <f t="shared" si="605"/>
        <v>0</v>
      </c>
      <c r="AC128" s="479">
        <f t="shared" si="605"/>
        <v>0</v>
      </c>
      <c r="AD128" s="479">
        <f t="shared" si="605"/>
        <v>0</v>
      </c>
      <c r="AE128" s="479">
        <f t="shared" si="605"/>
        <v>0</v>
      </c>
      <c r="AF128" s="479">
        <f t="shared" si="605"/>
        <v>0</v>
      </c>
      <c r="AG128" s="479">
        <f t="shared" si="605"/>
        <v>0</v>
      </c>
      <c r="AH128" s="479">
        <f t="shared" si="605"/>
        <v>0</v>
      </c>
      <c r="AI128" s="479">
        <f t="shared" si="605"/>
        <v>0</v>
      </c>
      <c r="AJ128" s="479">
        <f t="shared" si="605"/>
        <v>0</v>
      </c>
      <c r="AK128" s="479">
        <f t="shared" si="605"/>
        <v>0</v>
      </c>
      <c r="AL128" s="479">
        <f t="shared" si="605"/>
        <v>0</v>
      </c>
      <c r="AM128" s="479">
        <f t="shared" si="605"/>
        <v>0</v>
      </c>
      <c r="AN128" s="479">
        <f t="shared" si="605"/>
        <v>0</v>
      </c>
      <c r="AO128" s="479">
        <f t="shared" si="605"/>
        <v>0</v>
      </c>
      <c r="AP128" s="479">
        <f t="shared" si="605"/>
        <v>0</v>
      </c>
      <c r="AQ128" s="479">
        <f t="shared" si="605"/>
        <v>0</v>
      </c>
    </row>
    <row r="129" spans="2:43">
      <c r="B129" s="97" t="str">
        <f t="shared" si="601"/>
        <v>Parking</v>
      </c>
      <c r="C129" s="97"/>
      <c r="D129" s="500"/>
      <c r="E129" s="507"/>
      <c r="F129" s="507"/>
      <c r="G129" s="97"/>
      <c r="H129" s="97"/>
      <c r="I129" s="535">
        <f t="shared" si="598"/>
        <v>0</v>
      </c>
      <c r="J129" s="479">
        <f t="shared" ref="J129:AQ129" si="606">SUMIF($J$6:$OO$6,J$114,$J21:$OO21)</f>
        <v>0</v>
      </c>
      <c r="K129" s="479">
        <f t="shared" si="606"/>
        <v>0</v>
      </c>
      <c r="L129" s="479">
        <f t="shared" si="606"/>
        <v>0</v>
      </c>
      <c r="M129" s="479">
        <f t="shared" si="606"/>
        <v>0</v>
      </c>
      <c r="N129" s="479">
        <f t="shared" si="606"/>
        <v>0</v>
      </c>
      <c r="O129" s="479">
        <f t="shared" si="606"/>
        <v>0</v>
      </c>
      <c r="P129" s="479">
        <f t="shared" si="606"/>
        <v>0</v>
      </c>
      <c r="Q129" s="479">
        <f t="shared" si="606"/>
        <v>0</v>
      </c>
      <c r="R129" s="479">
        <f t="shared" si="606"/>
        <v>0</v>
      </c>
      <c r="S129" s="479">
        <f t="shared" si="606"/>
        <v>0</v>
      </c>
      <c r="T129" s="479">
        <f t="shared" si="606"/>
        <v>0</v>
      </c>
      <c r="U129" s="479">
        <f t="shared" si="606"/>
        <v>0</v>
      </c>
      <c r="V129" s="479">
        <f t="shared" si="606"/>
        <v>0</v>
      </c>
      <c r="W129" s="479">
        <f t="shared" si="606"/>
        <v>0</v>
      </c>
      <c r="X129" s="479">
        <f t="shared" si="606"/>
        <v>0</v>
      </c>
      <c r="Y129" s="479">
        <f t="shared" si="606"/>
        <v>0</v>
      </c>
      <c r="Z129" s="479">
        <f t="shared" si="606"/>
        <v>0</v>
      </c>
      <c r="AA129" s="479">
        <f t="shared" si="606"/>
        <v>0</v>
      </c>
      <c r="AB129" s="479">
        <f t="shared" si="606"/>
        <v>0</v>
      </c>
      <c r="AC129" s="479">
        <f t="shared" si="606"/>
        <v>0</v>
      </c>
      <c r="AD129" s="479">
        <f t="shared" si="606"/>
        <v>0</v>
      </c>
      <c r="AE129" s="479">
        <f t="shared" si="606"/>
        <v>0</v>
      </c>
      <c r="AF129" s="479">
        <f t="shared" si="606"/>
        <v>0</v>
      </c>
      <c r="AG129" s="479">
        <f t="shared" si="606"/>
        <v>0</v>
      </c>
      <c r="AH129" s="479">
        <f t="shared" si="606"/>
        <v>0</v>
      </c>
      <c r="AI129" s="479">
        <f t="shared" si="606"/>
        <v>0</v>
      </c>
      <c r="AJ129" s="479">
        <f t="shared" si="606"/>
        <v>0</v>
      </c>
      <c r="AK129" s="479">
        <f t="shared" si="606"/>
        <v>0</v>
      </c>
      <c r="AL129" s="479">
        <f t="shared" si="606"/>
        <v>0</v>
      </c>
      <c r="AM129" s="479">
        <f t="shared" si="606"/>
        <v>0</v>
      </c>
      <c r="AN129" s="479">
        <f t="shared" si="606"/>
        <v>0</v>
      </c>
      <c r="AO129" s="479">
        <f t="shared" si="606"/>
        <v>0</v>
      </c>
      <c r="AP129" s="479">
        <f t="shared" si="606"/>
        <v>0</v>
      </c>
      <c r="AQ129" s="479">
        <f t="shared" si="606"/>
        <v>0</v>
      </c>
    </row>
    <row r="130" spans="2:43">
      <c r="B130" s="97" t="str">
        <f t="shared" si="601"/>
        <v>Developer Fee</v>
      </c>
      <c r="C130" s="97"/>
      <c r="D130" s="500"/>
      <c r="E130" s="507"/>
      <c r="F130" s="507"/>
      <c r="G130" s="97"/>
      <c r="H130" s="97"/>
      <c r="I130" s="535">
        <f t="shared" si="598"/>
        <v>-877999.99999999988</v>
      </c>
      <c r="J130" s="479">
        <f t="shared" ref="J130:AQ130" si="607">SUMIF($J$6:$OO$6,J$114,$J22:$OO22)</f>
        <v>0</v>
      </c>
      <c r="K130" s="479">
        <f t="shared" si="607"/>
        <v>-438999.99999999994</v>
      </c>
      <c r="L130" s="479">
        <f t="shared" si="607"/>
        <v>-438999.99999999994</v>
      </c>
      <c r="M130" s="479">
        <f t="shared" si="607"/>
        <v>0</v>
      </c>
      <c r="N130" s="479">
        <f t="shared" si="607"/>
        <v>0</v>
      </c>
      <c r="O130" s="479">
        <f t="shared" si="607"/>
        <v>0</v>
      </c>
      <c r="P130" s="479">
        <f t="shared" si="607"/>
        <v>0</v>
      </c>
      <c r="Q130" s="479">
        <f t="shared" si="607"/>
        <v>0</v>
      </c>
      <c r="R130" s="479">
        <f t="shared" si="607"/>
        <v>0</v>
      </c>
      <c r="S130" s="479">
        <f t="shared" si="607"/>
        <v>0</v>
      </c>
      <c r="T130" s="479">
        <f t="shared" si="607"/>
        <v>0</v>
      </c>
      <c r="U130" s="479">
        <f t="shared" si="607"/>
        <v>0</v>
      </c>
      <c r="V130" s="479">
        <f t="shared" si="607"/>
        <v>0</v>
      </c>
      <c r="W130" s="479">
        <f t="shared" si="607"/>
        <v>0</v>
      </c>
      <c r="X130" s="479">
        <f t="shared" si="607"/>
        <v>0</v>
      </c>
      <c r="Y130" s="479">
        <f t="shared" si="607"/>
        <v>0</v>
      </c>
      <c r="Z130" s="479">
        <f t="shared" si="607"/>
        <v>0</v>
      </c>
      <c r="AA130" s="479">
        <f t="shared" si="607"/>
        <v>0</v>
      </c>
      <c r="AB130" s="479">
        <f t="shared" si="607"/>
        <v>0</v>
      </c>
      <c r="AC130" s="479">
        <f t="shared" si="607"/>
        <v>0</v>
      </c>
      <c r="AD130" s="479">
        <f t="shared" si="607"/>
        <v>0</v>
      </c>
      <c r="AE130" s="479">
        <f t="shared" si="607"/>
        <v>0</v>
      </c>
      <c r="AF130" s="479">
        <f t="shared" si="607"/>
        <v>0</v>
      </c>
      <c r="AG130" s="479">
        <f t="shared" si="607"/>
        <v>0</v>
      </c>
      <c r="AH130" s="479">
        <f t="shared" si="607"/>
        <v>0</v>
      </c>
      <c r="AI130" s="479">
        <f t="shared" si="607"/>
        <v>0</v>
      </c>
      <c r="AJ130" s="479">
        <f t="shared" si="607"/>
        <v>0</v>
      </c>
      <c r="AK130" s="479">
        <f t="shared" si="607"/>
        <v>0</v>
      </c>
      <c r="AL130" s="479">
        <f t="shared" si="607"/>
        <v>0</v>
      </c>
      <c r="AM130" s="479">
        <f t="shared" si="607"/>
        <v>0</v>
      </c>
      <c r="AN130" s="479">
        <f t="shared" si="607"/>
        <v>0</v>
      </c>
      <c r="AO130" s="479">
        <f t="shared" si="607"/>
        <v>0</v>
      </c>
      <c r="AP130" s="479">
        <f t="shared" si="607"/>
        <v>0</v>
      </c>
      <c r="AQ130" s="479">
        <f t="shared" si="607"/>
        <v>0</v>
      </c>
    </row>
    <row r="131" spans="2:43">
      <c r="B131" s="97" t="str">
        <f t="shared" si="601"/>
        <v>Contingent Hard Costs</v>
      </c>
      <c r="C131" s="97"/>
      <c r="D131" s="500"/>
      <c r="E131" s="507"/>
      <c r="F131" s="507"/>
      <c r="G131" s="97"/>
      <c r="H131" s="97"/>
      <c r="I131" s="535">
        <f t="shared" si="598"/>
        <v>0</v>
      </c>
      <c r="J131" s="479">
        <f t="shared" ref="J131:AQ131" si="608">SUMIF($J$6:$OO$6,J$114,$J23:$OO23)</f>
        <v>0</v>
      </c>
      <c r="K131" s="479">
        <f t="shared" si="608"/>
        <v>0</v>
      </c>
      <c r="L131" s="479">
        <f t="shared" si="608"/>
        <v>0</v>
      </c>
      <c r="M131" s="479">
        <f t="shared" si="608"/>
        <v>0</v>
      </c>
      <c r="N131" s="479">
        <f t="shared" si="608"/>
        <v>0</v>
      </c>
      <c r="O131" s="479">
        <f t="shared" si="608"/>
        <v>0</v>
      </c>
      <c r="P131" s="479">
        <f t="shared" si="608"/>
        <v>0</v>
      </c>
      <c r="Q131" s="479">
        <f t="shared" si="608"/>
        <v>0</v>
      </c>
      <c r="R131" s="479">
        <f t="shared" si="608"/>
        <v>0</v>
      </c>
      <c r="S131" s="479">
        <f t="shared" si="608"/>
        <v>0</v>
      </c>
      <c r="T131" s="479">
        <f t="shared" si="608"/>
        <v>0</v>
      </c>
      <c r="U131" s="479">
        <f t="shared" si="608"/>
        <v>0</v>
      </c>
      <c r="V131" s="479">
        <f t="shared" si="608"/>
        <v>0</v>
      </c>
      <c r="W131" s="479">
        <f t="shared" si="608"/>
        <v>0</v>
      </c>
      <c r="X131" s="479">
        <f t="shared" si="608"/>
        <v>0</v>
      </c>
      <c r="Y131" s="479">
        <f t="shared" si="608"/>
        <v>0</v>
      </c>
      <c r="Z131" s="479">
        <f t="shared" si="608"/>
        <v>0</v>
      </c>
      <c r="AA131" s="479">
        <f t="shared" si="608"/>
        <v>0</v>
      </c>
      <c r="AB131" s="479">
        <f t="shared" si="608"/>
        <v>0</v>
      </c>
      <c r="AC131" s="479">
        <f t="shared" si="608"/>
        <v>0</v>
      </c>
      <c r="AD131" s="479">
        <f t="shared" si="608"/>
        <v>0</v>
      </c>
      <c r="AE131" s="479">
        <f t="shared" si="608"/>
        <v>0</v>
      </c>
      <c r="AF131" s="479">
        <f t="shared" si="608"/>
        <v>0</v>
      </c>
      <c r="AG131" s="479">
        <f t="shared" si="608"/>
        <v>0</v>
      </c>
      <c r="AH131" s="479">
        <f t="shared" si="608"/>
        <v>0</v>
      </c>
      <c r="AI131" s="479">
        <f t="shared" si="608"/>
        <v>0</v>
      </c>
      <c r="AJ131" s="479">
        <f t="shared" si="608"/>
        <v>0</v>
      </c>
      <c r="AK131" s="479">
        <f t="shared" si="608"/>
        <v>0</v>
      </c>
      <c r="AL131" s="479">
        <f t="shared" si="608"/>
        <v>0</v>
      </c>
      <c r="AM131" s="479">
        <f t="shared" si="608"/>
        <v>0</v>
      </c>
      <c r="AN131" s="479">
        <f t="shared" si="608"/>
        <v>0</v>
      </c>
      <c r="AO131" s="479">
        <f t="shared" si="608"/>
        <v>0</v>
      </c>
      <c r="AP131" s="479">
        <f t="shared" si="608"/>
        <v>0</v>
      </c>
      <c r="AQ131" s="479">
        <f t="shared" si="608"/>
        <v>0</v>
      </c>
    </row>
    <row r="132" spans="2:43">
      <c r="B132" s="97" t="str">
        <f t="shared" si="601"/>
        <v>General Conditions</v>
      </c>
      <c r="C132" s="97"/>
      <c r="D132" s="500"/>
      <c r="E132" s="507"/>
      <c r="F132" s="507"/>
      <c r="G132" s="97"/>
      <c r="H132" s="97"/>
      <c r="I132" s="535">
        <f t="shared" si="598"/>
        <v>-10269720</v>
      </c>
      <c r="J132" s="479">
        <f t="shared" ref="J132:AQ132" si="609">SUMIF($J$6:$OO$6,J$114,$J24:$OO24)</f>
        <v>0</v>
      </c>
      <c r="K132" s="479">
        <f t="shared" si="609"/>
        <v>-5134860</v>
      </c>
      <c r="L132" s="479">
        <f t="shared" si="609"/>
        <v>-5134860</v>
      </c>
      <c r="M132" s="479">
        <f t="shared" si="609"/>
        <v>0</v>
      </c>
      <c r="N132" s="479">
        <f t="shared" si="609"/>
        <v>0</v>
      </c>
      <c r="O132" s="479">
        <f t="shared" si="609"/>
        <v>0</v>
      </c>
      <c r="P132" s="479">
        <f t="shared" si="609"/>
        <v>0</v>
      </c>
      <c r="Q132" s="479">
        <f t="shared" si="609"/>
        <v>0</v>
      </c>
      <c r="R132" s="479">
        <f t="shared" si="609"/>
        <v>0</v>
      </c>
      <c r="S132" s="479">
        <f t="shared" si="609"/>
        <v>0</v>
      </c>
      <c r="T132" s="479">
        <f t="shared" si="609"/>
        <v>0</v>
      </c>
      <c r="U132" s="479">
        <f t="shared" si="609"/>
        <v>0</v>
      </c>
      <c r="V132" s="479">
        <f t="shared" si="609"/>
        <v>0</v>
      </c>
      <c r="W132" s="479">
        <f t="shared" si="609"/>
        <v>0</v>
      </c>
      <c r="X132" s="479">
        <f t="shared" si="609"/>
        <v>0</v>
      </c>
      <c r="Y132" s="479">
        <f t="shared" si="609"/>
        <v>0</v>
      </c>
      <c r="Z132" s="479">
        <f t="shared" si="609"/>
        <v>0</v>
      </c>
      <c r="AA132" s="479">
        <f t="shared" si="609"/>
        <v>0</v>
      </c>
      <c r="AB132" s="479">
        <f t="shared" si="609"/>
        <v>0</v>
      </c>
      <c r="AC132" s="479">
        <f t="shared" si="609"/>
        <v>0</v>
      </c>
      <c r="AD132" s="479">
        <f t="shared" si="609"/>
        <v>0</v>
      </c>
      <c r="AE132" s="479">
        <f t="shared" si="609"/>
        <v>0</v>
      </c>
      <c r="AF132" s="479">
        <f t="shared" si="609"/>
        <v>0</v>
      </c>
      <c r="AG132" s="479">
        <f t="shared" si="609"/>
        <v>0</v>
      </c>
      <c r="AH132" s="479">
        <f t="shared" si="609"/>
        <v>0</v>
      </c>
      <c r="AI132" s="479">
        <f t="shared" si="609"/>
        <v>0</v>
      </c>
      <c r="AJ132" s="479">
        <f t="shared" si="609"/>
        <v>0</v>
      </c>
      <c r="AK132" s="479">
        <f t="shared" si="609"/>
        <v>0</v>
      </c>
      <c r="AL132" s="479">
        <f t="shared" si="609"/>
        <v>0</v>
      </c>
      <c r="AM132" s="479">
        <f t="shared" si="609"/>
        <v>0</v>
      </c>
      <c r="AN132" s="479">
        <f t="shared" si="609"/>
        <v>0</v>
      </c>
      <c r="AO132" s="479">
        <f t="shared" si="609"/>
        <v>0</v>
      </c>
      <c r="AP132" s="479">
        <f t="shared" si="609"/>
        <v>0</v>
      </c>
      <c r="AQ132" s="479">
        <f t="shared" si="609"/>
        <v>0</v>
      </c>
    </row>
    <row r="133" spans="2:43">
      <c r="B133" s="97" t="str">
        <f t="shared" si="601"/>
        <v>Overhead</v>
      </c>
      <c r="C133" s="97"/>
      <c r="D133" s="500"/>
      <c r="E133" s="507"/>
      <c r="F133" s="507"/>
      <c r="G133" s="97"/>
      <c r="H133" s="97"/>
      <c r="I133" s="535">
        <f t="shared" si="598"/>
        <v>-3423240</v>
      </c>
      <c r="J133" s="479">
        <f t="shared" ref="J133:AQ133" si="610">SUMIF($J$6:$OO$6,J$114,$J25:$OO25)</f>
        <v>0</v>
      </c>
      <c r="K133" s="479">
        <f t="shared" si="610"/>
        <v>-1711620</v>
      </c>
      <c r="L133" s="479">
        <f t="shared" si="610"/>
        <v>-1711620</v>
      </c>
      <c r="M133" s="479">
        <f t="shared" si="610"/>
        <v>0</v>
      </c>
      <c r="N133" s="479">
        <f t="shared" si="610"/>
        <v>0</v>
      </c>
      <c r="O133" s="479">
        <f t="shared" si="610"/>
        <v>0</v>
      </c>
      <c r="P133" s="479">
        <f t="shared" si="610"/>
        <v>0</v>
      </c>
      <c r="Q133" s="479">
        <f t="shared" si="610"/>
        <v>0</v>
      </c>
      <c r="R133" s="479">
        <f t="shared" si="610"/>
        <v>0</v>
      </c>
      <c r="S133" s="479">
        <f t="shared" si="610"/>
        <v>0</v>
      </c>
      <c r="T133" s="479">
        <f t="shared" si="610"/>
        <v>0</v>
      </c>
      <c r="U133" s="479">
        <f t="shared" si="610"/>
        <v>0</v>
      </c>
      <c r="V133" s="479">
        <f t="shared" si="610"/>
        <v>0</v>
      </c>
      <c r="W133" s="479">
        <f t="shared" si="610"/>
        <v>0</v>
      </c>
      <c r="X133" s="479">
        <f t="shared" si="610"/>
        <v>0</v>
      </c>
      <c r="Y133" s="479">
        <f t="shared" si="610"/>
        <v>0</v>
      </c>
      <c r="Z133" s="479">
        <f t="shared" si="610"/>
        <v>0</v>
      </c>
      <c r="AA133" s="479">
        <f t="shared" si="610"/>
        <v>0</v>
      </c>
      <c r="AB133" s="479">
        <f t="shared" si="610"/>
        <v>0</v>
      </c>
      <c r="AC133" s="479">
        <f t="shared" si="610"/>
        <v>0</v>
      </c>
      <c r="AD133" s="479">
        <f t="shared" si="610"/>
        <v>0</v>
      </c>
      <c r="AE133" s="479">
        <f t="shared" si="610"/>
        <v>0</v>
      </c>
      <c r="AF133" s="479">
        <f t="shared" si="610"/>
        <v>0</v>
      </c>
      <c r="AG133" s="479">
        <f t="shared" si="610"/>
        <v>0</v>
      </c>
      <c r="AH133" s="479">
        <f t="shared" si="610"/>
        <v>0</v>
      </c>
      <c r="AI133" s="479">
        <f t="shared" si="610"/>
        <v>0</v>
      </c>
      <c r="AJ133" s="479">
        <f t="shared" si="610"/>
        <v>0</v>
      </c>
      <c r="AK133" s="479">
        <f t="shared" si="610"/>
        <v>0</v>
      </c>
      <c r="AL133" s="479">
        <f t="shared" si="610"/>
        <v>0</v>
      </c>
      <c r="AM133" s="479">
        <f t="shared" si="610"/>
        <v>0</v>
      </c>
      <c r="AN133" s="479">
        <f t="shared" si="610"/>
        <v>0</v>
      </c>
      <c r="AO133" s="479">
        <f t="shared" si="610"/>
        <v>0</v>
      </c>
      <c r="AP133" s="479">
        <f t="shared" si="610"/>
        <v>0</v>
      </c>
      <c r="AQ133" s="479">
        <f t="shared" si="610"/>
        <v>0</v>
      </c>
    </row>
    <row r="134" spans="2:43">
      <c r="B134" s="97" t="str">
        <f t="shared" si="601"/>
        <v>Contractor Profit</v>
      </c>
      <c r="C134" s="97"/>
      <c r="D134" s="500"/>
      <c r="E134" s="507"/>
      <c r="F134" s="507"/>
      <c r="G134" s="97"/>
      <c r="H134" s="97"/>
      <c r="I134" s="540">
        <f t="shared" si="598"/>
        <v>-10269720</v>
      </c>
      <c r="J134" s="479">
        <f t="shared" ref="J134:AQ134" si="611">SUMIF($J$6:$OO$6,J$114,$J26:$OO26)</f>
        <v>0</v>
      </c>
      <c r="K134" s="479">
        <f t="shared" si="611"/>
        <v>-5134860</v>
      </c>
      <c r="L134" s="479">
        <f t="shared" si="611"/>
        <v>-5134860</v>
      </c>
      <c r="M134" s="479">
        <f t="shared" si="611"/>
        <v>0</v>
      </c>
      <c r="N134" s="479">
        <f t="shared" si="611"/>
        <v>0</v>
      </c>
      <c r="O134" s="479">
        <f t="shared" si="611"/>
        <v>0</v>
      </c>
      <c r="P134" s="479">
        <f t="shared" si="611"/>
        <v>0</v>
      </c>
      <c r="Q134" s="479">
        <f t="shared" si="611"/>
        <v>0</v>
      </c>
      <c r="R134" s="479">
        <f t="shared" si="611"/>
        <v>0</v>
      </c>
      <c r="S134" s="479">
        <f t="shared" si="611"/>
        <v>0</v>
      </c>
      <c r="T134" s="479">
        <f t="shared" si="611"/>
        <v>0</v>
      </c>
      <c r="U134" s="479">
        <f t="shared" si="611"/>
        <v>0</v>
      </c>
      <c r="V134" s="479">
        <f t="shared" si="611"/>
        <v>0</v>
      </c>
      <c r="W134" s="479">
        <f t="shared" si="611"/>
        <v>0</v>
      </c>
      <c r="X134" s="479">
        <f t="shared" si="611"/>
        <v>0</v>
      </c>
      <c r="Y134" s="479">
        <f t="shared" si="611"/>
        <v>0</v>
      </c>
      <c r="Z134" s="479">
        <f t="shared" si="611"/>
        <v>0</v>
      </c>
      <c r="AA134" s="479">
        <f t="shared" si="611"/>
        <v>0</v>
      </c>
      <c r="AB134" s="479">
        <f t="shared" si="611"/>
        <v>0</v>
      </c>
      <c r="AC134" s="479">
        <f t="shared" si="611"/>
        <v>0</v>
      </c>
      <c r="AD134" s="479">
        <f t="shared" si="611"/>
        <v>0</v>
      </c>
      <c r="AE134" s="479">
        <f t="shared" si="611"/>
        <v>0</v>
      </c>
      <c r="AF134" s="479">
        <f t="shared" si="611"/>
        <v>0</v>
      </c>
      <c r="AG134" s="479">
        <f t="shared" si="611"/>
        <v>0</v>
      </c>
      <c r="AH134" s="479">
        <f t="shared" si="611"/>
        <v>0</v>
      </c>
      <c r="AI134" s="479">
        <f t="shared" si="611"/>
        <v>0</v>
      </c>
      <c r="AJ134" s="479">
        <f t="shared" si="611"/>
        <v>0</v>
      </c>
      <c r="AK134" s="479">
        <f t="shared" si="611"/>
        <v>0</v>
      </c>
      <c r="AL134" s="479">
        <f t="shared" si="611"/>
        <v>0</v>
      </c>
      <c r="AM134" s="479">
        <f t="shared" si="611"/>
        <v>0</v>
      </c>
      <c r="AN134" s="479">
        <f t="shared" si="611"/>
        <v>0</v>
      </c>
      <c r="AO134" s="479">
        <f t="shared" si="611"/>
        <v>0</v>
      </c>
      <c r="AP134" s="479">
        <f t="shared" si="611"/>
        <v>0</v>
      </c>
      <c r="AQ134" s="479">
        <f t="shared" si="611"/>
        <v>0</v>
      </c>
    </row>
    <row r="135" spans="2:43">
      <c r="B135" s="97" t="str">
        <f t="shared" si="601"/>
        <v>Bond Premium</v>
      </c>
      <c r="C135" s="97"/>
      <c r="D135" s="500"/>
      <c r="E135" s="507"/>
      <c r="F135" s="507"/>
      <c r="G135" s="97"/>
      <c r="H135" s="97"/>
      <c r="I135" s="540">
        <f t="shared" si="598"/>
        <v>-1711620</v>
      </c>
      <c r="J135" s="479">
        <f t="shared" ref="J135:AQ135" si="612">SUMIF($J$6:$OO$6,J$114,$J27:$OO27)</f>
        <v>0</v>
      </c>
      <c r="K135" s="479">
        <f t="shared" si="612"/>
        <v>-855810</v>
      </c>
      <c r="L135" s="479">
        <f t="shared" si="612"/>
        <v>-855810</v>
      </c>
      <c r="M135" s="479">
        <f t="shared" si="612"/>
        <v>0</v>
      </c>
      <c r="N135" s="479">
        <f t="shared" si="612"/>
        <v>0</v>
      </c>
      <c r="O135" s="479">
        <f t="shared" si="612"/>
        <v>0</v>
      </c>
      <c r="P135" s="479">
        <f t="shared" si="612"/>
        <v>0</v>
      </c>
      <c r="Q135" s="479">
        <f t="shared" si="612"/>
        <v>0</v>
      </c>
      <c r="R135" s="479">
        <f t="shared" si="612"/>
        <v>0</v>
      </c>
      <c r="S135" s="479">
        <f t="shared" si="612"/>
        <v>0</v>
      </c>
      <c r="T135" s="479">
        <f t="shared" si="612"/>
        <v>0</v>
      </c>
      <c r="U135" s="479">
        <f t="shared" si="612"/>
        <v>0</v>
      </c>
      <c r="V135" s="479">
        <f t="shared" si="612"/>
        <v>0</v>
      </c>
      <c r="W135" s="479">
        <f t="shared" si="612"/>
        <v>0</v>
      </c>
      <c r="X135" s="479">
        <f t="shared" si="612"/>
        <v>0</v>
      </c>
      <c r="Y135" s="479">
        <f t="shared" si="612"/>
        <v>0</v>
      </c>
      <c r="Z135" s="479">
        <f t="shared" si="612"/>
        <v>0</v>
      </c>
      <c r="AA135" s="479">
        <f t="shared" si="612"/>
        <v>0</v>
      </c>
      <c r="AB135" s="479">
        <f t="shared" si="612"/>
        <v>0</v>
      </c>
      <c r="AC135" s="479">
        <f t="shared" si="612"/>
        <v>0</v>
      </c>
      <c r="AD135" s="479">
        <f t="shared" si="612"/>
        <v>0</v>
      </c>
      <c r="AE135" s="479">
        <f t="shared" si="612"/>
        <v>0</v>
      </c>
      <c r="AF135" s="479">
        <f t="shared" si="612"/>
        <v>0</v>
      </c>
      <c r="AG135" s="479">
        <f t="shared" si="612"/>
        <v>0</v>
      </c>
      <c r="AH135" s="479">
        <f t="shared" si="612"/>
        <v>0</v>
      </c>
      <c r="AI135" s="479">
        <f t="shared" si="612"/>
        <v>0</v>
      </c>
      <c r="AJ135" s="479">
        <f t="shared" si="612"/>
        <v>0</v>
      </c>
      <c r="AK135" s="479">
        <f t="shared" si="612"/>
        <v>0</v>
      </c>
      <c r="AL135" s="479">
        <f t="shared" si="612"/>
        <v>0</v>
      </c>
      <c r="AM135" s="479">
        <f t="shared" si="612"/>
        <v>0</v>
      </c>
      <c r="AN135" s="479">
        <f t="shared" si="612"/>
        <v>0</v>
      </c>
      <c r="AO135" s="479">
        <f t="shared" si="612"/>
        <v>0</v>
      </c>
      <c r="AP135" s="479">
        <f t="shared" si="612"/>
        <v>0</v>
      </c>
      <c r="AQ135" s="479">
        <f t="shared" si="612"/>
        <v>0</v>
      </c>
    </row>
    <row r="136" spans="2:43">
      <c r="B136" s="97" t="str">
        <f t="shared" si="601"/>
        <v>Contingency</v>
      </c>
      <c r="C136" s="97"/>
      <c r="D136" s="500"/>
      <c r="E136" s="507"/>
      <c r="F136" s="507"/>
      <c r="G136" s="97"/>
      <c r="H136" s="97"/>
      <c r="I136" s="540">
        <f t="shared" si="598"/>
        <v>-8558100</v>
      </c>
      <c r="J136" s="479">
        <f t="shared" ref="J136:AQ136" si="613">SUMIF($J$6:$OO$6,J$114,$J28:$OO28)</f>
        <v>0</v>
      </c>
      <c r="K136" s="479">
        <f t="shared" si="613"/>
        <v>-4279050</v>
      </c>
      <c r="L136" s="479">
        <f t="shared" si="613"/>
        <v>-4279050</v>
      </c>
      <c r="M136" s="479">
        <f t="shared" si="613"/>
        <v>0</v>
      </c>
      <c r="N136" s="479">
        <f t="shared" si="613"/>
        <v>0</v>
      </c>
      <c r="O136" s="479">
        <f t="shared" si="613"/>
        <v>0</v>
      </c>
      <c r="P136" s="479">
        <f t="shared" si="613"/>
        <v>0</v>
      </c>
      <c r="Q136" s="479">
        <f t="shared" si="613"/>
        <v>0</v>
      </c>
      <c r="R136" s="479">
        <f t="shared" si="613"/>
        <v>0</v>
      </c>
      <c r="S136" s="479">
        <f t="shared" si="613"/>
        <v>0</v>
      </c>
      <c r="T136" s="479">
        <f t="shared" si="613"/>
        <v>0</v>
      </c>
      <c r="U136" s="479">
        <f t="shared" si="613"/>
        <v>0</v>
      </c>
      <c r="V136" s="479">
        <f t="shared" si="613"/>
        <v>0</v>
      </c>
      <c r="W136" s="479">
        <f t="shared" si="613"/>
        <v>0</v>
      </c>
      <c r="X136" s="479">
        <f t="shared" si="613"/>
        <v>0</v>
      </c>
      <c r="Y136" s="479">
        <f t="shared" si="613"/>
        <v>0</v>
      </c>
      <c r="Z136" s="479">
        <f t="shared" si="613"/>
        <v>0</v>
      </c>
      <c r="AA136" s="479">
        <f t="shared" si="613"/>
        <v>0</v>
      </c>
      <c r="AB136" s="479">
        <f t="shared" si="613"/>
        <v>0</v>
      </c>
      <c r="AC136" s="479">
        <f t="shared" si="613"/>
        <v>0</v>
      </c>
      <c r="AD136" s="479">
        <f t="shared" si="613"/>
        <v>0</v>
      </c>
      <c r="AE136" s="479">
        <f t="shared" si="613"/>
        <v>0</v>
      </c>
      <c r="AF136" s="479">
        <f t="shared" si="613"/>
        <v>0</v>
      </c>
      <c r="AG136" s="479">
        <f t="shared" si="613"/>
        <v>0</v>
      </c>
      <c r="AH136" s="479">
        <f t="shared" si="613"/>
        <v>0</v>
      </c>
      <c r="AI136" s="479">
        <f t="shared" si="613"/>
        <v>0</v>
      </c>
      <c r="AJ136" s="479">
        <f t="shared" si="613"/>
        <v>0</v>
      </c>
      <c r="AK136" s="479">
        <f t="shared" si="613"/>
        <v>0</v>
      </c>
      <c r="AL136" s="479">
        <f t="shared" si="613"/>
        <v>0</v>
      </c>
      <c r="AM136" s="479">
        <f t="shared" si="613"/>
        <v>0</v>
      </c>
      <c r="AN136" s="479">
        <f t="shared" si="613"/>
        <v>0</v>
      </c>
      <c r="AO136" s="479">
        <f t="shared" si="613"/>
        <v>0</v>
      </c>
      <c r="AP136" s="479">
        <f t="shared" si="613"/>
        <v>0</v>
      </c>
      <c r="AQ136" s="479">
        <f t="shared" si="613"/>
        <v>0</v>
      </c>
    </row>
    <row r="137" spans="2:43">
      <c r="B137" s="97"/>
      <c r="C137" s="97"/>
      <c r="D137" s="97"/>
      <c r="E137" s="97"/>
      <c r="F137" s="97"/>
      <c r="G137" s="97"/>
      <c r="H137" s="97"/>
      <c r="I137" s="540"/>
      <c r="J137" s="97"/>
      <c r="K137" s="97"/>
      <c r="L137" s="479"/>
      <c r="M137" s="479"/>
      <c r="N137" s="479"/>
      <c r="O137" s="479"/>
      <c r="P137" s="479"/>
      <c r="Q137" s="479"/>
      <c r="R137" s="479"/>
      <c r="S137" s="479"/>
      <c r="T137" s="479"/>
      <c r="U137" s="479"/>
      <c r="V137" s="479"/>
      <c r="W137" s="479"/>
      <c r="X137" s="479"/>
      <c r="Y137" s="479"/>
      <c r="Z137" s="479"/>
      <c r="AA137" s="479"/>
      <c r="AB137" s="479"/>
      <c r="AC137" s="479"/>
      <c r="AD137" s="479"/>
      <c r="AE137" s="479"/>
      <c r="AF137" s="479"/>
      <c r="AG137" s="479"/>
      <c r="AH137" s="479"/>
      <c r="AI137" s="479"/>
      <c r="AJ137" s="479"/>
      <c r="AK137" s="479"/>
      <c r="AL137" s="479"/>
      <c r="AM137" s="479"/>
      <c r="AN137" s="479"/>
      <c r="AO137" s="479"/>
      <c r="AP137" s="97"/>
      <c r="AQ137" s="97"/>
    </row>
    <row r="138" spans="2:43">
      <c r="B138" s="97" t="str">
        <f t="shared" ref="B138:B152" si="614">B30</f>
        <v>Accounting &amp; Cost Certification</v>
      </c>
      <c r="C138" s="97"/>
      <c r="D138" s="500"/>
      <c r="E138" s="507"/>
      <c r="F138" s="507"/>
      <c r="G138" s="97"/>
      <c r="H138" s="97"/>
      <c r="I138" s="540">
        <f t="shared" si="598"/>
        <v>-30000</v>
      </c>
      <c r="J138" s="479">
        <f t="shared" ref="J138:AQ138" si="615">SUMIF($J$6:$OO$6,J$114,$J30:$OO30)</f>
        <v>-30000</v>
      </c>
      <c r="K138" s="479">
        <f t="shared" si="615"/>
        <v>0</v>
      </c>
      <c r="L138" s="479">
        <f t="shared" si="615"/>
        <v>0</v>
      </c>
      <c r="M138" s="479">
        <f t="shared" si="615"/>
        <v>0</v>
      </c>
      <c r="N138" s="479">
        <f t="shared" si="615"/>
        <v>0</v>
      </c>
      <c r="O138" s="479">
        <f t="shared" si="615"/>
        <v>0</v>
      </c>
      <c r="P138" s="479">
        <f t="shared" si="615"/>
        <v>0</v>
      </c>
      <c r="Q138" s="479">
        <f t="shared" si="615"/>
        <v>0</v>
      </c>
      <c r="R138" s="479">
        <f t="shared" si="615"/>
        <v>0</v>
      </c>
      <c r="S138" s="479">
        <f t="shared" si="615"/>
        <v>0</v>
      </c>
      <c r="T138" s="479">
        <f t="shared" si="615"/>
        <v>0</v>
      </c>
      <c r="U138" s="479">
        <f t="shared" si="615"/>
        <v>0</v>
      </c>
      <c r="V138" s="479">
        <f t="shared" si="615"/>
        <v>0</v>
      </c>
      <c r="W138" s="479">
        <f t="shared" si="615"/>
        <v>0</v>
      </c>
      <c r="X138" s="479">
        <f t="shared" si="615"/>
        <v>0</v>
      </c>
      <c r="Y138" s="479">
        <f t="shared" si="615"/>
        <v>0</v>
      </c>
      <c r="Z138" s="479">
        <f t="shared" si="615"/>
        <v>0</v>
      </c>
      <c r="AA138" s="479">
        <f t="shared" si="615"/>
        <v>0</v>
      </c>
      <c r="AB138" s="479">
        <f t="shared" si="615"/>
        <v>0</v>
      </c>
      <c r="AC138" s="479">
        <f t="shared" si="615"/>
        <v>0</v>
      </c>
      <c r="AD138" s="479">
        <f t="shared" si="615"/>
        <v>0</v>
      </c>
      <c r="AE138" s="479">
        <f t="shared" si="615"/>
        <v>0</v>
      </c>
      <c r="AF138" s="479">
        <f t="shared" si="615"/>
        <v>0</v>
      </c>
      <c r="AG138" s="479">
        <f t="shared" si="615"/>
        <v>0</v>
      </c>
      <c r="AH138" s="479">
        <f t="shared" si="615"/>
        <v>0</v>
      </c>
      <c r="AI138" s="479">
        <f t="shared" si="615"/>
        <v>0</v>
      </c>
      <c r="AJ138" s="479">
        <f t="shared" si="615"/>
        <v>0</v>
      </c>
      <c r="AK138" s="479">
        <f t="shared" si="615"/>
        <v>0</v>
      </c>
      <c r="AL138" s="479">
        <f t="shared" si="615"/>
        <v>0</v>
      </c>
      <c r="AM138" s="479">
        <f t="shared" si="615"/>
        <v>0</v>
      </c>
      <c r="AN138" s="479">
        <f t="shared" si="615"/>
        <v>0</v>
      </c>
      <c r="AO138" s="479">
        <f t="shared" si="615"/>
        <v>0</v>
      </c>
      <c r="AP138" s="479">
        <f t="shared" si="615"/>
        <v>0</v>
      </c>
      <c r="AQ138" s="479">
        <f t="shared" si="615"/>
        <v>0</v>
      </c>
    </row>
    <row r="139" spans="2:43">
      <c r="B139" s="97" t="str">
        <f t="shared" si="614"/>
        <v>Appraisal</v>
      </c>
      <c r="C139" s="97"/>
      <c r="D139" s="500"/>
      <c r="E139" s="507"/>
      <c r="F139" s="507"/>
      <c r="G139" s="97"/>
      <c r="H139" s="97"/>
      <c r="I139" s="540">
        <f t="shared" si="598"/>
        <v>-10000</v>
      </c>
      <c r="J139" s="479">
        <f t="shared" ref="J139:AQ139" si="616">SUMIF($J$6:$OO$6,J$114,$J31:$OO31)</f>
        <v>-10000</v>
      </c>
      <c r="K139" s="479">
        <f t="shared" si="616"/>
        <v>0</v>
      </c>
      <c r="L139" s="479">
        <f t="shared" si="616"/>
        <v>0</v>
      </c>
      <c r="M139" s="479">
        <f t="shared" si="616"/>
        <v>0</v>
      </c>
      <c r="N139" s="479">
        <f t="shared" si="616"/>
        <v>0</v>
      </c>
      <c r="O139" s="479">
        <f t="shared" si="616"/>
        <v>0</v>
      </c>
      <c r="P139" s="479">
        <f t="shared" si="616"/>
        <v>0</v>
      </c>
      <c r="Q139" s="479">
        <f t="shared" si="616"/>
        <v>0</v>
      </c>
      <c r="R139" s="479">
        <f t="shared" si="616"/>
        <v>0</v>
      </c>
      <c r="S139" s="479">
        <f t="shared" si="616"/>
        <v>0</v>
      </c>
      <c r="T139" s="479">
        <f t="shared" si="616"/>
        <v>0</v>
      </c>
      <c r="U139" s="479">
        <f t="shared" si="616"/>
        <v>0</v>
      </c>
      <c r="V139" s="479">
        <f t="shared" si="616"/>
        <v>0</v>
      </c>
      <c r="W139" s="479">
        <f t="shared" si="616"/>
        <v>0</v>
      </c>
      <c r="X139" s="479">
        <f t="shared" si="616"/>
        <v>0</v>
      </c>
      <c r="Y139" s="479">
        <f t="shared" si="616"/>
        <v>0</v>
      </c>
      <c r="Z139" s="479">
        <f t="shared" si="616"/>
        <v>0</v>
      </c>
      <c r="AA139" s="479">
        <f t="shared" si="616"/>
        <v>0</v>
      </c>
      <c r="AB139" s="479">
        <f t="shared" si="616"/>
        <v>0</v>
      </c>
      <c r="AC139" s="479">
        <f t="shared" si="616"/>
        <v>0</v>
      </c>
      <c r="AD139" s="479">
        <f t="shared" si="616"/>
        <v>0</v>
      </c>
      <c r="AE139" s="479">
        <f t="shared" si="616"/>
        <v>0</v>
      </c>
      <c r="AF139" s="479">
        <f t="shared" si="616"/>
        <v>0</v>
      </c>
      <c r="AG139" s="479">
        <f t="shared" si="616"/>
        <v>0</v>
      </c>
      <c r="AH139" s="479">
        <f t="shared" si="616"/>
        <v>0</v>
      </c>
      <c r="AI139" s="479">
        <f t="shared" si="616"/>
        <v>0</v>
      </c>
      <c r="AJ139" s="479">
        <f t="shared" si="616"/>
        <v>0</v>
      </c>
      <c r="AK139" s="479">
        <f t="shared" si="616"/>
        <v>0</v>
      </c>
      <c r="AL139" s="479">
        <f t="shared" si="616"/>
        <v>0</v>
      </c>
      <c r="AM139" s="479">
        <f t="shared" si="616"/>
        <v>0</v>
      </c>
      <c r="AN139" s="479">
        <f t="shared" si="616"/>
        <v>0</v>
      </c>
      <c r="AO139" s="479">
        <f t="shared" si="616"/>
        <v>0</v>
      </c>
      <c r="AP139" s="479">
        <f t="shared" si="616"/>
        <v>0</v>
      </c>
      <c r="AQ139" s="479">
        <f t="shared" si="616"/>
        <v>0</v>
      </c>
    </row>
    <row r="140" spans="2:43">
      <c r="B140" s="97" t="str">
        <f t="shared" si="614"/>
        <v>Architect / Engineer</v>
      </c>
      <c r="C140" s="97"/>
      <c r="D140" s="500"/>
      <c r="E140" s="507"/>
      <c r="F140" s="507"/>
      <c r="G140" s="97"/>
      <c r="H140" s="97"/>
      <c r="I140" s="540">
        <f t="shared" si="598"/>
        <v>-2400000</v>
      </c>
      <c r="J140" s="479">
        <f t="shared" ref="J140:AQ140" si="617">SUMIF($J$6:$OO$6,J$114,$J32:$OO32)</f>
        <v>-2400000</v>
      </c>
      <c r="K140" s="479">
        <f t="shared" si="617"/>
        <v>0</v>
      </c>
      <c r="L140" s="479">
        <f t="shared" si="617"/>
        <v>0</v>
      </c>
      <c r="M140" s="479">
        <f t="shared" si="617"/>
        <v>0</v>
      </c>
      <c r="N140" s="479">
        <f t="shared" si="617"/>
        <v>0</v>
      </c>
      <c r="O140" s="479">
        <f t="shared" si="617"/>
        <v>0</v>
      </c>
      <c r="P140" s="479">
        <f t="shared" si="617"/>
        <v>0</v>
      </c>
      <c r="Q140" s="479">
        <f t="shared" si="617"/>
        <v>0</v>
      </c>
      <c r="R140" s="479">
        <f t="shared" si="617"/>
        <v>0</v>
      </c>
      <c r="S140" s="479">
        <f t="shared" si="617"/>
        <v>0</v>
      </c>
      <c r="T140" s="479">
        <f t="shared" si="617"/>
        <v>0</v>
      </c>
      <c r="U140" s="479">
        <f t="shared" si="617"/>
        <v>0</v>
      </c>
      <c r="V140" s="479">
        <f t="shared" si="617"/>
        <v>0</v>
      </c>
      <c r="W140" s="479">
        <f t="shared" si="617"/>
        <v>0</v>
      </c>
      <c r="X140" s="479">
        <f t="shared" si="617"/>
        <v>0</v>
      </c>
      <c r="Y140" s="479">
        <f t="shared" si="617"/>
        <v>0</v>
      </c>
      <c r="Z140" s="479">
        <f t="shared" si="617"/>
        <v>0</v>
      </c>
      <c r="AA140" s="479">
        <f t="shared" si="617"/>
        <v>0</v>
      </c>
      <c r="AB140" s="479">
        <f t="shared" si="617"/>
        <v>0</v>
      </c>
      <c r="AC140" s="479">
        <f t="shared" si="617"/>
        <v>0</v>
      </c>
      <c r="AD140" s="479">
        <f t="shared" si="617"/>
        <v>0</v>
      </c>
      <c r="AE140" s="479">
        <f t="shared" si="617"/>
        <v>0</v>
      </c>
      <c r="AF140" s="479">
        <f t="shared" si="617"/>
        <v>0</v>
      </c>
      <c r="AG140" s="479">
        <f t="shared" si="617"/>
        <v>0</v>
      </c>
      <c r="AH140" s="479">
        <f t="shared" si="617"/>
        <v>0</v>
      </c>
      <c r="AI140" s="479">
        <f t="shared" si="617"/>
        <v>0</v>
      </c>
      <c r="AJ140" s="479">
        <f t="shared" si="617"/>
        <v>0</v>
      </c>
      <c r="AK140" s="479">
        <f t="shared" si="617"/>
        <v>0</v>
      </c>
      <c r="AL140" s="479">
        <f t="shared" si="617"/>
        <v>0</v>
      </c>
      <c r="AM140" s="479">
        <f t="shared" si="617"/>
        <v>0</v>
      </c>
      <c r="AN140" s="479">
        <f t="shared" si="617"/>
        <v>0</v>
      </c>
      <c r="AO140" s="479">
        <f t="shared" si="617"/>
        <v>0</v>
      </c>
      <c r="AP140" s="479">
        <f t="shared" si="617"/>
        <v>0</v>
      </c>
      <c r="AQ140" s="479">
        <f t="shared" si="617"/>
        <v>0</v>
      </c>
    </row>
    <row r="141" spans="2:43">
      <c r="B141" s="97" t="str">
        <f t="shared" si="614"/>
        <v>Permits and Expediting</v>
      </c>
      <c r="C141" s="97"/>
      <c r="D141" s="500"/>
      <c r="E141" s="507"/>
      <c r="F141" s="507"/>
      <c r="G141" s="97"/>
      <c r="H141" s="97"/>
      <c r="I141" s="540">
        <f t="shared" si="598"/>
        <v>-95000</v>
      </c>
      <c r="J141" s="479">
        <f t="shared" ref="J141:AQ141" si="618">SUMIF($J$6:$OO$6,J$114,$J33:$OO33)</f>
        <v>-95000</v>
      </c>
      <c r="K141" s="479">
        <f t="shared" si="618"/>
        <v>0</v>
      </c>
      <c r="L141" s="479">
        <f t="shared" si="618"/>
        <v>0</v>
      </c>
      <c r="M141" s="479">
        <f t="shared" si="618"/>
        <v>0</v>
      </c>
      <c r="N141" s="479">
        <f t="shared" si="618"/>
        <v>0</v>
      </c>
      <c r="O141" s="479">
        <f t="shared" si="618"/>
        <v>0</v>
      </c>
      <c r="P141" s="479">
        <f t="shared" si="618"/>
        <v>0</v>
      </c>
      <c r="Q141" s="479">
        <f t="shared" si="618"/>
        <v>0</v>
      </c>
      <c r="R141" s="479">
        <f t="shared" si="618"/>
        <v>0</v>
      </c>
      <c r="S141" s="479">
        <f t="shared" si="618"/>
        <v>0</v>
      </c>
      <c r="T141" s="479">
        <f t="shared" si="618"/>
        <v>0</v>
      </c>
      <c r="U141" s="479">
        <f t="shared" si="618"/>
        <v>0</v>
      </c>
      <c r="V141" s="479">
        <f t="shared" si="618"/>
        <v>0</v>
      </c>
      <c r="W141" s="479">
        <f t="shared" si="618"/>
        <v>0</v>
      </c>
      <c r="X141" s="479">
        <f t="shared" si="618"/>
        <v>0</v>
      </c>
      <c r="Y141" s="479">
        <f t="shared" si="618"/>
        <v>0</v>
      </c>
      <c r="Z141" s="479">
        <f t="shared" si="618"/>
        <v>0</v>
      </c>
      <c r="AA141" s="479">
        <f t="shared" si="618"/>
        <v>0</v>
      </c>
      <c r="AB141" s="479">
        <f t="shared" si="618"/>
        <v>0</v>
      </c>
      <c r="AC141" s="479">
        <f t="shared" si="618"/>
        <v>0</v>
      </c>
      <c r="AD141" s="479">
        <f t="shared" si="618"/>
        <v>0</v>
      </c>
      <c r="AE141" s="479">
        <f t="shared" si="618"/>
        <v>0</v>
      </c>
      <c r="AF141" s="479">
        <f t="shared" si="618"/>
        <v>0</v>
      </c>
      <c r="AG141" s="479">
        <f t="shared" si="618"/>
        <v>0</v>
      </c>
      <c r="AH141" s="479">
        <f t="shared" si="618"/>
        <v>0</v>
      </c>
      <c r="AI141" s="479">
        <f t="shared" si="618"/>
        <v>0</v>
      </c>
      <c r="AJ141" s="479">
        <f t="shared" si="618"/>
        <v>0</v>
      </c>
      <c r="AK141" s="479">
        <f t="shared" si="618"/>
        <v>0</v>
      </c>
      <c r="AL141" s="479">
        <f t="shared" si="618"/>
        <v>0</v>
      </c>
      <c r="AM141" s="479">
        <f t="shared" si="618"/>
        <v>0</v>
      </c>
      <c r="AN141" s="479">
        <f t="shared" si="618"/>
        <v>0</v>
      </c>
      <c r="AO141" s="479">
        <f t="shared" si="618"/>
        <v>0</v>
      </c>
      <c r="AP141" s="479">
        <f t="shared" si="618"/>
        <v>0</v>
      </c>
      <c r="AQ141" s="479">
        <f t="shared" si="618"/>
        <v>0</v>
      </c>
    </row>
    <row r="142" spans="2:43">
      <c r="B142" s="97" t="str">
        <f t="shared" si="614"/>
        <v>Environmental Phase I &amp; II</v>
      </c>
      <c r="C142" s="97"/>
      <c r="D142" s="500"/>
      <c r="E142" s="507"/>
      <c r="F142" s="507"/>
      <c r="G142" s="97"/>
      <c r="H142" s="97"/>
      <c r="I142" s="540">
        <f t="shared" si="598"/>
        <v>-35000</v>
      </c>
      <c r="J142" s="479">
        <f t="shared" ref="J142:AQ142" si="619">SUMIF($J$6:$OO$6,J$114,$J34:$OO34)</f>
        <v>-35000</v>
      </c>
      <c r="K142" s="479">
        <f t="shared" si="619"/>
        <v>0</v>
      </c>
      <c r="L142" s="479">
        <f t="shared" si="619"/>
        <v>0</v>
      </c>
      <c r="M142" s="479">
        <f t="shared" si="619"/>
        <v>0</v>
      </c>
      <c r="N142" s="479">
        <f t="shared" si="619"/>
        <v>0</v>
      </c>
      <c r="O142" s="479">
        <f t="shared" si="619"/>
        <v>0</v>
      </c>
      <c r="P142" s="479">
        <f t="shared" si="619"/>
        <v>0</v>
      </c>
      <c r="Q142" s="479">
        <f t="shared" si="619"/>
        <v>0</v>
      </c>
      <c r="R142" s="479">
        <f t="shared" si="619"/>
        <v>0</v>
      </c>
      <c r="S142" s="479">
        <f t="shared" si="619"/>
        <v>0</v>
      </c>
      <c r="T142" s="479">
        <f t="shared" si="619"/>
        <v>0</v>
      </c>
      <c r="U142" s="479">
        <f t="shared" si="619"/>
        <v>0</v>
      </c>
      <c r="V142" s="479">
        <f t="shared" si="619"/>
        <v>0</v>
      </c>
      <c r="W142" s="479">
        <f t="shared" si="619"/>
        <v>0</v>
      </c>
      <c r="X142" s="479">
        <f t="shared" si="619"/>
        <v>0</v>
      </c>
      <c r="Y142" s="479">
        <f t="shared" si="619"/>
        <v>0</v>
      </c>
      <c r="Z142" s="479">
        <f t="shared" si="619"/>
        <v>0</v>
      </c>
      <c r="AA142" s="479">
        <f t="shared" si="619"/>
        <v>0</v>
      </c>
      <c r="AB142" s="479">
        <f t="shared" si="619"/>
        <v>0</v>
      </c>
      <c r="AC142" s="479">
        <f t="shared" si="619"/>
        <v>0</v>
      </c>
      <c r="AD142" s="479">
        <f t="shared" si="619"/>
        <v>0</v>
      </c>
      <c r="AE142" s="479">
        <f t="shared" si="619"/>
        <v>0</v>
      </c>
      <c r="AF142" s="479">
        <f t="shared" si="619"/>
        <v>0</v>
      </c>
      <c r="AG142" s="479">
        <f t="shared" si="619"/>
        <v>0</v>
      </c>
      <c r="AH142" s="479">
        <f t="shared" si="619"/>
        <v>0</v>
      </c>
      <c r="AI142" s="479">
        <f t="shared" si="619"/>
        <v>0</v>
      </c>
      <c r="AJ142" s="479">
        <f t="shared" si="619"/>
        <v>0</v>
      </c>
      <c r="AK142" s="479">
        <f t="shared" si="619"/>
        <v>0</v>
      </c>
      <c r="AL142" s="479">
        <f t="shared" si="619"/>
        <v>0</v>
      </c>
      <c r="AM142" s="479">
        <f t="shared" si="619"/>
        <v>0</v>
      </c>
      <c r="AN142" s="479">
        <f t="shared" si="619"/>
        <v>0</v>
      </c>
      <c r="AO142" s="479">
        <f t="shared" si="619"/>
        <v>0</v>
      </c>
      <c r="AP142" s="479">
        <f t="shared" si="619"/>
        <v>0</v>
      </c>
      <c r="AQ142" s="479">
        <f t="shared" si="619"/>
        <v>0</v>
      </c>
    </row>
    <row r="143" spans="2:43">
      <c r="B143" s="97" t="str">
        <f t="shared" si="614"/>
        <v>Geotechnical</v>
      </c>
      <c r="C143" s="97"/>
      <c r="D143" s="500"/>
      <c r="E143" s="507"/>
      <c r="F143" s="507"/>
      <c r="G143" s="97"/>
      <c r="H143" s="97"/>
      <c r="I143" s="540">
        <f t="shared" si="598"/>
        <v>0</v>
      </c>
      <c r="J143" s="479">
        <f t="shared" ref="J143:AQ143" si="620">SUMIF($J$6:$OO$6,J$114,$J35:$OO35)</f>
        <v>0</v>
      </c>
      <c r="K143" s="479">
        <f t="shared" si="620"/>
        <v>0</v>
      </c>
      <c r="L143" s="479">
        <f t="shared" si="620"/>
        <v>0</v>
      </c>
      <c r="M143" s="479">
        <f t="shared" si="620"/>
        <v>0</v>
      </c>
      <c r="N143" s="479">
        <f t="shared" si="620"/>
        <v>0</v>
      </c>
      <c r="O143" s="479">
        <f t="shared" si="620"/>
        <v>0</v>
      </c>
      <c r="P143" s="479">
        <f t="shared" si="620"/>
        <v>0</v>
      </c>
      <c r="Q143" s="479">
        <f t="shared" si="620"/>
        <v>0</v>
      </c>
      <c r="R143" s="479">
        <f t="shared" si="620"/>
        <v>0</v>
      </c>
      <c r="S143" s="479">
        <f t="shared" si="620"/>
        <v>0</v>
      </c>
      <c r="T143" s="479">
        <f t="shared" si="620"/>
        <v>0</v>
      </c>
      <c r="U143" s="479">
        <f t="shared" si="620"/>
        <v>0</v>
      </c>
      <c r="V143" s="479">
        <f t="shared" si="620"/>
        <v>0</v>
      </c>
      <c r="W143" s="479">
        <f t="shared" si="620"/>
        <v>0</v>
      </c>
      <c r="X143" s="479">
        <f t="shared" si="620"/>
        <v>0</v>
      </c>
      <c r="Y143" s="479">
        <f t="shared" si="620"/>
        <v>0</v>
      </c>
      <c r="Z143" s="479">
        <f t="shared" si="620"/>
        <v>0</v>
      </c>
      <c r="AA143" s="479">
        <f t="shared" si="620"/>
        <v>0</v>
      </c>
      <c r="AB143" s="479">
        <f t="shared" si="620"/>
        <v>0</v>
      </c>
      <c r="AC143" s="479">
        <f t="shared" si="620"/>
        <v>0</v>
      </c>
      <c r="AD143" s="479">
        <f t="shared" si="620"/>
        <v>0</v>
      </c>
      <c r="AE143" s="479">
        <f t="shared" si="620"/>
        <v>0</v>
      </c>
      <c r="AF143" s="479">
        <f t="shared" si="620"/>
        <v>0</v>
      </c>
      <c r="AG143" s="479">
        <f t="shared" si="620"/>
        <v>0</v>
      </c>
      <c r="AH143" s="479">
        <f t="shared" si="620"/>
        <v>0</v>
      </c>
      <c r="AI143" s="479">
        <f t="shared" si="620"/>
        <v>0</v>
      </c>
      <c r="AJ143" s="479">
        <f t="shared" si="620"/>
        <v>0</v>
      </c>
      <c r="AK143" s="479">
        <f t="shared" si="620"/>
        <v>0</v>
      </c>
      <c r="AL143" s="479">
        <f t="shared" si="620"/>
        <v>0</v>
      </c>
      <c r="AM143" s="479">
        <f t="shared" si="620"/>
        <v>0</v>
      </c>
      <c r="AN143" s="479">
        <f t="shared" si="620"/>
        <v>0</v>
      </c>
      <c r="AO143" s="479">
        <f t="shared" si="620"/>
        <v>0</v>
      </c>
      <c r="AP143" s="479">
        <f t="shared" si="620"/>
        <v>0</v>
      </c>
      <c r="AQ143" s="479">
        <f t="shared" si="620"/>
        <v>0</v>
      </c>
    </row>
    <row r="144" spans="2:43">
      <c r="B144" s="97" t="str">
        <f t="shared" si="614"/>
        <v>Insurance</v>
      </c>
      <c r="C144" s="97"/>
      <c r="D144" s="500"/>
      <c r="E144" s="507"/>
      <c r="F144" s="507"/>
      <c r="G144" s="97"/>
      <c r="H144" s="97"/>
      <c r="I144" s="540">
        <f t="shared" si="598"/>
        <v>-999999.99999999988</v>
      </c>
      <c r="J144" s="479">
        <f t="shared" ref="J144:AQ144" si="621">SUMIF($J$6:$OO$6,J$114,$J36:$OO36)</f>
        <v>-999999.99999999988</v>
      </c>
      <c r="K144" s="479">
        <f t="shared" si="621"/>
        <v>0</v>
      </c>
      <c r="L144" s="479">
        <f t="shared" si="621"/>
        <v>0</v>
      </c>
      <c r="M144" s="479">
        <f t="shared" si="621"/>
        <v>0</v>
      </c>
      <c r="N144" s="479">
        <f t="shared" si="621"/>
        <v>0</v>
      </c>
      <c r="O144" s="479">
        <f t="shared" si="621"/>
        <v>0</v>
      </c>
      <c r="P144" s="479">
        <f t="shared" si="621"/>
        <v>0</v>
      </c>
      <c r="Q144" s="479">
        <f t="shared" si="621"/>
        <v>0</v>
      </c>
      <c r="R144" s="479">
        <f t="shared" si="621"/>
        <v>0</v>
      </c>
      <c r="S144" s="479">
        <f t="shared" si="621"/>
        <v>0</v>
      </c>
      <c r="T144" s="479">
        <f t="shared" si="621"/>
        <v>0</v>
      </c>
      <c r="U144" s="479">
        <f t="shared" si="621"/>
        <v>0</v>
      </c>
      <c r="V144" s="479">
        <f t="shared" si="621"/>
        <v>0</v>
      </c>
      <c r="W144" s="479">
        <f t="shared" si="621"/>
        <v>0</v>
      </c>
      <c r="X144" s="479">
        <f t="shared" si="621"/>
        <v>0</v>
      </c>
      <c r="Y144" s="479">
        <f t="shared" si="621"/>
        <v>0</v>
      </c>
      <c r="Z144" s="479">
        <f t="shared" si="621"/>
        <v>0</v>
      </c>
      <c r="AA144" s="479">
        <f t="shared" si="621"/>
        <v>0</v>
      </c>
      <c r="AB144" s="479">
        <f t="shared" si="621"/>
        <v>0</v>
      </c>
      <c r="AC144" s="479">
        <f t="shared" si="621"/>
        <v>0</v>
      </c>
      <c r="AD144" s="479">
        <f t="shared" si="621"/>
        <v>0</v>
      </c>
      <c r="AE144" s="479">
        <f t="shared" si="621"/>
        <v>0</v>
      </c>
      <c r="AF144" s="479">
        <f t="shared" si="621"/>
        <v>0</v>
      </c>
      <c r="AG144" s="479">
        <f t="shared" si="621"/>
        <v>0</v>
      </c>
      <c r="AH144" s="479">
        <f t="shared" si="621"/>
        <v>0</v>
      </c>
      <c r="AI144" s="479">
        <f t="shared" si="621"/>
        <v>0</v>
      </c>
      <c r="AJ144" s="479">
        <f t="shared" si="621"/>
        <v>0</v>
      </c>
      <c r="AK144" s="479">
        <f t="shared" si="621"/>
        <v>0</v>
      </c>
      <c r="AL144" s="479">
        <f t="shared" si="621"/>
        <v>0</v>
      </c>
      <c r="AM144" s="479">
        <f t="shared" si="621"/>
        <v>0</v>
      </c>
      <c r="AN144" s="479">
        <f t="shared" si="621"/>
        <v>0</v>
      </c>
      <c r="AO144" s="479">
        <f t="shared" si="621"/>
        <v>0</v>
      </c>
      <c r="AP144" s="479">
        <f t="shared" si="621"/>
        <v>0</v>
      </c>
      <c r="AQ144" s="479">
        <f t="shared" si="621"/>
        <v>0</v>
      </c>
    </row>
    <row r="145" spans="2:43">
      <c r="B145" s="97" t="str">
        <f t="shared" si="614"/>
        <v>Market Study</v>
      </c>
      <c r="C145" s="97"/>
      <c r="D145" s="500"/>
      <c r="E145" s="507"/>
      <c r="F145" s="507"/>
      <c r="G145" s="97"/>
      <c r="H145" s="97"/>
      <c r="I145" s="540">
        <f t="shared" si="598"/>
        <v>-7500</v>
      </c>
      <c r="J145" s="479">
        <f t="shared" ref="J145:AQ145" si="622">SUMIF($J$6:$OO$6,J$114,$J37:$OO37)</f>
        <v>-7500</v>
      </c>
      <c r="K145" s="479">
        <f t="shared" si="622"/>
        <v>0</v>
      </c>
      <c r="L145" s="479">
        <f t="shared" si="622"/>
        <v>0</v>
      </c>
      <c r="M145" s="479">
        <f t="shared" si="622"/>
        <v>0</v>
      </c>
      <c r="N145" s="479">
        <f t="shared" si="622"/>
        <v>0</v>
      </c>
      <c r="O145" s="479">
        <f t="shared" si="622"/>
        <v>0</v>
      </c>
      <c r="P145" s="479">
        <f t="shared" si="622"/>
        <v>0</v>
      </c>
      <c r="Q145" s="479">
        <f t="shared" si="622"/>
        <v>0</v>
      </c>
      <c r="R145" s="479">
        <f t="shared" si="622"/>
        <v>0</v>
      </c>
      <c r="S145" s="479">
        <f t="shared" si="622"/>
        <v>0</v>
      </c>
      <c r="T145" s="479">
        <f t="shared" si="622"/>
        <v>0</v>
      </c>
      <c r="U145" s="479">
        <f t="shared" si="622"/>
        <v>0</v>
      </c>
      <c r="V145" s="479">
        <f t="shared" si="622"/>
        <v>0</v>
      </c>
      <c r="W145" s="479">
        <f t="shared" si="622"/>
        <v>0</v>
      </c>
      <c r="X145" s="479">
        <f t="shared" si="622"/>
        <v>0</v>
      </c>
      <c r="Y145" s="479">
        <f t="shared" si="622"/>
        <v>0</v>
      </c>
      <c r="Z145" s="479">
        <f t="shared" si="622"/>
        <v>0</v>
      </c>
      <c r="AA145" s="479">
        <f t="shared" si="622"/>
        <v>0</v>
      </c>
      <c r="AB145" s="479">
        <f t="shared" si="622"/>
        <v>0</v>
      </c>
      <c r="AC145" s="479">
        <f t="shared" si="622"/>
        <v>0</v>
      </c>
      <c r="AD145" s="479">
        <f t="shared" si="622"/>
        <v>0</v>
      </c>
      <c r="AE145" s="479">
        <f t="shared" si="622"/>
        <v>0</v>
      </c>
      <c r="AF145" s="479">
        <f t="shared" si="622"/>
        <v>0</v>
      </c>
      <c r="AG145" s="479">
        <f t="shared" si="622"/>
        <v>0</v>
      </c>
      <c r="AH145" s="479">
        <f t="shared" si="622"/>
        <v>0</v>
      </c>
      <c r="AI145" s="479">
        <f t="shared" si="622"/>
        <v>0</v>
      </c>
      <c r="AJ145" s="479">
        <f t="shared" si="622"/>
        <v>0</v>
      </c>
      <c r="AK145" s="479">
        <f t="shared" si="622"/>
        <v>0</v>
      </c>
      <c r="AL145" s="479">
        <f t="shared" si="622"/>
        <v>0</v>
      </c>
      <c r="AM145" s="479">
        <f t="shared" si="622"/>
        <v>0</v>
      </c>
      <c r="AN145" s="479">
        <f t="shared" si="622"/>
        <v>0</v>
      </c>
      <c r="AO145" s="479">
        <f t="shared" si="622"/>
        <v>0</v>
      </c>
      <c r="AP145" s="479">
        <f t="shared" si="622"/>
        <v>0</v>
      </c>
      <c r="AQ145" s="479">
        <f t="shared" si="622"/>
        <v>0</v>
      </c>
    </row>
    <row r="146" spans="2:43">
      <c r="B146" s="97" t="str">
        <f t="shared" si="614"/>
        <v>Marketing</v>
      </c>
      <c r="C146" s="97"/>
      <c r="D146" s="500"/>
      <c r="E146" s="507"/>
      <c r="F146" s="507"/>
      <c r="G146" s="97"/>
      <c r="H146" s="97"/>
      <c r="I146" s="540">
        <f t="shared" si="598"/>
        <v>-329000</v>
      </c>
      <c r="J146" s="479">
        <f t="shared" ref="J146:AQ146" si="623">SUMIF($J$6:$OO$6,J$114,$J38:$OO38)</f>
        <v>-329000</v>
      </c>
      <c r="K146" s="479">
        <f t="shared" si="623"/>
        <v>0</v>
      </c>
      <c r="L146" s="479">
        <f t="shared" si="623"/>
        <v>0</v>
      </c>
      <c r="M146" s="479">
        <f t="shared" si="623"/>
        <v>0</v>
      </c>
      <c r="N146" s="479">
        <f t="shared" si="623"/>
        <v>0</v>
      </c>
      <c r="O146" s="479">
        <f t="shared" si="623"/>
        <v>0</v>
      </c>
      <c r="P146" s="479">
        <f t="shared" si="623"/>
        <v>0</v>
      </c>
      <c r="Q146" s="479">
        <f t="shared" si="623"/>
        <v>0</v>
      </c>
      <c r="R146" s="479">
        <f t="shared" si="623"/>
        <v>0</v>
      </c>
      <c r="S146" s="479">
        <f t="shared" si="623"/>
        <v>0</v>
      </c>
      <c r="T146" s="479">
        <f t="shared" si="623"/>
        <v>0</v>
      </c>
      <c r="U146" s="479">
        <f t="shared" si="623"/>
        <v>0</v>
      </c>
      <c r="V146" s="479">
        <f t="shared" si="623"/>
        <v>0</v>
      </c>
      <c r="W146" s="479">
        <f t="shared" si="623"/>
        <v>0</v>
      </c>
      <c r="X146" s="479">
        <f t="shared" si="623"/>
        <v>0</v>
      </c>
      <c r="Y146" s="479">
        <f t="shared" si="623"/>
        <v>0</v>
      </c>
      <c r="Z146" s="479">
        <f t="shared" si="623"/>
        <v>0</v>
      </c>
      <c r="AA146" s="479">
        <f t="shared" si="623"/>
        <v>0</v>
      </c>
      <c r="AB146" s="479">
        <f t="shared" si="623"/>
        <v>0</v>
      </c>
      <c r="AC146" s="479">
        <f t="shared" si="623"/>
        <v>0</v>
      </c>
      <c r="AD146" s="479">
        <f t="shared" si="623"/>
        <v>0</v>
      </c>
      <c r="AE146" s="479">
        <f t="shared" si="623"/>
        <v>0</v>
      </c>
      <c r="AF146" s="479">
        <f t="shared" si="623"/>
        <v>0</v>
      </c>
      <c r="AG146" s="479">
        <f t="shared" si="623"/>
        <v>0</v>
      </c>
      <c r="AH146" s="479">
        <f t="shared" si="623"/>
        <v>0</v>
      </c>
      <c r="AI146" s="479">
        <f t="shared" si="623"/>
        <v>0</v>
      </c>
      <c r="AJ146" s="479">
        <f t="shared" si="623"/>
        <v>0</v>
      </c>
      <c r="AK146" s="479">
        <f t="shared" si="623"/>
        <v>0</v>
      </c>
      <c r="AL146" s="479">
        <f t="shared" si="623"/>
        <v>0</v>
      </c>
      <c r="AM146" s="479">
        <f t="shared" si="623"/>
        <v>0</v>
      </c>
      <c r="AN146" s="479">
        <f t="shared" si="623"/>
        <v>0</v>
      </c>
      <c r="AO146" s="479">
        <f t="shared" si="623"/>
        <v>0</v>
      </c>
      <c r="AP146" s="479">
        <f t="shared" si="623"/>
        <v>0</v>
      </c>
      <c r="AQ146" s="479">
        <f t="shared" si="623"/>
        <v>0</v>
      </c>
    </row>
    <row r="147" spans="2:43">
      <c r="B147" s="97" t="str">
        <f t="shared" si="614"/>
        <v>Permits / Fees</v>
      </c>
      <c r="C147" s="97"/>
      <c r="D147" s="500"/>
      <c r="E147" s="507"/>
      <c r="F147" s="507"/>
      <c r="G147" s="97"/>
      <c r="H147" s="97"/>
      <c r="I147" s="540">
        <f t="shared" si="598"/>
        <v>-75000</v>
      </c>
      <c r="J147" s="479">
        <f t="shared" ref="J147:AQ147" si="624">SUMIF($J$6:$OO$6,J$114,$J39:$OO39)</f>
        <v>-75000</v>
      </c>
      <c r="K147" s="479">
        <f t="shared" si="624"/>
        <v>0</v>
      </c>
      <c r="L147" s="479">
        <f t="shared" si="624"/>
        <v>0</v>
      </c>
      <c r="M147" s="479">
        <f t="shared" si="624"/>
        <v>0</v>
      </c>
      <c r="N147" s="479">
        <f t="shared" si="624"/>
        <v>0</v>
      </c>
      <c r="O147" s="479">
        <f t="shared" si="624"/>
        <v>0</v>
      </c>
      <c r="P147" s="479">
        <f t="shared" si="624"/>
        <v>0</v>
      </c>
      <c r="Q147" s="479">
        <f t="shared" si="624"/>
        <v>0</v>
      </c>
      <c r="R147" s="479">
        <f t="shared" si="624"/>
        <v>0</v>
      </c>
      <c r="S147" s="479">
        <f t="shared" si="624"/>
        <v>0</v>
      </c>
      <c r="T147" s="479">
        <f t="shared" si="624"/>
        <v>0</v>
      </c>
      <c r="U147" s="479">
        <f t="shared" si="624"/>
        <v>0</v>
      </c>
      <c r="V147" s="479">
        <f t="shared" si="624"/>
        <v>0</v>
      </c>
      <c r="W147" s="479">
        <f t="shared" si="624"/>
        <v>0</v>
      </c>
      <c r="X147" s="479">
        <f t="shared" si="624"/>
        <v>0</v>
      </c>
      <c r="Y147" s="479">
        <f t="shared" si="624"/>
        <v>0</v>
      </c>
      <c r="Z147" s="479">
        <f t="shared" si="624"/>
        <v>0</v>
      </c>
      <c r="AA147" s="479">
        <f t="shared" si="624"/>
        <v>0</v>
      </c>
      <c r="AB147" s="479">
        <f t="shared" si="624"/>
        <v>0</v>
      </c>
      <c r="AC147" s="479">
        <f t="shared" si="624"/>
        <v>0</v>
      </c>
      <c r="AD147" s="479">
        <f t="shared" si="624"/>
        <v>0</v>
      </c>
      <c r="AE147" s="479">
        <f t="shared" si="624"/>
        <v>0</v>
      </c>
      <c r="AF147" s="479">
        <f t="shared" si="624"/>
        <v>0</v>
      </c>
      <c r="AG147" s="479">
        <f t="shared" si="624"/>
        <v>0</v>
      </c>
      <c r="AH147" s="479">
        <f t="shared" si="624"/>
        <v>0</v>
      </c>
      <c r="AI147" s="479">
        <f t="shared" si="624"/>
        <v>0</v>
      </c>
      <c r="AJ147" s="479">
        <f t="shared" si="624"/>
        <v>0</v>
      </c>
      <c r="AK147" s="479">
        <f t="shared" si="624"/>
        <v>0</v>
      </c>
      <c r="AL147" s="479">
        <f t="shared" si="624"/>
        <v>0</v>
      </c>
      <c r="AM147" s="479">
        <f t="shared" si="624"/>
        <v>0</v>
      </c>
      <c r="AN147" s="479">
        <f t="shared" si="624"/>
        <v>0</v>
      </c>
      <c r="AO147" s="479">
        <f t="shared" si="624"/>
        <v>0</v>
      </c>
      <c r="AP147" s="479">
        <f t="shared" si="624"/>
        <v>0</v>
      </c>
      <c r="AQ147" s="479">
        <f t="shared" si="624"/>
        <v>0</v>
      </c>
    </row>
    <row r="148" spans="2:43">
      <c r="B148" s="97" t="str">
        <f t="shared" si="614"/>
        <v>Survey</v>
      </c>
      <c r="C148" s="97"/>
      <c r="D148" s="500"/>
      <c r="E148" s="507"/>
      <c r="F148" s="507"/>
      <c r="G148" s="97"/>
      <c r="H148" s="97"/>
      <c r="I148" s="540">
        <f t="shared" si="598"/>
        <v>-7500</v>
      </c>
      <c r="J148" s="479">
        <f t="shared" ref="J148:AQ148" si="625">SUMIF($J$6:$OO$6,J$114,$J40:$OO40)</f>
        <v>-7500</v>
      </c>
      <c r="K148" s="479">
        <f t="shared" si="625"/>
        <v>0</v>
      </c>
      <c r="L148" s="479">
        <f t="shared" si="625"/>
        <v>0</v>
      </c>
      <c r="M148" s="479">
        <f t="shared" si="625"/>
        <v>0</v>
      </c>
      <c r="N148" s="479">
        <f t="shared" si="625"/>
        <v>0</v>
      </c>
      <c r="O148" s="479">
        <f t="shared" si="625"/>
        <v>0</v>
      </c>
      <c r="P148" s="479">
        <f t="shared" si="625"/>
        <v>0</v>
      </c>
      <c r="Q148" s="479">
        <f t="shared" si="625"/>
        <v>0</v>
      </c>
      <c r="R148" s="479">
        <f t="shared" si="625"/>
        <v>0</v>
      </c>
      <c r="S148" s="479">
        <f t="shared" si="625"/>
        <v>0</v>
      </c>
      <c r="T148" s="479">
        <f t="shared" si="625"/>
        <v>0</v>
      </c>
      <c r="U148" s="479">
        <f t="shared" si="625"/>
        <v>0</v>
      </c>
      <c r="V148" s="479">
        <f t="shared" si="625"/>
        <v>0</v>
      </c>
      <c r="W148" s="479">
        <f t="shared" si="625"/>
        <v>0</v>
      </c>
      <c r="X148" s="479">
        <f t="shared" si="625"/>
        <v>0</v>
      </c>
      <c r="Y148" s="479">
        <f t="shared" si="625"/>
        <v>0</v>
      </c>
      <c r="Z148" s="479">
        <f t="shared" si="625"/>
        <v>0</v>
      </c>
      <c r="AA148" s="479">
        <f t="shared" si="625"/>
        <v>0</v>
      </c>
      <c r="AB148" s="479">
        <f t="shared" si="625"/>
        <v>0</v>
      </c>
      <c r="AC148" s="479">
        <f t="shared" si="625"/>
        <v>0</v>
      </c>
      <c r="AD148" s="479">
        <f t="shared" si="625"/>
        <v>0</v>
      </c>
      <c r="AE148" s="479">
        <f t="shared" si="625"/>
        <v>0</v>
      </c>
      <c r="AF148" s="479">
        <f t="shared" si="625"/>
        <v>0</v>
      </c>
      <c r="AG148" s="479">
        <f t="shared" si="625"/>
        <v>0</v>
      </c>
      <c r="AH148" s="479">
        <f t="shared" si="625"/>
        <v>0</v>
      </c>
      <c r="AI148" s="479">
        <f t="shared" si="625"/>
        <v>0</v>
      </c>
      <c r="AJ148" s="479">
        <f t="shared" si="625"/>
        <v>0</v>
      </c>
      <c r="AK148" s="479">
        <f t="shared" si="625"/>
        <v>0</v>
      </c>
      <c r="AL148" s="479">
        <f t="shared" si="625"/>
        <v>0</v>
      </c>
      <c r="AM148" s="479">
        <f t="shared" si="625"/>
        <v>0</v>
      </c>
      <c r="AN148" s="479">
        <f t="shared" si="625"/>
        <v>0</v>
      </c>
      <c r="AO148" s="479">
        <f t="shared" si="625"/>
        <v>0</v>
      </c>
      <c r="AP148" s="479">
        <f t="shared" si="625"/>
        <v>0</v>
      </c>
      <c r="AQ148" s="479">
        <f t="shared" si="625"/>
        <v>0</v>
      </c>
    </row>
    <row r="149" spans="2:43">
      <c r="B149" s="97" t="str">
        <f t="shared" si="614"/>
        <v>Borings</v>
      </c>
      <c r="C149" s="97"/>
      <c r="D149" s="500"/>
      <c r="E149" s="507"/>
      <c r="F149" s="507"/>
      <c r="G149" s="97"/>
      <c r="H149" s="97"/>
      <c r="I149" s="540">
        <f t="shared" si="598"/>
        <v>-124999.99999999999</v>
      </c>
      <c r="J149" s="479">
        <f t="shared" ref="J149:AQ149" si="626">SUMIF($J$6:$OO$6,J$114,$J41:$OO41)</f>
        <v>-124999.99999999999</v>
      </c>
      <c r="K149" s="479">
        <f t="shared" si="626"/>
        <v>0</v>
      </c>
      <c r="L149" s="479">
        <f t="shared" si="626"/>
        <v>0</v>
      </c>
      <c r="M149" s="479">
        <f t="shared" si="626"/>
        <v>0</v>
      </c>
      <c r="N149" s="479">
        <f t="shared" si="626"/>
        <v>0</v>
      </c>
      <c r="O149" s="479">
        <f t="shared" si="626"/>
        <v>0</v>
      </c>
      <c r="P149" s="479">
        <f t="shared" si="626"/>
        <v>0</v>
      </c>
      <c r="Q149" s="479">
        <f t="shared" si="626"/>
        <v>0</v>
      </c>
      <c r="R149" s="479">
        <f t="shared" si="626"/>
        <v>0</v>
      </c>
      <c r="S149" s="479">
        <f t="shared" si="626"/>
        <v>0</v>
      </c>
      <c r="T149" s="479">
        <f t="shared" si="626"/>
        <v>0</v>
      </c>
      <c r="U149" s="479">
        <f t="shared" si="626"/>
        <v>0</v>
      </c>
      <c r="V149" s="479">
        <f t="shared" si="626"/>
        <v>0</v>
      </c>
      <c r="W149" s="479">
        <f t="shared" si="626"/>
        <v>0</v>
      </c>
      <c r="X149" s="479">
        <f t="shared" si="626"/>
        <v>0</v>
      </c>
      <c r="Y149" s="479">
        <f t="shared" si="626"/>
        <v>0</v>
      </c>
      <c r="Z149" s="479">
        <f t="shared" si="626"/>
        <v>0</v>
      </c>
      <c r="AA149" s="479">
        <f t="shared" si="626"/>
        <v>0</v>
      </c>
      <c r="AB149" s="479">
        <f t="shared" si="626"/>
        <v>0</v>
      </c>
      <c r="AC149" s="479">
        <f t="shared" si="626"/>
        <v>0</v>
      </c>
      <c r="AD149" s="479">
        <f t="shared" si="626"/>
        <v>0</v>
      </c>
      <c r="AE149" s="479">
        <f t="shared" si="626"/>
        <v>0</v>
      </c>
      <c r="AF149" s="479">
        <f t="shared" si="626"/>
        <v>0</v>
      </c>
      <c r="AG149" s="479">
        <f t="shared" si="626"/>
        <v>0</v>
      </c>
      <c r="AH149" s="479">
        <f t="shared" si="626"/>
        <v>0</v>
      </c>
      <c r="AI149" s="479">
        <f t="shared" si="626"/>
        <v>0</v>
      </c>
      <c r="AJ149" s="479">
        <f t="shared" si="626"/>
        <v>0</v>
      </c>
      <c r="AK149" s="479">
        <f t="shared" si="626"/>
        <v>0</v>
      </c>
      <c r="AL149" s="479">
        <f t="shared" si="626"/>
        <v>0</v>
      </c>
      <c r="AM149" s="479">
        <f t="shared" si="626"/>
        <v>0</v>
      </c>
      <c r="AN149" s="479">
        <f t="shared" si="626"/>
        <v>0</v>
      </c>
      <c r="AO149" s="479">
        <f t="shared" si="626"/>
        <v>0</v>
      </c>
      <c r="AP149" s="479">
        <f t="shared" si="626"/>
        <v>0</v>
      </c>
      <c r="AQ149" s="479">
        <f t="shared" si="626"/>
        <v>0</v>
      </c>
    </row>
    <row r="150" spans="2:43">
      <c r="B150" s="97" t="str">
        <f t="shared" si="614"/>
        <v>Title &amp; Recording</v>
      </c>
      <c r="C150" s="97"/>
      <c r="D150" s="500"/>
      <c r="E150" s="507"/>
      <c r="F150" s="507"/>
      <c r="G150" s="97"/>
      <c r="H150" s="97"/>
      <c r="I150" s="540">
        <f t="shared" si="598"/>
        <v>-866708.31737188937</v>
      </c>
      <c r="J150" s="479">
        <f t="shared" ref="J150:AQ150" si="627">SUMIF($J$6:$OO$6,J$114,$J42:$OO42)</f>
        <v>-866708.31737188937</v>
      </c>
      <c r="K150" s="479">
        <f t="shared" si="627"/>
        <v>0</v>
      </c>
      <c r="L150" s="479">
        <f t="shared" si="627"/>
        <v>0</v>
      </c>
      <c r="M150" s="479">
        <f t="shared" si="627"/>
        <v>0</v>
      </c>
      <c r="N150" s="479">
        <f t="shared" si="627"/>
        <v>0</v>
      </c>
      <c r="O150" s="479">
        <f t="shared" si="627"/>
        <v>0</v>
      </c>
      <c r="P150" s="479">
        <f t="shared" si="627"/>
        <v>0</v>
      </c>
      <c r="Q150" s="479">
        <f t="shared" si="627"/>
        <v>0</v>
      </c>
      <c r="R150" s="479">
        <f t="shared" si="627"/>
        <v>0</v>
      </c>
      <c r="S150" s="479">
        <f t="shared" si="627"/>
        <v>0</v>
      </c>
      <c r="T150" s="479">
        <f t="shared" si="627"/>
        <v>0</v>
      </c>
      <c r="U150" s="479">
        <f t="shared" si="627"/>
        <v>0</v>
      </c>
      <c r="V150" s="479">
        <f t="shared" si="627"/>
        <v>0</v>
      </c>
      <c r="W150" s="479">
        <f t="shared" si="627"/>
        <v>0</v>
      </c>
      <c r="X150" s="479">
        <f t="shared" si="627"/>
        <v>0</v>
      </c>
      <c r="Y150" s="479">
        <f t="shared" si="627"/>
        <v>0</v>
      </c>
      <c r="Z150" s="479">
        <f t="shared" si="627"/>
        <v>0</v>
      </c>
      <c r="AA150" s="479">
        <f t="shared" si="627"/>
        <v>0</v>
      </c>
      <c r="AB150" s="479">
        <f t="shared" si="627"/>
        <v>0</v>
      </c>
      <c r="AC150" s="479">
        <f t="shared" si="627"/>
        <v>0</v>
      </c>
      <c r="AD150" s="479">
        <f t="shared" si="627"/>
        <v>0</v>
      </c>
      <c r="AE150" s="479">
        <f t="shared" si="627"/>
        <v>0</v>
      </c>
      <c r="AF150" s="479">
        <f t="shared" si="627"/>
        <v>0</v>
      </c>
      <c r="AG150" s="479">
        <f t="shared" si="627"/>
        <v>0</v>
      </c>
      <c r="AH150" s="479">
        <f t="shared" si="627"/>
        <v>0</v>
      </c>
      <c r="AI150" s="479">
        <f t="shared" si="627"/>
        <v>0</v>
      </c>
      <c r="AJ150" s="479">
        <f t="shared" si="627"/>
        <v>0</v>
      </c>
      <c r="AK150" s="479">
        <f t="shared" si="627"/>
        <v>0</v>
      </c>
      <c r="AL150" s="479">
        <f t="shared" si="627"/>
        <v>0</v>
      </c>
      <c r="AM150" s="479">
        <f t="shared" si="627"/>
        <v>0</v>
      </c>
      <c r="AN150" s="479">
        <f t="shared" si="627"/>
        <v>0</v>
      </c>
      <c r="AO150" s="479">
        <f t="shared" si="627"/>
        <v>0</v>
      </c>
      <c r="AP150" s="479">
        <f t="shared" si="627"/>
        <v>0</v>
      </c>
      <c r="AQ150" s="479">
        <f t="shared" si="627"/>
        <v>0</v>
      </c>
    </row>
    <row r="151" spans="2:43">
      <c r="B151" s="97" t="str">
        <f t="shared" si="614"/>
        <v>Developer Fee</v>
      </c>
      <c r="C151" s="97"/>
      <c r="D151" s="500"/>
      <c r="E151" s="507"/>
      <c r="F151" s="507"/>
      <c r="G151" s="97"/>
      <c r="H151" s="97"/>
      <c r="I151" s="540">
        <f t="shared" si="598"/>
        <v>0</v>
      </c>
      <c r="J151" s="479">
        <f t="shared" ref="J151:AQ151" si="628">SUMIF($J$6:$OO$6,J$114,$J43:$OO43)</f>
        <v>0</v>
      </c>
      <c r="K151" s="479">
        <f t="shared" si="628"/>
        <v>0</v>
      </c>
      <c r="L151" s="479">
        <f t="shared" si="628"/>
        <v>0</v>
      </c>
      <c r="M151" s="479">
        <f t="shared" si="628"/>
        <v>0</v>
      </c>
      <c r="N151" s="479">
        <f t="shared" si="628"/>
        <v>0</v>
      </c>
      <c r="O151" s="479">
        <f t="shared" si="628"/>
        <v>0</v>
      </c>
      <c r="P151" s="479">
        <f t="shared" si="628"/>
        <v>0</v>
      </c>
      <c r="Q151" s="479">
        <f t="shared" si="628"/>
        <v>0</v>
      </c>
      <c r="R151" s="479">
        <f t="shared" si="628"/>
        <v>0</v>
      </c>
      <c r="S151" s="479">
        <f t="shared" si="628"/>
        <v>0</v>
      </c>
      <c r="T151" s="479">
        <f t="shared" si="628"/>
        <v>0</v>
      </c>
      <c r="U151" s="479">
        <f t="shared" si="628"/>
        <v>0</v>
      </c>
      <c r="V151" s="479">
        <f t="shared" si="628"/>
        <v>0</v>
      </c>
      <c r="W151" s="479">
        <f t="shared" si="628"/>
        <v>0</v>
      </c>
      <c r="X151" s="479">
        <f t="shared" si="628"/>
        <v>0</v>
      </c>
      <c r="Y151" s="479">
        <f t="shared" si="628"/>
        <v>0</v>
      </c>
      <c r="Z151" s="479">
        <f t="shared" si="628"/>
        <v>0</v>
      </c>
      <c r="AA151" s="479">
        <f t="shared" si="628"/>
        <v>0</v>
      </c>
      <c r="AB151" s="479">
        <f t="shared" si="628"/>
        <v>0</v>
      </c>
      <c r="AC151" s="479">
        <f t="shared" si="628"/>
        <v>0</v>
      </c>
      <c r="AD151" s="479">
        <f t="shared" si="628"/>
        <v>0</v>
      </c>
      <c r="AE151" s="479">
        <f t="shared" si="628"/>
        <v>0</v>
      </c>
      <c r="AF151" s="479">
        <f t="shared" si="628"/>
        <v>0</v>
      </c>
      <c r="AG151" s="479">
        <f t="shared" si="628"/>
        <v>0</v>
      </c>
      <c r="AH151" s="479">
        <f t="shared" si="628"/>
        <v>0</v>
      </c>
      <c r="AI151" s="479">
        <f t="shared" si="628"/>
        <v>0</v>
      </c>
      <c r="AJ151" s="479">
        <f t="shared" si="628"/>
        <v>0</v>
      </c>
      <c r="AK151" s="479">
        <f t="shared" si="628"/>
        <v>0</v>
      </c>
      <c r="AL151" s="479">
        <f t="shared" si="628"/>
        <v>0</v>
      </c>
      <c r="AM151" s="479">
        <f t="shared" si="628"/>
        <v>0</v>
      </c>
      <c r="AN151" s="479">
        <f t="shared" si="628"/>
        <v>0</v>
      </c>
      <c r="AO151" s="479">
        <f t="shared" si="628"/>
        <v>0</v>
      </c>
      <c r="AP151" s="479">
        <f t="shared" si="628"/>
        <v>0</v>
      </c>
      <c r="AQ151" s="479">
        <f t="shared" si="628"/>
        <v>0</v>
      </c>
    </row>
    <row r="152" spans="2:43">
      <c r="B152" s="97" t="str">
        <f t="shared" si="614"/>
        <v>Soft Cost Contingency</v>
      </c>
      <c r="C152" s="97"/>
      <c r="D152" s="500"/>
      <c r="E152" s="507"/>
      <c r="F152" s="507"/>
      <c r="G152" s="97"/>
      <c r="H152" s="97"/>
      <c r="I152" s="540">
        <f t="shared" si="598"/>
        <v>-1885875.5059627846</v>
      </c>
      <c r="J152" s="479">
        <f t="shared" ref="J152:AQ152" si="629">SUMIF($J$6:$OO$6,J$114,$J44:$OO44)</f>
        <v>-1885875.5059627846</v>
      </c>
      <c r="K152" s="479">
        <f t="shared" si="629"/>
        <v>0</v>
      </c>
      <c r="L152" s="479">
        <f t="shared" si="629"/>
        <v>0</v>
      </c>
      <c r="M152" s="479">
        <f t="shared" si="629"/>
        <v>0</v>
      </c>
      <c r="N152" s="479">
        <f t="shared" si="629"/>
        <v>0</v>
      </c>
      <c r="O152" s="479">
        <f t="shared" si="629"/>
        <v>0</v>
      </c>
      <c r="P152" s="479">
        <f t="shared" si="629"/>
        <v>0</v>
      </c>
      <c r="Q152" s="479">
        <f t="shared" si="629"/>
        <v>0</v>
      </c>
      <c r="R152" s="479">
        <f t="shared" si="629"/>
        <v>0</v>
      </c>
      <c r="S152" s="479">
        <f t="shared" si="629"/>
        <v>0</v>
      </c>
      <c r="T152" s="479">
        <f t="shared" si="629"/>
        <v>0</v>
      </c>
      <c r="U152" s="479">
        <f t="shared" si="629"/>
        <v>0</v>
      </c>
      <c r="V152" s="479">
        <f t="shared" si="629"/>
        <v>0</v>
      </c>
      <c r="W152" s="479">
        <f t="shared" si="629"/>
        <v>0</v>
      </c>
      <c r="X152" s="479">
        <f t="shared" si="629"/>
        <v>0</v>
      </c>
      <c r="Y152" s="479">
        <f t="shared" si="629"/>
        <v>0</v>
      </c>
      <c r="Z152" s="479">
        <f t="shared" si="629"/>
        <v>0</v>
      </c>
      <c r="AA152" s="479">
        <f t="shared" si="629"/>
        <v>0</v>
      </c>
      <c r="AB152" s="479">
        <f t="shared" si="629"/>
        <v>0</v>
      </c>
      <c r="AC152" s="479">
        <f t="shared" si="629"/>
        <v>0</v>
      </c>
      <c r="AD152" s="479">
        <f t="shared" si="629"/>
        <v>0</v>
      </c>
      <c r="AE152" s="479">
        <f t="shared" si="629"/>
        <v>0</v>
      </c>
      <c r="AF152" s="479">
        <f t="shared" si="629"/>
        <v>0</v>
      </c>
      <c r="AG152" s="479">
        <f t="shared" si="629"/>
        <v>0</v>
      </c>
      <c r="AH152" s="479">
        <f t="shared" si="629"/>
        <v>0</v>
      </c>
      <c r="AI152" s="479">
        <f t="shared" si="629"/>
        <v>0</v>
      </c>
      <c r="AJ152" s="479">
        <f t="shared" si="629"/>
        <v>0</v>
      </c>
      <c r="AK152" s="479">
        <f t="shared" si="629"/>
        <v>0</v>
      </c>
      <c r="AL152" s="479">
        <f t="shared" si="629"/>
        <v>0</v>
      </c>
      <c r="AM152" s="479">
        <f t="shared" si="629"/>
        <v>0</v>
      </c>
      <c r="AN152" s="479">
        <f t="shared" si="629"/>
        <v>0</v>
      </c>
      <c r="AO152" s="479">
        <f t="shared" si="629"/>
        <v>0</v>
      </c>
      <c r="AP152" s="479">
        <f t="shared" si="629"/>
        <v>0</v>
      </c>
      <c r="AQ152" s="479">
        <f t="shared" si="629"/>
        <v>0</v>
      </c>
    </row>
    <row r="153" spans="2:43">
      <c r="B153" s="97"/>
      <c r="C153" s="97"/>
      <c r="D153" s="97"/>
      <c r="E153" s="97"/>
      <c r="F153" s="97"/>
      <c r="G153" s="97"/>
      <c r="H153" s="97"/>
      <c r="I153" s="540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</row>
    <row r="154" spans="2:43">
      <c r="B154" s="97" t="str">
        <f>B46</f>
        <v>Borrower Legal</v>
      </c>
      <c r="C154" s="97"/>
      <c r="D154" s="500"/>
      <c r="E154" s="507"/>
      <c r="F154" s="507"/>
      <c r="G154" s="97"/>
      <c r="H154" s="97"/>
      <c r="I154" s="540">
        <f t="shared" si="598"/>
        <v>-375000</v>
      </c>
      <c r="J154" s="479">
        <f t="shared" ref="J154:AQ154" si="630">SUMIF($J$6:$OO$6,J$114,$J46:$OO46)</f>
        <v>-375000</v>
      </c>
      <c r="K154" s="479">
        <f t="shared" si="630"/>
        <v>0</v>
      </c>
      <c r="L154" s="479">
        <f t="shared" si="630"/>
        <v>0</v>
      </c>
      <c r="M154" s="479">
        <f t="shared" si="630"/>
        <v>0</v>
      </c>
      <c r="N154" s="479">
        <f t="shared" si="630"/>
        <v>0</v>
      </c>
      <c r="O154" s="479">
        <f t="shared" si="630"/>
        <v>0</v>
      </c>
      <c r="P154" s="479">
        <f t="shared" si="630"/>
        <v>0</v>
      </c>
      <c r="Q154" s="479">
        <f t="shared" si="630"/>
        <v>0</v>
      </c>
      <c r="R154" s="479">
        <f t="shared" si="630"/>
        <v>0</v>
      </c>
      <c r="S154" s="479">
        <f t="shared" si="630"/>
        <v>0</v>
      </c>
      <c r="T154" s="479">
        <f t="shared" si="630"/>
        <v>0</v>
      </c>
      <c r="U154" s="479">
        <f t="shared" si="630"/>
        <v>0</v>
      </c>
      <c r="V154" s="479">
        <f t="shared" si="630"/>
        <v>0</v>
      </c>
      <c r="W154" s="479">
        <f t="shared" si="630"/>
        <v>0</v>
      </c>
      <c r="X154" s="479">
        <f t="shared" si="630"/>
        <v>0</v>
      </c>
      <c r="Y154" s="479">
        <f t="shared" si="630"/>
        <v>0</v>
      </c>
      <c r="Z154" s="479">
        <f t="shared" si="630"/>
        <v>0</v>
      </c>
      <c r="AA154" s="479">
        <f t="shared" si="630"/>
        <v>0</v>
      </c>
      <c r="AB154" s="479">
        <f t="shared" si="630"/>
        <v>0</v>
      </c>
      <c r="AC154" s="479">
        <f t="shared" si="630"/>
        <v>0</v>
      </c>
      <c r="AD154" s="479">
        <f t="shared" si="630"/>
        <v>0</v>
      </c>
      <c r="AE154" s="479">
        <f t="shared" si="630"/>
        <v>0</v>
      </c>
      <c r="AF154" s="479">
        <f t="shared" si="630"/>
        <v>0</v>
      </c>
      <c r="AG154" s="479">
        <f t="shared" si="630"/>
        <v>0</v>
      </c>
      <c r="AH154" s="479">
        <f t="shared" si="630"/>
        <v>0</v>
      </c>
      <c r="AI154" s="479">
        <f t="shared" si="630"/>
        <v>0</v>
      </c>
      <c r="AJ154" s="479">
        <f t="shared" si="630"/>
        <v>0</v>
      </c>
      <c r="AK154" s="479">
        <f t="shared" si="630"/>
        <v>0</v>
      </c>
      <c r="AL154" s="479">
        <f t="shared" si="630"/>
        <v>0</v>
      </c>
      <c r="AM154" s="479">
        <f t="shared" si="630"/>
        <v>0</v>
      </c>
      <c r="AN154" s="479">
        <f t="shared" si="630"/>
        <v>0</v>
      </c>
      <c r="AO154" s="479">
        <f t="shared" si="630"/>
        <v>0</v>
      </c>
      <c r="AP154" s="479">
        <f t="shared" si="630"/>
        <v>0</v>
      </c>
      <c r="AQ154" s="479">
        <f t="shared" si="630"/>
        <v>0</v>
      </c>
    </row>
    <row r="155" spans="2:43">
      <c r="B155" s="97" t="str">
        <f>B47</f>
        <v>Bank Legal</v>
      </c>
      <c r="C155" s="97"/>
      <c r="D155" s="500"/>
      <c r="E155" s="507"/>
      <c r="F155" s="507"/>
      <c r="G155" s="97"/>
      <c r="H155" s="97"/>
      <c r="I155" s="540">
        <f t="shared" si="598"/>
        <v>-40000</v>
      </c>
      <c r="J155" s="479">
        <f t="shared" ref="J155:AQ155" si="631">SUMIF($J$6:$OO$6,J$114,$J47:$OO47)</f>
        <v>-40000</v>
      </c>
      <c r="K155" s="479">
        <f t="shared" si="631"/>
        <v>0</v>
      </c>
      <c r="L155" s="479">
        <f t="shared" si="631"/>
        <v>0</v>
      </c>
      <c r="M155" s="479">
        <f t="shared" si="631"/>
        <v>0</v>
      </c>
      <c r="N155" s="479">
        <f t="shared" si="631"/>
        <v>0</v>
      </c>
      <c r="O155" s="479">
        <f t="shared" si="631"/>
        <v>0</v>
      </c>
      <c r="P155" s="479">
        <f t="shared" si="631"/>
        <v>0</v>
      </c>
      <c r="Q155" s="479">
        <f t="shared" si="631"/>
        <v>0</v>
      </c>
      <c r="R155" s="479">
        <f t="shared" si="631"/>
        <v>0</v>
      </c>
      <c r="S155" s="479">
        <f t="shared" si="631"/>
        <v>0</v>
      </c>
      <c r="T155" s="479">
        <f t="shared" si="631"/>
        <v>0</v>
      </c>
      <c r="U155" s="479">
        <f t="shared" si="631"/>
        <v>0</v>
      </c>
      <c r="V155" s="479">
        <f t="shared" si="631"/>
        <v>0</v>
      </c>
      <c r="W155" s="479">
        <f t="shared" si="631"/>
        <v>0</v>
      </c>
      <c r="X155" s="479">
        <f t="shared" si="631"/>
        <v>0</v>
      </c>
      <c r="Y155" s="479">
        <f t="shared" si="631"/>
        <v>0</v>
      </c>
      <c r="Z155" s="479">
        <f t="shared" si="631"/>
        <v>0</v>
      </c>
      <c r="AA155" s="479">
        <f t="shared" si="631"/>
        <v>0</v>
      </c>
      <c r="AB155" s="479">
        <f t="shared" si="631"/>
        <v>0</v>
      </c>
      <c r="AC155" s="479">
        <f t="shared" si="631"/>
        <v>0</v>
      </c>
      <c r="AD155" s="479">
        <f t="shared" si="631"/>
        <v>0</v>
      </c>
      <c r="AE155" s="479">
        <f t="shared" si="631"/>
        <v>0</v>
      </c>
      <c r="AF155" s="479">
        <f t="shared" si="631"/>
        <v>0</v>
      </c>
      <c r="AG155" s="479">
        <f t="shared" si="631"/>
        <v>0</v>
      </c>
      <c r="AH155" s="479">
        <f t="shared" si="631"/>
        <v>0</v>
      </c>
      <c r="AI155" s="479">
        <f t="shared" si="631"/>
        <v>0</v>
      </c>
      <c r="AJ155" s="479">
        <f t="shared" si="631"/>
        <v>0</v>
      </c>
      <c r="AK155" s="479">
        <f t="shared" si="631"/>
        <v>0</v>
      </c>
      <c r="AL155" s="479">
        <f t="shared" si="631"/>
        <v>0</v>
      </c>
      <c r="AM155" s="479">
        <f t="shared" si="631"/>
        <v>0</v>
      </c>
      <c r="AN155" s="479">
        <f t="shared" si="631"/>
        <v>0</v>
      </c>
      <c r="AO155" s="479">
        <f t="shared" si="631"/>
        <v>0</v>
      </c>
      <c r="AP155" s="479">
        <f t="shared" si="631"/>
        <v>0</v>
      </c>
      <c r="AQ155" s="479">
        <f t="shared" si="631"/>
        <v>0</v>
      </c>
    </row>
    <row r="156" spans="2:43">
      <c r="B156" s="97" t="str">
        <f>B48</f>
        <v>Tax Credit Certification</v>
      </c>
      <c r="C156" s="97"/>
      <c r="D156" s="500"/>
      <c r="E156" s="507"/>
      <c r="F156" s="507"/>
      <c r="G156" s="97"/>
      <c r="H156" s="97"/>
      <c r="I156" s="540">
        <f t="shared" si="598"/>
        <v>-421495.99999999994</v>
      </c>
      <c r="J156" s="479">
        <f t="shared" ref="J156:AQ156" si="632">SUMIF($J$6:$OO$6,J$114,$J48:$OO48)</f>
        <v>-421495.99999999994</v>
      </c>
      <c r="K156" s="479">
        <f t="shared" si="632"/>
        <v>0</v>
      </c>
      <c r="L156" s="479">
        <f t="shared" si="632"/>
        <v>0</v>
      </c>
      <c r="M156" s="479">
        <f t="shared" si="632"/>
        <v>0</v>
      </c>
      <c r="N156" s="479">
        <f t="shared" si="632"/>
        <v>0</v>
      </c>
      <c r="O156" s="479">
        <f t="shared" si="632"/>
        <v>0</v>
      </c>
      <c r="P156" s="479">
        <f t="shared" si="632"/>
        <v>0</v>
      </c>
      <c r="Q156" s="479">
        <f t="shared" si="632"/>
        <v>0</v>
      </c>
      <c r="R156" s="479">
        <f t="shared" si="632"/>
        <v>0</v>
      </c>
      <c r="S156" s="479">
        <f t="shared" si="632"/>
        <v>0</v>
      </c>
      <c r="T156" s="479">
        <f t="shared" si="632"/>
        <v>0</v>
      </c>
      <c r="U156" s="479">
        <f t="shared" si="632"/>
        <v>0</v>
      </c>
      <c r="V156" s="479">
        <f t="shared" si="632"/>
        <v>0</v>
      </c>
      <c r="W156" s="479">
        <f t="shared" si="632"/>
        <v>0</v>
      </c>
      <c r="X156" s="479">
        <f t="shared" si="632"/>
        <v>0</v>
      </c>
      <c r="Y156" s="479">
        <f t="shared" si="632"/>
        <v>0</v>
      </c>
      <c r="Z156" s="479">
        <f t="shared" si="632"/>
        <v>0</v>
      </c>
      <c r="AA156" s="479">
        <f t="shared" si="632"/>
        <v>0</v>
      </c>
      <c r="AB156" s="479">
        <f t="shared" si="632"/>
        <v>0</v>
      </c>
      <c r="AC156" s="479">
        <f t="shared" si="632"/>
        <v>0</v>
      </c>
      <c r="AD156" s="479">
        <f t="shared" si="632"/>
        <v>0</v>
      </c>
      <c r="AE156" s="479">
        <f t="shared" si="632"/>
        <v>0</v>
      </c>
      <c r="AF156" s="479">
        <f t="shared" si="632"/>
        <v>0</v>
      </c>
      <c r="AG156" s="479">
        <f t="shared" si="632"/>
        <v>0</v>
      </c>
      <c r="AH156" s="479">
        <f t="shared" si="632"/>
        <v>0</v>
      </c>
      <c r="AI156" s="479">
        <f t="shared" si="632"/>
        <v>0</v>
      </c>
      <c r="AJ156" s="479">
        <f t="shared" si="632"/>
        <v>0</v>
      </c>
      <c r="AK156" s="479">
        <f t="shared" si="632"/>
        <v>0</v>
      </c>
      <c r="AL156" s="479">
        <f t="shared" si="632"/>
        <v>0</v>
      </c>
      <c r="AM156" s="479">
        <f t="shared" si="632"/>
        <v>0</v>
      </c>
      <c r="AN156" s="479">
        <f t="shared" si="632"/>
        <v>0</v>
      </c>
      <c r="AO156" s="479">
        <f t="shared" si="632"/>
        <v>0</v>
      </c>
      <c r="AP156" s="479">
        <f t="shared" si="632"/>
        <v>0</v>
      </c>
      <c r="AQ156" s="479">
        <f t="shared" si="632"/>
        <v>0</v>
      </c>
    </row>
    <row r="157" spans="2:43">
      <c r="B157" s="483"/>
      <c r="C157" s="483"/>
      <c r="D157" s="500"/>
      <c r="E157" s="97"/>
      <c r="F157" s="97"/>
      <c r="G157" s="97"/>
      <c r="H157" s="97"/>
      <c r="I157" s="540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</row>
    <row r="158" spans="2:43">
      <c r="B158" s="506" t="str">
        <f>B50</f>
        <v>Total Hard &amp; Soft Cost</v>
      </c>
      <c r="C158" s="506"/>
      <c r="D158" s="504"/>
      <c r="E158" s="244"/>
      <c r="F158" s="244"/>
      <c r="G158" s="244"/>
      <c r="H158" s="244"/>
      <c r="I158" s="541">
        <f t="shared" si="598"/>
        <v>-213975479.82333457</v>
      </c>
      <c r="J158" s="505">
        <f t="shared" ref="J158:AQ158" si="633">SUMIF($J$6:$OO$6,J$114,$J50:$OO50)</f>
        <v>-7703079.8233346744</v>
      </c>
      <c r="K158" s="505">
        <f t="shared" si="633"/>
        <v>-103136199.99999996</v>
      </c>
      <c r="L158" s="505">
        <f t="shared" si="633"/>
        <v>-103136199.99999996</v>
      </c>
      <c r="M158" s="505">
        <f t="shared" si="633"/>
        <v>0</v>
      </c>
      <c r="N158" s="505">
        <f t="shared" si="633"/>
        <v>0</v>
      </c>
      <c r="O158" s="505">
        <f t="shared" si="633"/>
        <v>0</v>
      </c>
      <c r="P158" s="505">
        <f t="shared" si="633"/>
        <v>0</v>
      </c>
      <c r="Q158" s="505">
        <f t="shared" si="633"/>
        <v>0</v>
      </c>
      <c r="R158" s="505">
        <f t="shared" si="633"/>
        <v>0</v>
      </c>
      <c r="S158" s="505">
        <f t="shared" si="633"/>
        <v>0</v>
      </c>
      <c r="T158" s="505">
        <f t="shared" si="633"/>
        <v>0</v>
      </c>
      <c r="U158" s="505">
        <f t="shared" si="633"/>
        <v>0</v>
      </c>
      <c r="V158" s="505">
        <f t="shared" si="633"/>
        <v>0</v>
      </c>
      <c r="W158" s="505">
        <f t="shared" si="633"/>
        <v>0</v>
      </c>
      <c r="X158" s="505">
        <f t="shared" si="633"/>
        <v>0</v>
      </c>
      <c r="Y158" s="505">
        <f t="shared" si="633"/>
        <v>0</v>
      </c>
      <c r="Z158" s="505">
        <f t="shared" si="633"/>
        <v>0</v>
      </c>
      <c r="AA158" s="505">
        <f t="shared" si="633"/>
        <v>0</v>
      </c>
      <c r="AB158" s="505">
        <f t="shared" si="633"/>
        <v>0</v>
      </c>
      <c r="AC158" s="505">
        <f t="shared" si="633"/>
        <v>0</v>
      </c>
      <c r="AD158" s="505">
        <f t="shared" si="633"/>
        <v>0</v>
      </c>
      <c r="AE158" s="505">
        <f t="shared" si="633"/>
        <v>0</v>
      </c>
      <c r="AF158" s="505">
        <f t="shared" si="633"/>
        <v>0</v>
      </c>
      <c r="AG158" s="505">
        <f t="shared" si="633"/>
        <v>0</v>
      </c>
      <c r="AH158" s="505">
        <f t="shared" si="633"/>
        <v>0</v>
      </c>
      <c r="AI158" s="505">
        <f t="shared" si="633"/>
        <v>0</v>
      </c>
      <c r="AJ158" s="505">
        <f t="shared" si="633"/>
        <v>0</v>
      </c>
      <c r="AK158" s="505">
        <f t="shared" si="633"/>
        <v>0</v>
      </c>
      <c r="AL158" s="505">
        <f t="shared" si="633"/>
        <v>0</v>
      </c>
      <c r="AM158" s="505">
        <f t="shared" si="633"/>
        <v>0</v>
      </c>
      <c r="AN158" s="505">
        <f t="shared" si="633"/>
        <v>0</v>
      </c>
      <c r="AO158" s="505">
        <f t="shared" si="633"/>
        <v>0</v>
      </c>
      <c r="AP158" s="505">
        <f t="shared" si="633"/>
        <v>0</v>
      </c>
      <c r="AQ158" s="505">
        <f t="shared" si="633"/>
        <v>0</v>
      </c>
    </row>
    <row r="159" spans="2:43">
      <c r="B159" s="477"/>
      <c r="C159" s="477"/>
      <c r="D159" s="477"/>
      <c r="E159" s="477"/>
      <c r="F159" s="477"/>
      <c r="G159" s="477"/>
      <c r="H159" s="477"/>
      <c r="I159" s="542"/>
      <c r="J159" s="477"/>
      <c r="K159" s="477"/>
      <c r="L159" s="484"/>
      <c r="M159" s="484"/>
      <c r="N159" s="484"/>
      <c r="O159" s="484"/>
      <c r="P159" s="484"/>
      <c r="Q159" s="484"/>
      <c r="R159" s="484"/>
      <c r="S159" s="484"/>
      <c r="T159" s="484"/>
      <c r="U159" s="484"/>
      <c r="V159" s="484"/>
      <c r="W159" s="484"/>
      <c r="X159" s="484"/>
      <c r="Y159" s="484"/>
      <c r="Z159" s="484"/>
      <c r="AA159" s="484"/>
      <c r="AB159" s="484"/>
      <c r="AC159" s="484"/>
      <c r="AD159" s="484"/>
      <c r="AE159" s="484"/>
      <c r="AF159" s="484"/>
      <c r="AG159" s="484"/>
      <c r="AH159" s="484"/>
      <c r="AI159" s="484"/>
      <c r="AJ159" s="484"/>
      <c r="AK159" s="484"/>
      <c r="AL159" s="484"/>
      <c r="AM159" s="484"/>
      <c r="AN159" s="484"/>
      <c r="AO159" s="484"/>
      <c r="AP159" s="97"/>
      <c r="AQ159" s="97"/>
    </row>
    <row r="160" spans="2:43">
      <c r="B160" s="477" t="str">
        <f t="shared" ref="B160:B166" si="634">B52</f>
        <v>Finance Cost</v>
      </c>
      <c r="C160" s="477"/>
      <c r="D160" s="97"/>
      <c r="E160" s="97"/>
      <c r="F160" s="97"/>
      <c r="G160" s="97"/>
      <c r="H160" s="97"/>
      <c r="I160" s="540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</row>
    <row r="161" spans="2:43">
      <c r="B161" s="97" t="str">
        <f t="shared" si="634"/>
        <v>Construction Interest: Bonds</v>
      </c>
      <c r="C161" s="486"/>
      <c r="D161" s="500"/>
      <c r="E161" s="507"/>
      <c r="F161" s="507"/>
      <c r="G161" s="97"/>
      <c r="H161" s="97"/>
      <c r="I161" s="540">
        <f t="shared" si="598"/>
        <v>-50192145.142244808</v>
      </c>
      <c r="J161" s="479">
        <f t="shared" ref="J161:AQ161" si="635">SUMIF($J$6:$OO$6,J$114,$J53:$OO53)</f>
        <v>0</v>
      </c>
      <c r="K161" s="479">
        <f t="shared" si="635"/>
        <v>-20076858.056897923</v>
      </c>
      <c r="L161" s="479">
        <f t="shared" si="635"/>
        <v>-20076858.056897923</v>
      </c>
      <c r="M161" s="479">
        <f t="shared" si="635"/>
        <v>-10038429.028448962</v>
      </c>
      <c r="N161" s="479">
        <f t="shared" si="635"/>
        <v>0</v>
      </c>
      <c r="O161" s="479">
        <f t="shared" si="635"/>
        <v>0</v>
      </c>
      <c r="P161" s="479">
        <f t="shared" si="635"/>
        <v>0</v>
      </c>
      <c r="Q161" s="479">
        <f t="shared" si="635"/>
        <v>0</v>
      </c>
      <c r="R161" s="479">
        <f t="shared" si="635"/>
        <v>0</v>
      </c>
      <c r="S161" s="479">
        <f t="shared" si="635"/>
        <v>0</v>
      </c>
      <c r="T161" s="479">
        <f t="shared" si="635"/>
        <v>0</v>
      </c>
      <c r="U161" s="479">
        <f t="shared" si="635"/>
        <v>0</v>
      </c>
      <c r="V161" s="479">
        <f t="shared" si="635"/>
        <v>0</v>
      </c>
      <c r="W161" s="479">
        <f t="shared" si="635"/>
        <v>0</v>
      </c>
      <c r="X161" s="479">
        <f t="shared" si="635"/>
        <v>0</v>
      </c>
      <c r="Y161" s="479">
        <f t="shared" si="635"/>
        <v>0</v>
      </c>
      <c r="Z161" s="479">
        <f t="shared" si="635"/>
        <v>0</v>
      </c>
      <c r="AA161" s="479">
        <f t="shared" si="635"/>
        <v>0</v>
      </c>
      <c r="AB161" s="479">
        <f t="shared" si="635"/>
        <v>0</v>
      </c>
      <c r="AC161" s="479">
        <f t="shared" si="635"/>
        <v>0</v>
      </c>
      <c r="AD161" s="479">
        <f t="shared" si="635"/>
        <v>0</v>
      </c>
      <c r="AE161" s="479">
        <f t="shared" si="635"/>
        <v>0</v>
      </c>
      <c r="AF161" s="479">
        <f t="shared" si="635"/>
        <v>0</v>
      </c>
      <c r="AG161" s="479">
        <f t="shared" si="635"/>
        <v>0</v>
      </c>
      <c r="AH161" s="479">
        <f t="shared" si="635"/>
        <v>0</v>
      </c>
      <c r="AI161" s="479">
        <f t="shared" si="635"/>
        <v>0</v>
      </c>
      <c r="AJ161" s="479">
        <f t="shared" si="635"/>
        <v>0</v>
      </c>
      <c r="AK161" s="479">
        <f t="shared" si="635"/>
        <v>0</v>
      </c>
      <c r="AL161" s="479">
        <f t="shared" si="635"/>
        <v>0</v>
      </c>
      <c r="AM161" s="479">
        <f t="shared" si="635"/>
        <v>0</v>
      </c>
      <c r="AN161" s="479">
        <f t="shared" si="635"/>
        <v>0</v>
      </c>
      <c r="AO161" s="479">
        <f t="shared" si="635"/>
        <v>0</v>
      </c>
      <c r="AP161" s="479">
        <f t="shared" si="635"/>
        <v>0</v>
      </c>
      <c r="AQ161" s="479">
        <f t="shared" si="635"/>
        <v>0</v>
      </c>
    </row>
    <row r="162" spans="2:43">
      <c r="B162" s="97" t="str">
        <f t="shared" si="634"/>
        <v>Construction Interest: Subsidy Loan NCF</v>
      </c>
      <c r="C162" s="97"/>
      <c r="D162" s="500"/>
      <c r="E162" s="507"/>
      <c r="F162" s="507"/>
      <c r="G162" s="97"/>
      <c r="H162" s="97"/>
      <c r="I162" s="540">
        <f t="shared" si="598"/>
        <v>-1476000</v>
      </c>
      <c r="J162" s="479">
        <f t="shared" ref="J162:AQ162" si="636">SUMIF($J$6:$OO$6,J$114,$J54:$OO54)</f>
        <v>0</v>
      </c>
      <c r="K162" s="479">
        <f t="shared" si="636"/>
        <v>-590400</v>
      </c>
      <c r="L162" s="479">
        <f t="shared" si="636"/>
        <v>-590400</v>
      </c>
      <c r="M162" s="479">
        <f t="shared" si="636"/>
        <v>-295200</v>
      </c>
      <c r="N162" s="479">
        <f t="shared" si="636"/>
        <v>0</v>
      </c>
      <c r="O162" s="479">
        <f t="shared" si="636"/>
        <v>0</v>
      </c>
      <c r="P162" s="479">
        <f t="shared" si="636"/>
        <v>0</v>
      </c>
      <c r="Q162" s="479">
        <f t="shared" si="636"/>
        <v>0</v>
      </c>
      <c r="R162" s="479">
        <f t="shared" si="636"/>
        <v>0</v>
      </c>
      <c r="S162" s="479">
        <f t="shared" si="636"/>
        <v>0</v>
      </c>
      <c r="T162" s="479">
        <f t="shared" si="636"/>
        <v>0</v>
      </c>
      <c r="U162" s="479">
        <f t="shared" si="636"/>
        <v>0</v>
      </c>
      <c r="V162" s="479">
        <f t="shared" si="636"/>
        <v>0</v>
      </c>
      <c r="W162" s="479">
        <f t="shared" si="636"/>
        <v>0</v>
      </c>
      <c r="X162" s="479">
        <f t="shared" si="636"/>
        <v>0</v>
      </c>
      <c r="Y162" s="479">
        <f t="shared" si="636"/>
        <v>0</v>
      </c>
      <c r="Z162" s="479">
        <f t="shared" si="636"/>
        <v>0</v>
      </c>
      <c r="AA162" s="479">
        <f t="shared" si="636"/>
        <v>0</v>
      </c>
      <c r="AB162" s="479">
        <f t="shared" si="636"/>
        <v>0</v>
      </c>
      <c r="AC162" s="479">
        <f t="shared" si="636"/>
        <v>0</v>
      </c>
      <c r="AD162" s="479">
        <f t="shared" si="636"/>
        <v>0</v>
      </c>
      <c r="AE162" s="479">
        <f t="shared" si="636"/>
        <v>0</v>
      </c>
      <c r="AF162" s="479">
        <f t="shared" si="636"/>
        <v>0</v>
      </c>
      <c r="AG162" s="479">
        <f t="shared" si="636"/>
        <v>0</v>
      </c>
      <c r="AH162" s="479">
        <f t="shared" si="636"/>
        <v>0</v>
      </c>
      <c r="AI162" s="479">
        <f t="shared" si="636"/>
        <v>0</v>
      </c>
      <c r="AJ162" s="479">
        <f t="shared" si="636"/>
        <v>0</v>
      </c>
      <c r="AK162" s="479">
        <f t="shared" si="636"/>
        <v>0</v>
      </c>
      <c r="AL162" s="479">
        <f t="shared" si="636"/>
        <v>0</v>
      </c>
      <c r="AM162" s="479">
        <f t="shared" si="636"/>
        <v>0</v>
      </c>
      <c r="AN162" s="479">
        <f t="shared" si="636"/>
        <v>0</v>
      </c>
      <c r="AO162" s="479">
        <f t="shared" si="636"/>
        <v>0</v>
      </c>
      <c r="AP162" s="479">
        <f t="shared" si="636"/>
        <v>0</v>
      </c>
      <c r="AQ162" s="479">
        <f t="shared" si="636"/>
        <v>0</v>
      </c>
    </row>
    <row r="163" spans="2:43">
      <c r="B163" s="97" t="str">
        <f t="shared" si="634"/>
        <v>Lender LC Origination Fee</v>
      </c>
      <c r="C163" s="97"/>
      <c r="D163" s="500"/>
      <c r="E163" s="507"/>
      <c r="F163" s="507"/>
      <c r="G163" s="97"/>
      <c r="H163" s="97"/>
      <c r="I163" s="540">
        <f t="shared" si="598"/>
        <v>-1828895.8907394533</v>
      </c>
      <c r="J163" s="479">
        <f t="shared" ref="J163:AQ163" si="637">SUMIF($J$6:$OO$6,J$114,$J55:$OO55)</f>
        <v>-1828895.8907394533</v>
      </c>
      <c r="K163" s="479">
        <f t="shared" si="637"/>
        <v>0</v>
      </c>
      <c r="L163" s="479">
        <f t="shared" si="637"/>
        <v>0</v>
      </c>
      <c r="M163" s="479">
        <f t="shared" si="637"/>
        <v>0</v>
      </c>
      <c r="N163" s="479">
        <f t="shared" si="637"/>
        <v>0</v>
      </c>
      <c r="O163" s="479">
        <f t="shared" si="637"/>
        <v>0</v>
      </c>
      <c r="P163" s="479">
        <f t="shared" si="637"/>
        <v>0</v>
      </c>
      <c r="Q163" s="479">
        <f t="shared" si="637"/>
        <v>0</v>
      </c>
      <c r="R163" s="479">
        <f t="shared" si="637"/>
        <v>0</v>
      </c>
      <c r="S163" s="479">
        <f t="shared" si="637"/>
        <v>0</v>
      </c>
      <c r="T163" s="479">
        <f t="shared" si="637"/>
        <v>0</v>
      </c>
      <c r="U163" s="479">
        <f t="shared" si="637"/>
        <v>0</v>
      </c>
      <c r="V163" s="479">
        <f t="shared" si="637"/>
        <v>0</v>
      </c>
      <c r="W163" s="479">
        <f t="shared" si="637"/>
        <v>0</v>
      </c>
      <c r="X163" s="479">
        <f t="shared" si="637"/>
        <v>0</v>
      </c>
      <c r="Y163" s="479">
        <f t="shared" si="637"/>
        <v>0</v>
      </c>
      <c r="Z163" s="479">
        <f t="shared" si="637"/>
        <v>0</v>
      </c>
      <c r="AA163" s="479">
        <f t="shared" si="637"/>
        <v>0</v>
      </c>
      <c r="AB163" s="479">
        <f t="shared" si="637"/>
        <v>0</v>
      </c>
      <c r="AC163" s="479">
        <f t="shared" si="637"/>
        <v>0</v>
      </c>
      <c r="AD163" s="479">
        <f t="shared" si="637"/>
        <v>0</v>
      </c>
      <c r="AE163" s="479">
        <f t="shared" si="637"/>
        <v>0</v>
      </c>
      <c r="AF163" s="479">
        <f t="shared" si="637"/>
        <v>0</v>
      </c>
      <c r="AG163" s="479">
        <f t="shared" si="637"/>
        <v>0</v>
      </c>
      <c r="AH163" s="479">
        <f t="shared" si="637"/>
        <v>0</v>
      </c>
      <c r="AI163" s="479">
        <f t="shared" si="637"/>
        <v>0</v>
      </c>
      <c r="AJ163" s="479">
        <f t="shared" si="637"/>
        <v>0</v>
      </c>
      <c r="AK163" s="479">
        <f t="shared" si="637"/>
        <v>0</v>
      </c>
      <c r="AL163" s="479">
        <f t="shared" si="637"/>
        <v>0</v>
      </c>
      <c r="AM163" s="479">
        <f t="shared" si="637"/>
        <v>0</v>
      </c>
      <c r="AN163" s="479">
        <f t="shared" si="637"/>
        <v>0</v>
      </c>
      <c r="AO163" s="479">
        <f t="shared" si="637"/>
        <v>0</v>
      </c>
      <c r="AP163" s="479">
        <f t="shared" si="637"/>
        <v>0</v>
      </c>
      <c r="AQ163" s="479">
        <f t="shared" si="637"/>
        <v>0</v>
      </c>
    </row>
    <row r="164" spans="2:43">
      <c r="B164" s="97" t="str">
        <f t="shared" si="634"/>
        <v>Lender LC Annual Fee</v>
      </c>
      <c r="C164" s="97"/>
      <c r="D164" s="500"/>
      <c r="E164" s="507"/>
      <c r="F164" s="507"/>
      <c r="G164" s="97"/>
      <c r="H164" s="97"/>
      <c r="I164" s="540">
        <f t="shared" si="598"/>
        <v>-5029463.6995334961</v>
      </c>
      <c r="J164" s="479">
        <f t="shared" ref="J164:AQ164" si="638">SUMIF($J$6:$OO$6,J$114,$J56:$OO56)</f>
        <v>-5029463.6995334961</v>
      </c>
      <c r="K164" s="479">
        <f t="shared" si="638"/>
        <v>0</v>
      </c>
      <c r="L164" s="479">
        <f t="shared" si="638"/>
        <v>0</v>
      </c>
      <c r="M164" s="479">
        <f t="shared" si="638"/>
        <v>0</v>
      </c>
      <c r="N164" s="479">
        <f t="shared" si="638"/>
        <v>0</v>
      </c>
      <c r="O164" s="479">
        <f t="shared" si="638"/>
        <v>0</v>
      </c>
      <c r="P164" s="479">
        <f t="shared" si="638"/>
        <v>0</v>
      </c>
      <c r="Q164" s="479">
        <f t="shared" si="638"/>
        <v>0</v>
      </c>
      <c r="R164" s="479">
        <f t="shared" si="638"/>
        <v>0</v>
      </c>
      <c r="S164" s="479">
        <f t="shared" si="638"/>
        <v>0</v>
      </c>
      <c r="T164" s="479">
        <f t="shared" si="638"/>
        <v>0</v>
      </c>
      <c r="U164" s="479">
        <f t="shared" si="638"/>
        <v>0</v>
      </c>
      <c r="V164" s="479">
        <f t="shared" si="638"/>
        <v>0</v>
      </c>
      <c r="W164" s="479">
        <f t="shared" si="638"/>
        <v>0</v>
      </c>
      <c r="X164" s="479">
        <f t="shared" si="638"/>
        <v>0</v>
      </c>
      <c r="Y164" s="479">
        <f t="shared" si="638"/>
        <v>0</v>
      </c>
      <c r="Z164" s="479">
        <f t="shared" si="638"/>
        <v>0</v>
      </c>
      <c r="AA164" s="479">
        <f t="shared" si="638"/>
        <v>0</v>
      </c>
      <c r="AB164" s="479">
        <f t="shared" si="638"/>
        <v>0</v>
      </c>
      <c r="AC164" s="479">
        <f t="shared" si="638"/>
        <v>0</v>
      </c>
      <c r="AD164" s="479">
        <f t="shared" si="638"/>
        <v>0</v>
      </c>
      <c r="AE164" s="479">
        <f t="shared" si="638"/>
        <v>0</v>
      </c>
      <c r="AF164" s="479">
        <f t="shared" si="638"/>
        <v>0</v>
      </c>
      <c r="AG164" s="479">
        <f t="shared" si="638"/>
        <v>0</v>
      </c>
      <c r="AH164" s="479">
        <f t="shared" si="638"/>
        <v>0</v>
      </c>
      <c r="AI164" s="479">
        <f t="shared" si="638"/>
        <v>0</v>
      </c>
      <c r="AJ164" s="479">
        <f t="shared" si="638"/>
        <v>0</v>
      </c>
      <c r="AK164" s="479">
        <f t="shared" si="638"/>
        <v>0</v>
      </c>
      <c r="AL164" s="479">
        <f t="shared" si="638"/>
        <v>0</v>
      </c>
      <c r="AM164" s="479">
        <f t="shared" si="638"/>
        <v>0</v>
      </c>
      <c r="AN164" s="479">
        <f t="shared" si="638"/>
        <v>0</v>
      </c>
      <c r="AO164" s="479">
        <f t="shared" si="638"/>
        <v>0</v>
      </c>
      <c r="AP164" s="479">
        <f t="shared" si="638"/>
        <v>0</v>
      </c>
      <c r="AQ164" s="479">
        <f t="shared" si="638"/>
        <v>0</v>
      </c>
    </row>
    <row r="165" spans="2:43">
      <c r="B165" s="97" t="str">
        <f t="shared" si="634"/>
        <v>HFA Bond Issuance &amp; Closing Fees</v>
      </c>
      <c r="C165" s="97"/>
      <c r="D165" s="500"/>
      <c r="E165" s="507"/>
      <c r="F165" s="507"/>
      <c r="G165" s="97"/>
      <c r="H165" s="97"/>
      <c r="I165" s="540">
        <f t="shared" si="598"/>
        <v>-5330453.9391339766</v>
      </c>
      <c r="J165" s="479">
        <f t="shared" ref="J165:AQ165" si="639">SUMIF($J$6:$OO$6,J$114,$J57:$OO57)</f>
        <v>-5330453.9391339766</v>
      </c>
      <c r="K165" s="479">
        <f t="shared" si="639"/>
        <v>0</v>
      </c>
      <c r="L165" s="479">
        <f t="shared" si="639"/>
        <v>0</v>
      </c>
      <c r="M165" s="479">
        <f t="shared" si="639"/>
        <v>0</v>
      </c>
      <c r="N165" s="479">
        <f t="shared" si="639"/>
        <v>0</v>
      </c>
      <c r="O165" s="479">
        <f t="shared" si="639"/>
        <v>0</v>
      </c>
      <c r="P165" s="479">
        <f t="shared" si="639"/>
        <v>0</v>
      </c>
      <c r="Q165" s="479">
        <f t="shared" si="639"/>
        <v>0</v>
      </c>
      <c r="R165" s="479">
        <f t="shared" si="639"/>
        <v>0</v>
      </c>
      <c r="S165" s="479">
        <f t="shared" si="639"/>
        <v>0</v>
      </c>
      <c r="T165" s="479">
        <f t="shared" si="639"/>
        <v>0</v>
      </c>
      <c r="U165" s="479">
        <f t="shared" si="639"/>
        <v>0</v>
      </c>
      <c r="V165" s="479">
        <f t="shared" si="639"/>
        <v>0</v>
      </c>
      <c r="W165" s="479">
        <f t="shared" si="639"/>
        <v>0</v>
      </c>
      <c r="X165" s="479">
        <f t="shared" si="639"/>
        <v>0</v>
      </c>
      <c r="Y165" s="479">
        <f t="shared" si="639"/>
        <v>0</v>
      </c>
      <c r="Z165" s="479">
        <f t="shared" si="639"/>
        <v>0</v>
      </c>
      <c r="AA165" s="479">
        <f t="shared" si="639"/>
        <v>0</v>
      </c>
      <c r="AB165" s="479">
        <f t="shared" si="639"/>
        <v>0</v>
      </c>
      <c r="AC165" s="479">
        <f t="shared" si="639"/>
        <v>0</v>
      </c>
      <c r="AD165" s="479">
        <f t="shared" si="639"/>
        <v>0</v>
      </c>
      <c r="AE165" s="479">
        <f t="shared" si="639"/>
        <v>0</v>
      </c>
      <c r="AF165" s="479">
        <f t="shared" si="639"/>
        <v>0</v>
      </c>
      <c r="AG165" s="479">
        <f t="shared" si="639"/>
        <v>0</v>
      </c>
      <c r="AH165" s="479">
        <f t="shared" si="639"/>
        <v>0</v>
      </c>
      <c r="AI165" s="479">
        <f t="shared" si="639"/>
        <v>0</v>
      </c>
      <c r="AJ165" s="479">
        <f t="shared" si="639"/>
        <v>0</v>
      </c>
      <c r="AK165" s="479">
        <f t="shared" si="639"/>
        <v>0</v>
      </c>
      <c r="AL165" s="479">
        <f t="shared" si="639"/>
        <v>0</v>
      </c>
      <c r="AM165" s="479">
        <f t="shared" si="639"/>
        <v>0</v>
      </c>
      <c r="AN165" s="479">
        <f t="shared" si="639"/>
        <v>0</v>
      </c>
      <c r="AO165" s="479">
        <f t="shared" si="639"/>
        <v>0</v>
      </c>
      <c r="AP165" s="479">
        <f t="shared" si="639"/>
        <v>0</v>
      </c>
      <c r="AQ165" s="479">
        <f t="shared" si="639"/>
        <v>0</v>
      </c>
    </row>
    <row r="166" spans="2:43">
      <c r="B166" s="506" t="str">
        <f t="shared" si="634"/>
        <v>Total Finance Cost</v>
      </c>
      <c r="C166" s="506"/>
      <c r="D166" s="244"/>
      <c r="E166" s="244"/>
      <c r="F166" s="244"/>
      <c r="G166" s="244"/>
      <c r="H166" s="244"/>
      <c r="I166" s="541">
        <f t="shared" si="598"/>
        <v>-63856958.671651728</v>
      </c>
      <c r="J166" s="505">
        <f t="shared" ref="J166:AQ168" si="640">SUMIF($J$6:$OO$6,J$114,$J58:$OO58)</f>
        <v>-12188813.529406924</v>
      </c>
      <c r="K166" s="505">
        <f t="shared" si="640"/>
        <v>-20667258.056897923</v>
      </c>
      <c r="L166" s="505">
        <f t="shared" si="640"/>
        <v>-20667258.056897923</v>
      </c>
      <c r="M166" s="505">
        <f t="shared" si="640"/>
        <v>-10333629.028448962</v>
      </c>
      <c r="N166" s="505">
        <f t="shared" si="640"/>
        <v>0</v>
      </c>
      <c r="O166" s="505">
        <f t="shared" si="640"/>
        <v>0</v>
      </c>
      <c r="P166" s="505">
        <f t="shared" si="640"/>
        <v>0</v>
      </c>
      <c r="Q166" s="505">
        <f t="shared" si="640"/>
        <v>0</v>
      </c>
      <c r="R166" s="505">
        <f t="shared" si="640"/>
        <v>0</v>
      </c>
      <c r="S166" s="505">
        <f t="shared" si="640"/>
        <v>0</v>
      </c>
      <c r="T166" s="505">
        <f t="shared" si="640"/>
        <v>0</v>
      </c>
      <c r="U166" s="505">
        <f t="shared" si="640"/>
        <v>0</v>
      </c>
      <c r="V166" s="505">
        <f t="shared" si="640"/>
        <v>0</v>
      </c>
      <c r="W166" s="505">
        <f t="shared" si="640"/>
        <v>0</v>
      </c>
      <c r="X166" s="505">
        <f t="shared" si="640"/>
        <v>0</v>
      </c>
      <c r="Y166" s="505">
        <f t="shared" si="640"/>
        <v>0</v>
      </c>
      <c r="Z166" s="505">
        <f t="shared" si="640"/>
        <v>0</v>
      </c>
      <c r="AA166" s="505">
        <f t="shared" si="640"/>
        <v>0</v>
      </c>
      <c r="AB166" s="505">
        <f t="shared" si="640"/>
        <v>0</v>
      </c>
      <c r="AC166" s="505">
        <f t="shared" si="640"/>
        <v>0</v>
      </c>
      <c r="AD166" s="505">
        <f t="shared" si="640"/>
        <v>0</v>
      </c>
      <c r="AE166" s="505">
        <f t="shared" si="640"/>
        <v>0</v>
      </c>
      <c r="AF166" s="505">
        <f t="shared" si="640"/>
        <v>0</v>
      </c>
      <c r="AG166" s="505">
        <f t="shared" si="640"/>
        <v>0</v>
      </c>
      <c r="AH166" s="505">
        <f t="shared" si="640"/>
        <v>0</v>
      </c>
      <c r="AI166" s="505">
        <f t="shared" si="640"/>
        <v>0</v>
      </c>
      <c r="AJ166" s="505">
        <f t="shared" si="640"/>
        <v>0</v>
      </c>
      <c r="AK166" s="505">
        <f t="shared" si="640"/>
        <v>0</v>
      </c>
      <c r="AL166" s="505">
        <f t="shared" si="640"/>
        <v>0</v>
      </c>
      <c r="AM166" s="505">
        <f t="shared" si="640"/>
        <v>0</v>
      </c>
      <c r="AN166" s="505">
        <f t="shared" si="640"/>
        <v>0</v>
      </c>
      <c r="AO166" s="505">
        <f t="shared" si="640"/>
        <v>0</v>
      </c>
      <c r="AP166" s="505">
        <f t="shared" si="640"/>
        <v>0</v>
      </c>
      <c r="AQ166" s="505">
        <f t="shared" si="640"/>
        <v>0</v>
      </c>
    </row>
    <row r="167" spans="2:43">
      <c r="B167" s="477"/>
      <c r="C167" s="477"/>
      <c r="D167" s="97"/>
      <c r="E167" s="97"/>
      <c r="F167" s="97"/>
      <c r="G167" s="97"/>
      <c r="H167" s="97"/>
      <c r="I167" s="540"/>
      <c r="J167" s="479"/>
      <c r="K167" s="479"/>
      <c r="L167" s="479"/>
      <c r="M167" s="479"/>
      <c r="N167" s="479"/>
      <c r="O167" s="479"/>
      <c r="P167" s="479"/>
      <c r="Q167" s="479"/>
      <c r="R167" s="479"/>
      <c r="S167" s="479"/>
      <c r="T167" s="479"/>
      <c r="U167" s="479"/>
      <c r="V167" s="479"/>
      <c r="W167" s="479"/>
      <c r="X167" s="479"/>
      <c r="Y167" s="479"/>
      <c r="Z167" s="479"/>
      <c r="AA167" s="479"/>
      <c r="AB167" s="479"/>
      <c r="AC167" s="479"/>
      <c r="AD167" s="479"/>
      <c r="AE167" s="479"/>
      <c r="AF167" s="479"/>
      <c r="AG167" s="479"/>
      <c r="AH167" s="479"/>
      <c r="AI167" s="479"/>
      <c r="AJ167" s="479"/>
      <c r="AK167" s="479"/>
      <c r="AL167" s="479"/>
      <c r="AM167" s="479"/>
      <c r="AN167" s="479"/>
      <c r="AO167" s="479"/>
      <c r="AP167" s="479"/>
      <c r="AQ167" s="479"/>
    </row>
    <row r="168" spans="2:43">
      <c r="B168" s="506" t="str">
        <f>Budget!B60</f>
        <v>Capitalized Operating Reserve</v>
      </c>
      <c r="C168" s="506"/>
      <c r="D168" s="244"/>
      <c r="E168" s="244"/>
      <c r="F168" s="244"/>
      <c r="G168" s="244"/>
      <c r="H168" s="244"/>
      <c r="I168" s="541">
        <f t="shared" si="598"/>
        <v>-1949898.751730311</v>
      </c>
      <c r="J168" s="505">
        <f t="shared" si="640"/>
        <v>0</v>
      </c>
      <c r="K168" s="505">
        <f t="shared" si="640"/>
        <v>0</v>
      </c>
      <c r="L168" s="505">
        <f t="shared" si="640"/>
        <v>0</v>
      </c>
      <c r="M168" s="505">
        <f t="shared" si="640"/>
        <v>-1949898.751730311</v>
      </c>
      <c r="N168" s="505">
        <f t="shared" si="640"/>
        <v>0</v>
      </c>
      <c r="O168" s="505">
        <f t="shared" si="640"/>
        <v>0</v>
      </c>
      <c r="P168" s="505">
        <f t="shared" si="640"/>
        <v>0</v>
      </c>
      <c r="Q168" s="505">
        <f t="shared" si="640"/>
        <v>0</v>
      </c>
      <c r="R168" s="505">
        <f t="shared" si="640"/>
        <v>0</v>
      </c>
      <c r="S168" s="505">
        <f t="shared" si="640"/>
        <v>0</v>
      </c>
      <c r="T168" s="505">
        <f t="shared" si="640"/>
        <v>0</v>
      </c>
      <c r="U168" s="505">
        <f t="shared" si="640"/>
        <v>0</v>
      </c>
      <c r="V168" s="505">
        <f t="shared" si="640"/>
        <v>0</v>
      </c>
      <c r="W168" s="505">
        <f t="shared" si="640"/>
        <v>0</v>
      </c>
      <c r="X168" s="505">
        <f t="shared" si="640"/>
        <v>0</v>
      </c>
      <c r="Y168" s="505">
        <f t="shared" si="640"/>
        <v>0</v>
      </c>
      <c r="Z168" s="505">
        <f t="shared" si="640"/>
        <v>0</v>
      </c>
      <c r="AA168" s="505">
        <f t="shared" si="640"/>
        <v>0</v>
      </c>
      <c r="AB168" s="505">
        <f t="shared" si="640"/>
        <v>0</v>
      </c>
      <c r="AC168" s="505">
        <f t="shared" si="640"/>
        <v>0</v>
      </c>
      <c r="AD168" s="505">
        <f t="shared" si="640"/>
        <v>0</v>
      </c>
      <c r="AE168" s="505">
        <f t="shared" si="640"/>
        <v>0</v>
      </c>
      <c r="AF168" s="505">
        <f t="shared" si="640"/>
        <v>0</v>
      </c>
      <c r="AG168" s="505">
        <f t="shared" si="640"/>
        <v>0</v>
      </c>
      <c r="AH168" s="505">
        <f t="shared" si="640"/>
        <v>0</v>
      </c>
      <c r="AI168" s="505">
        <f t="shared" si="640"/>
        <v>0</v>
      </c>
      <c r="AJ168" s="505">
        <f t="shared" si="640"/>
        <v>0</v>
      </c>
      <c r="AK168" s="505">
        <f t="shared" si="640"/>
        <v>0</v>
      </c>
      <c r="AL168" s="505">
        <f t="shared" si="640"/>
        <v>0</v>
      </c>
      <c r="AM168" s="505">
        <f t="shared" si="640"/>
        <v>0</v>
      </c>
      <c r="AN168" s="505">
        <f t="shared" si="640"/>
        <v>0</v>
      </c>
      <c r="AO168" s="505">
        <f t="shared" si="640"/>
        <v>0</v>
      </c>
      <c r="AP168" s="505">
        <f t="shared" si="640"/>
        <v>0</v>
      </c>
      <c r="AQ168" s="505">
        <f t="shared" si="640"/>
        <v>0</v>
      </c>
    </row>
    <row r="169" spans="2:43">
      <c r="B169" s="97"/>
      <c r="C169" s="97"/>
      <c r="D169" s="97"/>
      <c r="E169" s="97"/>
      <c r="F169" s="97"/>
      <c r="G169" s="97"/>
      <c r="H169" s="97"/>
      <c r="I169" s="540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</row>
    <row r="170" spans="2:43" ht="14.25" thickBot="1">
      <c r="B170" s="515" t="str">
        <f>B62</f>
        <v>Total Development Cost</v>
      </c>
      <c r="C170" s="515"/>
      <c r="D170" s="519"/>
      <c r="E170" s="519"/>
      <c r="F170" s="519"/>
      <c r="G170" s="519"/>
      <c r="H170" s="519"/>
      <c r="I170" s="543">
        <f t="shared" si="598"/>
        <v>-279782338.24671662</v>
      </c>
      <c r="J170" s="520">
        <f>J166+J158+J122+J168</f>
        <v>-19891894.352741599</v>
      </c>
      <c r="K170" s="520">
        <f t="shared" ref="K170:AQ170" si="641">K166+K158+K122+K168</f>
        <v>-123803458.05689788</v>
      </c>
      <c r="L170" s="520">
        <f t="shared" si="641"/>
        <v>-123803458.05689788</v>
      </c>
      <c r="M170" s="520">
        <f t="shared" si="641"/>
        <v>-12283527.780179273</v>
      </c>
      <c r="N170" s="520">
        <f t="shared" si="641"/>
        <v>0</v>
      </c>
      <c r="O170" s="520">
        <f t="shared" si="641"/>
        <v>0</v>
      </c>
      <c r="P170" s="520">
        <f t="shared" si="641"/>
        <v>0</v>
      </c>
      <c r="Q170" s="520">
        <f t="shared" si="641"/>
        <v>0</v>
      </c>
      <c r="R170" s="520">
        <f t="shared" si="641"/>
        <v>0</v>
      </c>
      <c r="S170" s="520">
        <f t="shared" si="641"/>
        <v>0</v>
      </c>
      <c r="T170" s="520">
        <f t="shared" si="641"/>
        <v>0</v>
      </c>
      <c r="U170" s="520">
        <f t="shared" si="641"/>
        <v>0</v>
      </c>
      <c r="V170" s="520">
        <f t="shared" si="641"/>
        <v>0</v>
      </c>
      <c r="W170" s="520">
        <f t="shared" si="641"/>
        <v>0</v>
      </c>
      <c r="X170" s="520">
        <f t="shared" si="641"/>
        <v>0</v>
      </c>
      <c r="Y170" s="520">
        <f t="shared" si="641"/>
        <v>0</v>
      </c>
      <c r="Z170" s="520">
        <f t="shared" si="641"/>
        <v>0</v>
      </c>
      <c r="AA170" s="520">
        <f t="shared" si="641"/>
        <v>0</v>
      </c>
      <c r="AB170" s="520">
        <f t="shared" si="641"/>
        <v>0</v>
      </c>
      <c r="AC170" s="520">
        <f t="shared" si="641"/>
        <v>0</v>
      </c>
      <c r="AD170" s="520">
        <f t="shared" si="641"/>
        <v>0</v>
      </c>
      <c r="AE170" s="520">
        <f t="shared" si="641"/>
        <v>0</v>
      </c>
      <c r="AF170" s="520">
        <f t="shared" si="641"/>
        <v>0</v>
      </c>
      <c r="AG170" s="520">
        <f t="shared" si="641"/>
        <v>0</v>
      </c>
      <c r="AH170" s="520">
        <f t="shared" si="641"/>
        <v>0</v>
      </c>
      <c r="AI170" s="520">
        <f t="shared" si="641"/>
        <v>0</v>
      </c>
      <c r="AJ170" s="520">
        <f t="shared" si="641"/>
        <v>0</v>
      </c>
      <c r="AK170" s="520">
        <f t="shared" si="641"/>
        <v>0</v>
      </c>
      <c r="AL170" s="520">
        <f t="shared" si="641"/>
        <v>0</v>
      </c>
      <c r="AM170" s="520">
        <f t="shared" si="641"/>
        <v>0</v>
      </c>
      <c r="AN170" s="520">
        <f t="shared" si="641"/>
        <v>0</v>
      </c>
      <c r="AO170" s="520">
        <f t="shared" si="641"/>
        <v>0</v>
      </c>
      <c r="AP170" s="520">
        <f t="shared" si="641"/>
        <v>0</v>
      </c>
      <c r="AQ170" s="520">
        <f t="shared" si="641"/>
        <v>0</v>
      </c>
    </row>
    <row r="171" spans="2:43">
      <c r="B171" s="97"/>
      <c r="C171" s="97"/>
      <c r="D171" s="97"/>
      <c r="E171" s="97"/>
      <c r="F171" s="97"/>
      <c r="G171" s="97"/>
      <c r="H171" s="97"/>
      <c r="I171" s="540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</row>
    <row r="172" spans="2:43">
      <c r="B172" s="514" t="str">
        <f>B64</f>
        <v>POST DEVELOPMENT PHASE</v>
      </c>
      <c r="C172" s="514"/>
      <c r="D172" s="514"/>
      <c r="E172" s="514"/>
      <c r="F172" s="514"/>
      <c r="G172" s="514"/>
      <c r="H172" s="514"/>
      <c r="I172" s="544"/>
      <c r="J172" s="514"/>
      <c r="K172" s="514"/>
      <c r="L172" s="514"/>
      <c r="M172" s="514"/>
      <c r="N172" s="514"/>
      <c r="O172" s="514"/>
      <c r="P172" s="514"/>
      <c r="Q172" s="514"/>
      <c r="R172" s="514"/>
      <c r="S172" s="514"/>
      <c r="T172" s="514"/>
      <c r="U172" s="514"/>
      <c r="V172" s="514"/>
      <c r="W172" s="514"/>
      <c r="X172" s="514"/>
      <c r="Y172" s="514"/>
      <c r="Z172" s="514"/>
      <c r="AA172" s="514"/>
      <c r="AB172" s="514"/>
      <c r="AC172" s="514"/>
      <c r="AD172" s="514"/>
      <c r="AE172" s="514"/>
      <c r="AF172" s="514"/>
      <c r="AG172" s="514"/>
      <c r="AH172" s="514"/>
      <c r="AI172" s="514"/>
      <c r="AJ172" s="514"/>
      <c r="AK172" s="514"/>
      <c r="AL172" s="514"/>
      <c r="AM172" s="514"/>
      <c r="AN172" s="514"/>
      <c r="AO172" s="514"/>
      <c r="AP172" s="514"/>
      <c r="AQ172" s="514"/>
    </row>
    <row r="173" spans="2:43">
      <c r="B173" s="97"/>
      <c r="C173" s="485"/>
      <c r="D173" s="97"/>
      <c r="E173" s="97"/>
      <c r="F173" s="97"/>
      <c r="G173" s="97"/>
      <c r="H173" s="97"/>
      <c r="I173" s="540"/>
      <c r="J173" s="523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</row>
    <row r="174" spans="2:43">
      <c r="B174" s="174" t="str">
        <f t="shared" ref="B174:B180" si="642">B66</f>
        <v>Potential Gross Income</v>
      </c>
      <c r="C174" s="530"/>
      <c r="D174" s="97"/>
      <c r="E174" s="97"/>
      <c r="F174" s="97"/>
      <c r="G174" s="97"/>
      <c r="H174" s="97"/>
      <c r="I174" s="540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97"/>
      <c r="AN174" s="97"/>
      <c r="AO174" s="97"/>
      <c r="AP174" s="97"/>
      <c r="AQ174" s="97"/>
    </row>
    <row r="175" spans="2:43">
      <c r="B175" s="7" t="str">
        <f t="shared" si="642"/>
        <v>Total Annual Rental Income</v>
      </c>
      <c r="C175" s="478"/>
      <c r="D175" s="479"/>
      <c r="E175" s="507"/>
      <c r="F175" s="507"/>
      <c r="G175" s="97"/>
      <c r="H175" s="97"/>
      <c r="I175" s="540">
        <f t="shared" si="598"/>
        <v>317628966.75556445</v>
      </c>
      <c r="J175" s="525">
        <f t="shared" ref="J175:AQ175" si="643">SUMIF($J$6:$OO$6,J$114,$J67:$OO67)</f>
        <v>0</v>
      </c>
      <c r="K175" s="525">
        <f t="shared" si="643"/>
        <v>0</v>
      </c>
      <c r="L175" s="525">
        <f t="shared" si="643"/>
        <v>0</v>
      </c>
      <c r="M175" s="525">
        <f t="shared" si="643"/>
        <v>3876004.6280487808</v>
      </c>
      <c r="N175" s="525">
        <f t="shared" si="643"/>
        <v>7907049.4412195133</v>
      </c>
      <c r="O175" s="525">
        <f t="shared" si="643"/>
        <v>8065190.4300439032</v>
      </c>
      <c r="P175" s="525">
        <f t="shared" si="643"/>
        <v>8226494.2386447797</v>
      </c>
      <c r="Q175" s="525">
        <f t="shared" si="643"/>
        <v>8391024.1234176774</v>
      </c>
      <c r="R175" s="525">
        <f t="shared" si="643"/>
        <v>8558844.6058860291</v>
      </c>
      <c r="S175" s="525">
        <f t="shared" si="643"/>
        <v>8730021.4980037492</v>
      </c>
      <c r="T175" s="525">
        <f t="shared" si="643"/>
        <v>8904621.9279638212</v>
      </c>
      <c r="U175" s="525">
        <f t="shared" si="643"/>
        <v>9082714.3665231001</v>
      </c>
      <c r="V175" s="525">
        <f t="shared" si="643"/>
        <v>9264368.6538535636</v>
      </c>
      <c r="W175" s="525">
        <f t="shared" si="643"/>
        <v>9449656.0269306358</v>
      </c>
      <c r="X175" s="525">
        <f t="shared" si="643"/>
        <v>9638649.1474692449</v>
      </c>
      <c r="Y175" s="525">
        <f t="shared" si="643"/>
        <v>9831422.1304186303</v>
      </c>
      <c r="Z175" s="525">
        <f t="shared" si="643"/>
        <v>10028050.573027005</v>
      </c>
      <c r="AA175" s="525">
        <f t="shared" si="643"/>
        <v>10228611.584487544</v>
      </c>
      <c r="AB175" s="525">
        <f t="shared" si="643"/>
        <v>10433183.816177294</v>
      </c>
      <c r="AC175" s="525">
        <f t="shared" si="643"/>
        <v>10641847.492500842</v>
      </c>
      <c r="AD175" s="525">
        <f t="shared" si="643"/>
        <v>10854684.442350857</v>
      </c>
      <c r="AE175" s="525">
        <f t="shared" si="643"/>
        <v>11071778.131197875</v>
      </c>
      <c r="AF175" s="525">
        <f t="shared" si="643"/>
        <v>11293213.693821831</v>
      </c>
      <c r="AG175" s="525">
        <f t="shared" si="643"/>
        <v>11519077.967698267</v>
      </c>
      <c r="AH175" s="525">
        <f t="shared" si="643"/>
        <v>11749459.527052231</v>
      </c>
      <c r="AI175" s="525">
        <f t="shared" si="643"/>
        <v>11984448.717593281</v>
      </c>
      <c r="AJ175" s="525">
        <f t="shared" si="643"/>
        <v>12224137.691945141</v>
      </c>
      <c r="AK175" s="525">
        <f t="shared" si="643"/>
        <v>12468620.445784045</v>
      </c>
      <c r="AL175" s="525">
        <f t="shared" si="643"/>
        <v>12717992.854699729</v>
      </c>
      <c r="AM175" s="525">
        <f t="shared" si="643"/>
        <v>12972352.711793726</v>
      </c>
      <c r="AN175" s="525">
        <f t="shared" si="643"/>
        <v>13231799.766029591</v>
      </c>
      <c r="AO175" s="525">
        <f t="shared" si="643"/>
        <v>13496435.761350187</v>
      </c>
      <c r="AP175" s="525">
        <f t="shared" si="643"/>
        <v>13766364.476577194</v>
      </c>
      <c r="AQ175" s="525">
        <f t="shared" si="643"/>
        <v>7020845.8830543682</v>
      </c>
    </row>
    <row r="176" spans="2:43">
      <c r="B176" s="7" t="str">
        <f t="shared" si="642"/>
        <v>Parking</v>
      </c>
      <c r="C176" s="478"/>
      <c r="D176" s="479"/>
      <c r="E176" s="507"/>
      <c r="F176" s="507"/>
      <c r="G176" s="97"/>
      <c r="H176" s="97"/>
      <c r="I176" s="540">
        <f t="shared" si="598"/>
        <v>1843819.1998748712</v>
      </c>
      <c r="J176" s="525">
        <f t="shared" ref="J176:AQ176" si="644">SUMIF($J$6:$OO$6,J$114,$J68:$OO68)</f>
        <v>0</v>
      </c>
      <c r="K176" s="525">
        <f t="shared" si="644"/>
        <v>0</v>
      </c>
      <c r="L176" s="525">
        <f t="shared" si="644"/>
        <v>0</v>
      </c>
      <c r="M176" s="525">
        <f t="shared" si="644"/>
        <v>22500</v>
      </c>
      <c r="N176" s="525">
        <f t="shared" si="644"/>
        <v>45900</v>
      </c>
      <c r="O176" s="525">
        <f t="shared" si="644"/>
        <v>46818</v>
      </c>
      <c r="P176" s="525">
        <f t="shared" si="644"/>
        <v>47754.359999999993</v>
      </c>
      <c r="Q176" s="525">
        <f t="shared" si="644"/>
        <v>48709.447200000017</v>
      </c>
      <c r="R176" s="525">
        <f t="shared" si="644"/>
        <v>49683.636144000018</v>
      </c>
      <c r="S176" s="525">
        <f t="shared" si="644"/>
        <v>50677.30886687999</v>
      </c>
      <c r="T176" s="525">
        <f t="shared" si="644"/>
        <v>51690.855044217598</v>
      </c>
      <c r="U176" s="525">
        <f t="shared" si="644"/>
        <v>52724.672145101948</v>
      </c>
      <c r="V176" s="525">
        <f t="shared" si="644"/>
        <v>53779.165588003983</v>
      </c>
      <c r="W176" s="525">
        <f t="shared" si="644"/>
        <v>54854.748899764054</v>
      </c>
      <c r="X176" s="525">
        <f t="shared" si="644"/>
        <v>55951.843877759347</v>
      </c>
      <c r="Y176" s="525">
        <f t="shared" si="644"/>
        <v>57070.880755314538</v>
      </c>
      <c r="Z176" s="525">
        <f t="shared" si="644"/>
        <v>58212.298370420809</v>
      </c>
      <c r="AA176" s="525">
        <f t="shared" si="644"/>
        <v>59376.544337829233</v>
      </c>
      <c r="AB176" s="525">
        <f t="shared" si="644"/>
        <v>60564.075224585824</v>
      </c>
      <c r="AC176" s="525">
        <f t="shared" si="644"/>
        <v>61775.356729077554</v>
      </c>
      <c r="AD176" s="525">
        <f t="shared" si="644"/>
        <v>63010.863863659113</v>
      </c>
      <c r="AE176" s="525">
        <f t="shared" si="644"/>
        <v>64271.081140932256</v>
      </c>
      <c r="AF176" s="525">
        <f t="shared" si="644"/>
        <v>65556.502763750919</v>
      </c>
      <c r="AG176" s="525">
        <f t="shared" si="644"/>
        <v>66867.632819025937</v>
      </c>
      <c r="AH176" s="525">
        <f t="shared" si="644"/>
        <v>68204.985475406444</v>
      </c>
      <c r="AI176" s="525">
        <f t="shared" si="644"/>
        <v>69569.085184914584</v>
      </c>
      <c r="AJ176" s="525">
        <f t="shared" si="644"/>
        <v>70960.466888612878</v>
      </c>
      <c r="AK176" s="525">
        <f t="shared" si="644"/>
        <v>72379.676226385127</v>
      </c>
      <c r="AL176" s="525">
        <f t="shared" si="644"/>
        <v>73827.269750912819</v>
      </c>
      <c r="AM176" s="525">
        <f t="shared" si="644"/>
        <v>75303.81514593109</v>
      </c>
      <c r="AN176" s="525">
        <f t="shared" si="644"/>
        <v>76809.891448849696</v>
      </c>
      <c r="AO176" s="525">
        <f t="shared" si="644"/>
        <v>78346.089277826715</v>
      </c>
      <c r="AP176" s="525">
        <f t="shared" si="644"/>
        <v>79913.011063383208</v>
      </c>
      <c r="AQ176" s="525">
        <f t="shared" si="644"/>
        <v>40755.635642325455</v>
      </c>
    </row>
    <row r="177" spans="2:43">
      <c r="B177" s="7" t="str">
        <f t="shared" si="642"/>
        <v>Commercial</v>
      </c>
      <c r="C177" s="478"/>
      <c r="D177" s="479"/>
      <c r="E177" s="507"/>
      <c r="F177" s="507"/>
      <c r="G177" s="97"/>
      <c r="H177" s="97"/>
      <c r="I177" s="540">
        <f t="shared" si="598"/>
        <v>0</v>
      </c>
      <c r="J177" s="525">
        <f t="shared" ref="J177:AQ177" si="645">SUMIF($J$6:$OO$6,J$114,$J69:$OO69)</f>
        <v>0</v>
      </c>
      <c r="K177" s="525">
        <f t="shared" si="645"/>
        <v>0</v>
      </c>
      <c r="L177" s="525">
        <f t="shared" si="645"/>
        <v>0</v>
      </c>
      <c r="M177" s="525">
        <f t="shared" si="645"/>
        <v>0</v>
      </c>
      <c r="N177" s="525">
        <f t="shared" si="645"/>
        <v>0</v>
      </c>
      <c r="O177" s="525">
        <f t="shared" si="645"/>
        <v>0</v>
      </c>
      <c r="P177" s="525">
        <f t="shared" si="645"/>
        <v>0</v>
      </c>
      <c r="Q177" s="525">
        <f t="shared" si="645"/>
        <v>0</v>
      </c>
      <c r="R177" s="525">
        <f t="shared" si="645"/>
        <v>0</v>
      </c>
      <c r="S177" s="525">
        <f t="shared" si="645"/>
        <v>0</v>
      </c>
      <c r="T177" s="525">
        <f t="shared" si="645"/>
        <v>0</v>
      </c>
      <c r="U177" s="525">
        <f t="shared" si="645"/>
        <v>0</v>
      </c>
      <c r="V177" s="525">
        <f t="shared" si="645"/>
        <v>0</v>
      </c>
      <c r="W177" s="525">
        <f t="shared" si="645"/>
        <v>0</v>
      </c>
      <c r="X177" s="525">
        <f t="shared" si="645"/>
        <v>0</v>
      </c>
      <c r="Y177" s="525">
        <f t="shared" si="645"/>
        <v>0</v>
      </c>
      <c r="Z177" s="525">
        <f t="shared" si="645"/>
        <v>0</v>
      </c>
      <c r="AA177" s="525">
        <f t="shared" si="645"/>
        <v>0</v>
      </c>
      <c r="AB177" s="525">
        <f t="shared" si="645"/>
        <v>0</v>
      </c>
      <c r="AC177" s="525">
        <f t="shared" si="645"/>
        <v>0</v>
      </c>
      <c r="AD177" s="525">
        <f t="shared" si="645"/>
        <v>0</v>
      </c>
      <c r="AE177" s="525">
        <f t="shared" si="645"/>
        <v>0</v>
      </c>
      <c r="AF177" s="525">
        <f t="shared" si="645"/>
        <v>0</v>
      </c>
      <c r="AG177" s="525">
        <f t="shared" si="645"/>
        <v>0</v>
      </c>
      <c r="AH177" s="525">
        <f t="shared" si="645"/>
        <v>0</v>
      </c>
      <c r="AI177" s="525">
        <f t="shared" si="645"/>
        <v>0</v>
      </c>
      <c r="AJ177" s="525">
        <f t="shared" si="645"/>
        <v>0</v>
      </c>
      <c r="AK177" s="525">
        <f t="shared" si="645"/>
        <v>0</v>
      </c>
      <c r="AL177" s="525">
        <f t="shared" si="645"/>
        <v>0</v>
      </c>
      <c r="AM177" s="525">
        <f t="shared" si="645"/>
        <v>0</v>
      </c>
      <c r="AN177" s="525">
        <f t="shared" si="645"/>
        <v>0</v>
      </c>
      <c r="AO177" s="525">
        <f t="shared" si="645"/>
        <v>0</v>
      </c>
      <c r="AP177" s="525">
        <f t="shared" si="645"/>
        <v>0</v>
      </c>
      <c r="AQ177" s="525">
        <f t="shared" si="645"/>
        <v>0</v>
      </c>
    </row>
    <row r="178" spans="2:43">
      <c r="B178" s="7" t="str">
        <f t="shared" si="642"/>
        <v>Community Facility</v>
      </c>
      <c r="C178" s="478"/>
      <c r="D178" s="479"/>
      <c r="E178" s="507"/>
      <c r="F178" s="507"/>
      <c r="G178" s="97"/>
      <c r="H178" s="97"/>
      <c r="I178" s="540">
        <f t="shared" si="598"/>
        <v>0</v>
      </c>
      <c r="J178" s="525">
        <f t="shared" ref="J178:AQ178" si="646">SUMIF($J$6:$OO$6,J$114,$J70:$OO70)</f>
        <v>0</v>
      </c>
      <c r="K178" s="525">
        <f t="shared" si="646"/>
        <v>0</v>
      </c>
      <c r="L178" s="525">
        <f t="shared" si="646"/>
        <v>0</v>
      </c>
      <c r="M178" s="525">
        <f t="shared" si="646"/>
        <v>0</v>
      </c>
      <c r="N178" s="525">
        <f t="shared" si="646"/>
        <v>0</v>
      </c>
      <c r="O178" s="525">
        <f t="shared" si="646"/>
        <v>0</v>
      </c>
      <c r="P178" s="525">
        <f t="shared" si="646"/>
        <v>0</v>
      </c>
      <c r="Q178" s="525">
        <f t="shared" si="646"/>
        <v>0</v>
      </c>
      <c r="R178" s="525">
        <f t="shared" si="646"/>
        <v>0</v>
      </c>
      <c r="S178" s="525">
        <f t="shared" si="646"/>
        <v>0</v>
      </c>
      <c r="T178" s="525">
        <f t="shared" si="646"/>
        <v>0</v>
      </c>
      <c r="U178" s="525">
        <f t="shared" si="646"/>
        <v>0</v>
      </c>
      <c r="V178" s="525">
        <f t="shared" si="646"/>
        <v>0</v>
      </c>
      <c r="W178" s="525">
        <f t="shared" si="646"/>
        <v>0</v>
      </c>
      <c r="X178" s="525">
        <f t="shared" si="646"/>
        <v>0</v>
      </c>
      <c r="Y178" s="525">
        <f t="shared" si="646"/>
        <v>0</v>
      </c>
      <c r="Z178" s="525">
        <f t="shared" si="646"/>
        <v>0</v>
      </c>
      <c r="AA178" s="525">
        <f t="shared" si="646"/>
        <v>0</v>
      </c>
      <c r="AB178" s="525">
        <f t="shared" si="646"/>
        <v>0</v>
      </c>
      <c r="AC178" s="525">
        <f t="shared" si="646"/>
        <v>0</v>
      </c>
      <c r="AD178" s="525">
        <f t="shared" si="646"/>
        <v>0</v>
      </c>
      <c r="AE178" s="525">
        <f t="shared" si="646"/>
        <v>0</v>
      </c>
      <c r="AF178" s="525">
        <f t="shared" si="646"/>
        <v>0</v>
      </c>
      <c r="AG178" s="525">
        <f t="shared" si="646"/>
        <v>0</v>
      </c>
      <c r="AH178" s="525">
        <f t="shared" si="646"/>
        <v>0</v>
      </c>
      <c r="AI178" s="525">
        <f t="shared" si="646"/>
        <v>0</v>
      </c>
      <c r="AJ178" s="525">
        <f t="shared" si="646"/>
        <v>0</v>
      </c>
      <c r="AK178" s="525">
        <f t="shared" si="646"/>
        <v>0</v>
      </c>
      <c r="AL178" s="525">
        <f t="shared" si="646"/>
        <v>0</v>
      </c>
      <c r="AM178" s="525">
        <f t="shared" si="646"/>
        <v>0</v>
      </c>
      <c r="AN178" s="525">
        <f t="shared" si="646"/>
        <v>0</v>
      </c>
      <c r="AO178" s="525">
        <f t="shared" si="646"/>
        <v>0</v>
      </c>
      <c r="AP178" s="525">
        <f t="shared" si="646"/>
        <v>0</v>
      </c>
      <c r="AQ178" s="525">
        <f t="shared" si="646"/>
        <v>0</v>
      </c>
    </row>
    <row r="179" spans="2:43">
      <c r="B179" s="7" t="str">
        <f t="shared" si="642"/>
        <v>Laundry</v>
      </c>
      <c r="C179" s="478"/>
      <c r="D179" s="479"/>
      <c r="E179" s="507"/>
      <c r="F179" s="507"/>
      <c r="G179" s="97"/>
      <c r="H179" s="97"/>
      <c r="I179" s="540">
        <f t="shared" si="598"/>
        <v>1617644.0446902204</v>
      </c>
      <c r="J179" s="525">
        <f t="shared" ref="J179:AQ179" si="647">SUMIF($J$6:$OO$6,J$114,$J71:$OO71)</f>
        <v>0</v>
      </c>
      <c r="K179" s="525">
        <f t="shared" si="647"/>
        <v>0</v>
      </c>
      <c r="L179" s="525">
        <f t="shared" si="647"/>
        <v>0</v>
      </c>
      <c r="M179" s="525">
        <f t="shared" si="647"/>
        <v>19740</v>
      </c>
      <c r="N179" s="525">
        <f t="shared" si="647"/>
        <v>40269.600000000006</v>
      </c>
      <c r="O179" s="525">
        <f t="shared" si="647"/>
        <v>41074.991999999998</v>
      </c>
      <c r="P179" s="525">
        <f t="shared" si="647"/>
        <v>41896.491840000002</v>
      </c>
      <c r="Q179" s="525">
        <f t="shared" si="647"/>
        <v>42734.421676799997</v>
      </c>
      <c r="R179" s="525">
        <f t="shared" si="647"/>
        <v>43589.110110335991</v>
      </c>
      <c r="S179" s="525">
        <f t="shared" si="647"/>
        <v>44460.892312542717</v>
      </c>
      <c r="T179" s="525">
        <f t="shared" si="647"/>
        <v>45350.110158793577</v>
      </c>
      <c r="U179" s="525">
        <f t="shared" si="647"/>
        <v>46257.112361969448</v>
      </c>
      <c r="V179" s="525">
        <f t="shared" si="647"/>
        <v>47182.254609208816</v>
      </c>
      <c r="W179" s="525">
        <f t="shared" si="647"/>
        <v>48125.899701393006</v>
      </c>
      <c r="X179" s="525">
        <f t="shared" si="647"/>
        <v>49088.417695420874</v>
      </c>
      <c r="Y179" s="525">
        <f t="shared" si="647"/>
        <v>50070.18604932927</v>
      </c>
      <c r="Z179" s="525">
        <f t="shared" si="647"/>
        <v>51071.589770315877</v>
      </c>
      <c r="AA179" s="525">
        <f t="shared" si="647"/>
        <v>52093.021565722207</v>
      </c>
      <c r="AB179" s="525">
        <f t="shared" si="647"/>
        <v>53134.881997036638</v>
      </c>
      <c r="AC179" s="525">
        <f t="shared" si="647"/>
        <v>54197.579636977367</v>
      </c>
      <c r="AD179" s="525">
        <f t="shared" si="647"/>
        <v>55281.531229716929</v>
      </c>
      <c r="AE179" s="525">
        <f t="shared" si="647"/>
        <v>56387.161854311249</v>
      </c>
      <c r="AF179" s="525">
        <f t="shared" si="647"/>
        <v>57514.905091397457</v>
      </c>
      <c r="AG179" s="525">
        <f t="shared" si="647"/>
        <v>58665.20319322541</v>
      </c>
      <c r="AH179" s="525">
        <f t="shared" si="647"/>
        <v>59838.507257089914</v>
      </c>
      <c r="AI179" s="525">
        <f t="shared" si="647"/>
        <v>61035.277402231732</v>
      </c>
      <c r="AJ179" s="525">
        <f t="shared" si="647"/>
        <v>62255.982950276368</v>
      </c>
      <c r="AK179" s="525">
        <f t="shared" si="647"/>
        <v>63501.102609281887</v>
      </c>
      <c r="AL179" s="525">
        <f t="shared" si="647"/>
        <v>64771.124661467511</v>
      </c>
      <c r="AM179" s="525">
        <f t="shared" si="647"/>
        <v>66066.547154696862</v>
      </c>
      <c r="AN179" s="525">
        <f t="shared" si="647"/>
        <v>67387.878097790788</v>
      </c>
      <c r="AO179" s="525">
        <f t="shared" si="647"/>
        <v>68735.635659746637</v>
      </c>
      <c r="AP179" s="525">
        <f t="shared" si="647"/>
        <v>70110.34837294156</v>
      </c>
      <c r="AQ179" s="525">
        <f t="shared" si="647"/>
        <v>35756.277670200194</v>
      </c>
    </row>
    <row r="180" spans="2:43">
      <c r="B180" s="517" t="str">
        <f t="shared" si="642"/>
        <v>Total Potential Gross Income</v>
      </c>
      <c r="C180" s="531"/>
      <c r="D180" s="244"/>
      <c r="E180" s="244"/>
      <c r="F180" s="244"/>
      <c r="G180" s="244"/>
      <c r="H180" s="244"/>
      <c r="I180" s="541">
        <f t="shared" si="598"/>
        <v>321090430.00012946</v>
      </c>
      <c r="J180" s="505">
        <f t="shared" ref="J180:AQ180" si="648">SUMIF($J$6:$OO$6,J$114,$J72:$OO72)</f>
        <v>0</v>
      </c>
      <c r="K180" s="505">
        <f t="shared" si="648"/>
        <v>0</v>
      </c>
      <c r="L180" s="505">
        <f t="shared" si="648"/>
        <v>0</v>
      </c>
      <c r="M180" s="505">
        <f t="shared" si="648"/>
        <v>3918244.6280487808</v>
      </c>
      <c r="N180" s="505">
        <f t="shared" si="648"/>
        <v>7993219.0412195129</v>
      </c>
      <c r="O180" s="505">
        <f t="shared" si="648"/>
        <v>8153083.4220439</v>
      </c>
      <c r="P180" s="505">
        <f t="shared" si="648"/>
        <v>8316145.0904847784</v>
      </c>
      <c r="Q180" s="505">
        <f t="shared" si="648"/>
        <v>8482467.9922944773</v>
      </c>
      <c r="R180" s="505">
        <f t="shared" si="648"/>
        <v>8652117.3521403633</v>
      </c>
      <c r="S180" s="505">
        <f t="shared" si="648"/>
        <v>8825159.6991831735</v>
      </c>
      <c r="T180" s="505">
        <f t="shared" si="648"/>
        <v>9001662.8931668364</v>
      </c>
      <c r="U180" s="505">
        <f t="shared" si="648"/>
        <v>9181696.1510301698</v>
      </c>
      <c r="V180" s="505">
        <f t="shared" si="648"/>
        <v>9365330.0740507767</v>
      </c>
      <c r="W180" s="505">
        <f t="shared" si="648"/>
        <v>9552636.6755317934</v>
      </c>
      <c r="X180" s="505">
        <f t="shared" si="648"/>
        <v>9743689.4090424236</v>
      </c>
      <c r="Y180" s="505">
        <f t="shared" si="648"/>
        <v>9938563.1972232759</v>
      </c>
      <c r="Z180" s="505">
        <f t="shared" si="648"/>
        <v>10137334.46116774</v>
      </c>
      <c r="AA180" s="505">
        <f t="shared" si="648"/>
        <v>10340081.150391096</v>
      </c>
      <c r="AB180" s="505">
        <f t="shared" si="648"/>
        <v>10546882.773398913</v>
      </c>
      <c r="AC180" s="505">
        <f t="shared" si="648"/>
        <v>10757820.428866895</v>
      </c>
      <c r="AD180" s="505">
        <f t="shared" si="648"/>
        <v>10972976.837444233</v>
      </c>
      <c r="AE180" s="505">
        <f t="shared" si="648"/>
        <v>11192436.374193123</v>
      </c>
      <c r="AF180" s="505">
        <f t="shared" si="648"/>
        <v>11416285.10167698</v>
      </c>
      <c r="AG180" s="505">
        <f t="shared" si="648"/>
        <v>11644610.803710515</v>
      </c>
      <c r="AH180" s="505">
        <f t="shared" si="648"/>
        <v>11877503.019784728</v>
      </c>
      <c r="AI180" s="505">
        <f t="shared" si="648"/>
        <v>12115053.080180421</v>
      </c>
      <c r="AJ180" s="505">
        <f t="shared" si="648"/>
        <v>12357354.141784029</v>
      </c>
      <c r="AK180" s="505">
        <f t="shared" si="648"/>
        <v>12604501.224619709</v>
      </c>
      <c r="AL180" s="505">
        <f t="shared" si="648"/>
        <v>12856591.249112112</v>
      </c>
      <c r="AM180" s="505">
        <f t="shared" si="648"/>
        <v>13113723.07409435</v>
      </c>
      <c r="AN180" s="505">
        <f t="shared" si="648"/>
        <v>13375997.535576232</v>
      </c>
      <c r="AO180" s="505">
        <f t="shared" si="648"/>
        <v>13643517.48628776</v>
      </c>
      <c r="AP180" s="505">
        <f t="shared" si="648"/>
        <v>13916387.836013518</v>
      </c>
      <c r="AQ180" s="505">
        <f t="shared" si="648"/>
        <v>7097357.7963668937</v>
      </c>
    </row>
    <row r="181" spans="2:43">
      <c r="B181" s="476"/>
      <c r="C181" s="480"/>
      <c r="D181" s="97"/>
      <c r="E181" s="97"/>
      <c r="F181" s="97"/>
      <c r="G181" s="97"/>
      <c r="H181" s="97"/>
      <c r="I181" s="540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  <c r="AP181" s="97"/>
      <c r="AQ181" s="97"/>
    </row>
    <row r="182" spans="2:43">
      <c r="B182" s="174" t="str">
        <f t="shared" ref="B182:B188" si="649">B74</f>
        <v>Vacancy Allowance</v>
      </c>
      <c r="C182" s="530"/>
      <c r="D182" s="97"/>
      <c r="E182" s="97"/>
      <c r="F182" s="97"/>
      <c r="G182" s="97"/>
      <c r="H182" s="97"/>
      <c r="I182" s="540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</row>
    <row r="183" spans="2:43">
      <c r="B183" s="7" t="str">
        <f t="shared" si="649"/>
        <v>Total Annual Rental Income</v>
      </c>
      <c r="C183" s="97"/>
      <c r="D183" s="479"/>
      <c r="E183" s="507"/>
      <c r="F183" s="507"/>
      <c r="G183" s="97"/>
      <c r="H183" s="97"/>
      <c r="I183" s="540">
        <f t="shared" si="598"/>
        <v>-11628013.884146342</v>
      </c>
      <c r="J183" s="479">
        <f t="shared" ref="J183:AQ183" si="650">SUMIF($J$6:$OO$6,J$114,$J75:$OO75)</f>
        <v>0</v>
      </c>
      <c r="K183" s="479">
        <f t="shared" si="650"/>
        <v>0</v>
      </c>
      <c r="L183" s="479">
        <f t="shared" si="650"/>
        <v>0</v>
      </c>
      <c r="M183" s="479">
        <f t="shared" si="650"/>
        <v>-193800.23140243904</v>
      </c>
      <c r="N183" s="479">
        <f t="shared" si="650"/>
        <v>-387600.46280487807</v>
      </c>
      <c r="O183" s="479">
        <f t="shared" si="650"/>
        <v>-387600.46280487807</v>
      </c>
      <c r="P183" s="479">
        <f t="shared" si="650"/>
        <v>-387600.46280487807</v>
      </c>
      <c r="Q183" s="479">
        <f t="shared" si="650"/>
        <v>-387600.46280487807</v>
      </c>
      <c r="R183" s="479">
        <f t="shared" si="650"/>
        <v>-387600.46280487807</v>
      </c>
      <c r="S183" s="479">
        <f t="shared" si="650"/>
        <v>-387600.46280487807</v>
      </c>
      <c r="T183" s="479">
        <f t="shared" si="650"/>
        <v>-387600.46280487807</v>
      </c>
      <c r="U183" s="479">
        <f t="shared" si="650"/>
        <v>-387600.46280487807</v>
      </c>
      <c r="V183" s="479">
        <f t="shared" si="650"/>
        <v>-387600.46280487807</v>
      </c>
      <c r="W183" s="479">
        <f t="shared" si="650"/>
        <v>-387600.46280487807</v>
      </c>
      <c r="X183" s="479">
        <f t="shared" si="650"/>
        <v>-387600.46280487807</v>
      </c>
      <c r="Y183" s="479">
        <f t="shared" si="650"/>
        <v>-387600.46280487807</v>
      </c>
      <c r="Z183" s="479">
        <f t="shared" si="650"/>
        <v>-387600.46280487807</v>
      </c>
      <c r="AA183" s="479">
        <f t="shared" si="650"/>
        <v>-387600.46280487807</v>
      </c>
      <c r="AB183" s="479">
        <f t="shared" si="650"/>
        <v>-387600.46280487807</v>
      </c>
      <c r="AC183" s="479">
        <f t="shared" si="650"/>
        <v>-387600.46280487807</v>
      </c>
      <c r="AD183" s="479">
        <f t="shared" si="650"/>
        <v>-387600.46280487807</v>
      </c>
      <c r="AE183" s="479">
        <f t="shared" si="650"/>
        <v>-387600.46280487807</v>
      </c>
      <c r="AF183" s="479">
        <f t="shared" si="650"/>
        <v>-387600.46280487807</v>
      </c>
      <c r="AG183" s="479">
        <f t="shared" si="650"/>
        <v>-387600.46280487807</v>
      </c>
      <c r="AH183" s="479">
        <f t="shared" si="650"/>
        <v>-387600.46280487807</v>
      </c>
      <c r="AI183" s="479">
        <f t="shared" si="650"/>
        <v>-387600.46280487807</v>
      </c>
      <c r="AJ183" s="479">
        <f t="shared" si="650"/>
        <v>-387600.46280487807</v>
      </c>
      <c r="AK183" s="479">
        <f t="shared" si="650"/>
        <v>-387600.46280487807</v>
      </c>
      <c r="AL183" s="479">
        <f t="shared" si="650"/>
        <v>-387600.46280487807</v>
      </c>
      <c r="AM183" s="479">
        <f t="shared" si="650"/>
        <v>-387600.46280487807</v>
      </c>
      <c r="AN183" s="479">
        <f t="shared" si="650"/>
        <v>-387600.46280487807</v>
      </c>
      <c r="AO183" s="479">
        <f t="shared" si="650"/>
        <v>-387600.46280487807</v>
      </c>
      <c r="AP183" s="479">
        <f t="shared" si="650"/>
        <v>-387600.46280487807</v>
      </c>
      <c r="AQ183" s="479">
        <f t="shared" si="650"/>
        <v>-193800.23140243904</v>
      </c>
    </row>
    <row r="184" spans="2:43">
      <c r="B184" s="7" t="str">
        <f t="shared" si="649"/>
        <v>Parking</v>
      </c>
      <c r="C184" s="97"/>
      <c r="D184" s="479"/>
      <c r="E184" s="507"/>
      <c r="F184" s="507"/>
      <c r="G184" s="97"/>
      <c r="H184" s="97"/>
      <c r="I184" s="540">
        <f t="shared" si="598"/>
        <v>-67500</v>
      </c>
      <c r="J184" s="479">
        <f t="shared" ref="J184:AQ184" si="651">SUMIF($J$6:$OO$6,J$114,$J76:$OO76)</f>
        <v>0</v>
      </c>
      <c r="K184" s="479">
        <f t="shared" si="651"/>
        <v>0</v>
      </c>
      <c r="L184" s="479">
        <f t="shared" si="651"/>
        <v>0</v>
      </c>
      <c r="M184" s="479">
        <f t="shared" si="651"/>
        <v>-1125</v>
      </c>
      <c r="N184" s="479">
        <f t="shared" si="651"/>
        <v>-2250</v>
      </c>
      <c r="O184" s="479">
        <f t="shared" si="651"/>
        <v>-2250</v>
      </c>
      <c r="P184" s="479">
        <f t="shared" si="651"/>
        <v>-2250</v>
      </c>
      <c r="Q184" s="479">
        <f t="shared" si="651"/>
        <v>-2250</v>
      </c>
      <c r="R184" s="479">
        <f t="shared" si="651"/>
        <v>-2250</v>
      </c>
      <c r="S184" s="479">
        <f t="shared" si="651"/>
        <v>-2250</v>
      </c>
      <c r="T184" s="479">
        <f t="shared" si="651"/>
        <v>-2250</v>
      </c>
      <c r="U184" s="479">
        <f t="shared" si="651"/>
        <v>-2250</v>
      </c>
      <c r="V184" s="479">
        <f t="shared" si="651"/>
        <v>-2250</v>
      </c>
      <c r="W184" s="479">
        <f t="shared" si="651"/>
        <v>-2250</v>
      </c>
      <c r="X184" s="479">
        <f t="shared" si="651"/>
        <v>-2250</v>
      </c>
      <c r="Y184" s="479">
        <f t="shared" si="651"/>
        <v>-2250</v>
      </c>
      <c r="Z184" s="479">
        <f t="shared" si="651"/>
        <v>-2250</v>
      </c>
      <c r="AA184" s="479">
        <f t="shared" si="651"/>
        <v>-2250</v>
      </c>
      <c r="AB184" s="479">
        <f t="shared" si="651"/>
        <v>-2250</v>
      </c>
      <c r="AC184" s="479">
        <f t="shared" si="651"/>
        <v>-2250</v>
      </c>
      <c r="AD184" s="479">
        <f t="shared" si="651"/>
        <v>-2250</v>
      </c>
      <c r="AE184" s="479">
        <f t="shared" si="651"/>
        <v>-2250</v>
      </c>
      <c r="AF184" s="479">
        <f t="shared" si="651"/>
        <v>-2250</v>
      </c>
      <c r="AG184" s="479">
        <f t="shared" si="651"/>
        <v>-2250</v>
      </c>
      <c r="AH184" s="479">
        <f t="shared" si="651"/>
        <v>-2250</v>
      </c>
      <c r="AI184" s="479">
        <f t="shared" si="651"/>
        <v>-2250</v>
      </c>
      <c r="AJ184" s="479">
        <f t="shared" si="651"/>
        <v>-2250</v>
      </c>
      <c r="AK184" s="479">
        <f t="shared" si="651"/>
        <v>-2250</v>
      </c>
      <c r="AL184" s="479">
        <f t="shared" si="651"/>
        <v>-2250</v>
      </c>
      <c r="AM184" s="479">
        <f t="shared" si="651"/>
        <v>-2250</v>
      </c>
      <c r="AN184" s="479">
        <f t="shared" si="651"/>
        <v>-2250</v>
      </c>
      <c r="AO184" s="479">
        <f t="shared" si="651"/>
        <v>-2250</v>
      </c>
      <c r="AP184" s="479">
        <f t="shared" si="651"/>
        <v>-2250</v>
      </c>
      <c r="AQ184" s="479">
        <f t="shared" si="651"/>
        <v>-1125</v>
      </c>
    </row>
    <row r="185" spans="2:43">
      <c r="B185" s="7" t="str">
        <f t="shared" si="649"/>
        <v>Commercial</v>
      </c>
      <c r="C185" s="97"/>
      <c r="D185" s="479"/>
      <c r="E185" s="507"/>
      <c r="F185" s="507"/>
      <c r="G185" s="97"/>
      <c r="H185" s="97"/>
      <c r="I185" s="540">
        <f t="shared" si="598"/>
        <v>0</v>
      </c>
      <c r="J185" s="479">
        <f t="shared" ref="J185:AQ185" si="652">SUMIF($J$6:$OO$6,J$114,$J77:$OO77)</f>
        <v>0</v>
      </c>
      <c r="K185" s="479">
        <f t="shared" si="652"/>
        <v>0</v>
      </c>
      <c r="L185" s="479">
        <f t="shared" si="652"/>
        <v>0</v>
      </c>
      <c r="M185" s="479">
        <f t="shared" si="652"/>
        <v>0</v>
      </c>
      <c r="N185" s="479">
        <f t="shared" si="652"/>
        <v>0</v>
      </c>
      <c r="O185" s="479">
        <f t="shared" si="652"/>
        <v>0</v>
      </c>
      <c r="P185" s="479">
        <f t="shared" si="652"/>
        <v>0</v>
      </c>
      <c r="Q185" s="479">
        <f t="shared" si="652"/>
        <v>0</v>
      </c>
      <c r="R185" s="479">
        <f t="shared" si="652"/>
        <v>0</v>
      </c>
      <c r="S185" s="479">
        <f t="shared" si="652"/>
        <v>0</v>
      </c>
      <c r="T185" s="479">
        <f t="shared" si="652"/>
        <v>0</v>
      </c>
      <c r="U185" s="479">
        <f t="shared" si="652"/>
        <v>0</v>
      </c>
      <c r="V185" s="479">
        <f t="shared" si="652"/>
        <v>0</v>
      </c>
      <c r="W185" s="479">
        <f t="shared" si="652"/>
        <v>0</v>
      </c>
      <c r="X185" s="479">
        <f t="shared" si="652"/>
        <v>0</v>
      </c>
      <c r="Y185" s="479">
        <f t="shared" si="652"/>
        <v>0</v>
      </c>
      <c r="Z185" s="479">
        <f t="shared" si="652"/>
        <v>0</v>
      </c>
      <c r="AA185" s="479">
        <f t="shared" si="652"/>
        <v>0</v>
      </c>
      <c r="AB185" s="479">
        <f t="shared" si="652"/>
        <v>0</v>
      </c>
      <c r="AC185" s="479">
        <f t="shared" si="652"/>
        <v>0</v>
      </c>
      <c r="AD185" s="479">
        <f t="shared" si="652"/>
        <v>0</v>
      </c>
      <c r="AE185" s="479">
        <f t="shared" si="652"/>
        <v>0</v>
      </c>
      <c r="AF185" s="479">
        <f t="shared" si="652"/>
        <v>0</v>
      </c>
      <c r="AG185" s="479">
        <f t="shared" si="652"/>
        <v>0</v>
      </c>
      <c r="AH185" s="479">
        <f t="shared" si="652"/>
        <v>0</v>
      </c>
      <c r="AI185" s="479">
        <f t="shared" si="652"/>
        <v>0</v>
      </c>
      <c r="AJ185" s="479">
        <f t="shared" si="652"/>
        <v>0</v>
      </c>
      <c r="AK185" s="479">
        <f t="shared" si="652"/>
        <v>0</v>
      </c>
      <c r="AL185" s="479">
        <f t="shared" si="652"/>
        <v>0</v>
      </c>
      <c r="AM185" s="479">
        <f t="shared" si="652"/>
        <v>0</v>
      </c>
      <c r="AN185" s="479">
        <f t="shared" si="652"/>
        <v>0</v>
      </c>
      <c r="AO185" s="479">
        <f t="shared" si="652"/>
        <v>0</v>
      </c>
      <c r="AP185" s="479">
        <f t="shared" si="652"/>
        <v>0</v>
      </c>
      <c r="AQ185" s="479">
        <f t="shared" si="652"/>
        <v>0</v>
      </c>
    </row>
    <row r="186" spans="2:43">
      <c r="B186" s="7" t="str">
        <f t="shared" si="649"/>
        <v>Community Facility</v>
      </c>
      <c r="C186" s="97"/>
      <c r="D186" s="479"/>
      <c r="E186" s="507"/>
      <c r="F186" s="507"/>
      <c r="G186" s="97"/>
      <c r="H186" s="97"/>
      <c r="I186" s="540">
        <f t="shared" si="598"/>
        <v>0</v>
      </c>
      <c r="J186" s="479">
        <f t="shared" ref="J186:AQ186" si="653">SUMIF($J$6:$OO$6,J$114,$J78:$OO78)</f>
        <v>0</v>
      </c>
      <c r="K186" s="479">
        <f t="shared" si="653"/>
        <v>0</v>
      </c>
      <c r="L186" s="479">
        <f t="shared" si="653"/>
        <v>0</v>
      </c>
      <c r="M186" s="479">
        <f t="shared" si="653"/>
        <v>0</v>
      </c>
      <c r="N186" s="479">
        <f t="shared" si="653"/>
        <v>0</v>
      </c>
      <c r="O186" s="479">
        <f t="shared" si="653"/>
        <v>0</v>
      </c>
      <c r="P186" s="479">
        <f t="shared" si="653"/>
        <v>0</v>
      </c>
      <c r="Q186" s="479">
        <f t="shared" si="653"/>
        <v>0</v>
      </c>
      <c r="R186" s="479">
        <f t="shared" si="653"/>
        <v>0</v>
      </c>
      <c r="S186" s="479">
        <f t="shared" si="653"/>
        <v>0</v>
      </c>
      <c r="T186" s="479">
        <f t="shared" si="653"/>
        <v>0</v>
      </c>
      <c r="U186" s="479">
        <f t="shared" si="653"/>
        <v>0</v>
      </c>
      <c r="V186" s="479">
        <f t="shared" si="653"/>
        <v>0</v>
      </c>
      <c r="W186" s="479">
        <f t="shared" si="653"/>
        <v>0</v>
      </c>
      <c r="X186" s="479">
        <f t="shared" si="653"/>
        <v>0</v>
      </c>
      <c r="Y186" s="479">
        <f t="shared" si="653"/>
        <v>0</v>
      </c>
      <c r="Z186" s="479">
        <f t="shared" si="653"/>
        <v>0</v>
      </c>
      <c r="AA186" s="479">
        <f t="shared" si="653"/>
        <v>0</v>
      </c>
      <c r="AB186" s="479">
        <f t="shared" si="653"/>
        <v>0</v>
      </c>
      <c r="AC186" s="479">
        <f t="shared" si="653"/>
        <v>0</v>
      </c>
      <c r="AD186" s="479">
        <f t="shared" si="653"/>
        <v>0</v>
      </c>
      <c r="AE186" s="479">
        <f t="shared" si="653"/>
        <v>0</v>
      </c>
      <c r="AF186" s="479">
        <f t="shared" si="653"/>
        <v>0</v>
      </c>
      <c r="AG186" s="479">
        <f t="shared" si="653"/>
        <v>0</v>
      </c>
      <c r="AH186" s="479">
        <f t="shared" si="653"/>
        <v>0</v>
      </c>
      <c r="AI186" s="479">
        <f t="shared" si="653"/>
        <v>0</v>
      </c>
      <c r="AJ186" s="479">
        <f t="shared" si="653"/>
        <v>0</v>
      </c>
      <c r="AK186" s="479">
        <f t="shared" si="653"/>
        <v>0</v>
      </c>
      <c r="AL186" s="479">
        <f t="shared" si="653"/>
        <v>0</v>
      </c>
      <c r="AM186" s="479">
        <f t="shared" si="653"/>
        <v>0</v>
      </c>
      <c r="AN186" s="479">
        <f t="shared" si="653"/>
        <v>0</v>
      </c>
      <c r="AO186" s="479">
        <f t="shared" si="653"/>
        <v>0</v>
      </c>
      <c r="AP186" s="479">
        <f t="shared" si="653"/>
        <v>0</v>
      </c>
      <c r="AQ186" s="479">
        <f t="shared" si="653"/>
        <v>0</v>
      </c>
    </row>
    <row r="187" spans="2:43">
      <c r="B187" s="7" t="str">
        <f t="shared" si="649"/>
        <v>Laundry</v>
      </c>
      <c r="C187" s="97"/>
      <c r="D187" s="479"/>
      <c r="E187" s="507"/>
      <c r="F187" s="507"/>
      <c r="G187" s="97"/>
      <c r="H187" s="97"/>
      <c r="I187" s="540">
        <f t="shared" ref="I187:I214" si="654">SUM(J187:AQ187)</f>
        <v>-118440</v>
      </c>
      <c r="J187" s="479">
        <f t="shared" ref="J187:AQ187" si="655">SUMIF($J$6:$OO$6,J$114,$J79:$OO79)</f>
        <v>0</v>
      </c>
      <c r="K187" s="479">
        <f t="shared" si="655"/>
        <v>0</v>
      </c>
      <c r="L187" s="479">
        <f t="shared" si="655"/>
        <v>0</v>
      </c>
      <c r="M187" s="479">
        <f t="shared" si="655"/>
        <v>-1974</v>
      </c>
      <c r="N187" s="479">
        <f t="shared" si="655"/>
        <v>-3948</v>
      </c>
      <c r="O187" s="479">
        <f t="shared" si="655"/>
        <v>-3948</v>
      </c>
      <c r="P187" s="479">
        <f t="shared" si="655"/>
        <v>-3948</v>
      </c>
      <c r="Q187" s="479">
        <f t="shared" si="655"/>
        <v>-3948</v>
      </c>
      <c r="R187" s="479">
        <f t="shared" si="655"/>
        <v>-3948</v>
      </c>
      <c r="S187" s="479">
        <f t="shared" si="655"/>
        <v>-3948</v>
      </c>
      <c r="T187" s="479">
        <f t="shared" si="655"/>
        <v>-3948</v>
      </c>
      <c r="U187" s="479">
        <f t="shared" si="655"/>
        <v>-3948</v>
      </c>
      <c r="V187" s="479">
        <f t="shared" si="655"/>
        <v>-3948</v>
      </c>
      <c r="W187" s="479">
        <f t="shared" si="655"/>
        <v>-3948</v>
      </c>
      <c r="X187" s="479">
        <f t="shared" si="655"/>
        <v>-3948</v>
      </c>
      <c r="Y187" s="479">
        <f t="shared" si="655"/>
        <v>-3948</v>
      </c>
      <c r="Z187" s="479">
        <f t="shared" si="655"/>
        <v>-3948</v>
      </c>
      <c r="AA187" s="479">
        <f t="shared" si="655"/>
        <v>-3948</v>
      </c>
      <c r="AB187" s="479">
        <f t="shared" si="655"/>
        <v>-3948</v>
      </c>
      <c r="AC187" s="479">
        <f t="shared" si="655"/>
        <v>-3948</v>
      </c>
      <c r="AD187" s="479">
        <f t="shared" si="655"/>
        <v>-3948</v>
      </c>
      <c r="AE187" s="479">
        <f t="shared" si="655"/>
        <v>-3948</v>
      </c>
      <c r="AF187" s="479">
        <f t="shared" si="655"/>
        <v>-3948</v>
      </c>
      <c r="AG187" s="479">
        <f t="shared" si="655"/>
        <v>-3948</v>
      </c>
      <c r="AH187" s="479">
        <f t="shared" si="655"/>
        <v>-3948</v>
      </c>
      <c r="AI187" s="479">
        <f t="shared" si="655"/>
        <v>-3948</v>
      </c>
      <c r="AJ187" s="479">
        <f t="shared" si="655"/>
        <v>-3948</v>
      </c>
      <c r="AK187" s="479">
        <f t="shared" si="655"/>
        <v>-3948</v>
      </c>
      <c r="AL187" s="479">
        <f t="shared" si="655"/>
        <v>-3948</v>
      </c>
      <c r="AM187" s="479">
        <f t="shared" si="655"/>
        <v>-3948</v>
      </c>
      <c r="AN187" s="479">
        <f t="shared" si="655"/>
        <v>-3948</v>
      </c>
      <c r="AO187" s="479">
        <f t="shared" si="655"/>
        <v>-3948</v>
      </c>
      <c r="AP187" s="479">
        <f t="shared" si="655"/>
        <v>-3948</v>
      </c>
      <c r="AQ187" s="479">
        <f t="shared" si="655"/>
        <v>-1974</v>
      </c>
    </row>
    <row r="188" spans="2:43">
      <c r="B188" s="516" t="str">
        <f t="shared" si="649"/>
        <v>Total Vacancy Allowance</v>
      </c>
      <c r="C188" s="532"/>
      <c r="D188" s="105"/>
      <c r="E188" s="105"/>
      <c r="F188" s="105"/>
      <c r="G188" s="105"/>
      <c r="H188" s="105"/>
      <c r="I188" s="541">
        <f t="shared" si="654"/>
        <v>-11813953.884146344</v>
      </c>
      <c r="J188" s="505">
        <f t="shared" ref="J188:AQ188" si="656">SUMIF($J$6:$OO$6,J$114,$J80:$OO80)</f>
        <v>0</v>
      </c>
      <c r="K188" s="505">
        <f t="shared" si="656"/>
        <v>0</v>
      </c>
      <c r="L188" s="505">
        <f t="shared" si="656"/>
        <v>0</v>
      </c>
      <c r="M188" s="505">
        <f t="shared" si="656"/>
        <v>-196899.23140243907</v>
      </c>
      <c r="N188" s="505">
        <f t="shared" si="656"/>
        <v>-393798.46280487813</v>
      </c>
      <c r="O188" s="505">
        <f t="shared" si="656"/>
        <v>-393798.46280487813</v>
      </c>
      <c r="P188" s="505">
        <f t="shared" si="656"/>
        <v>-393798.46280487813</v>
      </c>
      <c r="Q188" s="505">
        <f t="shared" si="656"/>
        <v>-393798.46280487813</v>
      </c>
      <c r="R188" s="505">
        <f t="shared" si="656"/>
        <v>-393798.46280487813</v>
      </c>
      <c r="S188" s="505">
        <f t="shared" si="656"/>
        <v>-393798.46280487813</v>
      </c>
      <c r="T188" s="505">
        <f t="shared" si="656"/>
        <v>-393798.46280487813</v>
      </c>
      <c r="U188" s="505">
        <f t="shared" si="656"/>
        <v>-393798.46280487813</v>
      </c>
      <c r="V188" s="505">
        <f t="shared" si="656"/>
        <v>-393798.46280487813</v>
      </c>
      <c r="W188" s="505">
        <f t="shared" si="656"/>
        <v>-393798.46280487813</v>
      </c>
      <c r="X188" s="505">
        <f t="shared" si="656"/>
        <v>-393798.46280487813</v>
      </c>
      <c r="Y188" s="505">
        <f t="shared" si="656"/>
        <v>-393798.46280487813</v>
      </c>
      <c r="Z188" s="505">
        <f t="shared" si="656"/>
        <v>-393798.46280487813</v>
      </c>
      <c r="AA188" s="505">
        <f t="shared" si="656"/>
        <v>-393798.46280487813</v>
      </c>
      <c r="AB188" s="505">
        <f t="shared" si="656"/>
        <v>-393798.46280487813</v>
      </c>
      <c r="AC188" s="505">
        <f t="shared" si="656"/>
        <v>-393798.46280487813</v>
      </c>
      <c r="AD188" s="505">
        <f t="shared" si="656"/>
        <v>-393798.46280487813</v>
      </c>
      <c r="AE188" s="505">
        <f t="shared" si="656"/>
        <v>-393798.46280487813</v>
      </c>
      <c r="AF188" s="505">
        <f t="shared" si="656"/>
        <v>-393798.46280487813</v>
      </c>
      <c r="AG188" s="505">
        <f t="shared" si="656"/>
        <v>-393798.46280487813</v>
      </c>
      <c r="AH188" s="505">
        <f t="shared" si="656"/>
        <v>-393798.46280487813</v>
      </c>
      <c r="AI188" s="505">
        <f t="shared" si="656"/>
        <v>-393798.46280487813</v>
      </c>
      <c r="AJ188" s="505">
        <f t="shared" si="656"/>
        <v>-393798.46280487813</v>
      </c>
      <c r="AK188" s="505">
        <f t="shared" si="656"/>
        <v>-393798.46280487813</v>
      </c>
      <c r="AL188" s="505">
        <f t="shared" si="656"/>
        <v>-393798.46280487813</v>
      </c>
      <c r="AM188" s="505">
        <f t="shared" si="656"/>
        <v>-393798.46280487813</v>
      </c>
      <c r="AN188" s="505">
        <f t="shared" si="656"/>
        <v>-393798.46280487813</v>
      </c>
      <c r="AO188" s="505">
        <f t="shared" si="656"/>
        <v>-393798.46280487813</v>
      </c>
      <c r="AP188" s="505">
        <f t="shared" si="656"/>
        <v>-393798.46280487813</v>
      </c>
      <c r="AQ188" s="505">
        <f t="shared" si="656"/>
        <v>-196899.23140243907</v>
      </c>
    </row>
    <row r="189" spans="2:43">
      <c r="B189" s="476"/>
      <c r="C189" s="480"/>
      <c r="I189" s="540"/>
    </row>
    <row r="190" spans="2:43">
      <c r="B190" s="174" t="str">
        <f t="shared" ref="B190:B196" si="657">B82</f>
        <v>Effective Gross Income</v>
      </c>
      <c r="C190" s="530"/>
      <c r="I190" s="540"/>
    </row>
    <row r="191" spans="2:43">
      <c r="B191" s="7" t="str">
        <f t="shared" si="657"/>
        <v>Total Annual Rental Income</v>
      </c>
      <c r="C191" s="97"/>
      <c r="D191" s="479"/>
      <c r="E191" s="507"/>
      <c r="F191" s="507"/>
      <c r="G191" s="97"/>
      <c r="H191" s="97"/>
      <c r="I191" s="540">
        <f t="shared" si="654"/>
        <v>306000952.87141812</v>
      </c>
      <c r="J191" s="442">
        <f t="shared" ref="J191:AQ191" si="658">SUMIF($J$6:$OO$6,J$114,$J83:$OO83)</f>
        <v>0</v>
      </c>
      <c r="K191" s="442">
        <f t="shared" si="658"/>
        <v>0</v>
      </c>
      <c r="L191" s="442">
        <f t="shared" si="658"/>
        <v>0</v>
      </c>
      <c r="M191" s="442">
        <f t="shared" si="658"/>
        <v>3682204.3966463418</v>
      </c>
      <c r="N191" s="442">
        <f t="shared" si="658"/>
        <v>7519448.9784146333</v>
      </c>
      <c r="O191" s="442">
        <f t="shared" si="658"/>
        <v>7677589.9672390232</v>
      </c>
      <c r="P191" s="442">
        <f t="shared" si="658"/>
        <v>7838893.7758399034</v>
      </c>
      <c r="Q191" s="442">
        <f t="shared" si="658"/>
        <v>8003423.6606127964</v>
      </c>
      <c r="R191" s="442">
        <f t="shared" si="658"/>
        <v>8171244.1430811519</v>
      </c>
      <c r="S191" s="442">
        <f t="shared" si="658"/>
        <v>8342421.0351988738</v>
      </c>
      <c r="T191" s="442">
        <f t="shared" si="658"/>
        <v>8517021.4651589449</v>
      </c>
      <c r="U191" s="442">
        <f t="shared" si="658"/>
        <v>8695113.9037182238</v>
      </c>
      <c r="V191" s="442">
        <f t="shared" si="658"/>
        <v>8876768.1910486873</v>
      </c>
      <c r="W191" s="442">
        <f t="shared" si="658"/>
        <v>9062055.5641257558</v>
      </c>
      <c r="X191" s="442">
        <f t="shared" si="658"/>
        <v>9251048.6846643668</v>
      </c>
      <c r="Y191" s="442">
        <f t="shared" si="658"/>
        <v>9443821.667613754</v>
      </c>
      <c r="Z191" s="442">
        <f t="shared" si="658"/>
        <v>9640450.1102221254</v>
      </c>
      <c r="AA191" s="442">
        <f t="shared" si="658"/>
        <v>9841011.1216826662</v>
      </c>
      <c r="AB191" s="442">
        <f t="shared" si="658"/>
        <v>10045583.353372416</v>
      </c>
      <c r="AC191" s="442">
        <f t="shared" si="658"/>
        <v>10254247.029695965</v>
      </c>
      <c r="AD191" s="442">
        <f t="shared" si="658"/>
        <v>10467083.979545981</v>
      </c>
      <c r="AE191" s="442">
        <f t="shared" si="658"/>
        <v>10684177.668392995</v>
      </c>
      <c r="AF191" s="442">
        <f t="shared" si="658"/>
        <v>10905613.231016951</v>
      </c>
      <c r="AG191" s="442">
        <f t="shared" si="658"/>
        <v>11131477.504893392</v>
      </c>
      <c r="AH191" s="442">
        <f t="shared" si="658"/>
        <v>11361859.064247357</v>
      </c>
      <c r="AI191" s="442">
        <f t="shared" si="658"/>
        <v>11596848.254788401</v>
      </c>
      <c r="AJ191" s="442">
        <f t="shared" si="658"/>
        <v>11836537.229140267</v>
      </c>
      <c r="AK191" s="442">
        <f t="shared" si="658"/>
        <v>12081019.982979165</v>
      </c>
      <c r="AL191" s="442">
        <f t="shared" si="658"/>
        <v>12330392.391894849</v>
      </c>
      <c r="AM191" s="442">
        <f t="shared" si="658"/>
        <v>12584752.248988844</v>
      </c>
      <c r="AN191" s="442">
        <f t="shared" si="658"/>
        <v>12844199.30322472</v>
      </c>
      <c r="AO191" s="442">
        <f t="shared" si="658"/>
        <v>13108835.298545308</v>
      </c>
      <c r="AP191" s="442">
        <f t="shared" si="658"/>
        <v>13378764.013772314</v>
      </c>
      <c r="AQ191" s="442">
        <f t="shared" si="658"/>
        <v>6827045.6516519282</v>
      </c>
    </row>
    <row r="192" spans="2:43">
      <c r="B192" s="7" t="str">
        <f t="shared" si="657"/>
        <v>Parking</v>
      </c>
      <c r="C192" s="97"/>
      <c r="D192" s="479"/>
      <c r="E192" s="507"/>
      <c r="F192" s="507"/>
      <c r="G192" s="97"/>
      <c r="H192" s="97"/>
      <c r="I192" s="540">
        <f t="shared" si="654"/>
        <v>1776319.1998748712</v>
      </c>
      <c r="J192" s="442">
        <f t="shared" ref="J192:AQ192" si="659">SUMIF($J$6:$OO$6,J$114,$J84:$OO84)</f>
        <v>0</v>
      </c>
      <c r="K192" s="442">
        <f t="shared" si="659"/>
        <v>0</v>
      </c>
      <c r="L192" s="442">
        <f t="shared" si="659"/>
        <v>0</v>
      </c>
      <c r="M192" s="442">
        <f t="shared" si="659"/>
        <v>21375</v>
      </c>
      <c r="N192" s="442">
        <f t="shared" si="659"/>
        <v>43650</v>
      </c>
      <c r="O192" s="442">
        <f t="shared" si="659"/>
        <v>44568</v>
      </c>
      <c r="P192" s="442">
        <f t="shared" si="659"/>
        <v>45504.359999999993</v>
      </c>
      <c r="Q192" s="442">
        <f t="shared" si="659"/>
        <v>46459.447200000017</v>
      </c>
      <c r="R192" s="442">
        <f t="shared" si="659"/>
        <v>47433.636144000018</v>
      </c>
      <c r="S192" s="442">
        <f t="shared" si="659"/>
        <v>48427.30886687999</v>
      </c>
      <c r="T192" s="442">
        <f t="shared" si="659"/>
        <v>49440.855044217598</v>
      </c>
      <c r="U192" s="442">
        <f t="shared" si="659"/>
        <v>50474.672145101948</v>
      </c>
      <c r="V192" s="442">
        <f t="shared" si="659"/>
        <v>51529.165588003983</v>
      </c>
      <c r="W192" s="442">
        <f t="shared" si="659"/>
        <v>52604.748899764054</v>
      </c>
      <c r="X192" s="442">
        <f t="shared" si="659"/>
        <v>53701.843877759347</v>
      </c>
      <c r="Y192" s="442">
        <f t="shared" si="659"/>
        <v>54820.880755314538</v>
      </c>
      <c r="Z192" s="442">
        <f t="shared" si="659"/>
        <v>55962.298370420809</v>
      </c>
      <c r="AA192" s="442">
        <f t="shared" si="659"/>
        <v>57126.544337829233</v>
      </c>
      <c r="AB192" s="442">
        <f t="shared" si="659"/>
        <v>58314.075224585824</v>
      </c>
      <c r="AC192" s="442">
        <f t="shared" si="659"/>
        <v>59525.356729077554</v>
      </c>
      <c r="AD192" s="442">
        <f t="shared" si="659"/>
        <v>60760.863863659113</v>
      </c>
      <c r="AE192" s="442">
        <f t="shared" si="659"/>
        <v>62021.081140932256</v>
      </c>
      <c r="AF192" s="442">
        <f t="shared" si="659"/>
        <v>63306.502763750927</v>
      </c>
      <c r="AG192" s="442">
        <f t="shared" si="659"/>
        <v>64617.63281902593</v>
      </c>
      <c r="AH192" s="442">
        <f t="shared" si="659"/>
        <v>65954.985475406444</v>
      </c>
      <c r="AI192" s="442">
        <f t="shared" si="659"/>
        <v>67319.085184914584</v>
      </c>
      <c r="AJ192" s="442">
        <f t="shared" si="659"/>
        <v>68710.466888612878</v>
      </c>
      <c r="AK192" s="442">
        <f t="shared" si="659"/>
        <v>70129.676226385127</v>
      </c>
      <c r="AL192" s="442">
        <f t="shared" si="659"/>
        <v>71577.269750912819</v>
      </c>
      <c r="AM192" s="442">
        <f t="shared" si="659"/>
        <v>73053.81514593109</v>
      </c>
      <c r="AN192" s="442">
        <f t="shared" si="659"/>
        <v>74559.891448849696</v>
      </c>
      <c r="AO192" s="442">
        <f t="shared" si="659"/>
        <v>76096.089277826715</v>
      </c>
      <c r="AP192" s="442">
        <f t="shared" si="659"/>
        <v>77663.011063383223</v>
      </c>
      <c r="AQ192" s="442">
        <f t="shared" si="659"/>
        <v>39630.635642325455</v>
      </c>
    </row>
    <row r="193" spans="2:43">
      <c r="B193" s="7" t="str">
        <f t="shared" si="657"/>
        <v>Commercial</v>
      </c>
      <c r="C193" s="97"/>
      <c r="D193" s="479"/>
      <c r="E193" s="507"/>
      <c r="F193" s="507"/>
      <c r="G193" s="97"/>
      <c r="H193" s="97"/>
      <c r="I193" s="540">
        <f t="shared" si="654"/>
        <v>0</v>
      </c>
      <c r="J193" s="442">
        <f t="shared" ref="J193:AQ193" si="660">SUMIF($J$6:$OO$6,J$114,$J85:$OO85)</f>
        <v>0</v>
      </c>
      <c r="K193" s="442">
        <f t="shared" si="660"/>
        <v>0</v>
      </c>
      <c r="L193" s="442">
        <f t="shared" si="660"/>
        <v>0</v>
      </c>
      <c r="M193" s="442">
        <f t="shared" si="660"/>
        <v>0</v>
      </c>
      <c r="N193" s="442">
        <f t="shared" si="660"/>
        <v>0</v>
      </c>
      <c r="O193" s="442">
        <f t="shared" si="660"/>
        <v>0</v>
      </c>
      <c r="P193" s="442">
        <f t="shared" si="660"/>
        <v>0</v>
      </c>
      <c r="Q193" s="442">
        <f t="shared" si="660"/>
        <v>0</v>
      </c>
      <c r="R193" s="442">
        <f t="shared" si="660"/>
        <v>0</v>
      </c>
      <c r="S193" s="442">
        <f t="shared" si="660"/>
        <v>0</v>
      </c>
      <c r="T193" s="442">
        <f t="shared" si="660"/>
        <v>0</v>
      </c>
      <c r="U193" s="442">
        <f t="shared" si="660"/>
        <v>0</v>
      </c>
      <c r="V193" s="442">
        <f t="shared" si="660"/>
        <v>0</v>
      </c>
      <c r="W193" s="442">
        <f t="shared" si="660"/>
        <v>0</v>
      </c>
      <c r="X193" s="442">
        <f t="shared" si="660"/>
        <v>0</v>
      </c>
      <c r="Y193" s="442">
        <f t="shared" si="660"/>
        <v>0</v>
      </c>
      <c r="Z193" s="442">
        <f t="shared" si="660"/>
        <v>0</v>
      </c>
      <c r="AA193" s="442">
        <f t="shared" si="660"/>
        <v>0</v>
      </c>
      <c r="AB193" s="442">
        <f t="shared" si="660"/>
        <v>0</v>
      </c>
      <c r="AC193" s="442">
        <f t="shared" si="660"/>
        <v>0</v>
      </c>
      <c r="AD193" s="442">
        <f t="shared" si="660"/>
        <v>0</v>
      </c>
      <c r="AE193" s="442">
        <f t="shared" si="660"/>
        <v>0</v>
      </c>
      <c r="AF193" s="442">
        <f t="shared" si="660"/>
        <v>0</v>
      </c>
      <c r="AG193" s="442">
        <f t="shared" si="660"/>
        <v>0</v>
      </c>
      <c r="AH193" s="442">
        <f t="shared" si="660"/>
        <v>0</v>
      </c>
      <c r="AI193" s="442">
        <f t="shared" si="660"/>
        <v>0</v>
      </c>
      <c r="AJ193" s="442">
        <f t="shared" si="660"/>
        <v>0</v>
      </c>
      <c r="AK193" s="442">
        <f t="shared" si="660"/>
        <v>0</v>
      </c>
      <c r="AL193" s="442">
        <f t="shared" si="660"/>
        <v>0</v>
      </c>
      <c r="AM193" s="442">
        <f t="shared" si="660"/>
        <v>0</v>
      </c>
      <c r="AN193" s="442">
        <f t="shared" si="660"/>
        <v>0</v>
      </c>
      <c r="AO193" s="442">
        <f t="shared" si="660"/>
        <v>0</v>
      </c>
      <c r="AP193" s="442">
        <f t="shared" si="660"/>
        <v>0</v>
      </c>
      <c r="AQ193" s="442">
        <f t="shared" si="660"/>
        <v>0</v>
      </c>
    </row>
    <row r="194" spans="2:43">
      <c r="B194" s="7" t="str">
        <f t="shared" si="657"/>
        <v>Community Facility</v>
      </c>
      <c r="C194" s="97"/>
      <c r="D194" s="479"/>
      <c r="E194" s="507"/>
      <c r="F194" s="507"/>
      <c r="G194" s="97"/>
      <c r="H194" s="97"/>
      <c r="I194" s="540">
        <f t="shared" si="654"/>
        <v>0</v>
      </c>
      <c r="J194" s="442">
        <f t="shared" ref="J194:AQ194" si="661">SUMIF($J$6:$OO$6,J$114,$J86:$OO86)</f>
        <v>0</v>
      </c>
      <c r="K194" s="442">
        <f t="shared" si="661"/>
        <v>0</v>
      </c>
      <c r="L194" s="442">
        <f t="shared" si="661"/>
        <v>0</v>
      </c>
      <c r="M194" s="442">
        <f t="shared" si="661"/>
        <v>0</v>
      </c>
      <c r="N194" s="442">
        <f t="shared" si="661"/>
        <v>0</v>
      </c>
      <c r="O194" s="442">
        <f t="shared" si="661"/>
        <v>0</v>
      </c>
      <c r="P194" s="442">
        <f t="shared" si="661"/>
        <v>0</v>
      </c>
      <c r="Q194" s="442">
        <f t="shared" si="661"/>
        <v>0</v>
      </c>
      <c r="R194" s="442">
        <f t="shared" si="661"/>
        <v>0</v>
      </c>
      <c r="S194" s="442">
        <f t="shared" si="661"/>
        <v>0</v>
      </c>
      <c r="T194" s="442">
        <f t="shared" si="661"/>
        <v>0</v>
      </c>
      <c r="U194" s="442">
        <f t="shared" si="661"/>
        <v>0</v>
      </c>
      <c r="V194" s="442">
        <f t="shared" si="661"/>
        <v>0</v>
      </c>
      <c r="W194" s="442">
        <f t="shared" si="661"/>
        <v>0</v>
      </c>
      <c r="X194" s="442">
        <f t="shared" si="661"/>
        <v>0</v>
      </c>
      <c r="Y194" s="442">
        <f t="shared" si="661"/>
        <v>0</v>
      </c>
      <c r="Z194" s="442">
        <f t="shared" si="661"/>
        <v>0</v>
      </c>
      <c r="AA194" s="442">
        <f t="shared" si="661"/>
        <v>0</v>
      </c>
      <c r="AB194" s="442">
        <f t="shared" si="661"/>
        <v>0</v>
      </c>
      <c r="AC194" s="442">
        <f t="shared" si="661"/>
        <v>0</v>
      </c>
      <c r="AD194" s="442">
        <f t="shared" si="661"/>
        <v>0</v>
      </c>
      <c r="AE194" s="442">
        <f t="shared" si="661"/>
        <v>0</v>
      </c>
      <c r="AF194" s="442">
        <f t="shared" si="661"/>
        <v>0</v>
      </c>
      <c r="AG194" s="442">
        <f t="shared" si="661"/>
        <v>0</v>
      </c>
      <c r="AH194" s="442">
        <f t="shared" si="661"/>
        <v>0</v>
      </c>
      <c r="AI194" s="442">
        <f t="shared" si="661"/>
        <v>0</v>
      </c>
      <c r="AJ194" s="442">
        <f t="shared" si="661"/>
        <v>0</v>
      </c>
      <c r="AK194" s="442">
        <f t="shared" si="661"/>
        <v>0</v>
      </c>
      <c r="AL194" s="442">
        <f t="shared" si="661"/>
        <v>0</v>
      </c>
      <c r="AM194" s="442">
        <f t="shared" si="661"/>
        <v>0</v>
      </c>
      <c r="AN194" s="442">
        <f t="shared" si="661"/>
        <v>0</v>
      </c>
      <c r="AO194" s="442">
        <f t="shared" si="661"/>
        <v>0</v>
      </c>
      <c r="AP194" s="442">
        <f t="shared" si="661"/>
        <v>0</v>
      </c>
      <c r="AQ194" s="442">
        <f t="shared" si="661"/>
        <v>0</v>
      </c>
    </row>
    <row r="195" spans="2:43">
      <c r="B195" s="7" t="str">
        <f t="shared" si="657"/>
        <v>Laundry</v>
      </c>
      <c r="C195" s="97"/>
      <c r="D195" s="479"/>
      <c r="E195" s="507"/>
      <c r="F195" s="507"/>
      <c r="G195" s="97"/>
      <c r="H195" s="97"/>
      <c r="I195" s="540">
        <f t="shared" si="654"/>
        <v>1499204.0446902204</v>
      </c>
      <c r="J195" s="442">
        <f t="shared" ref="J195:AQ195" si="662">SUMIF($J$6:$OO$6,J$114,$J87:$OO87)</f>
        <v>0</v>
      </c>
      <c r="K195" s="442">
        <f t="shared" si="662"/>
        <v>0</v>
      </c>
      <c r="L195" s="442">
        <f t="shared" si="662"/>
        <v>0</v>
      </c>
      <c r="M195" s="442">
        <f t="shared" si="662"/>
        <v>17766</v>
      </c>
      <c r="N195" s="442">
        <f t="shared" si="662"/>
        <v>36321.599999999999</v>
      </c>
      <c r="O195" s="442">
        <f t="shared" si="662"/>
        <v>37126.991999999998</v>
      </c>
      <c r="P195" s="442">
        <f t="shared" si="662"/>
        <v>37948.491839999995</v>
      </c>
      <c r="Q195" s="442">
        <f t="shared" si="662"/>
        <v>38786.421676799997</v>
      </c>
      <c r="R195" s="442">
        <f t="shared" si="662"/>
        <v>39641.110110335991</v>
      </c>
      <c r="S195" s="442">
        <f t="shared" si="662"/>
        <v>40512.892312542717</v>
      </c>
      <c r="T195" s="442">
        <f t="shared" si="662"/>
        <v>41402.11015879357</v>
      </c>
      <c r="U195" s="442">
        <f t="shared" si="662"/>
        <v>42309.112361969448</v>
      </c>
      <c r="V195" s="442">
        <f t="shared" si="662"/>
        <v>43234.254609208831</v>
      </c>
      <c r="W195" s="442">
        <f t="shared" si="662"/>
        <v>44177.899701393006</v>
      </c>
      <c r="X195" s="442">
        <f t="shared" si="662"/>
        <v>45140.417695420874</v>
      </c>
      <c r="Y195" s="442">
        <f t="shared" si="662"/>
        <v>46122.18604932927</v>
      </c>
      <c r="Z195" s="442">
        <f t="shared" si="662"/>
        <v>47123.589770315877</v>
      </c>
      <c r="AA195" s="442">
        <f t="shared" si="662"/>
        <v>48145.021565722207</v>
      </c>
      <c r="AB195" s="442">
        <f t="shared" si="662"/>
        <v>49186.881997036638</v>
      </c>
      <c r="AC195" s="442">
        <f t="shared" si="662"/>
        <v>50249.579636977367</v>
      </c>
      <c r="AD195" s="442">
        <f t="shared" si="662"/>
        <v>51333.531229716929</v>
      </c>
      <c r="AE195" s="442">
        <f t="shared" si="662"/>
        <v>52439.161854311249</v>
      </c>
      <c r="AF195" s="442">
        <f t="shared" si="662"/>
        <v>53566.905091397457</v>
      </c>
      <c r="AG195" s="442">
        <f t="shared" si="662"/>
        <v>54717.20319322541</v>
      </c>
      <c r="AH195" s="442">
        <f t="shared" si="662"/>
        <v>55890.507257089914</v>
      </c>
      <c r="AI195" s="442">
        <f t="shared" si="662"/>
        <v>57087.277402231732</v>
      </c>
      <c r="AJ195" s="442">
        <f t="shared" si="662"/>
        <v>58307.982950276368</v>
      </c>
      <c r="AK195" s="442">
        <f t="shared" si="662"/>
        <v>59553.102609281887</v>
      </c>
      <c r="AL195" s="442">
        <f t="shared" si="662"/>
        <v>60823.124661467511</v>
      </c>
      <c r="AM195" s="442">
        <f t="shared" si="662"/>
        <v>62118.547154696862</v>
      </c>
      <c r="AN195" s="442">
        <f t="shared" si="662"/>
        <v>63439.878097790788</v>
      </c>
      <c r="AO195" s="442">
        <f t="shared" si="662"/>
        <v>64787.635659746644</v>
      </c>
      <c r="AP195" s="442">
        <f t="shared" si="662"/>
        <v>66162.34837294156</v>
      </c>
      <c r="AQ195" s="442">
        <f t="shared" si="662"/>
        <v>33782.277670200194</v>
      </c>
    </row>
    <row r="196" spans="2:43">
      <c r="B196" s="516" t="str">
        <f t="shared" si="657"/>
        <v>Effective Gross Income:</v>
      </c>
      <c r="C196" s="532"/>
      <c r="D196" s="105"/>
      <c r="E196" s="105"/>
      <c r="F196" s="105"/>
      <c r="G196" s="105"/>
      <c r="H196" s="105"/>
      <c r="I196" s="541">
        <f t="shared" si="654"/>
        <v>309276476.11598313</v>
      </c>
      <c r="J196" s="505">
        <f t="shared" ref="J196:AQ196" si="663">SUMIF($J$6:$OO$6,J$114,$J88:$OO88)</f>
        <v>0</v>
      </c>
      <c r="K196" s="505">
        <f t="shared" si="663"/>
        <v>0</v>
      </c>
      <c r="L196" s="505">
        <f t="shared" si="663"/>
        <v>0</v>
      </c>
      <c r="M196" s="505">
        <f t="shared" si="663"/>
        <v>3721345.3966463418</v>
      </c>
      <c r="N196" s="505">
        <f t="shared" si="663"/>
        <v>7599420.5784146329</v>
      </c>
      <c r="O196" s="505">
        <f t="shared" si="663"/>
        <v>7759284.9592390237</v>
      </c>
      <c r="P196" s="505">
        <f t="shared" si="663"/>
        <v>7922346.6276799021</v>
      </c>
      <c r="Q196" s="505">
        <f t="shared" si="663"/>
        <v>8088669.5294895964</v>
      </c>
      <c r="R196" s="505">
        <f t="shared" si="663"/>
        <v>8258318.889335487</v>
      </c>
      <c r="S196" s="505">
        <f t="shared" si="663"/>
        <v>8431361.2363782935</v>
      </c>
      <c r="T196" s="505">
        <f t="shared" si="663"/>
        <v>8607864.4303619564</v>
      </c>
      <c r="U196" s="505">
        <f t="shared" si="663"/>
        <v>8787897.6882252935</v>
      </c>
      <c r="V196" s="505">
        <f t="shared" si="663"/>
        <v>8971531.6112458967</v>
      </c>
      <c r="W196" s="505">
        <f t="shared" si="663"/>
        <v>9158838.2127269134</v>
      </c>
      <c r="X196" s="505">
        <f t="shared" si="663"/>
        <v>9349890.9462375436</v>
      </c>
      <c r="Y196" s="505">
        <f t="shared" si="663"/>
        <v>9544764.7344183978</v>
      </c>
      <c r="Z196" s="505">
        <f t="shared" si="663"/>
        <v>9743535.9983628634</v>
      </c>
      <c r="AA196" s="505">
        <f t="shared" si="663"/>
        <v>9946282.6875862181</v>
      </c>
      <c r="AB196" s="505">
        <f t="shared" si="663"/>
        <v>10153084.310594037</v>
      </c>
      <c r="AC196" s="505">
        <f t="shared" si="663"/>
        <v>10364021.966062017</v>
      </c>
      <c r="AD196" s="505">
        <f t="shared" si="663"/>
        <v>10579178.374639355</v>
      </c>
      <c r="AE196" s="505">
        <f t="shared" si="663"/>
        <v>10798637.911388241</v>
      </c>
      <c r="AF196" s="505">
        <f t="shared" si="663"/>
        <v>11022486.6388721</v>
      </c>
      <c r="AG196" s="505">
        <f t="shared" si="663"/>
        <v>11250812.340905644</v>
      </c>
      <c r="AH196" s="505">
        <f t="shared" si="663"/>
        <v>11483704.55697985</v>
      </c>
      <c r="AI196" s="505">
        <f t="shared" si="663"/>
        <v>11721254.617375547</v>
      </c>
      <c r="AJ196" s="505">
        <f t="shared" si="663"/>
        <v>11963555.678979151</v>
      </c>
      <c r="AK196" s="505">
        <f t="shared" si="663"/>
        <v>12210702.761814838</v>
      </c>
      <c r="AL196" s="505">
        <f t="shared" si="663"/>
        <v>12462792.786307231</v>
      </c>
      <c r="AM196" s="505">
        <f t="shared" si="663"/>
        <v>12719924.61128947</v>
      </c>
      <c r="AN196" s="505">
        <f t="shared" si="663"/>
        <v>12982199.072771361</v>
      </c>
      <c r="AO196" s="505">
        <f t="shared" si="663"/>
        <v>13249719.023482881</v>
      </c>
      <c r="AP196" s="505">
        <f t="shared" si="663"/>
        <v>13522589.373208636</v>
      </c>
      <c r="AQ196" s="505">
        <f t="shared" si="663"/>
        <v>6900458.5649644556</v>
      </c>
    </row>
    <row r="197" spans="2:43">
      <c r="B197" s="476"/>
      <c r="C197" s="480"/>
      <c r="I197" s="540"/>
    </row>
    <row r="198" spans="2:43">
      <c r="B198" s="174" t="str">
        <f>B90</f>
        <v>Maintenance &amp; Operating Expenses</v>
      </c>
      <c r="C198" s="530"/>
      <c r="I198" s="540"/>
    </row>
    <row r="199" spans="2:43">
      <c r="B199" s="7" t="str">
        <f>B91</f>
        <v>Operating Expenses:</v>
      </c>
      <c r="C199" s="533"/>
      <c r="D199" s="479"/>
      <c r="E199" s="507"/>
      <c r="F199" s="507"/>
      <c r="G199" s="97"/>
      <c r="H199" s="97"/>
      <c r="I199" s="540">
        <f t="shared" si="654"/>
        <v>-132576709.17618772</v>
      </c>
      <c r="J199" s="525">
        <f t="shared" ref="J199:AQ199" si="664">SUMIF($J$6:$OO$6,J$114,$J91:$OO91)</f>
        <v>0</v>
      </c>
      <c r="K199" s="525">
        <f t="shared" si="664"/>
        <v>0</v>
      </c>
      <c r="L199" s="525">
        <f t="shared" si="664"/>
        <v>0</v>
      </c>
      <c r="M199" s="525">
        <f t="shared" si="664"/>
        <v>-1372741</v>
      </c>
      <c r="N199" s="525">
        <f t="shared" si="664"/>
        <v>-2827846.4599999995</v>
      </c>
      <c r="O199" s="525">
        <f t="shared" si="664"/>
        <v>-2912681.8538000002</v>
      </c>
      <c r="P199" s="525">
        <f t="shared" si="664"/>
        <v>-3000062.3094139993</v>
      </c>
      <c r="Q199" s="525">
        <f t="shared" si="664"/>
        <v>-3090064.17869642</v>
      </c>
      <c r="R199" s="525">
        <f t="shared" si="664"/>
        <v>-3182766.1040573115</v>
      </c>
      <c r="S199" s="525">
        <f t="shared" si="664"/>
        <v>-3278249.0871790326</v>
      </c>
      <c r="T199" s="525">
        <f t="shared" si="664"/>
        <v>-3376596.5597944017</v>
      </c>
      <c r="U199" s="525">
        <f t="shared" si="664"/>
        <v>-3477894.4565882343</v>
      </c>
      <c r="V199" s="525">
        <f t="shared" si="664"/>
        <v>-3582231.2902858816</v>
      </c>
      <c r="W199" s="525">
        <f t="shared" si="664"/>
        <v>-3689698.2289944575</v>
      </c>
      <c r="X199" s="525">
        <f t="shared" si="664"/>
        <v>-3800389.1758642928</v>
      </c>
      <c r="Y199" s="525">
        <f t="shared" si="664"/>
        <v>-3914400.8511402193</v>
      </c>
      <c r="Z199" s="525">
        <f t="shared" si="664"/>
        <v>-4031832.8766744272</v>
      </c>
      <c r="AA199" s="525">
        <f t="shared" si="664"/>
        <v>-4152787.8629746609</v>
      </c>
      <c r="AB199" s="525">
        <f t="shared" si="664"/>
        <v>-4277371.4988639001</v>
      </c>
      <c r="AC199" s="525">
        <f t="shared" si="664"/>
        <v>-4405692.643829817</v>
      </c>
      <c r="AD199" s="525">
        <f t="shared" si="664"/>
        <v>-4537863.4231447112</v>
      </c>
      <c r="AE199" s="525">
        <f t="shared" si="664"/>
        <v>-4673999.325839052</v>
      </c>
      <c r="AF199" s="525">
        <f t="shared" si="664"/>
        <v>-4814219.3056142237</v>
      </c>
      <c r="AG199" s="525">
        <f t="shared" si="664"/>
        <v>-4958645.8847826505</v>
      </c>
      <c r="AH199" s="525">
        <f t="shared" si="664"/>
        <v>-5107405.2613261286</v>
      </c>
      <c r="AI199" s="525">
        <f t="shared" si="664"/>
        <v>-5260627.419165913</v>
      </c>
      <c r="AJ199" s="525">
        <f t="shared" si="664"/>
        <v>-5418446.2417408898</v>
      </c>
      <c r="AK199" s="525">
        <f t="shared" si="664"/>
        <v>-5580999.6289931163</v>
      </c>
      <c r="AL199" s="525">
        <f t="shared" si="664"/>
        <v>-5748429.6178629091</v>
      </c>
      <c r="AM199" s="525">
        <f t="shared" si="664"/>
        <v>-5920882.5063987998</v>
      </c>
      <c r="AN199" s="525">
        <f t="shared" si="664"/>
        <v>-6098508.9815907627</v>
      </c>
      <c r="AO199" s="525">
        <f t="shared" si="664"/>
        <v>-6281464.2510384852</v>
      </c>
      <c r="AP199" s="525">
        <f t="shared" si="664"/>
        <v>-6469908.17856964</v>
      </c>
      <c r="AQ199" s="525">
        <f t="shared" si="664"/>
        <v>-3332002.7119633639</v>
      </c>
    </row>
    <row r="200" spans="2:43">
      <c r="B200" s="7" t="str">
        <f>B92</f>
        <v xml:space="preserve"> Management Fee </v>
      </c>
      <c r="C200" s="533"/>
      <c r="D200" s="479"/>
      <c r="E200" s="507"/>
      <c r="F200" s="507"/>
      <c r="G200" s="97"/>
      <c r="H200" s="97"/>
      <c r="I200" s="540">
        <f t="shared" si="654"/>
        <v>-23361028.930946365</v>
      </c>
      <c r="J200" s="525">
        <f t="shared" ref="J200:AQ200" si="665">SUMIF($J$6:$OO$6,J$114,$J92:$OO92)</f>
        <v>0</v>
      </c>
      <c r="K200" s="525">
        <f t="shared" si="665"/>
        <v>0</v>
      </c>
      <c r="L200" s="525">
        <f t="shared" si="665"/>
        <v>0</v>
      </c>
      <c r="M200" s="525">
        <f t="shared" si="665"/>
        <v>-241887.45078201222</v>
      </c>
      <c r="N200" s="525">
        <f t="shared" si="665"/>
        <v>-498288.14861094503</v>
      </c>
      <c r="O200" s="525">
        <f t="shared" si="665"/>
        <v>-513236.79306927341</v>
      </c>
      <c r="P200" s="525">
        <f t="shared" si="665"/>
        <v>-528633.89686135168</v>
      </c>
      <c r="Q200" s="525">
        <f t="shared" si="665"/>
        <v>-544492.91376719216</v>
      </c>
      <c r="R200" s="525">
        <f t="shared" si="665"/>
        <v>-560827.70118020778</v>
      </c>
      <c r="S200" s="525">
        <f t="shared" si="665"/>
        <v>-577652.53221561422</v>
      </c>
      <c r="T200" s="525">
        <f t="shared" si="665"/>
        <v>-594982.10818208277</v>
      </c>
      <c r="U200" s="525">
        <f t="shared" si="665"/>
        <v>-612831.57142754504</v>
      </c>
      <c r="V200" s="525">
        <f t="shared" si="665"/>
        <v>-631216.51857037144</v>
      </c>
      <c r="W200" s="525">
        <f t="shared" si="665"/>
        <v>-650153.01412748231</v>
      </c>
      <c r="X200" s="525">
        <f t="shared" si="665"/>
        <v>-669657.60455130704</v>
      </c>
      <c r="Y200" s="525">
        <f t="shared" si="665"/>
        <v>-689747.33268784627</v>
      </c>
      <c r="Z200" s="525">
        <f t="shared" si="665"/>
        <v>-710439.75266848179</v>
      </c>
      <c r="AA200" s="525">
        <f t="shared" si="665"/>
        <v>-731752.94524853618</v>
      </c>
      <c r="AB200" s="525">
        <f t="shared" si="665"/>
        <v>-753705.53360599233</v>
      </c>
      <c r="AC200" s="525">
        <f t="shared" si="665"/>
        <v>-776316.69961417175</v>
      </c>
      <c r="AD200" s="525">
        <f t="shared" si="665"/>
        <v>-799606.20060259697</v>
      </c>
      <c r="AE200" s="525">
        <f t="shared" si="665"/>
        <v>-823594.3866206751</v>
      </c>
      <c r="AF200" s="525">
        <f t="shared" si="665"/>
        <v>-848302.21821929526</v>
      </c>
      <c r="AG200" s="525">
        <f t="shared" si="665"/>
        <v>-873751.28476587369</v>
      </c>
      <c r="AH200" s="525">
        <f t="shared" si="665"/>
        <v>-899963.82330884982</v>
      </c>
      <c r="AI200" s="525">
        <f t="shared" si="665"/>
        <v>-926962.73800811591</v>
      </c>
      <c r="AJ200" s="525">
        <f t="shared" si="665"/>
        <v>-954771.62014835922</v>
      </c>
      <c r="AK200" s="525">
        <f t="shared" si="665"/>
        <v>-983414.76875281008</v>
      </c>
      <c r="AL200" s="525">
        <f t="shared" si="665"/>
        <v>-1012917.2118153941</v>
      </c>
      <c r="AM200" s="525">
        <f t="shared" si="665"/>
        <v>-1043304.7281698558</v>
      </c>
      <c r="AN200" s="525">
        <f t="shared" si="665"/>
        <v>-1074603.8700149518</v>
      </c>
      <c r="AO200" s="525">
        <f t="shared" si="665"/>
        <v>-1106841.9861154002</v>
      </c>
      <c r="AP200" s="525">
        <f t="shared" si="665"/>
        <v>-1140047.2456988622</v>
      </c>
      <c r="AQ200" s="525">
        <f t="shared" si="665"/>
        <v>-587124.33153491397</v>
      </c>
    </row>
    <row r="201" spans="2:43">
      <c r="B201" s="516" t="str">
        <f>B93</f>
        <v>Total Operating Expenses</v>
      </c>
      <c r="C201" s="532"/>
      <c r="D201" s="105"/>
      <c r="E201" s="105"/>
      <c r="F201" s="105"/>
      <c r="G201" s="105"/>
      <c r="H201" s="105"/>
      <c r="I201" s="541">
        <f t="shared" si="654"/>
        <v>-155937738.10713407</v>
      </c>
      <c r="J201" s="447">
        <f t="shared" ref="J201:AQ201" si="666">SUMIF($J$6:$OO$6,J$114,$J93:$OO93)</f>
        <v>0</v>
      </c>
      <c r="K201" s="447">
        <f t="shared" si="666"/>
        <v>0</v>
      </c>
      <c r="L201" s="447">
        <f t="shared" si="666"/>
        <v>0</v>
      </c>
      <c r="M201" s="447">
        <f t="shared" si="666"/>
        <v>-1614628.4507820122</v>
      </c>
      <c r="N201" s="447">
        <f t="shared" si="666"/>
        <v>-3326134.6086109462</v>
      </c>
      <c r="O201" s="447">
        <f t="shared" si="666"/>
        <v>-3425918.6468692734</v>
      </c>
      <c r="P201" s="447">
        <f t="shared" si="666"/>
        <v>-3528696.2062753513</v>
      </c>
      <c r="Q201" s="447">
        <f t="shared" si="666"/>
        <v>-3634557.0924636121</v>
      </c>
      <c r="R201" s="447">
        <f t="shared" si="666"/>
        <v>-3743593.8052375205</v>
      </c>
      <c r="S201" s="447">
        <f t="shared" si="666"/>
        <v>-3855901.6193946456</v>
      </c>
      <c r="T201" s="447">
        <f t="shared" si="666"/>
        <v>-3971578.6679764856</v>
      </c>
      <c r="U201" s="447">
        <f t="shared" si="666"/>
        <v>-4090726.0280157807</v>
      </c>
      <c r="V201" s="447">
        <f t="shared" si="666"/>
        <v>-4213447.8088562516</v>
      </c>
      <c r="W201" s="447">
        <f t="shared" si="666"/>
        <v>-4339851.2431219406</v>
      </c>
      <c r="X201" s="447">
        <f t="shared" si="666"/>
        <v>-4470046.7804155992</v>
      </c>
      <c r="Y201" s="447">
        <f t="shared" si="666"/>
        <v>-4604148.1838280661</v>
      </c>
      <c r="Z201" s="447">
        <f t="shared" si="666"/>
        <v>-4742272.629342908</v>
      </c>
      <c r="AA201" s="447">
        <f t="shared" si="666"/>
        <v>-4884540.8082231963</v>
      </c>
      <c r="AB201" s="447">
        <f t="shared" si="666"/>
        <v>-5031077.0324698919</v>
      </c>
      <c r="AC201" s="447">
        <f t="shared" si="666"/>
        <v>-5182009.343443987</v>
      </c>
      <c r="AD201" s="447">
        <f t="shared" si="666"/>
        <v>-5337469.6237473078</v>
      </c>
      <c r="AE201" s="447">
        <f t="shared" si="666"/>
        <v>-5497593.7124597253</v>
      </c>
      <c r="AF201" s="447">
        <f t="shared" si="666"/>
        <v>-5662521.5238335198</v>
      </c>
      <c r="AG201" s="447">
        <f t="shared" si="666"/>
        <v>-5832397.1695485227</v>
      </c>
      <c r="AH201" s="447">
        <f t="shared" si="666"/>
        <v>-6007369.0846349783</v>
      </c>
      <c r="AI201" s="447">
        <f t="shared" si="666"/>
        <v>-6187590.1571740285</v>
      </c>
      <c r="AJ201" s="447">
        <f t="shared" si="666"/>
        <v>-6373217.8618892478</v>
      </c>
      <c r="AK201" s="447">
        <f t="shared" si="666"/>
        <v>-6564414.3977459269</v>
      </c>
      <c r="AL201" s="447">
        <f t="shared" si="666"/>
        <v>-6761346.8296783045</v>
      </c>
      <c r="AM201" s="447">
        <f t="shared" si="666"/>
        <v>-6964187.2345686564</v>
      </c>
      <c r="AN201" s="447">
        <f t="shared" si="666"/>
        <v>-7173112.8516057143</v>
      </c>
      <c r="AO201" s="447">
        <f t="shared" si="666"/>
        <v>-7388306.237153884</v>
      </c>
      <c r="AP201" s="447">
        <f t="shared" si="666"/>
        <v>-7609955.4242685027</v>
      </c>
      <c r="AQ201" s="447">
        <f t="shared" si="666"/>
        <v>-3919127.0434982781</v>
      </c>
    </row>
    <row r="202" spans="2:43">
      <c r="B202" s="476"/>
      <c r="C202" s="480"/>
      <c r="I202" s="540"/>
    </row>
    <row r="203" spans="2:43">
      <c r="B203" s="7" t="str">
        <f>B95</f>
        <v>Replacement Reserves</v>
      </c>
      <c r="C203" s="533"/>
      <c r="D203" s="479"/>
      <c r="E203" s="507"/>
      <c r="F203" s="507"/>
      <c r="G203" s="97"/>
      <c r="H203" s="97"/>
      <c r="I203" s="540">
        <f t="shared" si="654"/>
        <v>-5391006.6763722384</v>
      </c>
      <c r="J203" s="525">
        <f t="shared" ref="J203:AQ203" si="667">SUMIF($J$6:$OO$6,J$114,$J95:$OO95)</f>
        <v>0</v>
      </c>
      <c r="K203" s="525">
        <f t="shared" si="667"/>
        <v>0</v>
      </c>
      <c r="L203" s="525">
        <f t="shared" si="667"/>
        <v>0</v>
      </c>
      <c r="M203" s="525">
        <f t="shared" si="667"/>
        <v>-55820.180949695125</v>
      </c>
      <c r="N203" s="525">
        <f t="shared" si="667"/>
        <v>-114989.57275637197</v>
      </c>
      <c r="O203" s="525">
        <f t="shared" si="667"/>
        <v>-118439.25993906309</v>
      </c>
      <c r="P203" s="525">
        <f t="shared" si="667"/>
        <v>-121992.43773723503</v>
      </c>
      <c r="Q203" s="525">
        <f t="shared" si="667"/>
        <v>-125652.210869352</v>
      </c>
      <c r="R203" s="525">
        <f t="shared" si="667"/>
        <v>-129421.77719543262</v>
      </c>
      <c r="S203" s="525">
        <f t="shared" si="667"/>
        <v>-133304.43051129556</v>
      </c>
      <c r="T203" s="525">
        <f t="shared" si="667"/>
        <v>-137303.56342663444</v>
      </c>
      <c r="U203" s="525">
        <f t="shared" si="667"/>
        <v>-141422.67032943346</v>
      </c>
      <c r="V203" s="525">
        <f t="shared" si="667"/>
        <v>-145665.35043931648</v>
      </c>
      <c r="W203" s="525">
        <f t="shared" si="667"/>
        <v>-150035.31095249596</v>
      </c>
      <c r="X203" s="525">
        <f t="shared" si="667"/>
        <v>-154536.37028107088</v>
      </c>
      <c r="Y203" s="525">
        <f t="shared" si="667"/>
        <v>-159172.46138950298</v>
      </c>
      <c r="Z203" s="525">
        <f t="shared" si="667"/>
        <v>-163947.63523118803</v>
      </c>
      <c r="AA203" s="525">
        <f t="shared" si="667"/>
        <v>-168866.06428812366</v>
      </c>
      <c r="AB203" s="525">
        <f t="shared" si="667"/>
        <v>-173932.04621676749</v>
      </c>
      <c r="AC203" s="525">
        <f t="shared" si="667"/>
        <v>-179150.00760327038</v>
      </c>
      <c r="AD203" s="525">
        <f t="shared" si="667"/>
        <v>-184524.50783136851</v>
      </c>
      <c r="AE203" s="525">
        <f t="shared" si="667"/>
        <v>-190060.2430663096</v>
      </c>
      <c r="AF203" s="525">
        <f t="shared" si="667"/>
        <v>-195762.0503582989</v>
      </c>
      <c r="AG203" s="525">
        <f t="shared" si="667"/>
        <v>-201634.91186904788</v>
      </c>
      <c r="AH203" s="525">
        <f t="shared" si="667"/>
        <v>-207683.9592251193</v>
      </c>
      <c r="AI203" s="525">
        <f t="shared" si="667"/>
        <v>-213914.47800187289</v>
      </c>
      <c r="AJ203" s="525">
        <f t="shared" si="667"/>
        <v>-220331.91234192907</v>
      </c>
      <c r="AK203" s="525">
        <f t="shared" si="667"/>
        <v>-226941.86971218686</v>
      </c>
      <c r="AL203" s="525">
        <f t="shared" si="667"/>
        <v>-233750.12580355248</v>
      </c>
      <c r="AM203" s="525">
        <f t="shared" si="667"/>
        <v>-240762.6295776591</v>
      </c>
      <c r="AN203" s="525">
        <f t="shared" si="667"/>
        <v>-247985.50846498887</v>
      </c>
      <c r="AO203" s="525">
        <f t="shared" si="667"/>
        <v>-255425.07371893848</v>
      </c>
      <c r="AP203" s="525">
        <f t="shared" si="667"/>
        <v>-263087.82593050657</v>
      </c>
      <c r="AQ203" s="525">
        <f t="shared" si="667"/>
        <v>-135490.23035421091</v>
      </c>
    </row>
    <row r="204" spans="2:43">
      <c r="B204" s="516" t="str">
        <f>B96</f>
        <v>Total Expenses &amp; Reserves</v>
      </c>
      <c r="C204" s="532"/>
      <c r="D204" s="105"/>
      <c r="E204" s="105"/>
      <c r="F204" s="105"/>
      <c r="G204" s="105"/>
      <c r="H204" s="105"/>
      <c r="I204" s="541">
        <f t="shared" si="654"/>
        <v>-5391006.6763722384</v>
      </c>
      <c r="J204" s="447">
        <f t="shared" ref="J204:AQ204" si="668">SUMIF($J$6:$OO$6,J$114,$J96:$OO96)</f>
        <v>0</v>
      </c>
      <c r="K204" s="447">
        <f t="shared" si="668"/>
        <v>0</v>
      </c>
      <c r="L204" s="447">
        <f t="shared" si="668"/>
        <v>0</v>
      </c>
      <c r="M204" s="447">
        <f t="shared" si="668"/>
        <v>-55820.180949695125</v>
      </c>
      <c r="N204" s="447">
        <f t="shared" si="668"/>
        <v>-114989.57275637197</v>
      </c>
      <c r="O204" s="447">
        <f t="shared" si="668"/>
        <v>-118439.25993906309</v>
      </c>
      <c r="P204" s="447">
        <f t="shared" si="668"/>
        <v>-121992.43773723503</v>
      </c>
      <c r="Q204" s="447">
        <f t="shared" si="668"/>
        <v>-125652.210869352</v>
      </c>
      <c r="R204" s="447">
        <f t="shared" si="668"/>
        <v>-129421.77719543262</v>
      </c>
      <c r="S204" s="447">
        <f t="shared" si="668"/>
        <v>-133304.43051129556</v>
      </c>
      <c r="T204" s="447">
        <f t="shared" si="668"/>
        <v>-137303.56342663444</v>
      </c>
      <c r="U204" s="447">
        <f t="shared" si="668"/>
        <v>-141422.67032943346</v>
      </c>
      <c r="V204" s="447">
        <f t="shared" si="668"/>
        <v>-145665.35043931648</v>
      </c>
      <c r="W204" s="447">
        <f t="shared" si="668"/>
        <v>-150035.31095249596</v>
      </c>
      <c r="X204" s="447">
        <f t="shared" si="668"/>
        <v>-154536.37028107088</v>
      </c>
      <c r="Y204" s="447">
        <f t="shared" si="668"/>
        <v>-159172.46138950298</v>
      </c>
      <c r="Z204" s="447">
        <f t="shared" si="668"/>
        <v>-163947.63523118803</v>
      </c>
      <c r="AA204" s="447">
        <f t="shared" si="668"/>
        <v>-168866.06428812366</v>
      </c>
      <c r="AB204" s="447">
        <f t="shared" si="668"/>
        <v>-173932.04621676749</v>
      </c>
      <c r="AC204" s="447">
        <f t="shared" si="668"/>
        <v>-179150.00760327038</v>
      </c>
      <c r="AD204" s="447">
        <f t="shared" si="668"/>
        <v>-184524.50783136851</v>
      </c>
      <c r="AE204" s="447">
        <f t="shared" si="668"/>
        <v>-190060.2430663096</v>
      </c>
      <c r="AF204" s="447">
        <f t="shared" si="668"/>
        <v>-195762.0503582989</v>
      </c>
      <c r="AG204" s="447">
        <f t="shared" si="668"/>
        <v>-201634.91186904788</v>
      </c>
      <c r="AH204" s="447">
        <f t="shared" si="668"/>
        <v>-207683.9592251193</v>
      </c>
      <c r="AI204" s="447">
        <f t="shared" si="668"/>
        <v>-213914.47800187289</v>
      </c>
      <c r="AJ204" s="447">
        <f t="shared" si="668"/>
        <v>-220331.91234192907</v>
      </c>
      <c r="AK204" s="447">
        <f t="shared" si="668"/>
        <v>-226941.86971218686</v>
      </c>
      <c r="AL204" s="447">
        <f t="shared" si="668"/>
        <v>-233750.12580355248</v>
      </c>
      <c r="AM204" s="447">
        <f t="shared" si="668"/>
        <v>-240762.6295776591</v>
      </c>
      <c r="AN204" s="447">
        <f t="shared" si="668"/>
        <v>-247985.50846498887</v>
      </c>
      <c r="AO204" s="447">
        <f t="shared" si="668"/>
        <v>-255425.07371893848</v>
      </c>
      <c r="AP204" s="447">
        <f t="shared" si="668"/>
        <v>-263087.82593050657</v>
      </c>
      <c r="AQ204" s="447">
        <f t="shared" si="668"/>
        <v>-135490.23035421091</v>
      </c>
    </row>
    <row r="205" spans="2:43">
      <c r="B205" s="476"/>
      <c r="C205" s="480"/>
      <c r="I205" s="540"/>
    </row>
    <row r="206" spans="2:43" ht="14.25" thickBot="1">
      <c r="B206" s="518" t="str">
        <f>B98</f>
        <v>Net Operating Income</v>
      </c>
      <c r="C206" s="515"/>
      <c r="D206" s="301"/>
      <c r="E206" s="301"/>
      <c r="F206" s="301"/>
      <c r="G206" s="301"/>
      <c r="H206" s="301"/>
      <c r="I206" s="545">
        <f t="shared" si="654"/>
        <v>303885469.4396109</v>
      </c>
      <c r="J206" s="521">
        <f>J196+J204</f>
        <v>0</v>
      </c>
      <c r="K206" s="521">
        <f t="shared" ref="K206:AQ206" si="669">K196+K204</f>
        <v>0</v>
      </c>
      <c r="L206" s="521">
        <f t="shared" si="669"/>
        <v>0</v>
      </c>
      <c r="M206" s="521">
        <f t="shared" si="669"/>
        <v>3665525.2156966468</v>
      </c>
      <c r="N206" s="521">
        <f t="shared" si="669"/>
        <v>7484431.0056582605</v>
      </c>
      <c r="O206" s="521">
        <f t="shared" si="669"/>
        <v>7640845.6992999604</v>
      </c>
      <c r="P206" s="521">
        <f t="shared" si="669"/>
        <v>7800354.1899426673</v>
      </c>
      <c r="Q206" s="521">
        <f t="shared" si="669"/>
        <v>7963017.318620244</v>
      </c>
      <c r="R206" s="521">
        <f t="shared" si="669"/>
        <v>8128897.1121400548</v>
      </c>
      <c r="S206" s="521">
        <f t="shared" si="669"/>
        <v>8298056.8058669977</v>
      </c>
      <c r="T206" s="521">
        <f t="shared" si="669"/>
        <v>8470560.8669353221</v>
      </c>
      <c r="U206" s="521">
        <f t="shared" si="669"/>
        <v>8646475.0178958606</v>
      </c>
      <c r="V206" s="521">
        <f t="shared" si="669"/>
        <v>8825866.260806581</v>
      </c>
      <c r="W206" s="521">
        <f t="shared" si="669"/>
        <v>9008802.9017744176</v>
      </c>
      <c r="X206" s="521">
        <f t="shared" si="669"/>
        <v>9195354.5759564731</v>
      </c>
      <c r="Y206" s="521">
        <f t="shared" si="669"/>
        <v>9385592.2730288953</v>
      </c>
      <c r="Z206" s="521">
        <f t="shared" si="669"/>
        <v>9579588.3631316759</v>
      </c>
      <c r="AA206" s="521">
        <f t="shared" si="669"/>
        <v>9777416.6232980937</v>
      </c>
      <c r="AB206" s="521">
        <f t="shared" si="669"/>
        <v>9979152.2643772699</v>
      </c>
      <c r="AC206" s="521">
        <f t="shared" si="669"/>
        <v>10184871.958458746</v>
      </c>
      <c r="AD206" s="521">
        <f t="shared" si="669"/>
        <v>10394653.866807986</v>
      </c>
      <c r="AE206" s="521">
        <f t="shared" si="669"/>
        <v>10608577.668321932</v>
      </c>
      <c r="AF206" s="521">
        <f t="shared" si="669"/>
        <v>10826724.588513801</v>
      </c>
      <c r="AG206" s="521">
        <f t="shared" si="669"/>
        <v>11049177.429036597</v>
      </c>
      <c r="AH206" s="521">
        <f t="shared" si="669"/>
        <v>11276020.59775473</v>
      </c>
      <c r="AI206" s="521">
        <f t="shared" si="669"/>
        <v>11507340.139373675</v>
      </c>
      <c r="AJ206" s="521">
        <f t="shared" si="669"/>
        <v>11743223.766637221</v>
      </c>
      <c r="AK206" s="521">
        <f t="shared" si="669"/>
        <v>11983760.892102651</v>
      </c>
      <c r="AL206" s="521">
        <f t="shared" si="669"/>
        <v>12229042.660503678</v>
      </c>
      <c r="AM206" s="521">
        <f t="shared" si="669"/>
        <v>12479161.98171181</v>
      </c>
      <c r="AN206" s="521">
        <f t="shared" si="669"/>
        <v>12734213.564306373</v>
      </c>
      <c r="AO206" s="521">
        <f t="shared" si="669"/>
        <v>12994293.949763943</v>
      </c>
      <c r="AP206" s="521">
        <f t="shared" si="669"/>
        <v>13259501.54727813</v>
      </c>
      <c r="AQ206" s="521">
        <f t="shared" si="669"/>
        <v>6764968.3346102443</v>
      </c>
    </row>
    <row r="207" spans="2:43">
      <c r="C207" s="97"/>
      <c r="I207" s="540"/>
    </row>
    <row r="208" spans="2:43">
      <c r="B208" s="222" t="str">
        <f>B100</f>
        <v>Debt Service</v>
      </c>
      <c r="C208" s="534"/>
      <c r="D208" s="223"/>
      <c r="E208" s="223"/>
      <c r="F208" s="223"/>
      <c r="G208" s="223"/>
      <c r="H208" s="223"/>
      <c r="I208" s="546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3"/>
      <c r="X208" s="223"/>
      <c r="Y208" s="223"/>
      <c r="Z208" s="223"/>
      <c r="AA208" s="223"/>
      <c r="AB208" s="223"/>
      <c r="AC208" s="223"/>
      <c r="AD208" s="223"/>
      <c r="AE208" s="223"/>
      <c r="AF208" s="223"/>
      <c r="AG208" s="223"/>
      <c r="AH208" s="223"/>
      <c r="AI208" s="223"/>
      <c r="AJ208" s="223"/>
      <c r="AK208" s="223"/>
      <c r="AL208" s="223"/>
      <c r="AM208" s="223"/>
      <c r="AN208" s="223"/>
      <c r="AO208" s="223"/>
      <c r="AP208" s="223"/>
      <c r="AQ208" s="224"/>
    </row>
    <row r="209" spans="2:43">
      <c r="B209" s="62" t="str">
        <f>B101</f>
        <v>HFA First Mortgage (Construction phase)</v>
      </c>
      <c r="C209" s="487"/>
      <c r="E209" s="507"/>
      <c r="F209" s="507"/>
      <c r="G209" s="97"/>
      <c r="I209" s="540">
        <f t="shared" si="654"/>
        <v>-5898251.2958300263</v>
      </c>
      <c r="J209" s="479">
        <f t="shared" ref="J209:AQ209" si="670">SUMIF($J$6:$OO$6,J$114,$J101:$OO101)</f>
        <v>0</v>
      </c>
      <c r="K209" s="479">
        <f t="shared" si="670"/>
        <v>-2359300.5183320106</v>
      </c>
      <c r="L209" s="479">
        <f t="shared" si="670"/>
        <v>-2359300.5183320106</v>
      </c>
      <c r="M209" s="479">
        <f t="shared" si="670"/>
        <v>-1179650.2591660053</v>
      </c>
      <c r="N209" s="479">
        <f t="shared" si="670"/>
        <v>0</v>
      </c>
      <c r="O209" s="479">
        <f t="shared" si="670"/>
        <v>0</v>
      </c>
      <c r="P209" s="479">
        <f t="shared" si="670"/>
        <v>0</v>
      </c>
      <c r="Q209" s="479">
        <f t="shared" si="670"/>
        <v>0</v>
      </c>
      <c r="R209" s="479">
        <f t="shared" si="670"/>
        <v>0</v>
      </c>
      <c r="S209" s="479">
        <f t="shared" si="670"/>
        <v>0</v>
      </c>
      <c r="T209" s="479">
        <f t="shared" si="670"/>
        <v>0</v>
      </c>
      <c r="U209" s="479">
        <f t="shared" si="670"/>
        <v>0</v>
      </c>
      <c r="V209" s="479">
        <f t="shared" si="670"/>
        <v>0</v>
      </c>
      <c r="W209" s="479">
        <f t="shared" si="670"/>
        <v>0</v>
      </c>
      <c r="X209" s="479">
        <f t="shared" si="670"/>
        <v>0</v>
      </c>
      <c r="Y209" s="479">
        <f t="shared" si="670"/>
        <v>0</v>
      </c>
      <c r="Z209" s="479">
        <f t="shared" si="670"/>
        <v>0</v>
      </c>
      <c r="AA209" s="479">
        <f t="shared" si="670"/>
        <v>0</v>
      </c>
      <c r="AB209" s="479">
        <f t="shared" si="670"/>
        <v>0</v>
      </c>
      <c r="AC209" s="479">
        <f t="shared" si="670"/>
        <v>0</v>
      </c>
      <c r="AD209" s="479">
        <f t="shared" si="670"/>
        <v>0</v>
      </c>
      <c r="AE209" s="479">
        <f t="shared" si="670"/>
        <v>0</v>
      </c>
      <c r="AF209" s="479">
        <f t="shared" si="670"/>
        <v>0</v>
      </c>
      <c r="AG209" s="479">
        <f t="shared" si="670"/>
        <v>0</v>
      </c>
      <c r="AH209" s="479">
        <f t="shared" si="670"/>
        <v>0</v>
      </c>
      <c r="AI209" s="479">
        <f t="shared" si="670"/>
        <v>0</v>
      </c>
      <c r="AJ209" s="479">
        <f t="shared" si="670"/>
        <v>0</v>
      </c>
      <c r="AK209" s="479">
        <f t="shared" si="670"/>
        <v>0</v>
      </c>
      <c r="AL209" s="479">
        <f t="shared" si="670"/>
        <v>0</v>
      </c>
      <c r="AM209" s="479">
        <f t="shared" si="670"/>
        <v>0</v>
      </c>
      <c r="AN209" s="479">
        <f t="shared" si="670"/>
        <v>0</v>
      </c>
      <c r="AO209" s="479">
        <f t="shared" si="670"/>
        <v>0</v>
      </c>
      <c r="AP209" s="479">
        <f t="shared" si="670"/>
        <v>0</v>
      </c>
      <c r="AQ209" s="528">
        <f t="shared" si="670"/>
        <v>0</v>
      </c>
    </row>
    <row r="210" spans="2:43">
      <c r="B210" s="62" t="str">
        <f>B102</f>
        <v>First Mortgage Debt Service (Post conversion)</v>
      </c>
      <c r="C210" s="487"/>
      <c r="E210" s="507"/>
      <c r="F210" s="507"/>
      <c r="G210" s="97"/>
      <c r="I210" s="540">
        <f t="shared" si="654"/>
        <v>-81395867.882454395</v>
      </c>
      <c r="J210" s="479">
        <f t="shared" ref="J210:AQ210" si="671">SUMIF($J$6:$OO$6,J$114,$J102:$OO102)</f>
        <v>0</v>
      </c>
      <c r="K210" s="479">
        <f t="shared" si="671"/>
        <v>0</v>
      </c>
      <c r="L210" s="479">
        <f t="shared" si="671"/>
        <v>0</v>
      </c>
      <c r="M210" s="479">
        <f t="shared" si="671"/>
        <v>-1356597.7980409062</v>
      </c>
      <c r="N210" s="479">
        <f t="shared" si="671"/>
        <v>-2713195.5960818124</v>
      </c>
      <c r="O210" s="479">
        <f t="shared" si="671"/>
        <v>-2713195.5960818124</v>
      </c>
      <c r="P210" s="479">
        <f t="shared" si="671"/>
        <v>-2713195.5960818124</v>
      </c>
      <c r="Q210" s="479">
        <f t="shared" si="671"/>
        <v>-2713195.5960818124</v>
      </c>
      <c r="R210" s="479">
        <f t="shared" si="671"/>
        <v>-2713195.5960818124</v>
      </c>
      <c r="S210" s="479">
        <f t="shared" si="671"/>
        <v>-2713195.5960818124</v>
      </c>
      <c r="T210" s="479">
        <f t="shared" si="671"/>
        <v>-2713195.5960818124</v>
      </c>
      <c r="U210" s="479">
        <f t="shared" si="671"/>
        <v>-2713195.5960818124</v>
      </c>
      <c r="V210" s="479">
        <f t="shared" si="671"/>
        <v>-2713195.5960818124</v>
      </c>
      <c r="W210" s="479">
        <f t="shared" si="671"/>
        <v>-2713195.5960818124</v>
      </c>
      <c r="X210" s="479">
        <f t="shared" si="671"/>
        <v>-2713195.5960818124</v>
      </c>
      <c r="Y210" s="479">
        <f t="shared" si="671"/>
        <v>-2713195.5960818124</v>
      </c>
      <c r="Z210" s="479">
        <f t="shared" si="671"/>
        <v>-2713195.5960818124</v>
      </c>
      <c r="AA210" s="479">
        <f t="shared" si="671"/>
        <v>-2713195.5960818124</v>
      </c>
      <c r="AB210" s="479">
        <f t="shared" si="671"/>
        <v>-2713195.5960818124</v>
      </c>
      <c r="AC210" s="479">
        <f t="shared" si="671"/>
        <v>-2713195.5960818124</v>
      </c>
      <c r="AD210" s="479">
        <f t="shared" si="671"/>
        <v>-2713195.5960818124</v>
      </c>
      <c r="AE210" s="479">
        <f t="shared" si="671"/>
        <v>-2713195.5960818124</v>
      </c>
      <c r="AF210" s="479">
        <f t="shared" si="671"/>
        <v>-2713195.5960818124</v>
      </c>
      <c r="AG210" s="479">
        <f t="shared" si="671"/>
        <v>-2713195.5960818124</v>
      </c>
      <c r="AH210" s="479">
        <f t="shared" si="671"/>
        <v>-2713195.5960818124</v>
      </c>
      <c r="AI210" s="479">
        <f t="shared" si="671"/>
        <v>-2713195.5960818124</v>
      </c>
      <c r="AJ210" s="479">
        <f t="shared" si="671"/>
        <v>-2713195.5960818124</v>
      </c>
      <c r="AK210" s="479">
        <f t="shared" si="671"/>
        <v>-2713195.5960818124</v>
      </c>
      <c r="AL210" s="479">
        <f t="shared" si="671"/>
        <v>-2713195.5960818124</v>
      </c>
      <c r="AM210" s="479">
        <f t="shared" si="671"/>
        <v>-2713195.5960818124</v>
      </c>
      <c r="AN210" s="479">
        <f t="shared" si="671"/>
        <v>-2713195.5960818124</v>
      </c>
      <c r="AO210" s="479">
        <f t="shared" si="671"/>
        <v>-2713195.5960818124</v>
      </c>
      <c r="AP210" s="479">
        <f t="shared" si="671"/>
        <v>-2713195.5960818124</v>
      </c>
      <c r="AQ210" s="528">
        <f t="shared" si="671"/>
        <v>-1356597.7980409062</v>
      </c>
    </row>
    <row r="211" spans="2:43">
      <c r="B211" s="62"/>
      <c r="C211" s="97"/>
      <c r="I211" s="540"/>
      <c r="AQ211" s="65"/>
    </row>
    <row r="212" spans="2:43">
      <c r="B212" s="62" t="str">
        <f>B104</f>
        <v>Subsidy Loan (NCF) (Post conversion)</v>
      </c>
      <c r="C212" s="487"/>
      <c r="E212" s="507"/>
      <c r="F212" s="507"/>
      <c r="G212" s="97"/>
      <c r="I212" s="540">
        <f t="shared" si="654"/>
        <v>-7871999.9999999991</v>
      </c>
      <c r="J212" s="479">
        <f t="shared" ref="J212:AQ212" si="672">SUMIF($J$6:$OO$6,J$114,$J104:$OO104)</f>
        <v>0</v>
      </c>
      <c r="K212" s="479">
        <f t="shared" si="672"/>
        <v>0</v>
      </c>
      <c r="L212" s="479">
        <f t="shared" si="672"/>
        <v>0</v>
      </c>
      <c r="M212" s="479">
        <f t="shared" si="672"/>
        <v>-131200</v>
      </c>
      <c r="N212" s="479">
        <f t="shared" si="672"/>
        <v>-262399.99999999994</v>
      </c>
      <c r="O212" s="479">
        <f t="shared" si="672"/>
        <v>-262399.99999999994</v>
      </c>
      <c r="P212" s="479">
        <f t="shared" si="672"/>
        <v>-262399.99999999994</v>
      </c>
      <c r="Q212" s="479">
        <f t="shared" si="672"/>
        <v>-262399.99999999994</v>
      </c>
      <c r="R212" s="479">
        <f t="shared" si="672"/>
        <v>-262399.99999999994</v>
      </c>
      <c r="S212" s="479">
        <f t="shared" si="672"/>
        <v>-262399.99999999994</v>
      </c>
      <c r="T212" s="479">
        <f t="shared" si="672"/>
        <v>-262399.99999999994</v>
      </c>
      <c r="U212" s="479">
        <f t="shared" si="672"/>
        <v>-262399.99999999994</v>
      </c>
      <c r="V212" s="479">
        <f t="shared" si="672"/>
        <v>-262399.99999999994</v>
      </c>
      <c r="W212" s="479">
        <f t="shared" si="672"/>
        <v>-262399.99999999994</v>
      </c>
      <c r="X212" s="479">
        <f t="shared" si="672"/>
        <v>-262399.99999999994</v>
      </c>
      <c r="Y212" s="479">
        <f t="shared" si="672"/>
        <v>-262399.99999999994</v>
      </c>
      <c r="Z212" s="479">
        <f t="shared" si="672"/>
        <v>-262399.99999999994</v>
      </c>
      <c r="AA212" s="479">
        <f t="shared" si="672"/>
        <v>-262399.99999999994</v>
      </c>
      <c r="AB212" s="479">
        <f t="shared" si="672"/>
        <v>-262399.99999999994</v>
      </c>
      <c r="AC212" s="479">
        <f t="shared" si="672"/>
        <v>-262399.99999999994</v>
      </c>
      <c r="AD212" s="479">
        <f t="shared" si="672"/>
        <v>-262399.99999999994</v>
      </c>
      <c r="AE212" s="479">
        <f t="shared" si="672"/>
        <v>-262399.99999999994</v>
      </c>
      <c r="AF212" s="479">
        <f t="shared" si="672"/>
        <v>-262399.99999999994</v>
      </c>
      <c r="AG212" s="479">
        <f t="shared" si="672"/>
        <v>-262399.99999999994</v>
      </c>
      <c r="AH212" s="479">
        <f t="shared" si="672"/>
        <v>-262399.99999999994</v>
      </c>
      <c r="AI212" s="479">
        <f t="shared" si="672"/>
        <v>-262399.99999999994</v>
      </c>
      <c r="AJ212" s="479">
        <f t="shared" si="672"/>
        <v>-262399.99999999994</v>
      </c>
      <c r="AK212" s="479">
        <f t="shared" si="672"/>
        <v>-262399.99999999994</v>
      </c>
      <c r="AL212" s="479">
        <f t="shared" si="672"/>
        <v>-262399.99999999994</v>
      </c>
      <c r="AM212" s="479">
        <f t="shared" si="672"/>
        <v>-262399.99999999994</v>
      </c>
      <c r="AN212" s="479">
        <f t="shared" si="672"/>
        <v>-262399.99999999994</v>
      </c>
      <c r="AO212" s="479">
        <f t="shared" si="672"/>
        <v>-262399.99999999994</v>
      </c>
      <c r="AP212" s="479">
        <f t="shared" si="672"/>
        <v>-262399.99999999994</v>
      </c>
      <c r="AQ212" s="528">
        <f t="shared" si="672"/>
        <v>-131200</v>
      </c>
    </row>
    <row r="213" spans="2:43">
      <c r="B213" s="62"/>
      <c r="C213" s="97"/>
      <c r="I213" s="540"/>
      <c r="AQ213" s="65"/>
    </row>
    <row r="214" spans="2:43">
      <c r="B214" s="490" t="str">
        <f>B105</f>
        <v>Total Debt Service</v>
      </c>
      <c r="C214" s="244"/>
      <c r="D214" s="105"/>
      <c r="E214" s="105"/>
      <c r="F214" s="105"/>
      <c r="G214" s="105"/>
      <c r="H214" s="105"/>
      <c r="I214" s="541">
        <f t="shared" si="654"/>
        <v>-95166119.178284407</v>
      </c>
      <c r="J214" s="547">
        <f t="shared" ref="J214:AQ214" si="673">SUM(J209:J212)</f>
        <v>0</v>
      </c>
      <c r="K214" s="547">
        <f t="shared" si="673"/>
        <v>-2359300.5183320106</v>
      </c>
      <c r="L214" s="547">
        <f t="shared" si="673"/>
        <v>-2359300.5183320106</v>
      </c>
      <c r="M214" s="547">
        <f t="shared" si="673"/>
        <v>-2667448.0572069115</v>
      </c>
      <c r="N214" s="547">
        <f t="shared" si="673"/>
        <v>-2975595.5960818124</v>
      </c>
      <c r="O214" s="547">
        <f t="shared" si="673"/>
        <v>-2975595.5960818124</v>
      </c>
      <c r="P214" s="547">
        <f t="shared" si="673"/>
        <v>-2975595.5960818124</v>
      </c>
      <c r="Q214" s="547">
        <f t="shared" si="673"/>
        <v>-2975595.5960818124</v>
      </c>
      <c r="R214" s="547">
        <f t="shared" si="673"/>
        <v>-2975595.5960818124</v>
      </c>
      <c r="S214" s="547">
        <f t="shared" si="673"/>
        <v>-2975595.5960818124</v>
      </c>
      <c r="T214" s="547">
        <f t="shared" si="673"/>
        <v>-2975595.5960818124</v>
      </c>
      <c r="U214" s="547">
        <f t="shared" si="673"/>
        <v>-2975595.5960818124</v>
      </c>
      <c r="V214" s="547">
        <f t="shared" si="673"/>
        <v>-2975595.5960818124</v>
      </c>
      <c r="W214" s="547">
        <f t="shared" si="673"/>
        <v>-2975595.5960818124</v>
      </c>
      <c r="X214" s="547">
        <f t="shared" si="673"/>
        <v>-2975595.5960818124</v>
      </c>
      <c r="Y214" s="547">
        <f t="shared" si="673"/>
        <v>-2975595.5960818124</v>
      </c>
      <c r="Z214" s="547">
        <f t="shared" si="673"/>
        <v>-2975595.5960818124</v>
      </c>
      <c r="AA214" s="547">
        <f t="shared" si="673"/>
        <v>-2975595.5960818124</v>
      </c>
      <c r="AB214" s="547">
        <f t="shared" si="673"/>
        <v>-2975595.5960818124</v>
      </c>
      <c r="AC214" s="547">
        <f t="shared" si="673"/>
        <v>-2975595.5960818124</v>
      </c>
      <c r="AD214" s="547">
        <f t="shared" si="673"/>
        <v>-2975595.5960818124</v>
      </c>
      <c r="AE214" s="547">
        <f t="shared" si="673"/>
        <v>-2975595.5960818124</v>
      </c>
      <c r="AF214" s="547">
        <f t="shared" si="673"/>
        <v>-2975595.5960818124</v>
      </c>
      <c r="AG214" s="547">
        <f t="shared" si="673"/>
        <v>-2975595.5960818124</v>
      </c>
      <c r="AH214" s="547">
        <f t="shared" si="673"/>
        <v>-2975595.5960818124</v>
      </c>
      <c r="AI214" s="547">
        <f t="shared" si="673"/>
        <v>-2975595.5960818124</v>
      </c>
      <c r="AJ214" s="547">
        <f t="shared" si="673"/>
        <v>-2975595.5960818124</v>
      </c>
      <c r="AK214" s="547">
        <f t="shared" si="673"/>
        <v>-2975595.5960818124</v>
      </c>
      <c r="AL214" s="547">
        <f t="shared" si="673"/>
        <v>-2975595.5960818124</v>
      </c>
      <c r="AM214" s="547">
        <f t="shared" si="673"/>
        <v>-2975595.5960818124</v>
      </c>
      <c r="AN214" s="547">
        <f t="shared" si="673"/>
        <v>-2975595.5960818124</v>
      </c>
      <c r="AO214" s="547">
        <f t="shared" si="673"/>
        <v>-2975595.5960818124</v>
      </c>
      <c r="AP214" s="547">
        <f t="shared" si="673"/>
        <v>-2975595.5960818124</v>
      </c>
      <c r="AQ214" s="547">
        <f t="shared" si="673"/>
        <v>-1487797.7980409062</v>
      </c>
    </row>
    <row r="215" spans="2:43">
      <c r="C215" s="97"/>
      <c r="I215" s="540"/>
    </row>
    <row r="216" spans="2:43">
      <c r="B216" s="222" t="s">
        <v>474</v>
      </c>
      <c r="C216" s="223"/>
      <c r="D216" s="539"/>
      <c r="E216" s="223"/>
      <c r="F216" s="223"/>
      <c r="G216" s="223"/>
      <c r="H216" s="223"/>
      <c r="I216" s="223"/>
      <c r="J216" s="573"/>
      <c r="K216" s="573"/>
      <c r="L216" s="573"/>
      <c r="M216" s="573"/>
      <c r="N216" s="573"/>
      <c r="O216" s="573"/>
      <c r="P216" s="573"/>
      <c r="Q216" s="573"/>
      <c r="R216" s="573"/>
      <c r="S216" s="573"/>
      <c r="T216" s="573"/>
      <c r="U216" s="573"/>
      <c r="V216" s="573"/>
      <c r="W216" s="573"/>
      <c r="X216" s="573"/>
      <c r="Y216" s="573"/>
      <c r="Z216" s="573"/>
      <c r="AA216" s="573"/>
      <c r="AB216" s="573"/>
      <c r="AC216" s="573"/>
      <c r="AD216" s="573"/>
      <c r="AE216" s="573"/>
      <c r="AF216" s="573"/>
      <c r="AG216" s="573"/>
      <c r="AH216" s="573"/>
      <c r="AI216" s="573"/>
      <c r="AJ216" s="573"/>
      <c r="AK216" s="573"/>
      <c r="AL216" s="573"/>
      <c r="AM216" s="573"/>
      <c r="AN216" s="573"/>
      <c r="AO216" s="573"/>
      <c r="AP216" s="573"/>
      <c r="AQ216" s="574"/>
    </row>
    <row r="217" spans="2:43">
      <c r="B217" s="62" t="s">
        <v>360</v>
      </c>
      <c r="D217" s="571"/>
      <c r="I217" s="540">
        <f t="shared" ref="I217:I218" si="674">SUM(J217:AQ217)</f>
        <v>10635591.365277611</v>
      </c>
      <c r="J217" s="479">
        <f t="shared" ref="J217:AQ217" si="675">SUMIF($J$6:$OO$6,J$114,$J108:$OO108)</f>
        <v>0</v>
      </c>
      <c r="K217" s="479">
        <f t="shared" si="675"/>
        <v>10635591.365277611</v>
      </c>
      <c r="L217" s="479">
        <f t="shared" si="675"/>
        <v>0</v>
      </c>
      <c r="M217" s="479">
        <f t="shared" si="675"/>
        <v>0</v>
      </c>
      <c r="N217" s="479">
        <f t="shared" si="675"/>
        <v>0</v>
      </c>
      <c r="O217" s="479">
        <f t="shared" si="675"/>
        <v>0</v>
      </c>
      <c r="P217" s="479">
        <f t="shared" si="675"/>
        <v>0</v>
      </c>
      <c r="Q217" s="479">
        <f t="shared" si="675"/>
        <v>0</v>
      </c>
      <c r="R217" s="479">
        <f t="shared" si="675"/>
        <v>0</v>
      </c>
      <c r="S217" s="479">
        <f t="shared" si="675"/>
        <v>0</v>
      </c>
      <c r="T217" s="479">
        <f t="shared" si="675"/>
        <v>0</v>
      </c>
      <c r="U217" s="479">
        <f t="shared" si="675"/>
        <v>0</v>
      </c>
      <c r="V217" s="479">
        <f t="shared" si="675"/>
        <v>0</v>
      </c>
      <c r="W217" s="479">
        <f t="shared" si="675"/>
        <v>0</v>
      </c>
      <c r="X217" s="479">
        <f t="shared" si="675"/>
        <v>0</v>
      </c>
      <c r="Y217" s="479">
        <f t="shared" si="675"/>
        <v>0</v>
      </c>
      <c r="Z217" s="479">
        <f t="shared" si="675"/>
        <v>0</v>
      </c>
      <c r="AA217" s="479">
        <f t="shared" si="675"/>
        <v>0</v>
      </c>
      <c r="AB217" s="479">
        <f t="shared" si="675"/>
        <v>0</v>
      </c>
      <c r="AC217" s="479">
        <f t="shared" si="675"/>
        <v>0</v>
      </c>
      <c r="AD217" s="479">
        <f t="shared" si="675"/>
        <v>0</v>
      </c>
      <c r="AE217" s="479">
        <f t="shared" si="675"/>
        <v>0</v>
      </c>
      <c r="AF217" s="479">
        <f t="shared" si="675"/>
        <v>0</v>
      </c>
      <c r="AG217" s="479">
        <f t="shared" si="675"/>
        <v>0</v>
      </c>
      <c r="AH217" s="479">
        <f t="shared" si="675"/>
        <v>0</v>
      </c>
      <c r="AI217" s="479">
        <f t="shared" si="675"/>
        <v>0</v>
      </c>
      <c r="AJ217" s="479">
        <f t="shared" si="675"/>
        <v>0</v>
      </c>
      <c r="AK217" s="479">
        <f t="shared" si="675"/>
        <v>0</v>
      </c>
      <c r="AL217" s="479">
        <f t="shared" si="675"/>
        <v>0</v>
      </c>
      <c r="AM217" s="479">
        <f t="shared" si="675"/>
        <v>0</v>
      </c>
      <c r="AN217" s="479">
        <f t="shared" si="675"/>
        <v>0</v>
      </c>
      <c r="AO217" s="479">
        <f t="shared" si="675"/>
        <v>0</v>
      </c>
      <c r="AP217" s="479">
        <f t="shared" si="675"/>
        <v>0</v>
      </c>
      <c r="AQ217" s="528">
        <f t="shared" si="675"/>
        <v>0</v>
      </c>
    </row>
    <row r="218" spans="2:43">
      <c r="B218" s="62" t="s">
        <v>361</v>
      </c>
      <c r="D218" s="571"/>
      <c r="I218" s="540">
        <f t="shared" si="674"/>
        <v>95720322.287498474</v>
      </c>
      <c r="J218" s="479">
        <f t="shared" ref="J218:AQ218" si="676">SUMIF($J$6:$OO$6,J$114,$J109:$OO109)</f>
        <v>0</v>
      </c>
      <c r="K218" s="479">
        <f t="shared" si="676"/>
        <v>0</v>
      </c>
      <c r="L218" s="479">
        <f t="shared" si="676"/>
        <v>0</v>
      </c>
      <c r="M218" s="479">
        <f t="shared" si="676"/>
        <v>95720322.287498474</v>
      </c>
      <c r="N218" s="479">
        <f t="shared" si="676"/>
        <v>0</v>
      </c>
      <c r="O218" s="479">
        <f t="shared" si="676"/>
        <v>0</v>
      </c>
      <c r="P218" s="479">
        <f t="shared" si="676"/>
        <v>0</v>
      </c>
      <c r="Q218" s="479">
        <f t="shared" si="676"/>
        <v>0</v>
      </c>
      <c r="R218" s="479">
        <f t="shared" si="676"/>
        <v>0</v>
      </c>
      <c r="S218" s="479">
        <f t="shared" si="676"/>
        <v>0</v>
      </c>
      <c r="T218" s="479">
        <f t="shared" si="676"/>
        <v>0</v>
      </c>
      <c r="U218" s="479">
        <f t="shared" si="676"/>
        <v>0</v>
      </c>
      <c r="V218" s="479">
        <f t="shared" si="676"/>
        <v>0</v>
      </c>
      <c r="W218" s="479">
        <f t="shared" si="676"/>
        <v>0</v>
      </c>
      <c r="X218" s="479">
        <f t="shared" si="676"/>
        <v>0</v>
      </c>
      <c r="Y218" s="479">
        <f t="shared" si="676"/>
        <v>0</v>
      </c>
      <c r="Z218" s="479">
        <f t="shared" si="676"/>
        <v>0</v>
      </c>
      <c r="AA218" s="479">
        <f t="shared" si="676"/>
        <v>0</v>
      </c>
      <c r="AB218" s="479">
        <f t="shared" si="676"/>
        <v>0</v>
      </c>
      <c r="AC218" s="479">
        <f t="shared" si="676"/>
        <v>0</v>
      </c>
      <c r="AD218" s="479">
        <f t="shared" si="676"/>
        <v>0</v>
      </c>
      <c r="AE218" s="479">
        <f t="shared" si="676"/>
        <v>0</v>
      </c>
      <c r="AF218" s="479">
        <f t="shared" si="676"/>
        <v>0</v>
      </c>
      <c r="AG218" s="479">
        <f t="shared" si="676"/>
        <v>0</v>
      </c>
      <c r="AH218" s="479">
        <f t="shared" si="676"/>
        <v>0</v>
      </c>
      <c r="AI218" s="479">
        <f t="shared" si="676"/>
        <v>0</v>
      </c>
      <c r="AJ218" s="479">
        <f t="shared" si="676"/>
        <v>0</v>
      </c>
      <c r="AK218" s="479">
        <f t="shared" si="676"/>
        <v>0</v>
      </c>
      <c r="AL218" s="479">
        <f t="shared" si="676"/>
        <v>0</v>
      </c>
      <c r="AM218" s="479">
        <f t="shared" si="676"/>
        <v>0</v>
      </c>
      <c r="AN218" s="479">
        <f t="shared" si="676"/>
        <v>0</v>
      </c>
      <c r="AO218" s="479">
        <f t="shared" si="676"/>
        <v>0</v>
      </c>
      <c r="AP218" s="479">
        <f t="shared" si="676"/>
        <v>0</v>
      </c>
      <c r="AQ218" s="528">
        <f t="shared" si="676"/>
        <v>0</v>
      </c>
    </row>
    <row r="219" spans="2:43">
      <c r="B219" s="104" t="s">
        <v>480</v>
      </c>
      <c r="C219" s="105"/>
      <c r="D219" s="105"/>
      <c r="E219" s="105"/>
      <c r="F219" s="105"/>
      <c r="G219" s="105"/>
      <c r="H219" s="105"/>
      <c r="I219" s="576">
        <f>SUM(I217:I218)</f>
        <v>106355913.65277609</v>
      </c>
      <c r="J219" s="547">
        <f>SUM(J217:J218)</f>
        <v>0</v>
      </c>
      <c r="K219" s="547">
        <f t="shared" ref="K219:AQ219" si="677">SUM(K217:K218)</f>
        <v>10635591.365277611</v>
      </c>
      <c r="L219" s="547">
        <f t="shared" si="677"/>
        <v>0</v>
      </c>
      <c r="M219" s="547">
        <f t="shared" si="677"/>
        <v>95720322.287498474</v>
      </c>
      <c r="N219" s="547">
        <f t="shared" si="677"/>
        <v>0</v>
      </c>
      <c r="O219" s="547">
        <f t="shared" si="677"/>
        <v>0</v>
      </c>
      <c r="P219" s="547">
        <f t="shared" si="677"/>
        <v>0</v>
      </c>
      <c r="Q219" s="547">
        <f t="shared" si="677"/>
        <v>0</v>
      </c>
      <c r="R219" s="547">
        <f t="shared" si="677"/>
        <v>0</v>
      </c>
      <c r="S219" s="547">
        <f t="shared" si="677"/>
        <v>0</v>
      </c>
      <c r="T219" s="547">
        <f t="shared" si="677"/>
        <v>0</v>
      </c>
      <c r="U219" s="547">
        <f t="shared" si="677"/>
        <v>0</v>
      </c>
      <c r="V219" s="547">
        <f t="shared" si="677"/>
        <v>0</v>
      </c>
      <c r="W219" s="547">
        <f t="shared" si="677"/>
        <v>0</v>
      </c>
      <c r="X219" s="547">
        <f t="shared" si="677"/>
        <v>0</v>
      </c>
      <c r="Y219" s="547">
        <f t="shared" si="677"/>
        <v>0</v>
      </c>
      <c r="Z219" s="547">
        <f t="shared" si="677"/>
        <v>0</v>
      </c>
      <c r="AA219" s="547">
        <f t="shared" si="677"/>
        <v>0</v>
      </c>
      <c r="AB219" s="547">
        <f t="shared" si="677"/>
        <v>0</v>
      </c>
      <c r="AC219" s="547">
        <f t="shared" si="677"/>
        <v>0</v>
      </c>
      <c r="AD219" s="547">
        <f t="shared" si="677"/>
        <v>0</v>
      </c>
      <c r="AE219" s="547">
        <f t="shared" si="677"/>
        <v>0</v>
      </c>
      <c r="AF219" s="547">
        <f t="shared" si="677"/>
        <v>0</v>
      </c>
      <c r="AG219" s="547">
        <f t="shared" si="677"/>
        <v>0</v>
      </c>
      <c r="AH219" s="547">
        <f t="shared" si="677"/>
        <v>0</v>
      </c>
      <c r="AI219" s="547">
        <f t="shared" si="677"/>
        <v>0</v>
      </c>
      <c r="AJ219" s="547">
        <f t="shared" si="677"/>
        <v>0</v>
      </c>
      <c r="AK219" s="547">
        <f t="shared" si="677"/>
        <v>0</v>
      </c>
      <c r="AL219" s="547">
        <f t="shared" si="677"/>
        <v>0</v>
      </c>
      <c r="AM219" s="547">
        <f t="shared" si="677"/>
        <v>0</v>
      </c>
      <c r="AN219" s="547">
        <f t="shared" si="677"/>
        <v>0</v>
      </c>
      <c r="AO219" s="547">
        <f t="shared" si="677"/>
        <v>0</v>
      </c>
      <c r="AP219" s="547">
        <f t="shared" si="677"/>
        <v>0</v>
      </c>
      <c r="AQ219" s="575">
        <f t="shared" si="677"/>
        <v>0</v>
      </c>
    </row>
  </sheetData>
  <dataValidations count="1">
    <dataValidation type="list" allowBlank="1" showInputMessage="1" showErrorMessage="1" sqref="E17:F28 E101:F102 E104:F104 E95:F95 E75:F79 E67:F71 E53:F57 E83:F87 E91:F92 E12:F13 E46:F48 E30:F44 E108:F109 E60:F60" xr:uid="{6765423C-6B37-4D3E-8D22-67FC0D025364}">
      <formula1>$J$7:$OO$7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92DA-FF45-4916-8779-E871FC73F3DD}">
  <sheetPr>
    <tabColor theme="5"/>
  </sheetPr>
  <dimension ref="B2:AH33"/>
  <sheetViews>
    <sheetView showGridLines="0" workbookViewId="0">
      <selection activeCell="B3" sqref="B3"/>
    </sheetView>
  </sheetViews>
  <sheetFormatPr defaultRowHeight="13.5"/>
  <cols>
    <col min="1" max="1" width="4.42578125" style="7" customWidth="1"/>
    <col min="2" max="2" width="19.28515625" style="7" customWidth="1"/>
    <col min="3" max="3" width="9.140625" style="7"/>
    <col min="4" max="4" width="14.5703125" style="7" customWidth="1"/>
    <col min="5" max="36" width="16" style="7" customWidth="1"/>
    <col min="37" max="16384" width="9.140625" style="7"/>
  </cols>
  <sheetData>
    <row r="2" spans="2:34" ht="15">
      <c r="B2" s="439" t="s">
        <v>492</v>
      </c>
    </row>
    <row r="3" spans="2:34">
      <c r="B3" s="7" t="s">
        <v>327</v>
      </c>
    </row>
    <row r="5" spans="2:34">
      <c r="B5" s="549" t="s">
        <v>488</v>
      </c>
      <c r="C5" s="549"/>
      <c r="D5" s="549" t="s">
        <v>489</v>
      </c>
      <c r="E5" s="549" t="s">
        <v>490</v>
      </c>
      <c r="F5" s="549" t="s">
        <v>491</v>
      </c>
    </row>
    <row r="6" spans="2:34">
      <c r="B6" s="556">
        <f>Assumptions!C150</f>
        <v>248781451.16136983</v>
      </c>
      <c r="C6" s="550"/>
      <c r="D6" s="560">
        <f>Amortization!H8</f>
        <v>0.82029895365067951</v>
      </c>
      <c r="E6" s="560">
        <f>100%-D6</f>
        <v>0.17970104634932049</v>
      </c>
      <c r="F6" s="556">
        <f>'Sources and Uses'!C8</f>
        <v>10635591.365277611</v>
      </c>
    </row>
    <row r="7" spans="2:34">
      <c r="B7" s="550"/>
      <c r="C7" s="550"/>
      <c r="D7" s="556">
        <f>B6*D6</f>
        <v>204075164.0753693</v>
      </c>
      <c r="E7" s="556">
        <f>B6*E6</f>
        <v>44706287.086000532</v>
      </c>
      <c r="F7" s="556">
        <f>E7-F6</f>
        <v>34070695.720722921</v>
      </c>
      <c r="G7" s="442"/>
    </row>
    <row r="10" spans="2:34">
      <c r="B10" s="282"/>
      <c r="C10" s="282"/>
      <c r="D10" s="282"/>
      <c r="E10" s="282">
        <v>1</v>
      </c>
      <c r="F10" s="282">
        <v>2</v>
      </c>
      <c r="G10" s="282">
        <v>3</v>
      </c>
      <c r="H10" s="282">
        <v>4</v>
      </c>
      <c r="I10" s="282">
        <v>5</v>
      </c>
      <c r="J10" s="282">
        <v>6</v>
      </c>
      <c r="K10" s="282">
        <v>7</v>
      </c>
      <c r="L10" s="282">
        <v>8</v>
      </c>
      <c r="M10" s="282">
        <v>9</v>
      </c>
      <c r="N10" s="282">
        <v>10</v>
      </c>
      <c r="O10" s="282">
        <v>11</v>
      </c>
      <c r="P10" s="282">
        <v>12</v>
      </c>
      <c r="Q10" s="282">
        <v>13</v>
      </c>
      <c r="R10" s="282">
        <v>14</v>
      </c>
      <c r="S10" s="282">
        <v>15</v>
      </c>
      <c r="T10" s="282">
        <v>16</v>
      </c>
      <c r="U10" s="282">
        <v>17</v>
      </c>
      <c r="V10" s="282">
        <v>18</v>
      </c>
      <c r="W10" s="282">
        <v>19</v>
      </c>
      <c r="X10" s="282">
        <v>20</v>
      </c>
      <c r="Y10" s="282">
        <v>21</v>
      </c>
      <c r="Z10" s="282">
        <v>22</v>
      </c>
      <c r="AA10" s="282">
        <v>23</v>
      </c>
      <c r="AB10" s="282">
        <v>24</v>
      </c>
      <c r="AC10" s="282">
        <v>25</v>
      </c>
      <c r="AD10" s="282">
        <v>26</v>
      </c>
      <c r="AE10" s="282">
        <v>27</v>
      </c>
      <c r="AF10" s="282">
        <v>28</v>
      </c>
      <c r="AG10" s="282">
        <v>29</v>
      </c>
      <c r="AH10" s="282">
        <v>30</v>
      </c>
    </row>
    <row r="11" spans="2:34">
      <c r="B11" s="282"/>
      <c r="C11" s="282"/>
      <c r="D11" s="282"/>
      <c r="E11" s="282">
        <f>YEAR(E12)</f>
        <v>2027</v>
      </c>
      <c r="F11" s="282">
        <f>YEAR(F12)</f>
        <v>2027</v>
      </c>
      <c r="G11" s="282">
        <f>YEAR(G12)</f>
        <v>2027</v>
      </c>
      <c r="H11" s="282">
        <f t="shared" ref="H11:AF11" si="0">YEAR(H12)</f>
        <v>2027</v>
      </c>
      <c r="I11" s="282">
        <f t="shared" si="0"/>
        <v>2027</v>
      </c>
      <c r="J11" s="282">
        <f t="shared" si="0"/>
        <v>2027</v>
      </c>
      <c r="K11" s="282">
        <f t="shared" si="0"/>
        <v>2027</v>
      </c>
      <c r="L11" s="282">
        <f t="shared" si="0"/>
        <v>2027</v>
      </c>
      <c r="M11" s="282">
        <f t="shared" si="0"/>
        <v>2027</v>
      </c>
      <c r="N11" s="282">
        <f t="shared" si="0"/>
        <v>2027</v>
      </c>
      <c r="O11" s="282">
        <f t="shared" si="0"/>
        <v>2027</v>
      </c>
      <c r="P11" s="282">
        <f t="shared" si="0"/>
        <v>2027</v>
      </c>
      <c r="Q11" s="282">
        <f t="shared" si="0"/>
        <v>2028</v>
      </c>
      <c r="R11" s="282">
        <f t="shared" si="0"/>
        <v>2028</v>
      </c>
      <c r="S11" s="282">
        <f t="shared" si="0"/>
        <v>2028</v>
      </c>
      <c r="T11" s="282">
        <f t="shared" si="0"/>
        <v>2028</v>
      </c>
      <c r="U11" s="282">
        <f t="shared" si="0"/>
        <v>2028</v>
      </c>
      <c r="V11" s="282">
        <f t="shared" si="0"/>
        <v>2028</v>
      </c>
      <c r="W11" s="282">
        <f t="shared" si="0"/>
        <v>2028</v>
      </c>
      <c r="X11" s="282">
        <f t="shared" si="0"/>
        <v>2028</v>
      </c>
      <c r="Y11" s="282">
        <f t="shared" si="0"/>
        <v>2028</v>
      </c>
      <c r="Z11" s="282">
        <f t="shared" si="0"/>
        <v>2028</v>
      </c>
      <c r="AA11" s="282">
        <f t="shared" si="0"/>
        <v>2028</v>
      </c>
      <c r="AB11" s="282">
        <f t="shared" si="0"/>
        <v>2028</v>
      </c>
      <c r="AC11" s="282">
        <f t="shared" si="0"/>
        <v>2029</v>
      </c>
      <c r="AD11" s="282">
        <f t="shared" si="0"/>
        <v>2029</v>
      </c>
      <c r="AE11" s="282">
        <f t="shared" si="0"/>
        <v>2029</v>
      </c>
      <c r="AF11" s="282">
        <f t="shared" si="0"/>
        <v>2029</v>
      </c>
      <c r="AG11" s="282">
        <f>YEAR(AG12)</f>
        <v>2029</v>
      </c>
      <c r="AH11" s="282">
        <f>YEAR(AH12)</f>
        <v>2029</v>
      </c>
    </row>
    <row r="12" spans="2:34">
      <c r="B12" s="282"/>
      <c r="C12" s="282"/>
      <c r="D12" s="577"/>
      <c r="E12" s="283">
        <f>Assumptions!C10</f>
        <v>46418</v>
      </c>
      <c r="F12" s="283">
        <f>EOMONTH(E12,1)</f>
        <v>46446</v>
      </c>
      <c r="G12" s="283">
        <f t="shared" ref="G12:AH12" si="1">EOMONTH(F12,1)</f>
        <v>46477</v>
      </c>
      <c r="H12" s="283">
        <f t="shared" si="1"/>
        <v>46507</v>
      </c>
      <c r="I12" s="283">
        <f t="shared" si="1"/>
        <v>46538</v>
      </c>
      <c r="J12" s="283">
        <f t="shared" si="1"/>
        <v>46568</v>
      </c>
      <c r="K12" s="283">
        <f t="shared" si="1"/>
        <v>46599</v>
      </c>
      <c r="L12" s="283">
        <f t="shared" si="1"/>
        <v>46630</v>
      </c>
      <c r="M12" s="283">
        <f t="shared" si="1"/>
        <v>46660</v>
      </c>
      <c r="N12" s="283">
        <f t="shared" si="1"/>
        <v>46691</v>
      </c>
      <c r="O12" s="283">
        <f t="shared" si="1"/>
        <v>46721</v>
      </c>
      <c r="P12" s="283">
        <f t="shared" si="1"/>
        <v>46752</v>
      </c>
      <c r="Q12" s="283">
        <f t="shared" si="1"/>
        <v>46783</v>
      </c>
      <c r="R12" s="283">
        <f t="shared" si="1"/>
        <v>46812</v>
      </c>
      <c r="S12" s="283">
        <f t="shared" si="1"/>
        <v>46843</v>
      </c>
      <c r="T12" s="283">
        <f t="shared" si="1"/>
        <v>46873</v>
      </c>
      <c r="U12" s="283">
        <f t="shared" si="1"/>
        <v>46904</v>
      </c>
      <c r="V12" s="283">
        <f t="shared" si="1"/>
        <v>46934</v>
      </c>
      <c r="W12" s="283">
        <f t="shared" si="1"/>
        <v>46965</v>
      </c>
      <c r="X12" s="283">
        <f t="shared" si="1"/>
        <v>46996</v>
      </c>
      <c r="Y12" s="283">
        <f t="shared" si="1"/>
        <v>47026</v>
      </c>
      <c r="Z12" s="283">
        <f t="shared" si="1"/>
        <v>47057</v>
      </c>
      <c r="AA12" s="283">
        <f t="shared" si="1"/>
        <v>47087</v>
      </c>
      <c r="AB12" s="283">
        <f t="shared" si="1"/>
        <v>47118</v>
      </c>
      <c r="AC12" s="283">
        <f t="shared" si="1"/>
        <v>47149</v>
      </c>
      <c r="AD12" s="283">
        <f t="shared" si="1"/>
        <v>47177</v>
      </c>
      <c r="AE12" s="283">
        <f t="shared" si="1"/>
        <v>47208</v>
      </c>
      <c r="AF12" s="283">
        <f t="shared" si="1"/>
        <v>47238</v>
      </c>
      <c r="AG12" s="283">
        <f t="shared" si="1"/>
        <v>47269</v>
      </c>
      <c r="AH12" s="283">
        <f t="shared" si="1"/>
        <v>47299</v>
      </c>
    </row>
    <row r="13" spans="2:34" s="97" customFormat="1">
      <c r="B13" s="71"/>
      <c r="C13" s="71"/>
      <c r="D13" s="567"/>
      <c r="E13" s="502"/>
      <c r="F13" s="502"/>
      <c r="G13" s="502"/>
      <c r="H13" s="502"/>
      <c r="I13" s="502"/>
      <c r="J13" s="502"/>
      <c r="K13" s="502"/>
      <c r="L13" s="502"/>
      <c r="M13" s="502"/>
      <c r="N13" s="502"/>
      <c r="O13" s="502"/>
      <c r="P13" s="502"/>
      <c r="Q13" s="502"/>
      <c r="R13" s="502"/>
      <c r="S13" s="502"/>
      <c r="T13" s="502"/>
      <c r="U13" s="502"/>
      <c r="V13" s="502"/>
      <c r="W13" s="502"/>
      <c r="X13" s="502"/>
      <c r="Y13" s="502"/>
      <c r="Z13" s="502"/>
      <c r="AA13" s="502"/>
      <c r="AB13" s="502"/>
      <c r="AC13" s="502"/>
      <c r="AD13" s="502"/>
      <c r="AE13" s="502"/>
      <c r="AF13" s="502"/>
      <c r="AG13" s="502"/>
      <c r="AH13" s="502"/>
    </row>
    <row r="14" spans="2:34">
      <c r="B14" s="52" t="s">
        <v>471</v>
      </c>
    </row>
    <row r="15" spans="2:34" ht="1.5" customHeight="1">
      <c r="B15" s="7" t="s">
        <v>479</v>
      </c>
      <c r="D15" s="571">
        <f>-SUM(E15:AH15)</f>
        <v>0</v>
      </c>
      <c r="E15" s="442">
        <f>IF(E12&gt;=Assumptions!$C$13,'Rental CF'!F$29,0)</f>
        <v>0</v>
      </c>
      <c r="F15" s="442">
        <f>IF(F12&gt;=Assumptions!$C$13,'Rental CF'!G$29,0)</f>
        <v>0</v>
      </c>
      <c r="G15" s="442">
        <f>IF(G12&gt;=Assumptions!$C$13,'Rental CF'!H$29,0)</f>
        <v>0</v>
      </c>
      <c r="H15" s="442">
        <f>IF(H12&gt;=Assumptions!$C$13,'Rental CF'!I$29,0)</f>
        <v>0</v>
      </c>
      <c r="I15" s="442">
        <f>IF(I12&gt;=Assumptions!$C$13,'Rental CF'!J$29,0)</f>
        <v>0</v>
      </c>
      <c r="J15" s="442">
        <f>IF(J12&gt;=Assumptions!$C$13,'Rental CF'!K$29,0)</f>
        <v>0</v>
      </c>
      <c r="K15" s="442">
        <f>IF(K12&gt;=Assumptions!$C$13,'Rental CF'!L$29,0)</f>
        <v>0</v>
      </c>
      <c r="L15" s="442">
        <f>IF(L12&gt;=Assumptions!$C$13,'Rental CF'!M$29,0)</f>
        <v>0</v>
      </c>
      <c r="M15" s="442">
        <f>IF(M12&gt;=Assumptions!$C$13,'Rental CF'!N$29,0)</f>
        <v>0</v>
      </c>
      <c r="N15" s="442">
        <f>IF(N12&gt;=Assumptions!$C$13,'Rental CF'!O$29,0)</f>
        <v>0</v>
      </c>
      <c r="O15" s="442">
        <f>IF(O12&gt;=Assumptions!$C$13,'Rental CF'!P$29,0)</f>
        <v>0</v>
      </c>
      <c r="P15" s="442">
        <f>IF(P12&gt;=Assumptions!$C$13,'Rental CF'!Q$29,0)</f>
        <v>0</v>
      </c>
      <c r="Q15" s="442">
        <f>IF(Q12&gt;=Assumptions!$C$13,'Rental CF'!R$29,0)</f>
        <v>0</v>
      </c>
      <c r="R15" s="442">
        <f>IF(R12&gt;=Assumptions!$C$13,'Rental CF'!S$29,0)</f>
        <v>0</v>
      </c>
      <c r="S15" s="442">
        <f>IF(S12&gt;=Assumptions!$C$13,'Rental CF'!T$29,0)</f>
        <v>0</v>
      </c>
      <c r="T15" s="442">
        <f>IF(T12&gt;=Assumptions!$C$13,'Rental CF'!U$29,0)</f>
        <v>0</v>
      </c>
      <c r="U15" s="442">
        <f>IF(U12&gt;=Assumptions!$C$13,'Rental CF'!V$29,0)</f>
        <v>0</v>
      </c>
      <c r="V15" s="442">
        <f>IF(V12&gt;=Assumptions!$C$13,'Rental CF'!W$29,0)</f>
        <v>0</v>
      </c>
      <c r="W15" s="442">
        <f>IF(W12&gt;=Assumptions!$C$13,'Rental CF'!X$29,0)</f>
        <v>0</v>
      </c>
      <c r="X15" s="442">
        <f>IF(X12&gt;=Assumptions!$C$13,'Rental CF'!Y$29,0)</f>
        <v>0</v>
      </c>
      <c r="Y15" s="442">
        <f>IF(Y12&gt;=Assumptions!$C$13,'Rental CF'!Z$29,0)</f>
        <v>0</v>
      </c>
      <c r="Z15" s="442">
        <f>IF(Z12&gt;=Assumptions!$C$13,'Rental CF'!AA$29,0)</f>
        <v>0</v>
      </c>
      <c r="AA15" s="442">
        <f>IF(AA12&gt;=Assumptions!$C$13,'Rental CF'!AB$29,0)</f>
        <v>0</v>
      </c>
      <c r="AB15" s="442">
        <f>IF(AB12&gt;=Assumptions!$C$13,'Rental CF'!AC$29,0)</f>
        <v>0</v>
      </c>
      <c r="AC15" s="442">
        <f>IF(AC12&gt;=Assumptions!$C$13,'Rental CF'!AD$29,0)</f>
        <v>0</v>
      </c>
      <c r="AD15" s="442">
        <f>IF(AD12&gt;=Assumptions!$C$13,'Rental CF'!AE$29,0)</f>
        <v>0</v>
      </c>
      <c r="AE15" s="442">
        <f>IF(AE12&gt;=Assumptions!$C$13,'Rental CF'!AF$29,0)</f>
        <v>0</v>
      </c>
      <c r="AF15" s="442">
        <f>IF(AF12&gt;=Assumptions!$C$13,'Rental CF'!AG$29,0)</f>
        <v>0</v>
      </c>
      <c r="AG15" s="442">
        <f>IF(AG12&gt;=Assumptions!$C$13,'Rental CF'!AH$29,0)</f>
        <v>0</v>
      </c>
      <c r="AH15" s="442">
        <f>IF(AH12&gt;=Assumptions!$C$13,'Rental CF'!AI$29,0)</f>
        <v>0</v>
      </c>
    </row>
    <row r="16" spans="2:34" s="442" customFormat="1">
      <c r="B16" s="442" t="s">
        <v>474</v>
      </c>
      <c r="D16" s="571"/>
      <c r="E16" s="442">
        <f>IF(E12=Assumptions!$C$10,'Sources and Uses'!$C$8,0)</f>
        <v>10635591.365277611</v>
      </c>
      <c r="F16" s="442">
        <f>IF(F12=Assumptions!$C$10,'Sources and Uses'!$C$8,0)</f>
        <v>0</v>
      </c>
      <c r="G16" s="442">
        <f>IF(G12=Assumptions!$C$10,'Sources and Uses'!$C$8,0)</f>
        <v>0</v>
      </c>
      <c r="H16" s="442">
        <f>IF(H12=Assumptions!$C$10,'Sources and Uses'!$C$8,0)</f>
        <v>0</v>
      </c>
      <c r="I16" s="442">
        <f>IF(I12=Assumptions!$C$10,'Sources and Uses'!$C$8,0)</f>
        <v>0</v>
      </c>
      <c r="J16" s="442">
        <f>IF(J12=Assumptions!$C$10,'Sources and Uses'!$C$8,0)</f>
        <v>0</v>
      </c>
      <c r="K16" s="442">
        <f>IF(K12=Assumptions!$C$10,'Sources and Uses'!$C$8,0)</f>
        <v>0</v>
      </c>
      <c r="L16" s="442">
        <f>IF(L12=Assumptions!$C$10,'Sources and Uses'!$C$8,0)</f>
        <v>0</v>
      </c>
      <c r="M16" s="442">
        <f>IF(M12=Assumptions!$C$10,'Sources and Uses'!$C$8,0)</f>
        <v>0</v>
      </c>
      <c r="N16" s="442">
        <f>IF(N12=Assumptions!$C$10,'Sources and Uses'!$C$8,0)</f>
        <v>0</v>
      </c>
      <c r="O16" s="442">
        <f>IF(O12=Assumptions!$C$10,'Sources and Uses'!$C$8,0)</f>
        <v>0</v>
      </c>
      <c r="P16" s="442">
        <f>IF(P12=Assumptions!$C$10,'Sources and Uses'!$C$8,0)</f>
        <v>0</v>
      </c>
      <c r="Q16" s="442">
        <f>IF(Q12=Assumptions!$C$10,'Sources and Uses'!$C$8,0)</f>
        <v>0</v>
      </c>
      <c r="R16" s="442">
        <f>IF(R12=Assumptions!$C$10,'Sources and Uses'!$C$8,0)</f>
        <v>0</v>
      </c>
      <c r="S16" s="442">
        <f>IF(S12=Assumptions!$C$10,'Sources and Uses'!$C$8,0)</f>
        <v>0</v>
      </c>
      <c r="T16" s="442">
        <f>IF(T12=Assumptions!$C$10,'Sources and Uses'!$C$8,0)</f>
        <v>0</v>
      </c>
      <c r="U16" s="442">
        <f>IF(U12=Assumptions!$C$10,'Sources and Uses'!$C$8,0)</f>
        <v>0</v>
      </c>
      <c r="V16" s="442">
        <f>IF(V12=Assumptions!$C$10,'Sources and Uses'!$C$8,0)</f>
        <v>0</v>
      </c>
      <c r="W16" s="442">
        <f>IF(W12=Assumptions!$C$10,'Sources and Uses'!$C$8,0)</f>
        <v>0</v>
      </c>
      <c r="X16" s="442">
        <f>IF(X12=Assumptions!$C$10,'Sources and Uses'!$C$8,0)</f>
        <v>0</v>
      </c>
      <c r="Y16" s="442">
        <f>IF(Y12=Assumptions!$C$10,'Sources and Uses'!$C$8,0)</f>
        <v>0</v>
      </c>
      <c r="Z16" s="442">
        <f>IF(Z12=Assumptions!$C$10,'Sources and Uses'!$C$8,0)</f>
        <v>0</v>
      </c>
      <c r="AA16" s="442">
        <f>IF(AA12=Assumptions!$C$10,'Sources and Uses'!$C$8,0)</f>
        <v>0</v>
      </c>
      <c r="AB16" s="442">
        <f>IF(AB12=Assumptions!$C$10,'Sources and Uses'!$C$8,0)</f>
        <v>0</v>
      </c>
      <c r="AC16" s="442">
        <f>IF(AC12=Assumptions!$C$10,'Sources and Uses'!$C$8,0)</f>
        <v>0</v>
      </c>
      <c r="AD16" s="442">
        <f>IF(AD12=Assumptions!$C$10,'Sources and Uses'!$C$8,0)</f>
        <v>0</v>
      </c>
      <c r="AE16" s="442">
        <f>IF(AE12=Assumptions!$C$10,'Sources and Uses'!$C$8,0)</f>
        <v>0</v>
      </c>
      <c r="AF16" s="442">
        <f>IF(AF12=Assumptions!$C$10,'Sources and Uses'!$C$8,0)</f>
        <v>0</v>
      </c>
      <c r="AG16" s="442">
        <f>IF(AG12=Assumptions!$C$10,'Sources and Uses'!$C$8,0)</f>
        <v>0</v>
      </c>
      <c r="AH16" s="442">
        <f>IF(AH12=Assumptions!$C$10,'Sources and Uses'!$C$8,0)</f>
        <v>0</v>
      </c>
    </row>
    <row r="17" spans="2:34">
      <c r="B17" s="7" t="s">
        <v>483</v>
      </c>
      <c r="D17" s="571"/>
      <c r="E17" s="442">
        <f>-E28*$D$6</f>
        <v>8462988.0788330492</v>
      </c>
      <c r="F17" s="442">
        <f>-F28*$D$6</f>
        <v>8462987.2585340943</v>
      </c>
      <c r="G17" s="442">
        <f t="shared" ref="G17:AH17" si="2">-G28*$D$6</f>
        <v>8462987.2585340943</v>
      </c>
      <c r="H17" s="442">
        <f t="shared" si="2"/>
        <v>8462987.2585340943</v>
      </c>
      <c r="I17" s="442">
        <f t="shared" si="2"/>
        <v>8462987.2585340943</v>
      </c>
      <c r="J17" s="442">
        <f t="shared" si="2"/>
        <v>8462987.2585340943</v>
      </c>
      <c r="K17" s="442">
        <f t="shared" si="2"/>
        <v>8462987.2585340943</v>
      </c>
      <c r="L17" s="442">
        <f t="shared" si="2"/>
        <v>8462987.2585340943</v>
      </c>
      <c r="M17" s="442">
        <f t="shared" si="2"/>
        <v>8462987.2585340943</v>
      </c>
      <c r="N17" s="442">
        <f t="shared" si="2"/>
        <v>8462987.2585340943</v>
      </c>
      <c r="O17" s="442">
        <f t="shared" si="2"/>
        <v>8462987.2585340943</v>
      </c>
      <c r="P17" s="442">
        <f t="shared" si="2"/>
        <v>8462987.2585340943</v>
      </c>
      <c r="Q17" s="442">
        <f t="shared" si="2"/>
        <v>8462987.2585340943</v>
      </c>
      <c r="R17" s="442">
        <f t="shared" si="2"/>
        <v>8462987.2585340943</v>
      </c>
      <c r="S17" s="442">
        <f t="shared" si="2"/>
        <v>8462987.2585340943</v>
      </c>
      <c r="T17" s="442">
        <f t="shared" si="2"/>
        <v>8462987.2585340943</v>
      </c>
      <c r="U17" s="442">
        <f t="shared" si="2"/>
        <v>8462987.2585340943</v>
      </c>
      <c r="V17" s="442">
        <f t="shared" si="2"/>
        <v>8462987.2585340943</v>
      </c>
      <c r="W17" s="442">
        <f t="shared" si="2"/>
        <v>8462987.2585340943</v>
      </c>
      <c r="X17" s="442">
        <f t="shared" si="2"/>
        <v>8462987.2585340943</v>
      </c>
      <c r="Y17" s="442">
        <f t="shared" si="2"/>
        <v>8462987.2585340943</v>
      </c>
      <c r="Z17" s="442">
        <f t="shared" si="2"/>
        <v>8462987.2585340943</v>
      </c>
      <c r="AA17" s="442">
        <f t="shared" si="2"/>
        <v>8462987.2585340943</v>
      </c>
      <c r="AB17" s="442">
        <f t="shared" si="2"/>
        <v>8462987.2585340943</v>
      </c>
      <c r="AC17" s="442">
        <f t="shared" si="2"/>
        <v>1412777.5132418284</v>
      </c>
      <c r="AD17" s="442">
        <f t="shared" si="2"/>
        <v>1412777.5132418284</v>
      </c>
      <c r="AE17" s="442">
        <f t="shared" si="2"/>
        <v>1412777.5132418284</v>
      </c>
      <c r="AF17" s="442">
        <f t="shared" si="2"/>
        <v>1412777.5132418284</v>
      </c>
      <c r="AG17" s="442">
        <f t="shared" si="2"/>
        <v>1412777.5132418284</v>
      </c>
      <c r="AH17" s="442">
        <f t="shared" si="2"/>
        <v>1412777.5132418284</v>
      </c>
    </row>
    <row r="18" spans="2:34">
      <c r="B18" s="7" t="s">
        <v>478</v>
      </c>
      <c r="D18" s="571"/>
      <c r="E18" s="579">
        <f>IF(E12=Assumptions!$C$10,Assumptions!$D$63,IF(AND(E12&gt;=Assumptions!$C$10,E12&lt;=EOMONTH(Assumptions!$C$10,Assumptions!$C$11)),Assumptions!$D$64/Assumptions!$C$11,IF(E12=EOMONTH(Assumptions!$C$13,Assumptions!$E$65),Assumptions!$D$65,0)))</f>
        <v>0</v>
      </c>
      <c r="F18" s="579">
        <f>IF(F12=Assumptions!$C$10,Assumptions!$D$63,IF(AND(F12&gt;=Assumptions!$C$10,F12&lt;=EOMONTH(Assumptions!$C$10,Assumptions!$C$11)),Assumptions!$D$64/Assumptions!$C$11,IF(F12=EOMONTH(Assumptions!$C$13,Assumptions!$E$65),Assumptions!$D$65,0)))</f>
        <v>36583.333333333336</v>
      </c>
      <c r="G18" s="579">
        <f>IF(G12=Assumptions!$C$10,Assumptions!$D$63,IF(AND(G12&gt;=Assumptions!$C$10,G12&lt;=EOMONTH(Assumptions!$C$10,Assumptions!$C$11)),Assumptions!$D$64/Assumptions!$C$11,IF(G12=EOMONTH(Assumptions!$C$13,Assumptions!$E$65),Assumptions!$D$65,0)))</f>
        <v>36583.333333333336</v>
      </c>
      <c r="H18" s="579">
        <f>IF(H12=Assumptions!$C$10,Assumptions!$D$63,IF(AND(H12&gt;=Assumptions!$C$10,H12&lt;=EOMONTH(Assumptions!$C$10,Assumptions!$C$11)),Assumptions!$D$64/Assumptions!$C$11,IF(H12=EOMONTH(Assumptions!$C$13,Assumptions!$E$65),Assumptions!$D$65,0)))</f>
        <v>36583.333333333336</v>
      </c>
      <c r="I18" s="579">
        <f>IF(I12=Assumptions!$C$10,Assumptions!$D$63,IF(AND(I12&gt;=Assumptions!$C$10,I12&lt;=EOMONTH(Assumptions!$C$10,Assumptions!$C$11)),Assumptions!$D$64/Assumptions!$C$11,IF(I12=EOMONTH(Assumptions!$C$13,Assumptions!$E$65),Assumptions!$D$65,0)))</f>
        <v>36583.333333333336</v>
      </c>
      <c r="J18" s="579">
        <f>IF(J12=Assumptions!$C$10,Assumptions!$D$63,IF(AND(J12&gt;=Assumptions!$C$10,J12&lt;=EOMONTH(Assumptions!$C$10,Assumptions!$C$11)),Assumptions!$D$64/Assumptions!$C$11,IF(J12=EOMONTH(Assumptions!$C$13,Assumptions!$E$65),Assumptions!$D$65,0)))</f>
        <v>36583.333333333336</v>
      </c>
      <c r="K18" s="579">
        <f>IF(K12=Assumptions!$C$10,Assumptions!$D$63,IF(AND(K12&gt;=Assumptions!$C$10,K12&lt;=EOMONTH(Assumptions!$C$10,Assumptions!$C$11)),Assumptions!$D$64/Assumptions!$C$11,IF(K12=EOMONTH(Assumptions!$C$13,Assumptions!$E$65),Assumptions!$D$65,0)))</f>
        <v>36583.333333333336</v>
      </c>
      <c r="L18" s="579">
        <f>IF(L12=Assumptions!$C$10,Assumptions!$D$63,IF(AND(L12&gt;=Assumptions!$C$10,L12&lt;=EOMONTH(Assumptions!$C$10,Assumptions!$C$11)),Assumptions!$D$64/Assumptions!$C$11,IF(L12=EOMONTH(Assumptions!$C$13,Assumptions!$E$65),Assumptions!$D$65,0)))</f>
        <v>36583.333333333336</v>
      </c>
      <c r="M18" s="579">
        <f>IF(M12=Assumptions!$C$10,Assumptions!$D$63,IF(AND(M12&gt;=Assumptions!$C$10,M12&lt;=EOMONTH(Assumptions!$C$10,Assumptions!$C$11)),Assumptions!$D$64/Assumptions!$C$11,IF(M12=EOMONTH(Assumptions!$C$13,Assumptions!$E$65),Assumptions!$D$65,0)))</f>
        <v>36583.333333333336</v>
      </c>
      <c r="N18" s="579">
        <f>IF(N12=Assumptions!$C$10,Assumptions!$D$63,IF(AND(N12&gt;=Assumptions!$C$10,N12&lt;=EOMONTH(Assumptions!$C$10,Assumptions!$C$11)),Assumptions!$D$64/Assumptions!$C$11,IF(N12=EOMONTH(Assumptions!$C$13,Assumptions!$E$65),Assumptions!$D$65,0)))</f>
        <v>36583.333333333336</v>
      </c>
      <c r="O18" s="579">
        <f>IF(O12=Assumptions!$C$10,Assumptions!$D$63,IF(AND(O12&gt;=Assumptions!$C$10,O12&lt;=EOMONTH(Assumptions!$C$10,Assumptions!$C$11)),Assumptions!$D$64/Assumptions!$C$11,IF(O12=EOMONTH(Assumptions!$C$13,Assumptions!$E$65),Assumptions!$D$65,0)))</f>
        <v>36583.333333333336</v>
      </c>
      <c r="P18" s="579">
        <f>IF(P12=Assumptions!$C$10,Assumptions!$D$63,IF(AND(P12&gt;=Assumptions!$C$10,P12&lt;=EOMONTH(Assumptions!$C$10,Assumptions!$C$11)),Assumptions!$D$64/Assumptions!$C$11,IF(P12=EOMONTH(Assumptions!$C$13,Assumptions!$E$65),Assumptions!$D$65,0)))</f>
        <v>36583.333333333336</v>
      </c>
      <c r="Q18" s="579">
        <f>IF(Q12=Assumptions!$C$10,Assumptions!$D$63,IF(AND(Q12&gt;=Assumptions!$C$10,Q12&lt;=EOMONTH(Assumptions!$C$10,Assumptions!$C$11)),Assumptions!$D$64/Assumptions!$C$11,IF(Q12=EOMONTH(Assumptions!$C$13,Assumptions!$E$65),Assumptions!$D$65,0)))</f>
        <v>36583.333333333336</v>
      </c>
      <c r="R18" s="579">
        <f>IF(R12=Assumptions!$C$10,Assumptions!$D$63,IF(AND(R12&gt;=Assumptions!$C$10,R12&lt;=EOMONTH(Assumptions!$C$10,Assumptions!$C$11)),Assumptions!$D$64/Assumptions!$C$11,IF(R12=EOMONTH(Assumptions!$C$13,Assumptions!$E$65),Assumptions!$D$65,0)))</f>
        <v>36583.333333333336</v>
      </c>
      <c r="S18" s="579">
        <f>IF(S12=Assumptions!$C$10,Assumptions!$D$63,IF(AND(S12&gt;=Assumptions!$C$10,S12&lt;=EOMONTH(Assumptions!$C$10,Assumptions!$C$11)),Assumptions!$D$64/Assumptions!$C$11,IF(S12=EOMONTH(Assumptions!$C$13,Assumptions!$E$65),Assumptions!$D$65,0)))</f>
        <v>36583.333333333336</v>
      </c>
      <c r="T18" s="579">
        <f>IF(T12=Assumptions!$C$10,Assumptions!$D$63,IF(AND(T12&gt;=Assumptions!$C$10,T12&lt;=EOMONTH(Assumptions!$C$10,Assumptions!$C$11)),Assumptions!$D$64/Assumptions!$C$11,IF(T12=EOMONTH(Assumptions!$C$13,Assumptions!$E$65),Assumptions!$D$65,0)))</f>
        <v>36583.333333333336</v>
      </c>
      <c r="U18" s="579">
        <f>IF(U12=Assumptions!$C$10,Assumptions!$D$63,IF(AND(U12&gt;=Assumptions!$C$10,U12&lt;=EOMONTH(Assumptions!$C$10,Assumptions!$C$11)),Assumptions!$D$64/Assumptions!$C$11,IF(U12=EOMONTH(Assumptions!$C$13,Assumptions!$E$65),Assumptions!$D$65,0)))</f>
        <v>36583.333333333336</v>
      </c>
      <c r="V18" s="579">
        <f>IF(V12=Assumptions!$C$10,Assumptions!$D$63,IF(AND(V12&gt;=Assumptions!$C$10,V12&lt;=EOMONTH(Assumptions!$C$10,Assumptions!$C$11)),Assumptions!$D$64/Assumptions!$C$11,IF(V12=EOMONTH(Assumptions!$C$13,Assumptions!$E$65),Assumptions!$D$65,0)))</f>
        <v>36583.333333333336</v>
      </c>
      <c r="W18" s="579">
        <f>IF(W12=Assumptions!$C$10,Assumptions!$D$63,IF(AND(W12&gt;=Assumptions!$C$10,W12&lt;=EOMONTH(Assumptions!$C$10,Assumptions!$C$11)),Assumptions!$D$64/Assumptions!$C$11,IF(W12=EOMONTH(Assumptions!$C$13,Assumptions!$E$65),Assumptions!$D$65,0)))</f>
        <v>36583.333333333336</v>
      </c>
      <c r="X18" s="579">
        <f>IF(X12=Assumptions!$C$10,Assumptions!$D$63,IF(AND(X12&gt;=Assumptions!$C$10,X12&lt;=EOMONTH(Assumptions!$C$10,Assumptions!$C$11)),Assumptions!$D$64/Assumptions!$C$11,IF(X12=EOMONTH(Assumptions!$C$13,Assumptions!$E$65),Assumptions!$D$65,0)))</f>
        <v>36583.333333333336</v>
      </c>
      <c r="Y18" s="579">
        <f>IF(Y12=Assumptions!$C$10,Assumptions!$D$63,IF(AND(Y12&gt;=Assumptions!$C$10,Y12&lt;=EOMONTH(Assumptions!$C$10,Assumptions!$C$11)),Assumptions!$D$64/Assumptions!$C$11,IF(Y12=EOMONTH(Assumptions!$C$13,Assumptions!$E$65),Assumptions!$D$65,0)))</f>
        <v>36583.333333333336</v>
      </c>
      <c r="Z18" s="579">
        <f>IF(Z12=Assumptions!$C$10,Assumptions!$D$63,IF(AND(Z12&gt;=Assumptions!$C$10,Z12&lt;=EOMONTH(Assumptions!$C$10,Assumptions!$C$11)),Assumptions!$D$64/Assumptions!$C$11,IF(Z12=EOMONTH(Assumptions!$C$13,Assumptions!$E$65),Assumptions!$D$65,0)))</f>
        <v>36583.333333333336</v>
      </c>
      <c r="AA18" s="579">
        <f>IF(AA12=Assumptions!$C$10,Assumptions!$D$63,IF(AND(AA12&gt;=Assumptions!$C$10,AA12&lt;=EOMONTH(Assumptions!$C$10,Assumptions!$C$11)),Assumptions!$D$64/Assumptions!$C$11,IF(AA12=EOMONTH(Assumptions!$C$13,Assumptions!$E$65),Assumptions!$D$65,0)))</f>
        <v>36583.333333333336</v>
      </c>
      <c r="AB18" s="579">
        <f>IF(AB12=Assumptions!$C$10,Assumptions!$D$63,IF(AND(AB12&gt;=Assumptions!$C$10,AB12&lt;=EOMONTH(Assumptions!$C$10,Assumptions!$C$11)),Assumptions!$D$64/Assumptions!$C$11,IF(AB12=EOMONTH(Assumptions!$C$13,Assumptions!$E$65),Assumptions!$D$65,0)))</f>
        <v>36583.333333333336</v>
      </c>
      <c r="AC18" s="579">
        <f>IF(AC12=Assumptions!$C$10,Assumptions!$D$63,IF(AND(AC12&gt;=Assumptions!$C$10,AC12&lt;=EOMONTH(Assumptions!$C$10,Assumptions!$C$11)),Assumptions!$D$64/Assumptions!$C$11,IF(AC12=EOMONTH(Assumptions!$C$13,Assumptions!$E$65),Assumptions!$D$65,0)))</f>
        <v>36583.333333333336</v>
      </c>
      <c r="AD18" s="579">
        <f>IF(AD12=Assumptions!$C$10,Assumptions!$D$63,IF(AND(AD12&gt;=Assumptions!$C$10,AD12&lt;=EOMONTH(Assumptions!$C$10,Assumptions!$C$11)),Assumptions!$D$64/Assumptions!$C$11,IF(AD12=EOMONTH(Assumptions!$C$13,Assumptions!$E$65),Assumptions!$D$65,0)))</f>
        <v>0</v>
      </c>
      <c r="AE18" s="579">
        <f>IF(AE12=Assumptions!$C$10,Assumptions!$D$63,IF(AND(AE12&gt;=Assumptions!$C$10,AE12&lt;=EOMONTH(Assumptions!$C$10,Assumptions!$C$11)),Assumptions!$D$64/Assumptions!$C$11,IF(AE12=EOMONTH(Assumptions!$C$13,Assumptions!$E$65),Assumptions!$D$65,0)))</f>
        <v>0</v>
      </c>
      <c r="AF18" s="579">
        <f>IF(AF12=Assumptions!$C$10,Assumptions!$D$63,IF(AND(AF12&gt;=Assumptions!$C$10,AF12&lt;=EOMONTH(Assumptions!$C$10,Assumptions!$C$11)),Assumptions!$D$64/Assumptions!$C$11,IF(AF12=EOMONTH(Assumptions!$C$13,Assumptions!$E$65),Assumptions!$D$65,0)))</f>
        <v>0</v>
      </c>
      <c r="AG18" s="579">
        <f>IF(AG12=Assumptions!$C$10,Assumptions!$D$63,IF(AND(AG12&gt;=Assumptions!$C$10,AG12&lt;=EOMONTH(Assumptions!$C$10,Assumptions!$C$11)),Assumptions!$D$64/Assumptions!$C$11,IF(AG12=EOMONTH(Assumptions!$C$13,Assumptions!$E$65),Assumptions!$D$65,0)))</f>
        <v>0</v>
      </c>
      <c r="AH18" s="579">
        <f>IF(AH12=Assumptions!$C$10,Assumptions!$D$63,IF(AND(AH12&gt;=Assumptions!$C$10,AH12&lt;=EOMONTH(Assumptions!$C$10,Assumptions!$C$11)),Assumptions!$D$64/Assumptions!$C$11,IF(AH12=EOMONTH(Assumptions!$C$13,Assumptions!$E$65),Assumptions!$D$65,0)))</f>
        <v>0</v>
      </c>
    </row>
    <row r="19" spans="2:34">
      <c r="D19" s="171"/>
    </row>
    <row r="20" spans="2:34">
      <c r="B20" s="379" t="s">
        <v>481</v>
      </c>
      <c r="C20" s="105"/>
      <c r="D20" s="580"/>
      <c r="E20" s="447">
        <f>SUM(E15:E19)</f>
        <v>19098579.444110662</v>
      </c>
      <c r="F20" s="447">
        <f t="shared" ref="F20:AH20" si="3">SUM(F15:F19)</f>
        <v>8499570.5918674283</v>
      </c>
      <c r="G20" s="447">
        <f t="shared" si="3"/>
        <v>8499570.5918674283</v>
      </c>
      <c r="H20" s="447">
        <f t="shared" si="3"/>
        <v>8499570.5918674283</v>
      </c>
      <c r="I20" s="447">
        <f t="shared" si="3"/>
        <v>8499570.5918674283</v>
      </c>
      <c r="J20" s="447">
        <f t="shared" si="3"/>
        <v>8499570.5918674283</v>
      </c>
      <c r="K20" s="447">
        <f t="shared" si="3"/>
        <v>8499570.5918674283</v>
      </c>
      <c r="L20" s="447">
        <f t="shared" si="3"/>
        <v>8499570.5918674283</v>
      </c>
      <c r="M20" s="447">
        <f t="shared" si="3"/>
        <v>8499570.5918674283</v>
      </c>
      <c r="N20" s="447">
        <f t="shared" si="3"/>
        <v>8499570.5918674283</v>
      </c>
      <c r="O20" s="447">
        <f t="shared" si="3"/>
        <v>8499570.5918674283</v>
      </c>
      <c r="P20" s="447">
        <f t="shared" si="3"/>
        <v>8499570.5918674283</v>
      </c>
      <c r="Q20" s="447">
        <f t="shared" si="3"/>
        <v>8499570.5918674283</v>
      </c>
      <c r="R20" s="447">
        <f t="shared" si="3"/>
        <v>8499570.5918674283</v>
      </c>
      <c r="S20" s="447">
        <f t="shared" si="3"/>
        <v>8499570.5918674283</v>
      </c>
      <c r="T20" s="447">
        <f t="shared" si="3"/>
        <v>8499570.5918674283</v>
      </c>
      <c r="U20" s="447">
        <f t="shared" si="3"/>
        <v>8499570.5918674283</v>
      </c>
      <c r="V20" s="447">
        <f t="shared" si="3"/>
        <v>8499570.5918674283</v>
      </c>
      <c r="W20" s="447">
        <f t="shared" si="3"/>
        <v>8499570.5918674283</v>
      </c>
      <c r="X20" s="447">
        <f t="shared" si="3"/>
        <v>8499570.5918674283</v>
      </c>
      <c r="Y20" s="447">
        <f t="shared" si="3"/>
        <v>8499570.5918674283</v>
      </c>
      <c r="Z20" s="447">
        <f t="shared" si="3"/>
        <v>8499570.5918674283</v>
      </c>
      <c r="AA20" s="447">
        <f t="shared" si="3"/>
        <v>8499570.5918674283</v>
      </c>
      <c r="AB20" s="447">
        <f t="shared" si="3"/>
        <v>8499570.5918674283</v>
      </c>
      <c r="AC20" s="447">
        <f t="shared" si="3"/>
        <v>1449360.8465751617</v>
      </c>
      <c r="AD20" s="447">
        <f t="shared" si="3"/>
        <v>1412777.5132418284</v>
      </c>
      <c r="AE20" s="447">
        <f t="shared" si="3"/>
        <v>1412777.5132418284</v>
      </c>
      <c r="AF20" s="447">
        <f t="shared" si="3"/>
        <v>1412777.5132418284</v>
      </c>
      <c r="AG20" s="447">
        <f t="shared" si="3"/>
        <v>1412777.5132418284</v>
      </c>
      <c r="AH20" s="447">
        <f t="shared" si="3"/>
        <v>1412777.5132418284</v>
      </c>
    </row>
    <row r="21" spans="2:34">
      <c r="D21" s="171"/>
    </row>
    <row r="22" spans="2:34">
      <c r="B22" s="52" t="s">
        <v>472</v>
      </c>
      <c r="D22" s="171"/>
    </row>
    <row r="23" spans="2:34">
      <c r="D23" s="171"/>
    </row>
    <row r="24" spans="2:34">
      <c r="B24" s="7" t="s">
        <v>484</v>
      </c>
      <c r="D24" s="571"/>
      <c r="E24" s="442">
        <f>Budget!J122</f>
        <v>-1</v>
      </c>
      <c r="F24" s="442">
        <f>Budget!K122</f>
        <v>0</v>
      </c>
      <c r="G24" s="442">
        <f>Budget!L122</f>
        <v>0</v>
      </c>
      <c r="H24" s="442">
        <f>Budget!M122</f>
        <v>0</v>
      </c>
      <c r="I24" s="442">
        <f>Budget!N122</f>
        <v>0</v>
      </c>
      <c r="J24" s="442">
        <f>Budget!O122</f>
        <v>0</v>
      </c>
      <c r="K24" s="442">
        <f>Budget!P122</f>
        <v>0</v>
      </c>
      <c r="L24" s="442">
        <f>Budget!Q122</f>
        <v>0</v>
      </c>
      <c r="M24" s="442">
        <f>Budget!R122</f>
        <v>0</v>
      </c>
      <c r="N24" s="442">
        <f>Budget!S122</f>
        <v>0</v>
      </c>
      <c r="O24" s="442">
        <f>Budget!T122</f>
        <v>0</v>
      </c>
      <c r="P24" s="442">
        <f>Budget!U122</f>
        <v>0</v>
      </c>
      <c r="Q24" s="442">
        <f>Budget!V122</f>
        <v>0</v>
      </c>
      <c r="R24" s="442">
        <f>Budget!W122</f>
        <v>0</v>
      </c>
      <c r="S24" s="442">
        <f>Budget!X122</f>
        <v>0</v>
      </c>
      <c r="T24" s="442">
        <f>Budget!Y122</f>
        <v>0</v>
      </c>
      <c r="U24" s="442">
        <f>Budget!Z122</f>
        <v>0</v>
      </c>
      <c r="V24" s="442">
        <f>Budget!AA122</f>
        <v>0</v>
      </c>
      <c r="W24" s="442">
        <f>Budget!AB122</f>
        <v>0</v>
      </c>
      <c r="X24" s="442">
        <f>Budget!AC122</f>
        <v>0</v>
      </c>
      <c r="Y24" s="442">
        <f>Budget!AD122</f>
        <v>0</v>
      </c>
      <c r="Z24" s="442">
        <f>Budget!AE122</f>
        <v>0</v>
      </c>
      <c r="AA24" s="442">
        <f>Budget!AF122</f>
        <v>0</v>
      </c>
      <c r="AB24" s="442">
        <f>Budget!AG122</f>
        <v>0</v>
      </c>
      <c r="AC24" s="442">
        <f>Budget!AH122</f>
        <v>0</v>
      </c>
      <c r="AD24" s="442">
        <f>Budget!AI122</f>
        <v>0</v>
      </c>
      <c r="AE24" s="442">
        <f>Budget!AJ122</f>
        <v>0</v>
      </c>
      <c r="AF24" s="442">
        <f>Budget!AK122</f>
        <v>0</v>
      </c>
      <c r="AG24" s="442">
        <f>Budget!AL122</f>
        <v>0</v>
      </c>
      <c r="AH24" s="442">
        <f>Budget!AM122</f>
        <v>0</v>
      </c>
    </row>
    <row r="25" spans="2:34">
      <c r="B25" s="7" t="s">
        <v>473</v>
      </c>
      <c r="D25" s="571"/>
      <c r="E25" s="442">
        <f>_xlfn.XLOOKUP('Development CF'!E12,Budget!$J$7:$OO$7,Budget!$J$50:$OO$50)</f>
        <v>-8594683.3333333321</v>
      </c>
      <c r="F25" s="442">
        <f>_xlfn.XLOOKUP('Development CF'!F12,Budget!$J$7:$OO$7,Budget!$J$50:$OO$50)</f>
        <v>-8594683.3333333321</v>
      </c>
      <c r="G25" s="442">
        <f>_xlfn.XLOOKUP('Development CF'!G12,Budget!$J$7:$OO$7,Budget!$J$50:$OO$50)</f>
        <v>-8594683.3333333321</v>
      </c>
      <c r="H25" s="442">
        <f>_xlfn.XLOOKUP('Development CF'!H12,Budget!$J$7:$OO$7,Budget!$J$50:$OO$50)</f>
        <v>-8594683.3333333321</v>
      </c>
      <c r="I25" s="442">
        <f>_xlfn.XLOOKUP('Development CF'!I12,Budget!$J$7:$OO$7,Budget!$J$50:$OO$50)</f>
        <v>-8594683.3333333321</v>
      </c>
      <c r="J25" s="442">
        <f>_xlfn.XLOOKUP('Development CF'!J12,Budget!$J$7:$OO$7,Budget!$J$50:$OO$50)</f>
        <v>-8594683.3333333321</v>
      </c>
      <c r="K25" s="442">
        <f>_xlfn.XLOOKUP('Development CF'!K12,Budget!$J$7:$OO$7,Budget!$J$50:$OO$50)</f>
        <v>-8594683.3333333321</v>
      </c>
      <c r="L25" s="442">
        <f>_xlfn.XLOOKUP('Development CF'!L12,Budget!$J$7:$OO$7,Budget!$J$50:$OO$50)</f>
        <v>-8594683.3333333321</v>
      </c>
      <c r="M25" s="442">
        <f>_xlfn.XLOOKUP('Development CF'!M12,Budget!$J$7:$OO$7,Budget!$J$50:$OO$50)</f>
        <v>-8594683.3333333321</v>
      </c>
      <c r="N25" s="442">
        <f>_xlfn.XLOOKUP('Development CF'!N12,Budget!$J$7:$OO$7,Budget!$J$50:$OO$50)</f>
        <v>-8594683.3333333321</v>
      </c>
      <c r="O25" s="442">
        <f>_xlfn.XLOOKUP('Development CF'!O12,Budget!$J$7:$OO$7,Budget!$J$50:$OO$50)</f>
        <v>-8594683.3333333321</v>
      </c>
      <c r="P25" s="442">
        <f>_xlfn.XLOOKUP('Development CF'!P12,Budget!$J$7:$OO$7,Budget!$J$50:$OO$50)</f>
        <v>-8594683.3333333321</v>
      </c>
      <c r="Q25" s="442">
        <f>_xlfn.XLOOKUP('Development CF'!Q12,Budget!$J$7:$OO$7,Budget!$J$50:$OO$50)</f>
        <v>-8594683.3333333321</v>
      </c>
      <c r="R25" s="442">
        <f>_xlfn.XLOOKUP('Development CF'!R12,Budget!$J$7:$OO$7,Budget!$J$50:$OO$50)</f>
        <v>-8594683.3333333321</v>
      </c>
      <c r="S25" s="442">
        <f>_xlfn.XLOOKUP('Development CF'!S12,Budget!$J$7:$OO$7,Budget!$J$50:$OO$50)</f>
        <v>-8594683.3333333321</v>
      </c>
      <c r="T25" s="442">
        <f>_xlfn.XLOOKUP('Development CF'!T12,Budget!$J$7:$OO$7,Budget!$J$50:$OO$50)</f>
        <v>-8594683.3333333321</v>
      </c>
      <c r="U25" s="442">
        <f>_xlfn.XLOOKUP('Development CF'!U12,Budget!$J$7:$OO$7,Budget!$J$50:$OO$50)</f>
        <v>-8594683.3333333321</v>
      </c>
      <c r="V25" s="442">
        <f>_xlfn.XLOOKUP('Development CF'!V12,Budget!$J$7:$OO$7,Budget!$J$50:$OO$50)</f>
        <v>-8594683.3333333321</v>
      </c>
      <c r="W25" s="442">
        <f>_xlfn.XLOOKUP('Development CF'!W12,Budget!$J$7:$OO$7,Budget!$J$50:$OO$50)</f>
        <v>-8594683.3333333321</v>
      </c>
      <c r="X25" s="442">
        <f>_xlfn.XLOOKUP('Development CF'!X12,Budget!$J$7:$OO$7,Budget!$J$50:$OO$50)</f>
        <v>-8594683.3333333321</v>
      </c>
      <c r="Y25" s="442">
        <f>_xlfn.XLOOKUP('Development CF'!Y12,Budget!$J$7:$OO$7,Budget!$J$50:$OO$50)</f>
        <v>-8594683.3333333321</v>
      </c>
      <c r="Z25" s="442">
        <f>_xlfn.XLOOKUP('Development CF'!Z12,Budget!$J$7:$OO$7,Budget!$J$50:$OO$50)</f>
        <v>-8594683.3333333321</v>
      </c>
      <c r="AA25" s="442">
        <f>_xlfn.XLOOKUP('Development CF'!AA12,Budget!$J$7:$OO$7,Budget!$J$50:$OO$50)</f>
        <v>-8594683.3333333321</v>
      </c>
      <c r="AB25" s="442">
        <f>_xlfn.XLOOKUP('Development CF'!AB12,Budget!$J$7:$OO$7,Budget!$J$50:$OO$50)</f>
        <v>-8594683.3333333321</v>
      </c>
      <c r="AC25" s="442">
        <f>_xlfn.XLOOKUP('Development CF'!AC12,Budget!$J$7:$OO$7,Budget!$J$50:$OO$50)</f>
        <v>0</v>
      </c>
      <c r="AD25" s="442">
        <f>_xlfn.XLOOKUP('Development CF'!AD12,Budget!$J$7:$OO$7,Budget!$J$50:$OO$50)</f>
        <v>0</v>
      </c>
      <c r="AE25" s="442">
        <f>_xlfn.XLOOKUP('Development CF'!AE12,Budget!$J$7:$OO$7,Budget!$J$50:$OO$50)</f>
        <v>0</v>
      </c>
      <c r="AF25" s="442">
        <f>_xlfn.XLOOKUP('Development CF'!AF12,Budget!$J$7:$OO$7,Budget!$J$50:$OO$50)</f>
        <v>0</v>
      </c>
      <c r="AG25" s="442">
        <f>_xlfn.XLOOKUP('Development CF'!AG12,Budget!$J$7:$OO$7,Budget!$J$50:$OO$50)</f>
        <v>0</v>
      </c>
      <c r="AH25" s="442">
        <f>_xlfn.XLOOKUP('Development CF'!AH12,Budget!$J$7:$OO$7,Budget!$J$50:$OO$50)</f>
        <v>0</v>
      </c>
    </row>
    <row r="26" spans="2:34">
      <c r="B26" s="7" t="s">
        <v>425</v>
      </c>
      <c r="D26" s="571"/>
      <c r="E26" s="442">
        <f>_xlfn.XLOOKUP(E12,Budget!$J$7:$OO$7,Budget!$J$58:$OO$58)</f>
        <v>-1722271.5047414936</v>
      </c>
      <c r="F26" s="442">
        <f>_xlfn.XLOOKUP(F12,Budget!$J$7:$OO$7,Budget!$J$58:$OO$58)</f>
        <v>-1722271.5047414936</v>
      </c>
      <c r="G26" s="442">
        <f>_xlfn.XLOOKUP(G12,Budget!$J$7:$OO$7,Budget!$J$58:$OO$58)</f>
        <v>-1722271.5047414936</v>
      </c>
      <c r="H26" s="442">
        <f>_xlfn.XLOOKUP(H12,Budget!$J$7:$OO$7,Budget!$J$58:$OO$58)</f>
        <v>-1722271.5047414936</v>
      </c>
      <c r="I26" s="442">
        <f>_xlfn.XLOOKUP(I12,Budget!$J$7:$OO$7,Budget!$J$58:$OO$58)</f>
        <v>-1722271.5047414936</v>
      </c>
      <c r="J26" s="442">
        <f>_xlfn.XLOOKUP(J12,Budget!$J$7:$OO$7,Budget!$J$58:$OO$58)</f>
        <v>-1722271.5047414936</v>
      </c>
      <c r="K26" s="442">
        <f>_xlfn.XLOOKUP(K12,Budget!$J$7:$OO$7,Budget!$J$58:$OO$58)</f>
        <v>-1722271.5047414936</v>
      </c>
      <c r="L26" s="442">
        <f>_xlfn.XLOOKUP(L12,Budget!$J$7:$OO$7,Budget!$J$58:$OO$58)</f>
        <v>-1722271.5047414936</v>
      </c>
      <c r="M26" s="442">
        <f>_xlfn.XLOOKUP(M12,Budget!$J$7:$OO$7,Budget!$J$58:$OO$58)</f>
        <v>-1722271.5047414936</v>
      </c>
      <c r="N26" s="442">
        <f>_xlfn.XLOOKUP(N12,Budget!$J$7:$OO$7,Budget!$J$58:$OO$58)</f>
        <v>-1722271.5047414936</v>
      </c>
      <c r="O26" s="442">
        <f>_xlfn.XLOOKUP(O12,Budget!$J$7:$OO$7,Budget!$J$58:$OO$58)</f>
        <v>-1722271.5047414936</v>
      </c>
      <c r="P26" s="442">
        <f>_xlfn.XLOOKUP(P12,Budget!$J$7:$OO$7,Budget!$J$58:$OO$58)</f>
        <v>-1722271.5047414936</v>
      </c>
      <c r="Q26" s="442">
        <f>_xlfn.XLOOKUP(Q12,Budget!$J$7:$OO$7,Budget!$J$58:$OO$58)</f>
        <v>-1722271.5047414936</v>
      </c>
      <c r="R26" s="442">
        <f>_xlfn.XLOOKUP(R12,Budget!$J$7:$OO$7,Budget!$J$58:$OO$58)</f>
        <v>-1722271.5047414936</v>
      </c>
      <c r="S26" s="442">
        <f>_xlfn.XLOOKUP(S12,Budget!$J$7:$OO$7,Budget!$J$58:$OO$58)</f>
        <v>-1722271.5047414936</v>
      </c>
      <c r="T26" s="442">
        <f>_xlfn.XLOOKUP(T12,Budget!$J$7:$OO$7,Budget!$J$58:$OO$58)</f>
        <v>-1722271.5047414936</v>
      </c>
      <c r="U26" s="442">
        <f>_xlfn.XLOOKUP(U12,Budget!$J$7:$OO$7,Budget!$J$58:$OO$58)</f>
        <v>-1722271.5047414936</v>
      </c>
      <c r="V26" s="442">
        <f>_xlfn.XLOOKUP(V12,Budget!$J$7:$OO$7,Budget!$J$58:$OO$58)</f>
        <v>-1722271.5047414936</v>
      </c>
      <c r="W26" s="442">
        <f>_xlfn.XLOOKUP(W12,Budget!$J$7:$OO$7,Budget!$J$58:$OO$58)</f>
        <v>-1722271.5047414936</v>
      </c>
      <c r="X26" s="442">
        <f>_xlfn.XLOOKUP(X12,Budget!$J$7:$OO$7,Budget!$J$58:$OO$58)</f>
        <v>-1722271.5047414936</v>
      </c>
      <c r="Y26" s="442">
        <f>_xlfn.XLOOKUP(Y12,Budget!$J$7:$OO$7,Budget!$J$58:$OO$58)</f>
        <v>-1722271.5047414936</v>
      </c>
      <c r="Z26" s="442">
        <f>_xlfn.XLOOKUP(Z12,Budget!$J$7:$OO$7,Budget!$J$58:$OO$58)</f>
        <v>-1722271.5047414936</v>
      </c>
      <c r="AA26" s="442">
        <f>_xlfn.XLOOKUP(AA12,Budget!$J$7:$OO$7,Budget!$J$58:$OO$58)</f>
        <v>-1722271.5047414936</v>
      </c>
      <c r="AB26" s="442">
        <f>_xlfn.XLOOKUP(AB12,Budget!$J$7:$OO$7,Budget!$J$58:$OO$58)</f>
        <v>-1722271.5047414936</v>
      </c>
      <c r="AC26" s="442">
        <f>_xlfn.XLOOKUP(AC12,Budget!$J$7:$OO$7,Budget!$J$58:$OO$58)</f>
        <v>-1722271.5047414936</v>
      </c>
      <c r="AD26" s="442">
        <f>_xlfn.XLOOKUP(AD12,Budget!$J$7:$OO$7,Budget!$J$58:$OO$58)</f>
        <v>-1722271.5047414936</v>
      </c>
      <c r="AE26" s="442">
        <f>_xlfn.XLOOKUP(AE12,Budget!$J$7:$OO$7,Budget!$J$58:$OO$58)</f>
        <v>-1722271.5047414936</v>
      </c>
      <c r="AF26" s="442">
        <f>_xlfn.XLOOKUP(AF12,Budget!$J$7:$OO$7,Budget!$J$58:$OO$58)</f>
        <v>-1722271.5047414936</v>
      </c>
      <c r="AG26" s="442">
        <f>_xlfn.XLOOKUP(AG12,Budget!$J$7:$OO$7,Budget!$J$58:$OO$58)</f>
        <v>-1722271.5047414936</v>
      </c>
      <c r="AH26" s="442">
        <f>_xlfn.XLOOKUP(AH12,Budget!$J$7:$OO$7,Budget!$J$58:$OO$58)</f>
        <v>-1722271.5047414936</v>
      </c>
    </row>
    <row r="27" spans="2:34">
      <c r="D27" s="171"/>
    </row>
    <row r="28" spans="2:34">
      <c r="B28" s="379" t="s">
        <v>482</v>
      </c>
      <c r="C28" s="105"/>
      <c r="D28" s="580"/>
      <c r="E28" s="447">
        <f>SUM(E24:E27)</f>
        <v>-10316955.838074826</v>
      </c>
      <c r="F28" s="447">
        <f t="shared" ref="F28:AH28" si="4">SUM(F25:F27)</f>
        <v>-10316954.838074826</v>
      </c>
      <c r="G28" s="447">
        <f t="shared" si="4"/>
        <v>-10316954.838074826</v>
      </c>
      <c r="H28" s="447">
        <f t="shared" si="4"/>
        <v>-10316954.838074826</v>
      </c>
      <c r="I28" s="447">
        <f t="shared" si="4"/>
        <v>-10316954.838074826</v>
      </c>
      <c r="J28" s="447">
        <f t="shared" si="4"/>
        <v>-10316954.838074826</v>
      </c>
      <c r="K28" s="447">
        <f t="shared" si="4"/>
        <v>-10316954.838074826</v>
      </c>
      <c r="L28" s="447">
        <f t="shared" si="4"/>
        <v>-10316954.838074826</v>
      </c>
      <c r="M28" s="447">
        <f t="shared" si="4"/>
        <v>-10316954.838074826</v>
      </c>
      <c r="N28" s="447">
        <f t="shared" si="4"/>
        <v>-10316954.838074826</v>
      </c>
      <c r="O28" s="447">
        <f t="shared" si="4"/>
        <v>-10316954.838074826</v>
      </c>
      <c r="P28" s="447">
        <f t="shared" si="4"/>
        <v>-10316954.838074826</v>
      </c>
      <c r="Q28" s="447">
        <f t="shared" si="4"/>
        <v>-10316954.838074826</v>
      </c>
      <c r="R28" s="447">
        <f t="shared" si="4"/>
        <v>-10316954.838074826</v>
      </c>
      <c r="S28" s="447">
        <f t="shared" si="4"/>
        <v>-10316954.838074826</v>
      </c>
      <c r="T28" s="447">
        <f t="shared" si="4"/>
        <v>-10316954.838074826</v>
      </c>
      <c r="U28" s="447">
        <f t="shared" si="4"/>
        <v>-10316954.838074826</v>
      </c>
      <c r="V28" s="447">
        <f t="shared" si="4"/>
        <v>-10316954.838074826</v>
      </c>
      <c r="W28" s="447">
        <f t="shared" si="4"/>
        <v>-10316954.838074826</v>
      </c>
      <c r="X28" s="447">
        <f t="shared" si="4"/>
        <v>-10316954.838074826</v>
      </c>
      <c r="Y28" s="447">
        <f t="shared" si="4"/>
        <v>-10316954.838074826</v>
      </c>
      <c r="Z28" s="447">
        <f t="shared" si="4"/>
        <v>-10316954.838074826</v>
      </c>
      <c r="AA28" s="447">
        <f t="shared" si="4"/>
        <v>-10316954.838074826</v>
      </c>
      <c r="AB28" s="447">
        <f t="shared" si="4"/>
        <v>-10316954.838074826</v>
      </c>
      <c r="AC28" s="447">
        <f t="shared" si="4"/>
        <v>-1722271.5047414936</v>
      </c>
      <c r="AD28" s="447">
        <f t="shared" si="4"/>
        <v>-1722271.5047414936</v>
      </c>
      <c r="AE28" s="447">
        <f t="shared" si="4"/>
        <v>-1722271.5047414936</v>
      </c>
      <c r="AF28" s="447">
        <f t="shared" si="4"/>
        <v>-1722271.5047414936</v>
      </c>
      <c r="AG28" s="447">
        <f t="shared" si="4"/>
        <v>-1722271.5047414936</v>
      </c>
      <c r="AH28" s="447">
        <f t="shared" si="4"/>
        <v>-1722271.5047414936</v>
      </c>
    </row>
    <row r="30" spans="2:34" ht="14.25" thickBot="1">
      <c r="B30" s="581" t="s">
        <v>423</v>
      </c>
      <c r="C30" s="582"/>
      <c r="D30" s="582"/>
      <c r="E30" s="583">
        <f t="shared" ref="E30:AH30" si="5">E20+E28</f>
        <v>8781623.606035836</v>
      </c>
      <c r="F30" s="583">
        <f t="shared" si="5"/>
        <v>-1817384.2462073974</v>
      </c>
      <c r="G30" s="583">
        <f t="shared" si="5"/>
        <v>-1817384.2462073974</v>
      </c>
      <c r="H30" s="583">
        <f t="shared" si="5"/>
        <v>-1817384.2462073974</v>
      </c>
      <c r="I30" s="583">
        <f t="shared" si="5"/>
        <v>-1817384.2462073974</v>
      </c>
      <c r="J30" s="583">
        <f t="shared" si="5"/>
        <v>-1817384.2462073974</v>
      </c>
      <c r="K30" s="583">
        <f t="shared" si="5"/>
        <v>-1817384.2462073974</v>
      </c>
      <c r="L30" s="583">
        <f t="shared" si="5"/>
        <v>-1817384.2462073974</v>
      </c>
      <c r="M30" s="583">
        <f t="shared" si="5"/>
        <v>-1817384.2462073974</v>
      </c>
      <c r="N30" s="583">
        <f t="shared" si="5"/>
        <v>-1817384.2462073974</v>
      </c>
      <c r="O30" s="583">
        <f t="shared" si="5"/>
        <v>-1817384.2462073974</v>
      </c>
      <c r="P30" s="583">
        <f t="shared" si="5"/>
        <v>-1817384.2462073974</v>
      </c>
      <c r="Q30" s="583">
        <f t="shared" si="5"/>
        <v>-1817384.2462073974</v>
      </c>
      <c r="R30" s="583">
        <f t="shared" si="5"/>
        <v>-1817384.2462073974</v>
      </c>
      <c r="S30" s="583">
        <f t="shared" si="5"/>
        <v>-1817384.2462073974</v>
      </c>
      <c r="T30" s="583">
        <f t="shared" si="5"/>
        <v>-1817384.2462073974</v>
      </c>
      <c r="U30" s="583">
        <f t="shared" si="5"/>
        <v>-1817384.2462073974</v>
      </c>
      <c r="V30" s="583">
        <f t="shared" si="5"/>
        <v>-1817384.2462073974</v>
      </c>
      <c r="W30" s="583">
        <f t="shared" si="5"/>
        <v>-1817384.2462073974</v>
      </c>
      <c r="X30" s="583">
        <f t="shared" si="5"/>
        <v>-1817384.2462073974</v>
      </c>
      <c r="Y30" s="583">
        <f t="shared" si="5"/>
        <v>-1817384.2462073974</v>
      </c>
      <c r="Z30" s="583">
        <f t="shared" si="5"/>
        <v>-1817384.2462073974</v>
      </c>
      <c r="AA30" s="583">
        <f t="shared" si="5"/>
        <v>-1817384.2462073974</v>
      </c>
      <c r="AB30" s="583">
        <f t="shared" si="5"/>
        <v>-1817384.2462073974</v>
      </c>
      <c r="AC30" s="583">
        <f t="shared" si="5"/>
        <v>-272910.65816633194</v>
      </c>
      <c r="AD30" s="583">
        <f t="shared" si="5"/>
        <v>-309493.99149966519</v>
      </c>
      <c r="AE30" s="583">
        <f t="shared" si="5"/>
        <v>-309493.99149966519</v>
      </c>
      <c r="AF30" s="583">
        <f t="shared" si="5"/>
        <v>-309493.99149966519</v>
      </c>
      <c r="AG30" s="583">
        <f t="shared" si="5"/>
        <v>-309493.99149966519</v>
      </c>
      <c r="AH30" s="583">
        <f t="shared" si="5"/>
        <v>-309493.99149966519</v>
      </c>
    </row>
    <row r="33" spans="2:3">
      <c r="B33" s="49" t="s">
        <v>444</v>
      </c>
      <c r="C33" s="536">
        <f>(1+XIRR(E30:AH30,E12:AH12))^(1/12)-1</f>
        <v>0.20661033563096121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B9A8-73FD-4364-BF55-1152E2505A3C}">
  <sheetPr>
    <tabColor theme="5"/>
  </sheetPr>
  <dimension ref="B2:AI55"/>
  <sheetViews>
    <sheetView showGridLines="0" workbookViewId="0">
      <selection activeCell="B3" sqref="B3"/>
    </sheetView>
  </sheetViews>
  <sheetFormatPr defaultRowHeight="13.5"/>
  <cols>
    <col min="1" max="1" width="3.85546875" style="7" customWidth="1"/>
    <col min="2" max="2" width="31.7109375" style="7" customWidth="1"/>
    <col min="3" max="3" width="12.140625" style="7" bestFit="1" customWidth="1"/>
    <col min="4" max="5" width="11.140625" style="7" customWidth="1"/>
    <col min="6" max="6" width="11.7109375" style="7" bestFit="1" customWidth="1"/>
    <col min="7" max="35" width="13.5703125" style="7" bestFit="1" customWidth="1"/>
    <col min="36" max="16384" width="9.140625" style="7"/>
  </cols>
  <sheetData>
    <row r="2" spans="2:35" ht="15">
      <c r="B2" s="439" t="s">
        <v>493</v>
      </c>
    </row>
    <row r="3" spans="2:35">
      <c r="B3" s="7" t="s">
        <v>327</v>
      </c>
    </row>
    <row r="5" spans="2:35" s="282" customFormat="1">
      <c r="F5" s="282">
        <v>1</v>
      </c>
      <c r="G5" s="282">
        <v>2</v>
      </c>
      <c r="H5" s="282">
        <v>3</v>
      </c>
      <c r="I5" s="282">
        <v>4</v>
      </c>
      <c r="J5" s="282">
        <v>5</v>
      </c>
      <c r="K5" s="282">
        <v>6</v>
      </c>
      <c r="L5" s="282">
        <v>7</v>
      </c>
      <c r="M5" s="282">
        <v>8</v>
      </c>
      <c r="N5" s="282">
        <v>9</v>
      </c>
      <c r="O5" s="282">
        <v>10</v>
      </c>
      <c r="P5" s="282">
        <v>11</v>
      </c>
      <c r="Q5" s="282">
        <v>12</v>
      </c>
      <c r="R5" s="282">
        <v>13</v>
      </c>
      <c r="S5" s="282">
        <v>14</v>
      </c>
      <c r="T5" s="282">
        <v>15</v>
      </c>
      <c r="U5" s="282">
        <v>16</v>
      </c>
      <c r="V5" s="282">
        <v>17</v>
      </c>
      <c r="W5" s="282">
        <v>18</v>
      </c>
      <c r="X5" s="282">
        <v>19</v>
      </c>
      <c r="Y5" s="282">
        <v>20</v>
      </c>
      <c r="Z5" s="282">
        <v>21</v>
      </c>
      <c r="AA5" s="282">
        <v>22</v>
      </c>
      <c r="AB5" s="282">
        <v>23</v>
      </c>
      <c r="AC5" s="282">
        <v>24</v>
      </c>
      <c r="AD5" s="282">
        <v>25</v>
      </c>
      <c r="AE5" s="282">
        <v>26</v>
      </c>
      <c r="AF5" s="282">
        <v>27</v>
      </c>
      <c r="AG5" s="282">
        <v>28</v>
      </c>
      <c r="AH5" s="282">
        <v>29</v>
      </c>
      <c r="AI5" s="282">
        <v>30</v>
      </c>
    </row>
    <row r="6" spans="2:35" s="282" customFormat="1">
      <c r="F6" s="282">
        <f>YEAR(F7)</f>
        <v>2029</v>
      </c>
      <c r="G6" s="282">
        <f t="shared" ref="G6:AI6" si="0">YEAR(G7)</f>
        <v>2030</v>
      </c>
      <c r="H6" s="282">
        <f t="shared" si="0"/>
        <v>2031</v>
      </c>
      <c r="I6" s="282">
        <f t="shared" si="0"/>
        <v>2032</v>
      </c>
      <c r="J6" s="282">
        <f t="shared" si="0"/>
        <v>2033</v>
      </c>
      <c r="K6" s="282">
        <f t="shared" si="0"/>
        <v>2034</v>
      </c>
      <c r="L6" s="282">
        <f t="shared" si="0"/>
        <v>2035</v>
      </c>
      <c r="M6" s="282">
        <f t="shared" si="0"/>
        <v>2036</v>
      </c>
      <c r="N6" s="282">
        <f t="shared" si="0"/>
        <v>2037</v>
      </c>
      <c r="O6" s="282">
        <f t="shared" si="0"/>
        <v>2038</v>
      </c>
      <c r="P6" s="282">
        <f t="shared" si="0"/>
        <v>2039</v>
      </c>
      <c r="Q6" s="282">
        <f t="shared" si="0"/>
        <v>2040</v>
      </c>
      <c r="R6" s="282">
        <f t="shared" si="0"/>
        <v>2041</v>
      </c>
      <c r="S6" s="282">
        <f t="shared" si="0"/>
        <v>2042</v>
      </c>
      <c r="T6" s="282">
        <f t="shared" si="0"/>
        <v>2043</v>
      </c>
      <c r="U6" s="282">
        <f t="shared" si="0"/>
        <v>2044</v>
      </c>
      <c r="V6" s="282">
        <f t="shared" si="0"/>
        <v>2045</v>
      </c>
      <c r="W6" s="282">
        <f t="shared" si="0"/>
        <v>2046</v>
      </c>
      <c r="X6" s="282">
        <f t="shared" si="0"/>
        <v>2047</v>
      </c>
      <c r="Y6" s="282">
        <f t="shared" si="0"/>
        <v>2048</v>
      </c>
      <c r="Z6" s="282">
        <f t="shared" si="0"/>
        <v>2049</v>
      </c>
      <c r="AA6" s="282">
        <f t="shared" si="0"/>
        <v>2050</v>
      </c>
      <c r="AB6" s="282">
        <f t="shared" si="0"/>
        <v>2051</v>
      </c>
      <c r="AC6" s="282">
        <f t="shared" si="0"/>
        <v>2052</v>
      </c>
      <c r="AD6" s="282">
        <f t="shared" si="0"/>
        <v>2053</v>
      </c>
      <c r="AE6" s="282">
        <f t="shared" si="0"/>
        <v>2054</v>
      </c>
      <c r="AF6" s="282">
        <f t="shared" si="0"/>
        <v>2055</v>
      </c>
      <c r="AG6" s="282">
        <f t="shared" si="0"/>
        <v>2056</v>
      </c>
      <c r="AH6" s="282">
        <f t="shared" si="0"/>
        <v>2057</v>
      </c>
      <c r="AI6" s="282">
        <f t="shared" si="0"/>
        <v>2058</v>
      </c>
    </row>
    <row r="7" spans="2:35" s="282" customFormat="1" ht="15">
      <c r="B7" s="457"/>
      <c r="F7" s="283">
        <f>Assumptions!C13</f>
        <v>47330</v>
      </c>
      <c r="G7" s="283">
        <f>EOMONTH(F7,12)</f>
        <v>47695</v>
      </c>
      <c r="H7" s="283">
        <f t="shared" ref="H7:AI7" si="1">EOMONTH(G7,12)</f>
        <v>48060</v>
      </c>
      <c r="I7" s="283">
        <f t="shared" si="1"/>
        <v>48426</v>
      </c>
      <c r="J7" s="283">
        <f t="shared" si="1"/>
        <v>48791</v>
      </c>
      <c r="K7" s="283">
        <f t="shared" si="1"/>
        <v>49156</v>
      </c>
      <c r="L7" s="283">
        <f t="shared" si="1"/>
        <v>49521</v>
      </c>
      <c r="M7" s="283">
        <f t="shared" si="1"/>
        <v>49887</v>
      </c>
      <c r="N7" s="283">
        <f t="shared" si="1"/>
        <v>50252</v>
      </c>
      <c r="O7" s="283">
        <f t="shared" si="1"/>
        <v>50617</v>
      </c>
      <c r="P7" s="283">
        <f t="shared" si="1"/>
        <v>50982</v>
      </c>
      <c r="Q7" s="283">
        <f t="shared" si="1"/>
        <v>51348</v>
      </c>
      <c r="R7" s="283">
        <f t="shared" si="1"/>
        <v>51713</v>
      </c>
      <c r="S7" s="283">
        <f t="shared" si="1"/>
        <v>52078</v>
      </c>
      <c r="T7" s="283">
        <f t="shared" si="1"/>
        <v>52443</v>
      </c>
      <c r="U7" s="283">
        <f t="shared" si="1"/>
        <v>52809</v>
      </c>
      <c r="V7" s="283">
        <f t="shared" si="1"/>
        <v>53174</v>
      </c>
      <c r="W7" s="283">
        <f t="shared" si="1"/>
        <v>53539</v>
      </c>
      <c r="X7" s="283">
        <f t="shared" si="1"/>
        <v>53904</v>
      </c>
      <c r="Y7" s="283">
        <f t="shared" si="1"/>
        <v>54270</v>
      </c>
      <c r="Z7" s="283">
        <f t="shared" si="1"/>
        <v>54635</v>
      </c>
      <c r="AA7" s="283">
        <f t="shared" si="1"/>
        <v>55000</v>
      </c>
      <c r="AB7" s="283">
        <f t="shared" si="1"/>
        <v>55365</v>
      </c>
      <c r="AC7" s="283">
        <f t="shared" si="1"/>
        <v>55731</v>
      </c>
      <c r="AD7" s="283">
        <f t="shared" si="1"/>
        <v>56096</v>
      </c>
      <c r="AE7" s="283">
        <f t="shared" si="1"/>
        <v>56461</v>
      </c>
      <c r="AF7" s="283">
        <f t="shared" si="1"/>
        <v>56826</v>
      </c>
      <c r="AG7" s="283">
        <f t="shared" si="1"/>
        <v>57192</v>
      </c>
      <c r="AH7" s="283">
        <f t="shared" si="1"/>
        <v>57557</v>
      </c>
      <c r="AI7" s="283">
        <f t="shared" si="1"/>
        <v>57922</v>
      </c>
    </row>
    <row r="8" spans="2:35">
      <c r="C8" s="52" t="s">
        <v>411</v>
      </c>
    </row>
    <row r="9" spans="2:35">
      <c r="B9" s="174" t="s">
        <v>400</v>
      </c>
    </row>
    <row r="10" spans="2:35">
      <c r="B10" s="7" t="s">
        <v>28</v>
      </c>
      <c r="C10" s="472">
        <v>0.02</v>
      </c>
      <c r="F10" s="442">
        <f>'Unit Mix'!I81</f>
        <v>7752009.2560975607</v>
      </c>
      <c r="G10" s="442">
        <f>F10+(F10*$C10)</f>
        <v>7907049.4412195124</v>
      </c>
      <c r="H10" s="442">
        <f t="shared" ref="H10:AI10" si="2">G10+(G10*$C10)</f>
        <v>8065190.4300439022</v>
      </c>
      <c r="I10" s="442">
        <f t="shared" si="2"/>
        <v>8226494.2386447806</v>
      </c>
      <c r="J10" s="442">
        <f t="shared" si="2"/>
        <v>8391024.1234176755</v>
      </c>
      <c r="K10" s="442">
        <f t="shared" si="2"/>
        <v>8558844.6058860291</v>
      </c>
      <c r="L10" s="442">
        <f t="shared" si="2"/>
        <v>8730021.4980037492</v>
      </c>
      <c r="M10" s="442">
        <f t="shared" si="2"/>
        <v>8904621.9279638249</v>
      </c>
      <c r="N10" s="442">
        <f t="shared" si="2"/>
        <v>9082714.3665231019</v>
      </c>
      <c r="O10" s="442">
        <f t="shared" si="2"/>
        <v>9264368.6538535636</v>
      </c>
      <c r="P10" s="442">
        <f t="shared" si="2"/>
        <v>9449656.0269306339</v>
      </c>
      <c r="Q10" s="442">
        <f t="shared" si="2"/>
        <v>9638649.1474692468</v>
      </c>
      <c r="R10" s="442">
        <f t="shared" si="2"/>
        <v>9831422.1304186322</v>
      </c>
      <c r="S10" s="442">
        <f t="shared" si="2"/>
        <v>10028050.573027005</v>
      </c>
      <c r="T10" s="442">
        <f t="shared" si="2"/>
        <v>10228611.584487546</v>
      </c>
      <c r="U10" s="442">
        <f t="shared" si="2"/>
        <v>10433183.816177297</v>
      </c>
      <c r="V10" s="442">
        <f t="shared" si="2"/>
        <v>10641847.492500843</v>
      </c>
      <c r="W10" s="442">
        <f t="shared" si="2"/>
        <v>10854684.442350861</v>
      </c>
      <c r="X10" s="442">
        <f t="shared" si="2"/>
        <v>11071778.131197877</v>
      </c>
      <c r="Y10" s="442">
        <f t="shared" si="2"/>
        <v>11293213.693821834</v>
      </c>
      <c r="Z10" s="442">
        <f t="shared" si="2"/>
        <v>11519077.96769827</v>
      </c>
      <c r="AA10" s="442">
        <f t="shared" si="2"/>
        <v>11749459.527052237</v>
      </c>
      <c r="AB10" s="442">
        <f t="shared" si="2"/>
        <v>11984448.717593281</v>
      </c>
      <c r="AC10" s="442">
        <f t="shared" si="2"/>
        <v>12224137.691945147</v>
      </c>
      <c r="AD10" s="442">
        <f t="shared" si="2"/>
        <v>12468620.445784049</v>
      </c>
      <c r="AE10" s="442">
        <f t="shared" si="2"/>
        <v>12717992.854699731</v>
      </c>
      <c r="AF10" s="442">
        <f t="shared" si="2"/>
        <v>12972352.711793726</v>
      </c>
      <c r="AG10" s="442">
        <f t="shared" si="2"/>
        <v>13231799.7660296</v>
      </c>
      <c r="AH10" s="442">
        <f t="shared" si="2"/>
        <v>13496435.761350192</v>
      </c>
      <c r="AI10" s="442">
        <f t="shared" si="2"/>
        <v>13766364.476577196</v>
      </c>
    </row>
    <row r="11" spans="2:35">
      <c r="B11" s="7" t="s">
        <v>16</v>
      </c>
      <c r="C11" s="472">
        <v>0.02</v>
      </c>
      <c r="F11" s="442">
        <f>Mortgage!D6</f>
        <v>45000</v>
      </c>
      <c r="G11" s="442">
        <f t="shared" ref="G11:AI11" si="3">F11+(F11*$C11)</f>
        <v>45900</v>
      </c>
      <c r="H11" s="442">
        <f t="shared" si="3"/>
        <v>46818</v>
      </c>
      <c r="I11" s="442">
        <f t="shared" si="3"/>
        <v>47754.36</v>
      </c>
      <c r="J11" s="442">
        <f t="shared" si="3"/>
        <v>48709.447200000002</v>
      </c>
      <c r="K11" s="442">
        <f t="shared" si="3"/>
        <v>49683.636144000004</v>
      </c>
      <c r="L11" s="442">
        <f t="shared" si="3"/>
        <v>50677.308866880005</v>
      </c>
      <c r="M11" s="442">
        <f t="shared" si="3"/>
        <v>51690.855044217606</v>
      </c>
      <c r="N11" s="442">
        <f t="shared" si="3"/>
        <v>52724.672145101955</v>
      </c>
      <c r="O11" s="442">
        <f t="shared" si="3"/>
        <v>53779.165588003991</v>
      </c>
      <c r="P11" s="442">
        <f t="shared" si="3"/>
        <v>54854.748899764068</v>
      </c>
      <c r="Q11" s="442">
        <f t="shared" si="3"/>
        <v>55951.843877759347</v>
      </c>
      <c r="R11" s="442">
        <f t="shared" si="3"/>
        <v>57070.880755314531</v>
      </c>
      <c r="S11" s="442">
        <f t="shared" si="3"/>
        <v>58212.298370420824</v>
      </c>
      <c r="T11" s="442">
        <f t="shared" si="3"/>
        <v>59376.54433782924</v>
      </c>
      <c r="U11" s="442">
        <f t="shared" si="3"/>
        <v>60564.075224585824</v>
      </c>
      <c r="V11" s="442">
        <f t="shared" si="3"/>
        <v>61775.356729077539</v>
      </c>
      <c r="W11" s="442">
        <f t="shared" si="3"/>
        <v>63010.863863659091</v>
      </c>
      <c r="X11" s="442">
        <f t="shared" si="3"/>
        <v>64271.081140932271</v>
      </c>
      <c r="Y11" s="442">
        <f t="shared" si="3"/>
        <v>65556.502763750919</v>
      </c>
      <c r="Z11" s="442">
        <f t="shared" si="3"/>
        <v>66867.632819025937</v>
      </c>
      <c r="AA11" s="442">
        <f t="shared" si="3"/>
        <v>68204.985475406458</v>
      </c>
      <c r="AB11" s="442">
        <f t="shared" si="3"/>
        <v>69569.085184914584</v>
      </c>
      <c r="AC11" s="442">
        <f t="shared" si="3"/>
        <v>70960.466888612878</v>
      </c>
      <c r="AD11" s="442">
        <f t="shared" si="3"/>
        <v>72379.676226385141</v>
      </c>
      <c r="AE11" s="442">
        <f t="shared" si="3"/>
        <v>73827.269750912848</v>
      </c>
      <c r="AF11" s="442">
        <f t="shared" si="3"/>
        <v>75303.815145931105</v>
      </c>
      <c r="AG11" s="442">
        <f t="shared" si="3"/>
        <v>76809.891448849725</v>
      </c>
      <c r="AH11" s="442">
        <f t="shared" si="3"/>
        <v>78346.089277826715</v>
      </c>
      <c r="AI11" s="442">
        <f t="shared" si="3"/>
        <v>79913.011063383252</v>
      </c>
    </row>
    <row r="12" spans="2:35">
      <c r="B12" s="7" t="s">
        <v>68</v>
      </c>
      <c r="C12" s="472">
        <v>0.02</v>
      </c>
      <c r="F12" s="442">
        <f>Mortgage!D7</f>
        <v>0</v>
      </c>
      <c r="G12" s="442">
        <f t="shared" ref="G12:AI12" si="4">F12+(F12*$C12)</f>
        <v>0</v>
      </c>
      <c r="H12" s="442">
        <f t="shared" si="4"/>
        <v>0</v>
      </c>
      <c r="I12" s="442">
        <f t="shared" si="4"/>
        <v>0</v>
      </c>
      <c r="J12" s="442">
        <f t="shared" si="4"/>
        <v>0</v>
      </c>
      <c r="K12" s="442">
        <f t="shared" si="4"/>
        <v>0</v>
      </c>
      <c r="L12" s="442">
        <f t="shared" si="4"/>
        <v>0</v>
      </c>
      <c r="M12" s="442">
        <f t="shared" si="4"/>
        <v>0</v>
      </c>
      <c r="N12" s="442">
        <f t="shared" si="4"/>
        <v>0</v>
      </c>
      <c r="O12" s="442">
        <f t="shared" si="4"/>
        <v>0</v>
      </c>
      <c r="P12" s="442">
        <f t="shared" si="4"/>
        <v>0</v>
      </c>
      <c r="Q12" s="442">
        <f t="shared" si="4"/>
        <v>0</v>
      </c>
      <c r="R12" s="442">
        <f t="shared" si="4"/>
        <v>0</v>
      </c>
      <c r="S12" s="442">
        <f t="shared" si="4"/>
        <v>0</v>
      </c>
      <c r="T12" s="442">
        <f t="shared" si="4"/>
        <v>0</v>
      </c>
      <c r="U12" s="442">
        <f t="shared" si="4"/>
        <v>0</v>
      </c>
      <c r="V12" s="442">
        <f t="shared" si="4"/>
        <v>0</v>
      </c>
      <c r="W12" s="442">
        <f t="shared" si="4"/>
        <v>0</v>
      </c>
      <c r="X12" s="442">
        <f t="shared" si="4"/>
        <v>0</v>
      </c>
      <c r="Y12" s="442">
        <f t="shared" si="4"/>
        <v>0</v>
      </c>
      <c r="Z12" s="442">
        <f t="shared" si="4"/>
        <v>0</v>
      </c>
      <c r="AA12" s="442">
        <f t="shared" si="4"/>
        <v>0</v>
      </c>
      <c r="AB12" s="442">
        <f t="shared" si="4"/>
        <v>0</v>
      </c>
      <c r="AC12" s="442">
        <f t="shared" si="4"/>
        <v>0</v>
      </c>
      <c r="AD12" s="442">
        <f t="shared" si="4"/>
        <v>0</v>
      </c>
      <c r="AE12" s="442">
        <f t="shared" si="4"/>
        <v>0</v>
      </c>
      <c r="AF12" s="442">
        <f t="shared" si="4"/>
        <v>0</v>
      </c>
      <c r="AG12" s="442">
        <f t="shared" si="4"/>
        <v>0</v>
      </c>
      <c r="AH12" s="442">
        <f t="shared" si="4"/>
        <v>0</v>
      </c>
      <c r="AI12" s="442">
        <f t="shared" si="4"/>
        <v>0</v>
      </c>
    </row>
    <row r="13" spans="2:35">
      <c r="B13" s="7" t="s">
        <v>69</v>
      </c>
      <c r="C13" s="472">
        <v>0.02</v>
      </c>
      <c r="F13" s="442">
        <f>Mortgage!D8</f>
        <v>0</v>
      </c>
      <c r="G13" s="442">
        <f t="shared" ref="G13:AI13" si="5">F13+(F13*$C13)</f>
        <v>0</v>
      </c>
      <c r="H13" s="442">
        <f t="shared" si="5"/>
        <v>0</v>
      </c>
      <c r="I13" s="442">
        <f t="shared" si="5"/>
        <v>0</v>
      </c>
      <c r="J13" s="442">
        <f t="shared" si="5"/>
        <v>0</v>
      </c>
      <c r="K13" s="442">
        <f t="shared" si="5"/>
        <v>0</v>
      </c>
      <c r="L13" s="442">
        <f t="shared" si="5"/>
        <v>0</v>
      </c>
      <c r="M13" s="442">
        <f t="shared" si="5"/>
        <v>0</v>
      </c>
      <c r="N13" s="442">
        <f t="shared" si="5"/>
        <v>0</v>
      </c>
      <c r="O13" s="442">
        <f t="shared" si="5"/>
        <v>0</v>
      </c>
      <c r="P13" s="442">
        <f t="shared" si="5"/>
        <v>0</v>
      </c>
      <c r="Q13" s="442">
        <f t="shared" si="5"/>
        <v>0</v>
      </c>
      <c r="R13" s="442">
        <f t="shared" si="5"/>
        <v>0</v>
      </c>
      <c r="S13" s="442">
        <f t="shared" si="5"/>
        <v>0</v>
      </c>
      <c r="T13" s="442">
        <f t="shared" si="5"/>
        <v>0</v>
      </c>
      <c r="U13" s="442">
        <f t="shared" si="5"/>
        <v>0</v>
      </c>
      <c r="V13" s="442">
        <f t="shared" si="5"/>
        <v>0</v>
      </c>
      <c r="W13" s="442">
        <f t="shared" si="5"/>
        <v>0</v>
      </c>
      <c r="X13" s="442">
        <f t="shared" si="5"/>
        <v>0</v>
      </c>
      <c r="Y13" s="442">
        <f t="shared" si="5"/>
        <v>0</v>
      </c>
      <c r="Z13" s="442">
        <f t="shared" si="5"/>
        <v>0</v>
      </c>
      <c r="AA13" s="442">
        <f t="shared" si="5"/>
        <v>0</v>
      </c>
      <c r="AB13" s="442">
        <f t="shared" si="5"/>
        <v>0</v>
      </c>
      <c r="AC13" s="442">
        <f t="shared" si="5"/>
        <v>0</v>
      </c>
      <c r="AD13" s="442">
        <f t="shared" si="5"/>
        <v>0</v>
      </c>
      <c r="AE13" s="442">
        <f t="shared" si="5"/>
        <v>0</v>
      </c>
      <c r="AF13" s="442">
        <f t="shared" si="5"/>
        <v>0</v>
      </c>
      <c r="AG13" s="442">
        <f t="shared" si="5"/>
        <v>0</v>
      </c>
      <c r="AH13" s="442">
        <f t="shared" si="5"/>
        <v>0</v>
      </c>
      <c r="AI13" s="442">
        <f t="shared" si="5"/>
        <v>0</v>
      </c>
    </row>
    <row r="14" spans="2:35">
      <c r="B14" s="7" t="s">
        <v>70</v>
      </c>
      <c r="C14" s="472">
        <v>0.02</v>
      </c>
      <c r="F14" s="442">
        <f>Mortgage!D9</f>
        <v>39480</v>
      </c>
      <c r="G14" s="442">
        <f t="shared" ref="G14:AI14" si="6">F14+(F14*$C14)</f>
        <v>40269.599999999999</v>
      </c>
      <c r="H14" s="442">
        <f t="shared" si="6"/>
        <v>41074.991999999998</v>
      </c>
      <c r="I14" s="442">
        <f t="shared" si="6"/>
        <v>41896.491839999995</v>
      </c>
      <c r="J14" s="442">
        <f t="shared" si="6"/>
        <v>42734.421676799997</v>
      </c>
      <c r="K14" s="442">
        <f t="shared" si="6"/>
        <v>43589.110110335998</v>
      </c>
      <c r="L14" s="442">
        <f t="shared" si="6"/>
        <v>44460.892312542717</v>
      </c>
      <c r="M14" s="442">
        <f t="shared" si="6"/>
        <v>45350.11015879357</v>
      </c>
      <c r="N14" s="442">
        <f t="shared" si="6"/>
        <v>46257.112361969441</v>
      </c>
      <c r="O14" s="442">
        <f t="shared" si="6"/>
        <v>47182.254609208831</v>
      </c>
      <c r="P14" s="442">
        <f t="shared" si="6"/>
        <v>48125.899701393006</v>
      </c>
      <c r="Q14" s="442">
        <f t="shared" si="6"/>
        <v>49088.417695420867</v>
      </c>
      <c r="R14" s="442">
        <f t="shared" si="6"/>
        <v>50070.186049329284</v>
      </c>
      <c r="S14" s="442">
        <f t="shared" si="6"/>
        <v>51071.58977031587</v>
      </c>
      <c r="T14" s="442">
        <f t="shared" si="6"/>
        <v>52093.021565722185</v>
      </c>
      <c r="U14" s="442">
        <f t="shared" si="6"/>
        <v>53134.881997036631</v>
      </c>
      <c r="V14" s="442">
        <f t="shared" si="6"/>
        <v>54197.579636977367</v>
      </c>
      <c r="W14" s="442">
        <f t="shared" si="6"/>
        <v>55281.531229716915</v>
      </c>
      <c r="X14" s="442">
        <f t="shared" si="6"/>
        <v>56387.161854311256</v>
      </c>
      <c r="Y14" s="442">
        <f t="shared" si="6"/>
        <v>57514.905091397479</v>
      </c>
      <c r="Z14" s="442">
        <f t="shared" si="6"/>
        <v>58665.203193225425</v>
      </c>
      <c r="AA14" s="442">
        <f t="shared" si="6"/>
        <v>59838.507257089936</v>
      </c>
      <c r="AB14" s="442">
        <f t="shared" si="6"/>
        <v>61035.277402231732</v>
      </c>
      <c r="AC14" s="442">
        <f t="shared" si="6"/>
        <v>62255.982950276368</v>
      </c>
      <c r="AD14" s="442">
        <f t="shared" si="6"/>
        <v>63501.102609281894</v>
      </c>
      <c r="AE14" s="442">
        <f t="shared" si="6"/>
        <v>64771.124661467533</v>
      </c>
      <c r="AF14" s="442">
        <f t="shared" si="6"/>
        <v>66066.547154696877</v>
      </c>
      <c r="AG14" s="442">
        <f t="shared" si="6"/>
        <v>67387.878097790817</v>
      </c>
      <c r="AH14" s="442">
        <f t="shared" si="6"/>
        <v>68735.635659746637</v>
      </c>
      <c r="AI14" s="442">
        <f t="shared" si="6"/>
        <v>70110.348372941575</v>
      </c>
    </row>
    <row r="15" spans="2:35">
      <c r="B15" s="445" t="s">
        <v>401</v>
      </c>
      <c r="C15" s="446"/>
      <c r="D15" s="105"/>
      <c r="E15" s="105"/>
      <c r="F15" s="447">
        <f>SUM(F10:F14)</f>
        <v>7836489.2560975607</v>
      </c>
      <c r="G15" s="447">
        <f t="shared" ref="G15:AI15" si="7">SUM(G10:G14)</f>
        <v>7993219.041219512</v>
      </c>
      <c r="H15" s="447">
        <f t="shared" si="7"/>
        <v>8153083.4220439019</v>
      </c>
      <c r="I15" s="447">
        <f t="shared" si="7"/>
        <v>8316145.0904847812</v>
      </c>
      <c r="J15" s="447">
        <f t="shared" si="7"/>
        <v>8482467.9922944754</v>
      </c>
      <c r="K15" s="447">
        <f t="shared" si="7"/>
        <v>8652117.3521403652</v>
      </c>
      <c r="L15" s="447">
        <f t="shared" si="7"/>
        <v>8825159.6991831735</v>
      </c>
      <c r="M15" s="447">
        <f t="shared" si="7"/>
        <v>9001662.8931668364</v>
      </c>
      <c r="N15" s="447">
        <f t="shared" si="7"/>
        <v>9181696.1510301735</v>
      </c>
      <c r="O15" s="447">
        <f t="shared" si="7"/>
        <v>9365330.0740507767</v>
      </c>
      <c r="P15" s="447">
        <f t="shared" si="7"/>
        <v>9552636.6755317897</v>
      </c>
      <c r="Q15" s="447">
        <f t="shared" si="7"/>
        <v>9743689.4090424273</v>
      </c>
      <c r="R15" s="447">
        <f t="shared" si="7"/>
        <v>9938563.1972232759</v>
      </c>
      <c r="S15" s="447">
        <f t="shared" si="7"/>
        <v>10137334.461167742</v>
      </c>
      <c r="T15" s="447">
        <f t="shared" si="7"/>
        <v>10340081.150391098</v>
      </c>
      <c r="U15" s="447">
        <f t="shared" si="7"/>
        <v>10546882.773398919</v>
      </c>
      <c r="V15" s="447">
        <f t="shared" si="7"/>
        <v>10757820.428866899</v>
      </c>
      <c r="W15" s="447">
        <f t="shared" si="7"/>
        <v>10972976.837444237</v>
      </c>
      <c r="X15" s="447">
        <f t="shared" si="7"/>
        <v>11192436.374193121</v>
      </c>
      <c r="Y15" s="447">
        <f t="shared" si="7"/>
        <v>11416285.101676982</v>
      </c>
      <c r="Z15" s="447">
        <f t="shared" si="7"/>
        <v>11644610.803710522</v>
      </c>
      <c r="AA15" s="447">
        <f t="shared" si="7"/>
        <v>11877503.019784732</v>
      </c>
      <c r="AB15" s="447">
        <f t="shared" si="7"/>
        <v>12115053.080180427</v>
      </c>
      <c r="AC15" s="447">
        <f t="shared" si="7"/>
        <v>12357354.141784035</v>
      </c>
      <c r="AD15" s="447">
        <f t="shared" si="7"/>
        <v>12604501.224619716</v>
      </c>
      <c r="AE15" s="447">
        <f t="shared" si="7"/>
        <v>12856591.249112112</v>
      </c>
      <c r="AF15" s="447">
        <f t="shared" si="7"/>
        <v>13113723.074094353</v>
      </c>
      <c r="AG15" s="447">
        <f t="shared" si="7"/>
        <v>13375997.535576241</v>
      </c>
      <c r="AH15" s="447">
        <f t="shared" si="7"/>
        <v>13643517.486287765</v>
      </c>
      <c r="AI15" s="447">
        <f t="shared" si="7"/>
        <v>13916387.836013522</v>
      </c>
    </row>
    <row r="16" spans="2:35">
      <c r="B16" s="174" t="s">
        <v>402</v>
      </c>
      <c r="C16" s="171"/>
    </row>
    <row r="17" spans="2:35">
      <c r="B17" s="7" t="s">
        <v>28</v>
      </c>
      <c r="D17" s="440">
        <f>Mortgage!C13</f>
        <v>0.05</v>
      </c>
      <c r="E17" s="481"/>
      <c r="F17" s="442">
        <f t="shared" ref="F17:AI17" si="8">-(F10*$D17)</f>
        <v>-387600.46280487807</v>
      </c>
      <c r="G17" s="442">
        <f t="shared" si="8"/>
        <v>-395352.47206097562</v>
      </c>
      <c r="H17" s="442">
        <f t="shared" si="8"/>
        <v>-403259.52150219516</v>
      </c>
      <c r="I17" s="442">
        <f t="shared" si="8"/>
        <v>-411324.71193223906</v>
      </c>
      <c r="J17" s="442">
        <f t="shared" si="8"/>
        <v>-419551.20617088379</v>
      </c>
      <c r="K17" s="442">
        <f t="shared" si="8"/>
        <v>-427942.23029430147</v>
      </c>
      <c r="L17" s="442">
        <f t="shared" si="8"/>
        <v>-436501.07490018749</v>
      </c>
      <c r="M17" s="442">
        <f t="shared" si="8"/>
        <v>-445231.09639819129</v>
      </c>
      <c r="N17" s="442">
        <f t="shared" si="8"/>
        <v>-454135.7183261551</v>
      </c>
      <c r="O17" s="442">
        <f t="shared" si="8"/>
        <v>-463218.43269267818</v>
      </c>
      <c r="P17" s="442">
        <f t="shared" si="8"/>
        <v>-472482.80134653172</v>
      </c>
      <c r="Q17" s="442">
        <f t="shared" si="8"/>
        <v>-481932.45737346238</v>
      </c>
      <c r="R17" s="442">
        <f t="shared" si="8"/>
        <v>-491571.10652093164</v>
      </c>
      <c r="S17" s="442">
        <f t="shared" si="8"/>
        <v>-501402.52865135029</v>
      </c>
      <c r="T17" s="442">
        <f t="shared" si="8"/>
        <v>-511430.57922437735</v>
      </c>
      <c r="U17" s="442">
        <f t="shared" si="8"/>
        <v>-521659.19080886489</v>
      </c>
      <c r="V17" s="442">
        <f t="shared" si="8"/>
        <v>-532092.3746250422</v>
      </c>
      <c r="W17" s="442">
        <f t="shared" si="8"/>
        <v>-542734.2221175431</v>
      </c>
      <c r="X17" s="442">
        <f t="shared" si="8"/>
        <v>-553588.90655989386</v>
      </c>
      <c r="Y17" s="442">
        <f t="shared" si="8"/>
        <v>-564660.68469109177</v>
      </c>
      <c r="Z17" s="442">
        <f t="shared" si="8"/>
        <v>-575953.89838491357</v>
      </c>
      <c r="AA17" s="442">
        <f t="shared" si="8"/>
        <v>-587472.97635261191</v>
      </c>
      <c r="AB17" s="442">
        <f t="shared" si="8"/>
        <v>-599222.43587966403</v>
      </c>
      <c r="AC17" s="442">
        <f t="shared" si="8"/>
        <v>-611206.88459725736</v>
      </c>
      <c r="AD17" s="442">
        <f t="shared" si="8"/>
        <v>-623431.02228920243</v>
      </c>
      <c r="AE17" s="442">
        <f t="shared" si="8"/>
        <v>-635899.64273498661</v>
      </c>
      <c r="AF17" s="442">
        <f t="shared" si="8"/>
        <v>-648617.63558968634</v>
      </c>
      <c r="AG17" s="442">
        <f t="shared" si="8"/>
        <v>-661589.98830148007</v>
      </c>
      <c r="AH17" s="442">
        <f t="shared" si="8"/>
        <v>-674821.78806750965</v>
      </c>
      <c r="AI17" s="442">
        <f t="shared" si="8"/>
        <v>-688318.22382885986</v>
      </c>
    </row>
    <row r="18" spans="2:35">
      <c r="B18" s="7" t="s">
        <v>16</v>
      </c>
      <c r="D18" s="440">
        <v>0.05</v>
      </c>
      <c r="E18" s="481"/>
      <c r="F18" s="442">
        <f t="shared" ref="F18:AI18" si="9">-(F11*$D18)</f>
        <v>-2250</v>
      </c>
      <c r="G18" s="442">
        <f t="shared" si="9"/>
        <v>-2295</v>
      </c>
      <c r="H18" s="442">
        <f t="shared" si="9"/>
        <v>-2340.9</v>
      </c>
      <c r="I18" s="442">
        <f t="shared" si="9"/>
        <v>-2387.7180000000003</v>
      </c>
      <c r="J18" s="442">
        <f t="shared" si="9"/>
        <v>-2435.4723600000002</v>
      </c>
      <c r="K18" s="442">
        <f t="shared" si="9"/>
        <v>-2484.1818072000005</v>
      </c>
      <c r="L18" s="442">
        <f t="shared" si="9"/>
        <v>-2533.8654433440006</v>
      </c>
      <c r="M18" s="442">
        <f t="shared" si="9"/>
        <v>-2584.5427522108803</v>
      </c>
      <c r="N18" s="442">
        <f t="shared" si="9"/>
        <v>-2636.2336072550979</v>
      </c>
      <c r="O18" s="442">
        <f t="shared" si="9"/>
        <v>-2688.9582794001999</v>
      </c>
      <c r="P18" s="442">
        <f t="shared" si="9"/>
        <v>-2742.7374449882036</v>
      </c>
      <c r="Q18" s="442">
        <f t="shared" si="9"/>
        <v>-2797.5921938879674</v>
      </c>
      <c r="R18" s="442">
        <f t="shared" si="9"/>
        <v>-2853.5440377657269</v>
      </c>
      <c r="S18" s="442">
        <f t="shared" si="9"/>
        <v>-2910.6149185210415</v>
      </c>
      <c r="T18" s="442">
        <f t="shared" si="9"/>
        <v>-2968.8272168914623</v>
      </c>
      <c r="U18" s="442">
        <f t="shared" si="9"/>
        <v>-3028.2037612292916</v>
      </c>
      <c r="V18" s="442">
        <f t="shared" si="9"/>
        <v>-3088.767836453877</v>
      </c>
      <c r="W18" s="442">
        <f t="shared" si="9"/>
        <v>-3150.5431931829548</v>
      </c>
      <c r="X18" s="442">
        <f t="shared" si="9"/>
        <v>-3213.5540570466137</v>
      </c>
      <c r="Y18" s="442">
        <f t="shared" si="9"/>
        <v>-3277.8251381875461</v>
      </c>
      <c r="Z18" s="442">
        <f t="shared" si="9"/>
        <v>-3343.381640951297</v>
      </c>
      <c r="AA18" s="442">
        <f t="shared" si="9"/>
        <v>-3410.2492737703233</v>
      </c>
      <c r="AB18" s="442">
        <f t="shared" si="9"/>
        <v>-3478.4542592457292</v>
      </c>
      <c r="AC18" s="442">
        <f t="shared" si="9"/>
        <v>-3548.0233444306441</v>
      </c>
      <c r="AD18" s="442">
        <f t="shared" si="9"/>
        <v>-3618.9838113192573</v>
      </c>
      <c r="AE18" s="442">
        <f t="shared" si="9"/>
        <v>-3691.3634875456428</v>
      </c>
      <c r="AF18" s="442">
        <f t="shared" si="9"/>
        <v>-3765.1907572965556</v>
      </c>
      <c r="AG18" s="442">
        <f t="shared" si="9"/>
        <v>-3840.4945724424865</v>
      </c>
      <c r="AH18" s="442">
        <f t="shared" si="9"/>
        <v>-3917.3044638913361</v>
      </c>
      <c r="AI18" s="442">
        <f t="shared" si="9"/>
        <v>-3995.6505531691628</v>
      </c>
    </row>
    <row r="19" spans="2:35">
      <c r="B19" s="7" t="s">
        <v>68</v>
      </c>
      <c r="D19" s="440">
        <f>Mortgage!C15</f>
        <v>0.1</v>
      </c>
      <c r="E19" s="481"/>
      <c r="F19" s="442">
        <f t="shared" ref="F19:AI19" si="10">-(F12*$D19)</f>
        <v>0</v>
      </c>
      <c r="G19" s="442">
        <f t="shared" si="10"/>
        <v>0</v>
      </c>
      <c r="H19" s="442">
        <f t="shared" si="10"/>
        <v>0</v>
      </c>
      <c r="I19" s="442">
        <f t="shared" si="10"/>
        <v>0</v>
      </c>
      <c r="J19" s="442">
        <f t="shared" si="10"/>
        <v>0</v>
      </c>
      <c r="K19" s="442">
        <f t="shared" si="10"/>
        <v>0</v>
      </c>
      <c r="L19" s="442">
        <f t="shared" si="10"/>
        <v>0</v>
      </c>
      <c r="M19" s="442">
        <f t="shared" si="10"/>
        <v>0</v>
      </c>
      <c r="N19" s="442">
        <f t="shared" si="10"/>
        <v>0</v>
      </c>
      <c r="O19" s="442">
        <f t="shared" si="10"/>
        <v>0</v>
      </c>
      <c r="P19" s="442">
        <f t="shared" si="10"/>
        <v>0</v>
      </c>
      <c r="Q19" s="442">
        <f t="shared" si="10"/>
        <v>0</v>
      </c>
      <c r="R19" s="442">
        <f t="shared" si="10"/>
        <v>0</v>
      </c>
      <c r="S19" s="442">
        <f t="shared" si="10"/>
        <v>0</v>
      </c>
      <c r="T19" s="442">
        <f t="shared" si="10"/>
        <v>0</v>
      </c>
      <c r="U19" s="442">
        <f t="shared" si="10"/>
        <v>0</v>
      </c>
      <c r="V19" s="442">
        <f t="shared" si="10"/>
        <v>0</v>
      </c>
      <c r="W19" s="442">
        <f t="shared" si="10"/>
        <v>0</v>
      </c>
      <c r="X19" s="442">
        <f t="shared" si="10"/>
        <v>0</v>
      </c>
      <c r="Y19" s="442">
        <f t="shared" si="10"/>
        <v>0</v>
      </c>
      <c r="Z19" s="442">
        <f t="shared" si="10"/>
        <v>0</v>
      </c>
      <c r="AA19" s="442">
        <f t="shared" si="10"/>
        <v>0</v>
      </c>
      <c r="AB19" s="442">
        <f t="shared" si="10"/>
        <v>0</v>
      </c>
      <c r="AC19" s="442">
        <f t="shared" si="10"/>
        <v>0</v>
      </c>
      <c r="AD19" s="442">
        <f t="shared" si="10"/>
        <v>0</v>
      </c>
      <c r="AE19" s="442">
        <f t="shared" si="10"/>
        <v>0</v>
      </c>
      <c r="AF19" s="442">
        <f t="shared" si="10"/>
        <v>0</v>
      </c>
      <c r="AG19" s="442">
        <f t="shared" si="10"/>
        <v>0</v>
      </c>
      <c r="AH19" s="442">
        <f t="shared" si="10"/>
        <v>0</v>
      </c>
      <c r="AI19" s="442">
        <f t="shared" si="10"/>
        <v>0</v>
      </c>
    </row>
    <row r="20" spans="2:35">
      <c r="B20" s="7" t="s">
        <v>69</v>
      </c>
      <c r="D20" s="440">
        <f>Mortgage!C16</f>
        <v>0.1</v>
      </c>
      <c r="E20" s="481"/>
      <c r="F20" s="442">
        <f t="shared" ref="F20:AI20" si="11">-(F13*$D20)</f>
        <v>0</v>
      </c>
      <c r="G20" s="442">
        <f t="shared" si="11"/>
        <v>0</v>
      </c>
      <c r="H20" s="442">
        <f t="shared" si="11"/>
        <v>0</v>
      </c>
      <c r="I20" s="442">
        <f t="shared" si="11"/>
        <v>0</v>
      </c>
      <c r="J20" s="442">
        <f t="shared" si="11"/>
        <v>0</v>
      </c>
      <c r="K20" s="442">
        <f t="shared" si="11"/>
        <v>0</v>
      </c>
      <c r="L20" s="442">
        <f t="shared" si="11"/>
        <v>0</v>
      </c>
      <c r="M20" s="442">
        <f t="shared" si="11"/>
        <v>0</v>
      </c>
      <c r="N20" s="442">
        <f t="shared" si="11"/>
        <v>0</v>
      </c>
      <c r="O20" s="442">
        <f t="shared" si="11"/>
        <v>0</v>
      </c>
      <c r="P20" s="442">
        <f t="shared" si="11"/>
        <v>0</v>
      </c>
      <c r="Q20" s="442">
        <f t="shared" si="11"/>
        <v>0</v>
      </c>
      <c r="R20" s="442">
        <f t="shared" si="11"/>
        <v>0</v>
      </c>
      <c r="S20" s="442">
        <f t="shared" si="11"/>
        <v>0</v>
      </c>
      <c r="T20" s="442">
        <f t="shared" si="11"/>
        <v>0</v>
      </c>
      <c r="U20" s="442">
        <f t="shared" si="11"/>
        <v>0</v>
      </c>
      <c r="V20" s="442">
        <f t="shared" si="11"/>
        <v>0</v>
      </c>
      <c r="W20" s="442">
        <f t="shared" si="11"/>
        <v>0</v>
      </c>
      <c r="X20" s="442">
        <f t="shared" si="11"/>
        <v>0</v>
      </c>
      <c r="Y20" s="442">
        <f t="shared" si="11"/>
        <v>0</v>
      </c>
      <c r="Z20" s="442">
        <f t="shared" si="11"/>
        <v>0</v>
      </c>
      <c r="AA20" s="442">
        <f t="shared" si="11"/>
        <v>0</v>
      </c>
      <c r="AB20" s="442">
        <f t="shared" si="11"/>
        <v>0</v>
      </c>
      <c r="AC20" s="442">
        <f t="shared" si="11"/>
        <v>0</v>
      </c>
      <c r="AD20" s="442">
        <f t="shared" si="11"/>
        <v>0</v>
      </c>
      <c r="AE20" s="442">
        <f t="shared" si="11"/>
        <v>0</v>
      </c>
      <c r="AF20" s="442">
        <f t="shared" si="11"/>
        <v>0</v>
      </c>
      <c r="AG20" s="442">
        <f t="shared" si="11"/>
        <v>0</v>
      </c>
      <c r="AH20" s="442">
        <f t="shared" si="11"/>
        <v>0</v>
      </c>
      <c r="AI20" s="442">
        <f t="shared" si="11"/>
        <v>0</v>
      </c>
    </row>
    <row r="21" spans="2:35">
      <c r="B21" s="7" t="s">
        <v>70</v>
      </c>
      <c r="D21" s="440">
        <f>Mortgage!C17</f>
        <v>0.1</v>
      </c>
      <c r="E21" s="481"/>
      <c r="F21" s="442">
        <f t="shared" ref="F21:AI21" si="12">-(F14*$D21)</f>
        <v>-3948</v>
      </c>
      <c r="G21" s="442">
        <f t="shared" si="12"/>
        <v>-4026.96</v>
      </c>
      <c r="H21" s="442">
        <f t="shared" si="12"/>
        <v>-4107.4992000000002</v>
      </c>
      <c r="I21" s="442">
        <f t="shared" si="12"/>
        <v>-4189.6491839999999</v>
      </c>
      <c r="J21" s="442">
        <f t="shared" si="12"/>
        <v>-4273.4421676800002</v>
      </c>
      <c r="K21" s="442">
        <f t="shared" si="12"/>
        <v>-4358.9110110335996</v>
      </c>
      <c r="L21" s="442">
        <f t="shared" si="12"/>
        <v>-4446.0892312542719</v>
      </c>
      <c r="M21" s="442">
        <f t="shared" si="12"/>
        <v>-4535.0110158793568</v>
      </c>
      <c r="N21" s="442">
        <f t="shared" si="12"/>
        <v>-4625.7112361969439</v>
      </c>
      <c r="O21" s="442">
        <f t="shared" si="12"/>
        <v>-4718.2254609208831</v>
      </c>
      <c r="P21" s="442">
        <f t="shared" si="12"/>
        <v>-4812.5899701393009</v>
      </c>
      <c r="Q21" s="442">
        <f t="shared" si="12"/>
        <v>-4908.8417695420867</v>
      </c>
      <c r="R21" s="442">
        <f t="shared" si="12"/>
        <v>-5007.0186049329286</v>
      </c>
      <c r="S21" s="442">
        <f t="shared" si="12"/>
        <v>-5107.1589770315877</v>
      </c>
      <c r="T21" s="442">
        <f t="shared" si="12"/>
        <v>-5209.3021565722192</v>
      </c>
      <c r="U21" s="442">
        <f t="shared" si="12"/>
        <v>-5313.4881997036637</v>
      </c>
      <c r="V21" s="442">
        <f t="shared" si="12"/>
        <v>-5419.7579636977371</v>
      </c>
      <c r="W21" s="442">
        <f t="shared" si="12"/>
        <v>-5528.153122971692</v>
      </c>
      <c r="X21" s="442">
        <f t="shared" si="12"/>
        <v>-5638.7161854311262</v>
      </c>
      <c r="Y21" s="442">
        <f t="shared" si="12"/>
        <v>-5751.4905091397486</v>
      </c>
      <c r="Z21" s="442">
        <f t="shared" si="12"/>
        <v>-5866.5203193225425</v>
      </c>
      <c r="AA21" s="442">
        <f t="shared" si="12"/>
        <v>-5983.8507257089941</v>
      </c>
      <c r="AB21" s="442">
        <f t="shared" si="12"/>
        <v>-6103.5277402231732</v>
      </c>
      <c r="AC21" s="442">
        <f t="shared" si="12"/>
        <v>-6225.5982950276375</v>
      </c>
      <c r="AD21" s="442">
        <f t="shared" si="12"/>
        <v>-6350.1102609281897</v>
      </c>
      <c r="AE21" s="442">
        <f t="shared" si="12"/>
        <v>-6477.1124661467538</v>
      </c>
      <c r="AF21" s="442">
        <f t="shared" si="12"/>
        <v>-6606.6547154696882</v>
      </c>
      <c r="AG21" s="442">
        <f t="shared" si="12"/>
        <v>-6738.7878097790817</v>
      </c>
      <c r="AH21" s="442">
        <f t="shared" si="12"/>
        <v>-6873.563565974664</v>
      </c>
      <c r="AI21" s="442">
        <f t="shared" si="12"/>
        <v>-7011.034837294158</v>
      </c>
    </row>
    <row r="22" spans="2:35">
      <c r="B22" s="445" t="s">
        <v>403</v>
      </c>
      <c r="C22" s="105"/>
      <c r="D22" s="105"/>
      <c r="E22" s="105"/>
      <c r="F22" s="447">
        <f>SUM(F17:F21)</f>
        <v>-393798.46280487807</v>
      </c>
      <c r="G22" s="447">
        <f t="shared" ref="G22:AI22" si="13">SUM(G17:G21)</f>
        <v>-401674.43206097564</v>
      </c>
      <c r="H22" s="447">
        <f t="shared" si="13"/>
        <v>-409707.9207021952</v>
      </c>
      <c r="I22" s="447">
        <f t="shared" si="13"/>
        <v>-417902.07911623904</v>
      </c>
      <c r="J22" s="447">
        <f t="shared" si="13"/>
        <v>-426260.12069856381</v>
      </c>
      <c r="K22" s="447">
        <f t="shared" si="13"/>
        <v>-434785.32311253506</v>
      </c>
      <c r="L22" s="447">
        <f t="shared" si="13"/>
        <v>-443481.02957478579</v>
      </c>
      <c r="M22" s="447">
        <f t="shared" si="13"/>
        <v>-452350.6501662815</v>
      </c>
      <c r="N22" s="447">
        <f t="shared" si="13"/>
        <v>-461397.66316960711</v>
      </c>
      <c r="O22" s="447">
        <f t="shared" si="13"/>
        <v>-470625.61643299926</v>
      </c>
      <c r="P22" s="447">
        <f t="shared" si="13"/>
        <v>-480038.12876165926</v>
      </c>
      <c r="Q22" s="447">
        <f t="shared" si="13"/>
        <v>-489638.89133689244</v>
      </c>
      <c r="R22" s="447">
        <f t="shared" si="13"/>
        <v>-499431.66916363029</v>
      </c>
      <c r="S22" s="447">
        <f t="shared" si="13"/>
        <v>-509420.30254690291</v>
      </c>
      <c r="T22" s="447">
        <f t="shared" si="13"/>
        <v>-519608.70859784103</v>
      </c>
      <c r="U22" s="447">
        <f t="shared" si="13"/>
        <v>-530000.88276979781</v>
      </c>
      <c r="V22" s="447">
        <f t="shared" si="13"/>
        <v>-540600.90042519383</v>
      </c>
      <c r="W22" s="447">
        <f t="shared" si="13"/>
        <v>-551412.91843369766</v>
      </c>
      <c r="X22" s="447">
        <f t="shared" si="13"/>
        <v>-562441.17680237163</v>
      </c>
      <c r="Y22" s="447">
        <f t="shared" si="13"/>
        <v>-573690.00033841899</v>
      </c>
      <c r="Z22" s="447">
        <f t="shared" si="13"/>
        <v>-585163.80034518742</v>
      </c>
      <c r="AA22" s="447">
        <f t="shared" si="13"/>
        <v>-596867.07635209127</v>
      </c>
      <c r="AB22" s="447">
        <f t="shared" si="13"/>
        <v>-608804.41787913302</v>
      </c>
      <c r="AC22" s="447">
        <f t="shared" si="13"/>
        <v>-620980.50623671559</v>
      </c>
      <c r="AD22" s="447">
        <f t="shared" si="13"/>
        <v>-633400.11636144982</v>
      </c>
      <c r="AE22" s="447">
        <f t="shared" si="13"/>
        <v>-646068.11868867895</v>
      </c>
      <c r="AF22" s="447">
        <f t="shared" si="13"/>
        <v>-658989.48106245254</v>
      </c>
      <c r="AG22" s="447">
        <f t="shared" si="13"/>
        <v>-672169.27068370162</v>
      </c>
      <c r="AH22" s="447">
        <f t="shared" si="13"/>
        <v>-685612.65609737567</v>
      </c>
      <c r="AI22" s="447">
        <f t="shared" si="13"/>
        <v>-699324.90921932319</v>
      </c>
    </row>
    <row r="23" spans="2:35">
      <c r="B23" s="174" t="s">
        <v>404</v>
      </c>
    </row>
    <row r="24" spans="2:35">
      <c r="B24" s="7" t="s">
        <v>28</v>
      </c>
      <c r="F24" s="442">
        <f>F10+F17</f>
        <v>7364408.7932926826</v>
      </c>
      <c r="G24" s="442">
        <f t="shared" ref="G24:AI24" si="14">G10+G17</f>
        <v>7511696.9691585368</v>
      </c>
      <c r="H24" s="442">
        <f t="shared" si="14"/>
        <v>7661930.9085417073</v>
      </c>
      <c r="I24" s="442">
        <f t="shared" si="14"/>
        <v>7815169.5267125415</v>
      </c>
      <c r="J24" s="442">
        <f t="shared" si="14"/>
        <v>7971472.9172467915</v>
      </c>
      <c r="K24" s="442">
        <f t="shared" si="14"/>
        <v>8130902.3755917279</v>
      </c>
      <c r="L24" s="442">
        <f t="shared" si="14"/>
        <v>8293520.4231035616</v>
      </c>
      <c r="M24" s="442">
        <f t="shared" si="14"/>
        <v>8459390.8315656334</v>
      </c>
      <c r="N24" s="442">
        <f t="shared" si="14"/>
        <v>8628578.6481969468</v>
      </c>
      <c r="O24" s="442">
        <f t="shared" si="14"/>
        <v>8801150.2211608849</v>
      </c>
      <c r="P24" s="442">
        <f t="shared" si="14"/>
        <v>8977173.2255841028</v>
      </c>
      <c r="Q24" s="442">
        <f t="shared" si="14"/>
        <v>9156716.6900957841</v>
      </c>
      <c r="R24" s="442">
        <f t="shared" si="14"/>
        <v>9339851.0238977</v>
      </c>
      <c r="S24" s="442">
        <f t="shared" si="14"/>
        <v>9526648.0443756543</v>
      </c>
      <c r="T24" s="442">
        <f t="shared" si="14"/>
        <v>9717181.0052631684</v>
      </c>
      <c r="U24" s="442">
        <f t="shared" si="14"/>
        <v>9911524.6253684331</v>
      </c>
      <c r="V24" s="442">
        <f t="shared" si="14"/>
        <v>10109755.117875801</v>
      </c>
      <c r="W24" s="442">
        <f t="shared" si="14"/>
        <v>10311950.220233317</v>
      </c>
      <c r="X24" s="442">
        <f t="shared" si="14"/>
        <v>10518189.224637983</v>
      </c>
      <c r="Y24" s="442">
        <f t="shared" si="14"/>
        <v>10728553.009130742</v>
      </c>
      <c r="Z24" s="442">
        <f t="shared" si="14"/>
        <v>10943124.069313357</v>
      </c>
      <c r="AA24" s="442">
        <f t="shared" si="14"/>
        <v>11161986.550699625</v>
      </c>
      <c r="AB24" s="442">
        <f t="shared" si="14"/>
        <v>11385226.281713616</v>
      </c>
      <c r="AC24" s="442">
        <f t="shared" si="14"/>
        <v>11612930.80734789</v>
      </c>
      <c r="AD24" s="442">
        <f t="shared" si="14"/>
        <v>11845189.423494847</v>
      </c>
      <c r="AE24" s="442">
        <f t="shared" si="14"/>
        <v>12082093.211964745</v>
      </c>
      <c r="AF24" s="442">
        <f t="shared" si="14"/>
        <v>12323735.076204039</v>
      </c>
      <c r="AG24" s="442">
        <f t="shared" si="14"/>
        <v>12570209.77772812</v>
      </c>
      <c r="AH24" s="442">
        <f t="shared" si="14"/>
        <v>12821613.973282682</v>
      </c>
      <c r="AI24" s="442">
        <f t="shared" si="14"/>
        <v>13078046.252748337</v>
      </c>
    </row>
    <row r="25" spans="2:35">
      <c r="B25" s="7" t="s">
        <v>16</v>
      </c>
      <c r="F25" s="442">
        <f t="shared" ref="F25:AI25" si="15">F11+F18</f>
        <v>42750</v>
      </c>
      <c r="G25" s="442">
        <f t="shared" si="15"/>
        <v>43605</v>
      </c>
      <c r="H25" s="442">
        <f t="shared" si="15"/>
        <v>44477.1</v>
      </c>
      <c r="I25" s="442">
        <f t="shared" si="15"/>
        <v>45366.642</v>
      </c>
      <c r="J25" s="442">
        <f t="shared" si="15"/>
        <v>46273.974840000003</v>
      </c>
      <c r="K25" s="442">
        <f t="shared" si="15"/>
        <v>47199.454336800001</v>
      </c>
      <c r="L25" s="442">
        <f t="shared" si="15"/>
        <v>48143.443423536002</v>
      </c>
      <c r="M25" s="442">
        <f t="shared" si="15"/>
        <v>49106.312292006725</v>
      </c>
      <c r="N25" s="442">
        <f t="shared" si="15"/>
        <v>50088.438537846858</v>
      </c>
      <c r="O25" s="442">
        <f t="shared" si="15"/>
        <v>51090.207308603793</v>
      </c>
      <c r="P25" s="442">
        <f t="shared" si="15"/>
        <v>52112.011454775864</v>
      </c>
      <c r="Q25" s="442">
        <f t="shared" si="15"/>
        <v>53154.251683871378</v>
      </c>
      <c r="R25" s="442">
        <f t="shared" si="15"/>
        <v>54217.336717548802</v>
      </c>
      <c r="S25" s="442">
        <f t="shared" si="15"/>
        <v>55301.683451899778</v>
      </c>
      <c r="T25" s="442">
        <f t="shared" si="15"/>
        <v>56407.717120937778</v>
      </c>
      <c r="U25" s="442">
        <f t="shared" si="15"/>
        <v>57535.871463356532</v>
      </c>
      <c r="V25" s="442">
        <f t="shared" si="15"/>
        <v>58686.588892623666</v>
      </c>
      <c r="W25" s="442">
        <f t="shared" si="15"/>
        <v>59860.32067047614</v>
      </c>
      <c r="X25" s="442">
        <f t="shared" si="15"/>
        <v>61057.52708388566</v>
      </c>
      <c r="Y25" s="442">
        <f t="shared" si="15"/>
        <v>62278.677625563374</v>
      </c>
      <c r="Z25" s="442">
        <f t="shared" si="15"/>
        <v>63524.251178074643</v>
      </c>
      <c r="AA25" s="442">
        <f t="shared" si="15"/>
        <v>64794.736201636137</v>
      </c>
      <c r="AB25" s="442">
        <f t="shared" si="15"/>
        <v>66090.630925668855</v>
      </c>
      <c r="AC25" s="442">
        <f t="shared" si="15"/>
        <v>67412.443544182228</v>
      </c>
      <c r="AD25" s="442">
        <f t="shared" si="15"/>
        <v>68760.692415065889</v>
      </c>
      <c r="AE25" s="442">
        <f t="shared" si="15"/>
        <v>70135.9062633672</v>
      </c>
      <c r="AF25" s="442">
        <f t="shared" si="15"/>
        <v>71538.624388634547</v>
      </c>
      <c r="AG25" s="442">
        <f t="shared" si="15"/>
        <v>72969.396876407234</v>
      </c>
      <c r="AH25" s="442">
        <f t="shared" si="15"/>
        <v>74428.784813935374</v>
      </c>
      <c r="AI25" s="442">
        <f t="shared" si="15"/>
        <v>75917.360510214086</v>
      </c>
    </row>
    <row r="26" spans="2:35">
      <c r="B26" s="7" t="s">
        <v>68</v>
      </c>
      <c r="F26" s="442">
        <f t="shared" ref="F26:AI26" si="16">F12+F19</f>
        <v>0</v>
      </c>
      <c r="G26" s="442">
        <f t="shared" si="16"/>
        <v>0</v>
      </c>
      <c r="H26" s="442">
        <f t="shared" si="16"/>
        <v>0</v>
      </c>
      <c r="I26" s="442">
        <f t="shared" si="16"/>
        <v>0</v>
      </c>
      <c r="J26" s="442">
        <f t="shared" si="16"/>
        <v>0</v>
      </c>
      <c r="K26" s="442">
        <f t="shared" si="16"/>
        <v>0</v>
      </c>
      <c r="L26" s="442">
        <f t="shared" si="16"/>
        <v>0</v>
      </c>
      <c r="M26" s="442">
        <f t="shared" si="16"/>
        <v>0</v>
      </c>
      <c r="N26" s="442">
        <f t="shared" si="16"/>
        <v>0</v>
      </c>
      <c r="O26" s="442">
        <f t="shared" si="16"/>
        <v>0</v>
      </c>
      <c r="P26" s="442">
        <f t="shared" si="16"/>
        <v>0</v>
      </c>
      <c r="Q26" s="442">
        <f t="shared" si="16"/>
        <v>0</v>
      </c>
      <c r="R26" s="442">
        <f t="shared" si="16"/>
        <v>0</v>
      </c>
      <c r="S26" s="442">
        <f t="shared" si="16"/>
        <v>0</v>
      </c>
      <c r="T26" s="442">
        <f t="shared" si="16"/>
        <v>0</v>
      </c>
      <c r="U26" s="442">
        <f t="shared" si="16"/>
        <v>0</v>
      </c>
      <c r="V26" s="442">
        <f t="shared" si="16"/>
        <v>0</v>
      </c>
      <c r="W26" s="442">
        <f t="shared" si="16"/>
        <v>0</v>
      </c>
      <c r="X26" s="442">
        <f t="shared" si="16"/>
        <v>0</v>
      </c>
      <c r="Y26" s="442">
        <f t="shared" si="16"/>
        <v>0</v>
      </c>
      <c r="Z26" s="442">
        <f t="shared" si="16"/>
        <v>0</v>
      </c>
      <c r="AA26" s="442">
        <f t="shared" si="16"/>
        <v>0</v>
      </c>
      <c r="AB26" s="442">
        <f t="shared" si="16"/>
        <v>0</v>
      </c>
      <c r="AC26" s="442">
        <f t="shared" si="16"/>
        <v>0</v>
      </c>
      <c r="AD26" s="442">
        <f t="shared" si="16"/>
        <v>0</v>
      </c>
      <c r="AE26" s="442">
        <f t="shared" si="16"/>
        <v>0</v>
      </c>
      <c r="AF26" s="442">
        <f t="shared" si="16"/>
        <v>0</v>
      </c>
      <c r="AG26" s="442">
        <f t="shared" si="16"/>
        <v>0</v>
      </c>
      <c r="AH26" s="442">
        <f t="shared" si="16"/>
        <v>0</v>
      </c>
      <c r="AI26" s="442">
        <f t="shared" si="16"/>
        <v>0</v>
      </c>
    </row>
    <row r="27" spans="2:35">
      <c r="B27" s="7" t="s">
        <v>69</v>
      </c>
      <c r="F27" s="442">
        <f t="shared" ref="F27:AI27" si="17">F13+F20</f>
        <v>0</v>
      </c>
      <c r="G27" s="442">
        <f t="shared" si="17"/>
        <v>0</v>
      </c>
      <c r="H27" s="442">
        <f t="shared" si="17"/>
        <v>0</v>
      </c>
      <c r="I27" s="442">
        <f t="shared" si="17"/>
        <v>0</v>
      </c>
      <c r="J27" s="442">
        <f t="shared" si="17"/>
        <v>0</v>
      </c>
      <c r="K27" s="442">
        <f t="shared" si="17"/>
        <v>0</v>
      </c>
      <c r="L27" s="442">
        <f t="shared" si="17"/>
        <v>0</v>
      </c>
      <c r="M27" s="442">
        <f t="shared" si="17"/>
        <v>0</v>
      </c>
      <c r="N27" s="442">
        <f t="shared" si="17"/>
        <v>0</v>
      </c>
      <c r="O27" s="442">
        <f t="shared" si="17"/>
        <v>0</v>
      </c>
      <c r="P27" s="442">
        <f t="shared" si="17"/>
        <v>0</v>
      </c>
      <c r="Q27" s="442">
        <f t="shared" si="17"/>
        <v>0</v>
      </c>
      <c r="R27" s="442">
        <f t="shared" si="17"/>
        <v>0</v>
      </c>
      <c r="S27" s="442">
        <f t="shared" si="17"/>
        <v>0</v>
      </c>
      <c r="T27" s="442">
        <f t="shared" si="17"/>
        <v>0</v>
      </c>
      <c r="U27" s="442">
        <f t="shared" si="17"/>
        <v>0</v>
      </c>
      <c r="V27" s="442">
        <f t="shared" si="17"/>
        <v>0</v>
      </c>
      <c r="W27" s="442">
        <f t="shared" si="17"/>
        <v>0</v>
      </c>
      <c r="X27" s="442">
        <f t="shared" si="17"/>
        <v>0</v>
      </c>
      <c r="Y27" s="442">
        <f t="shared" si="17"/>
        <v>0</v>
      </c>
      <c r="Z27" s="442">
        <f t="shared" si="17"/>
        <v>0</v>
      </c>
      <c r="AA27" s="442">
        <f t="shared" si="17"/>
        <v>0</v>
      </c>
      <c r="AB27" s="442">
        <f t="shared" si="17"/>
        <v>0</v>
      </c>
      <c r="AC27" s="442">
        <f t="shared" si="17"/>
        <v>0</v>
      </c>
      <c r="AD27" s="442">
        <f t="shared" si="17"/>
        <v>0</v>
      </c>
      <c r="AE27" s="442">
        <f t="shared" si="17"/>
        <v>0</v>
      </c>
      <c r="AF27" s="442">
        <f t="shared" si="17"/>
        <v>0</v>
      </c>
      <c r="AG27" s="442">
        <f t="shared" si="17"/>
        <v>0</v>
      </c>
      <c r="AH27" s="442">
        <f t="shared" si="17"/>
        <v>0</v>
      </c>
      <c r="AI27" s="442">
        <f t="shared" si="17"/>
        <v>0</v>
      </c>
    </row>
    <row r="28" spans="2:35">
      <c r="B28" s="7" t="s">
        <v>70</v>
      </c>
      <c r="F28" s="442">
        <f t="shared" ref="F28:AI28" si="18">F14+F21</f>
        <v>35532</v>
      </c>
      <c r="G28" s="442">
        <f t="shared" si="18"/>
        <v>36242.639999999999</v>
      </c>
      <c r="H28" s="442">
        <f t="shared" si="18"/>
        <v>36967.4928</v>
      </c>
      <c r="I28" s="442">
        <f t="shared" si="18"/>
        <v>37706.842655999993</v>
      </c>
      <c r="J28" s="442">
        <f t="shared" si="18"/>
        <v>38460.979509119999</v>
      </c>
      <c r="K28" s="442">
        <f t="shared" si="18"/>
        <v>39230.199099302401</v>
      </c>
      <c r="L28" s="442">
        <f t="shared" si="18"/>
        <v>40014.803081288446</v>
      </c>
      <c r="M28" s="442">
        <f t="shared" si="18"/>
        <v>40815.099142914216</v>
      </c>
      <c r="N28" s="442">
        <f t="shared" si="18"/>
        <v>41631.4011257725</v>
      </c>
      <c r="O28" s="442">
        <f t="shared" si="18"/>
        <v>42464.029148287947</v>
      </c>
      <c r="P28" s="442">
        <f t="shared" si="18"/>
        <v>43313.309731253707</v>
      </c>
      <c r="Q28" s="442">
        <f t="shared" si="18"/>
        <v>44179.57592587878</v>
      </c>
      <c r="R28" s="442">
        <f t="shared" si="18"/>
        <v>45063.167444396357</v>
      </c>
      <c r="S28" s="442">
        <f t="shared" si="18"/>
        <v>45964.430793284278</v>
      </c>
      <c r="T28" s="442">
        <f t="shared" si="18"/>
        <v>46883.71940914997</v>
      </c>
      <c r="U28" s="442">
        <f t="shared" si="18"/>
        <v>47821.393797332967</v>
      </c>
      <c r="V28" s="442">
        <f t="shared" si="18"/>
        <v>48777.821673279628</v>
      </c>
      <c r="W28" s="442">
        <f t="shared" si="18"/>
        <v>49753.378106745222</v>
      </c>
      <c r="X28" s="442">
        <f t="shared" si="18"/>
        <v>50748.445668880129</v>
      </c>
      <c r="Y28" s="442">
        <f t="shared" si="18"/>
        <v>51763.414582257727</v>
      </c>
      <c r="Z28" s="442">
        <f t="shared" si="18"/>
        <v>52798.682873902886</v>
      </c>
      <c r="AA28" s="442">
        <f t="shared" si="18"/>
        <v>53854.656531380941</v>
      </c>
      <c r="AB28" s="442">
        <f t="shared" si="18"/>
        <v>54931.749662008559</v>
      </c>
      <c r="AC28" s="442">
        <f t="shared" si="18"/>
        <v>56030.38465524873</v>
      </c>
      <c r="AD28" s="442">
        <f t="shared" si="18"/>
        <v>57150.992348353706</v>
      </c>
      <c r="AE28" s="442">
        <f t="shared" si="18"/>
        <v>58294.012195320778</v>
      </c>
      <c r="AF28" s="442">
        <f t="shared" si="18"/>
        <v>59459.892439227187</v>
      </c>
      <c r="AG28" s="442">
        <f t="shared" si="18"/>
        <v>60649.090288011736</v>
      </c>
      <c r="AH28" s="442">
        <f t="shared" si="18"/>
        <v>61862.072093771974</v>
      </c>
      <c r="AI28" s="442">
        <f t="shared" si="18"/>
        <v>63099.313535647416</v>
      </c>
    </row>
    <row r="29" spans="2:35">
      <c r="B29" s="445" t="s">
        <v>405</v>
      </c>
      <c r="C29" s="105"/>
      <c r="D29" s="105"/>
      <c r="E29" s="105"/>
      <c r="F29" s="447">
        <f>SUM(F24:F28)</f>
        <v>7442690.7932926826</v>
      </c>
      <c r="G29" s="447">
        <f t="shared" ref="G29:AI29" si="19">SUM(G24:G28)</f>
        <v>7591544.6091585364</v>
      </c>
      <c r="H29" s="447">
        <f t="shared" si="19"/>
        <v>7743375.5013417071</v>
      </c>
      <c r="I29" s="447">
        <f t="shared" si="19"/>
        <v>7898243.011368541</v>
      </c>
      <c r="J29" s="447">
        <f t="shared" si="19"/>
        <v>8056207.8715959117</v>
      </c>
      <c r="K29" s="447">
        <f t="shared" si="19"/>
        <v>8217332.0290278299</v>
      </c>
      <c r="L29" s="447">
        <f t="shared" si="19"/>
        <v>8381678.6696083853</v>
      </c>
      <c r="M29" s="447">
        <f t="shared" si="19"/>
        <v>8549312.2430005539</v>
      </c>
      <c r="N29" s="447">
        <f t="shared" si="19"/>
        <v>8720298.487860566</v>
      </c>
      <c r="O29" s="447">
        <f t="shared" si="19"/>
        <v>8894704.4576177765</v>
      </c>
      <c r="P29" s="447">
        <f t="shared" si="19"/>
        <v>9072598.5467701331</v>
      </c>
      <c r="Q29" s="447">
        <f t="shared" si="19"/>
        <v>9254050.5177055355</v>
      </c>
      <c r="R29" s="447">
        <f t="shared" si="19"/>
        <v>9439131.5280596465</v>
      </c>
      <c r="S29" s="447">
        <f t="shared" si="19"/>
        <v>9627914.1586208381</v>
      </c>
      <c r="T29" s="447">
        <f t="shared" si="19"/>
        <v>9820472.4417932555</v>
      </c>
      <c r="U29" s="447">
        <f t="shared" si="19"/>
        <v>10016881.890629122</v>
      </c>
      <c r="V29" s="447">
        <f t="shared" si="19"/>
        <v>10217219.528441705</v>
      </c>
      <c r="W29" s="447">
        <f t="shared" si="19"/>
        <v>10421563.919010539</v>
      </c>
      <c r="X29" s="447">
        <f t="shared" si="19"/>
        <v>10629995.197390748</v>
      </c>
      <c r="Y29" s="447">
        <f t="shared" si="19"/>
        <v>10842595.101338563</v>
      </c>
      <c r="Z29" s="447">
        <f t="shared" si="19"/>
        <v>11059447.003365334</v>
      </c>
      <c r="AA29" s="447">
        <f t="shared" si="19"/>
        <v>11280635.943432642</v>
      </c>
      <c r="AB29" s="447">
        <f t="shared" si="19"/>
        <v>11506248.662301293</v>
      </c>
      <c r="AC29" s="447">
        <f t="shared" si="19"/>
        <v>11736373.635547321</v>
      </c>
      <c r="AD29" s="447">
        <f t="shared" si="19"/>
        <v>11971101.108258268</v>
      </c>
      <c r="AE29" s="447">
        <f t="shared" si="19"/>
        <v>12210523.130423432</v>
      </c>
      <c r="AF29" s="447">
        <f t="shared" si="19"/>
        <v>12454733.593031902</v>
      </c>
      <c r="AG29" s="447">
        <f t="shared" si="19"/>
        <v>12703828.264892539</v>
      </c>
      <c r="AH29" s="447">
        <f t="shared" si="19"/>
        <v>12957904.830190388</v>
      </c>
      <c r="AI29" s="447">
        <f t="shared" si="19"/>
        <v>13217062.926794197</v>
      </c>
    </row>
    <row r="30" spans="2:35">
      <c r="B30" s="174" t="s">
        <v>406</v>
      </c>
    </row>
    <row r="31" spans="2:35">
      <c r="B31" s="7" t="s">
        <v>407</v>
      </c>
      <c r="C31" s="473">
        <v>0.03</v>
      </c>
      <c r="F31" s="443">
        <f>-'Operating Expenses &amp; Reserves'!F37</f>
        <v>-2745482</v>
      </c>
      <c r="G31" s="444">
        <f>F31+(F31*$C31)</f>
        <v>-2827846.46</v>
      </c>
      <c r="H31" s="444">
        <f t="shared" ref="H31:AI32" si="20">G31+(G31*$C31)</f>
        <v>-2912681.8538000002</v>
      </c>
      <c r="I31" s="444">
        <f t="shared" si="20"/>
        <v>-3000062.3094140003</v>
      </c>
      <c r="J31" s="444">
        <f t="shared" si="20"/>
        <v>-3090064.17869642</v>
      </c>
      <c r="K31" s="444">
        <f t="shared" si="20"/>
        <v>-3182766.1040573125</v>
      </c>
      <c r="L31" s="444">
        <f t="shared" si="20"/>
        <v>-3278249.0871790317</v>
      </c>
      <c r="M31" s="444">
        <f t="shared" si="20"/>
        <v>-3376596.5597944027</v>
      </c>
      <c r="N31" s="444">
        <f t="shared" si="20"/>
        <v>-3477894.4565882348</v>
      </c>
      <c r="O31" s="444">
        <f t="shared" si="20"/>
        <v>-3582231.2902858816</v>
      </c>
      <c r="P31" s="444">
        <f t="shared" si="20"/>
        <v>-3689698.228994458</v>
      </c>
      <c r="Q31" s="444">
        <f t="shared" si="20"/>
        <v>-3800389.1758642918</v>
      </c>
      <c r="R31" s="444">
        <f t="shared" si="20"/>
        <v>-3914400.8511402206</v>
      </c>
      <c r="S31" s="444">
        <f t="shared" si="20"/>
        <v>-4031832.8766744272</v>
      </c>
      <c r="T31" s="444">
        <f t="shared" si="20"/>
        <v>-4152787.86297466</v>
      </c>
      <c r="U31" s="444">
        <f t="shared" si="20"/>
        <v>-4277371.4988639001</v>
      </c>
      <c r="V31" s="444">
        <f t="shared" si="20"/>
        <v>-4405692.643829817</v>
      </c>
      <c r="W31" s="444">
        <f t="shared" si="20"/>
        <v>-4537863.4231447112</v>
      </c>
      <c r="X31" s="444">
        <f t="shared" si="20"/>
        <v>-4673999.3258390529</v>
      </c>
      <c r="Y31" s="444">
        <f t="shared" si="20"/>
        <v>-4814219.3056142246</v>
      </c>
      <c r="Z31" s="444">
        <f t="shared" si="20"/>
        <v>-4958645.8847826514</v>
      </c>
      <c r="AA31" s="444">
        <f t="shared" si="20"/>
        <v>-5107405.2613261314</v>
      </c>
      <c r="AB31" s="444">
        <f t="shared" si="20"/>
        <v>-5260627.4191659149</v>
      </c>
      <c r="AC31" s="444">
        <f t="shared" si="20"/>
        <v>-5418446.2417408926</v>
      </c>
      <c r="AD31" s="444">
        <f t="shared" si="20"/>
        <v>-5580999.6289931191</v>
      </c>
      <c r="AE31" s="444">
        <f t="shared" si="20"/>
        <v>-5748429.6178629128</v>
      </c>
      <c r="AF31" s="444">
        <f t="shared" si="20"/>
        <v>-5920882.5063987998</v>
      </c>
      <c r="AG31" s="444">
        <f t="shared" si="20"/>
        <v>-6098508.9815907637</v>
      </c>
      <c r="AH31" s="444">
        <f t="shared" si="20"/>
        <v>-6281464.2510384861</v>
      </c>
      <c r="AI31" s="444">
        <f t="shared" si="20"/>
        <v>-6469908.178569641</v>
      </c>
    </row>
    <row r="32" spans="2:35">
      <c r="B32" s="7" t="s">
        <v>286</v>
      </c>
      <c r="C32" s="473">
        <v>0.03</v>
      </c>
      <c r="F32" s="442">
        <f>-'Operating Expenses &amp; Reserves'!F17</f>
        <v>-483774.90156402439</v>
      </c>
      <c r="G32" s="444">
        <f>F32+(F32*$C32)</f>
        <v>-498288.14861094509</v>
      </c>
      <c r="H32" s="444">
        <f t="shared" si="20"/>
        <v>-513236.79306927347</v>
      </c>
      <c r="I32" s="444">
        <f t="shared" si="20"/>
        <v>-528633.89686135168</v>
      </c>
      <c r="J32" s="444">
        <f t="shared" si="20"/>
        <v>-544492.91376719228</v>
      </c>
      <c r="K32" s="444">
        <f t="shared" si="20"/>
        <v>-560827.70118020801</v>
      </c>
      <c r="L32" s="444">
        <f t="shared" si="20"/>
        <v>-577652.53221561422</v>
      </c>
      <c r="M32" s="444">
        <f t="shared" si="20"/>
        <v>-594982.10818208265</v>
      </c>
      <c r="N32" s="444">
        <f t="shared" si="20"/>
        <v>-612831.57142754516</v>
      </c>
      <c r="O32" s="444">
        <f t="shared" si="20"/>
        <v>-631216.51857037155</v>
      </c>
      <c r="P32" s="444">
        <f t="shared" si="20"/>
        <v>-650153.01412748266</v>
      </c>
      <c r="Q32" s="444">
        <f t="shared" si="20"/>
        <v>-669657.60455130716</v>
      </c>
      <c r="R32" s="444">
        <f t="shared" si="20"/>
        <v>-689747.33268784638</v>
      </c>
      <c r="S32" s="444">
        <f t="shared" si="20"/>
        <v>-710439.75266848179</v>
      </c>
      <c r="T32" s="444">
        <f t="shared" si="20"/>
        <v>-731752.94524853618</v>
      </c>
      <c r="U32" s="444">
        <f t="shared" si="20"/>
        <v>-753705.53360599221</v>
      </c>
      <c r="V32" s="444">
        <f t="shared" si="20"/>
        <v>-776316.69961417199</v>
      </c>
      <c r="W32" s="444">
        <f t="shared" si="20"/>
        <v>-799606.20060259709</v>
      </c>
      <c r="X32" s="444">
        <f t="shared" si="20"/>
        <v>-823594.38662067498</v>
      </c>
      <c r="Y32" s="444">
        <f t="shared" si="20"/>
        <v>-848302.21821929526</v>
      </c>
      <c r="Z32" s="444">
        <f t="shared" si="20"/>
        <v>-873751.28476587415</v>
      </c>
      <c r="AA32" s="444">
        <f t="shared" si="20"/>
        <v>-899963.82330885041</v>
      </c>
      <c r="AB32" s="444">
        <f t="shared" si="20"/>
        <v>-926962.73800811591</v>
      </c>
      <c r="AC32" s="444">
        <f t="shared" si="20"/>
        <v>-954771.62014835933</v>
      </c>
      <c r="AD32" s="444">
        <f t="shared" si="20"/>
        <v>-983414.76875281008</v>
      </c>
      <c r="AE32" s="444">
        <f t="shared" si="20"/>
        <v>-1012917.2118153943</v>
      </c>
      <c r="AF32" s="444">
        <f t="shared" si="20"/>
        <v>-1043304.7281698561</v>
      </c>
      <c r="AG32" s="444">
        <f t="shared" si="20"/>
        <v>-1074603.8700149518</v>
      </c>
      <c r="AH32" s="444">
        <f t="shared" si="20"/>
        <v>-1106841.9861154004</v>
      </c>
      <c r="AI32" s="444">
        <f t="shared" si="20"/>
        <v>-1140047.2456988625</v>
      </c>
    </row>
    <row r="33" spans="2:35">
      <c r="B33" s="445" t="s">
        <v>408</v>
      </c>
      <c r="C33" s="474"/>
      <c r="D33" s="105"/>
      <c r="E33" s="105"/>
      <c r="F33" s="447">
        <f>SUM(F31:F32)</f>
        <v>-3229256.9015640244</v>
      </c>
      <c r="G33" s="448">
        <f t="shared" ref="G33:AI33" si="21">SUM(G31:G32)</f>
        <v>-3326134.6086109448</v>
      </c>
      <c r="H33" s="448">
        <f t="shared" si="21"/>
        <v>-3425918.6468692739</v>
      </c>
      <c r="I33" s="448">
        <f t="shared" si="21"/>
        <v>-3528696.2062753518</v>
      </c>
      <c r="J33" s="448">
        <f t="shared" si="21"/>
        <v>-3634557.0924636126</v>
      </c>
      <c r="K33" s="448">
        <f t="shared" si="21"/>
        <v>-3743593.8052375205</v>
      </c>
      <c r="L33" s="448">
        <f t="shared" si="21"/>
        <v>-3855901.619394646</v>
      </c>
      <c r="M33" s="448">
        <f t="shared" si="21"/>
        <v>-3971578.6679764856</v>
      </c>
      <c r="N33" s="448">
        <f t="shared" si="21"/>
        <v>-4090726.0280157798</v>
      </c>
      <c r="O33" s="448">
        <f t="shared" si="21"/>
        <v>-4213447.8088562535</v>
      </c>
      <c r="P33" s="448">
        <f t="shared" si="21"/>
        <v>-4339851.2431219406</v>
      </c>
      <c r="Q33" s="448">
        <f t="shared" si="21"/>
        <v>-4470046.7804155992</v>
      </c>
      <c r="R33" s="448">
        <f t="shared" si="21"/>
        <v>-4604148.183828067</v>
      </c>
      <c r="S33" s="448">
        <f t="shared" si="21"/>
        <v>-4742272.629342909</v>
      </c>
      <c r="T33" s="448">
        <f t="shared" si="21"/>
        <v>-4884540.8082231963</v>
      </c>
      <c r="U33" s="448">
        <f t="shared" si="21"/>
        <v>-5031077.0324698919</v>
      </c>
      <c r="V33" s="448">
        <f t="shared" si="21"/>
        <v>-5182009.3434439888</v>
      </c>
      <c r="W33" s="448">
        <f t="shared" si="21"/>
        <v>-5337469.6237473078</v>
      </c>
      <c r="X33" s="448">
        <f t="shared" si="21"/>
        <v>-5497593.7124597281</v>
      </c>
      <c r="Y33" s="448">
        <f t="shared" si="21"/>
        <v>-5662521.5238335198</v>
      </c>
      <c r="Z33" s="448">
        <f t="shared" si="21"/>
        <v>-5832397.1695485255</v>
      </c>
      <c r="AA33" s="448">
        <f t="shared" si="21"/>
        <v>-6007369.084634982</v>
      </c>
      <c r="AB33" s="448">
        <f t="shared" si="21"/>
        <v>-6187590.1571740303</v>
      </c>
      <c r="AC33" s="448">
        <f t="shared" si="21"/>
        <v>-6373217.8618892524</v>
      </c>
      <c r="AD33" s="448">
        <f t="shared" si="21"/>
        <v>-6564414.3977459297</v>
      </c>
      <c r="AE33" s="448">
        <f t="shared" si="21"/>
        <v>-6761346.8296783073</v>
      </c>
      <c r="AF33" s="448">
        <f t="shared" si="21"/>
        <v>-6964187.2345686555</v>
      </c>
      <c r="AG33" s="448">
        <f t="shared" si="21"/>
        <v>-7173112.8516057152</v>
      </c>
      <c r="AH33" s="448">
        <f t="shared" si="21"/>
        <v>-7388306.2371538868</v>
      </c>
      <c r="AI33" s="448">
        <f t="shared" si="21"/>
        <v>-7609955.4242685037</v>
      </c>
    </row>
    <row r="34" spans="2:35">
      <c r="B34" s="7" t="s">
        <v>307</v>
      </c>
      <c r="C34" s="473">
        <v>0.03</v>
      </c>
      <c r="F34" s="442">
        <f>-'Operating Expenses &amp; Reserves'!D48</f>
        <v>-111640.36189939023</v>
      </c>
      <c r="G34" s="444">
        <f>F34+(F34*$C34)</f>
        <v>-114989.57275637194</v>
      </c>
      <c r="H34" s="444">
        <f t="shared" ref="H34:AI34" si="22">G34+(G34*$C34)</f>
        <v>-118439.25993906309</v>
      </c>
      <c r="I34" s="444">
        <f t="shared" si="22"/>
        <v>-121992.43773723498</v>
      </c>
      <c r="J34" s="444">
        <f t="shared" si="22"/>
        <v>-125652.21086935203</v>
      </c>
      <c r="K34" s="444">
        <f t="shared" si="22"/>
        <v>-129421.77719543259</v>
      </c>
      <c r="L34" s="444">
        <f t="shared" si="22"/>
        <v>-133304.43051129556</v>
      </c>
      <c r="M34" s="444">
        <f t="shared" si="22"/>
        <v>-137303.56342663444</v>
      </c>
      <c r="N34" s="444">
        <f t="shared" si="22"/>
        <v>-141422.67032943349</v>
      </c>
      <c r="O34" s="444">
        <f t="shared" si="22"/>
        <v>-145665.35043931651</v>
      </c>
      <c r="P34" s="444">
        <f t="shared" si="22"/>
        <v>-150035.31095249599</v>
      </c>
      <c r="Q34" s="444">
        <f t="shared" si="22"/>
        <v>-154536.37028107088</v>
      </c>
      <c r="R34" s="444">
        <f t="shared" si="22"/>
        <v>-159172.46138950301</v>
      </c>
      <c r="S34" s="444">
        <f t="shared" si="22"/>
        <v>-163947.63523118809</v>
      </c>
      <c r="T34" s="444">
        <f t="shared" si="22"/>
        <v>-168866.06428812374</v>
      </c>
      <c r="U34" s="444">
        <f t="shared" si="22"/>
        <v>-173932.04621676746</v>
      </c>
      <c r="V34" s="444">
        <f t="shared" si="22"/>
        <v>-179150.00760327047</v>
      </c>
      <c r="W34" s="444">
        <f t="shared" si="22"/>
        <v>-184524.5078313686</v>
      </c>
      <c r="X34" s="444">
        <f t="shared" si="22"/>
        <v>-190060.24306630966</v>
      </c>
      <c r="Y34" s="444">
        <f t="shared" si="22"/>
        <v>-195762.05035829896</v>
      </c>
      <c r="Z34" s="444">
        <f t="shared" si="22"/>
        <v>-201634.91186904794</v>
      </c>
      <c r="AA34" s="444">
        <f t="shared" si="22"/>
        <v>-207683.95922511938</v>
      </c>
      <c r="AB34" s="444">
        <f t="shared" si="22"/>
        <v>-213914.47800187295</v>
      </c>
      <c r="AC34" s="444">
        <f t="shared" si="22"/>
        <v>-220331.91234192913</v>
      </c>
      <c r="AD34" s="444">
        <f t="shared" si="22"/>
        <v>-226941.86971218701</v>
      </c>
      <c r="AE34" s="444">
        <f t="shared" si="22"/>
        <v>-233750.12580355263</v>
      </c>
      <c r="AF34" s="444">
        <f t="shared" si="22"/>
        <v>-240762.62957765922</v>
      </c>
      <c r="AG34" s="444">
        <f t="shared" si="22"/>
        <v>-247985.50846498899</v>
      </c>
      <c r="AH34" s="444">
        <f t="shared" si="22"/>
        <v>-255425.07371893866</v>
      </c>
      <c r="AI34" s="444">
        <f t="shared" si="22"/>
        <v>-263087.82593050681</v>
      </c>
    </row>
    <row r="35" spans="2:35">
      <c r="B35" s="445" t="s">
        <v>409</v>
      </c>
      <c r="C35" s="105"/>
      <c r="D35" s="105"/>
      <c r="E35" s="105"/>
      <c r="F35" s="447">
        <f>F34+F33</f>
        <v>-3340897.2634634147</v>
      </c>
      <c r="G35" s="447">
        <f t="shared" ref="G35:AI35" si="23">G34+G33</f>
        <v>-3441124.1813673167</v>
      </c>
      <c r="H35" s="447">
        <f t="shared" si="23"/>
        <v>-3544357.9068083367</v>
      </c>
      <c r="I35" s="447">
        <f t="shared" si="23"/>
        <v>-3650688.6440125867</v>
      </c>
      <c r="J35" s="447">
        <f t="shared" si="23"/>
        <v>-3760209.3033329644</v>
      </c>
      <c r="K35" s="447">
        <f t="shared" si="23"/>
        <v>-3873015.5824329532</v>
      </c>
      <c r="L35" s="447">
        <f t="shared" si="23"/>
        <v>-3989206.0499059418</v>
      </c>
      <c r="M35" s="447">
        <f t="shared" si="23"/>
        <v>-4108882.2314031199</v>
      </c>
      <c r="N35" s="447">
        <f t="shared" si="23"/>
        <v>-4232148.6983452132</v>
      </c>
      <c r="O35" s="447">
        <f t="shared" si="23"/>
        <v>-4359113.1592955701</v>
      </c>
      <c r="P35" s="447">
        <f t="shared" si="23"/>
        <v>-4489886.5540744364</v>
      </c>
      <c r="Q35" s="447">
        <f t="shared" si="23"/>
        <v>-4624583.1506966697</v>
      </c>
      <c r="R35" s="447">
        <f t="shared" si="23"/>
        <v>-4763320.6452175705</v>
      </c>
      <c r="S35" s="447">
        <f t="shared" si="23"/>
        <v>-4906220.2645740975</v>
      </c>
      <c r="T35" s="447">
        <f t="shared" si="23"/>
        <v>-5053406.8725113198</v>
      </c>
      <c r="U35" s="447">
        <f t="shared" si="23"/>
        <v>-5205009.0786866592</v>
      </c>
      <c r="V35" s="447">
        <f t="shared" si="23"/>
        <v>-5361159.3510472588</v>
      </c>
      <c r="W35" s="447">
        <f t="shared" si="23"/>
        <v>-5521994.1315786764</v>
      </c>
      <c r="X35" s="447">
        <f t="shared" si="23"/>
        <v>-5687653.9555260381</v>
      </c>
      <c r="Y35" s="447">
        <f t="shared" si="23"/>
        <v>-5858283.5741918189</v>
      </c>
      <c r="Z35" s="447">
        <f t="shared" si="23"/>
        <v>-6034032.0814175736</v>
      </c>
      <c r="AA35" s="447">
        <f t="shared" si="23"/>
        <v>-6215053.0438601011</v>
      </c>
      <c r="AB35" s="447">
        <f t="shared" si="23"/>
        <v>-6401504.6351759033</v>
      </c>
      <c r="AC35" s="447">
        <f t="shared" si="23"/>
        <v>-6593549.7742311815</v>
      </c>
      <c r="AD35" s="447">
        <f t="shared" si="23"/>
        <v>-6791356.2674581166</v>
      </c>
      <c r="AE35" s="447">
        <f t="shared" si="23"/>
        <v>-6995096.9554818599</v>
      </c>
      <c r="AF35" s="447">
        <f t="shared" si="23"/>
        <v>-7204949.8641463146</v>
      </c>
      <c r="AG35" s="447">
        <f t="shared" si="23"/>
        <v>-7421098.3600707045</v>
      </c>
      <c r="AH35" s="447">
        <f t="shared" si="23"/>
        <v>-7643731.3108728258</v>
      </c>
      <c r="AI35" s="447">
        <f t="shared" si="23"/>
        <v>-7873043.2501990106</v>
      </c>
    </row>
    <row r="36" spans="2:35">
      <c r="B36" s="441" t="s">
        <v>410</v>
      </c>
      <c r="F36" s="358">
        <f>F29+F35</f>
        <v>4101793.5298292679</v>
      </c>
      <c r="G36" s="358">
        <f t="shared" ref="G36:AI36" si="24">G29+G35</f>
        <v>4150420.4277912197</v>
      </c>
      <c r="H36" s="358">
        <f t="shared" si="24"/>
        <v>4199017.5945333708</v>
      </c>
      <c r="I36" s="358">
        <f t="shared" si="24"/>
        <v>4247554.3673559539</v>
      </c>
      <c r="J36" s="358">
        <f t="shared" si="24"/>
        <v>4295998.5682629477</v>
      </c>
      <c r="K36" s="358">
        <f t="shared" si="24"/>
        <v>4344316.4465948772</v>
      </c>
      <c r="L36" s="358">
        <f t="shared" si="24"/>
        <v>4392472.6197024435</v>
      </c>
      <c r="M36" s="358">
        <f t="shared" si="24"/>
        <v>4440430.0115974341</v>
      </c>
      <c r="N36" s="358">
        <f t="shared" si="24"/>
        <v>4488149.7895153528</v>
      </c>
      <c r="O36" s="358">
        <f t="shared" si="24"/>
        <v>4535591.2983222064</v>
      </c>
      <c r="P36" s="358">
        <f t="shared" si="24"/>
        <v>4582711.9926956967</v>
      </c>
      <c r="Q36" s="358">
        <f t="shared" si="24"/>
        <v>4629467.3670088658</v>
      </c>
      <c r="R36" s="358">
        <f t="shared" si="24"/>
        <v>4675810.882842076</v>
      </c>
      <c r="S36" s="358">
        <f t="shared" si="24"/>
        <v>4721693.8940467406</v>
      </c>
      <c r="T36" s="358">
        <f t="shared" si="24"/>
        <v>4767065.5692819357</v>
      </c>
      <c r="U36" s="358">
        <f t="shared" si="24"/>
        <v>4811872.8119424628</v>
      </c>
      <c r="V36" s="358">
        <f t="shared" si="24"/>
        <v>4856060.177394446</v>
      </c>
      <c r="W36" s="358">
        <f t="shared" si="24"/>
        <v>4899569.7874318622</v>
      </c>
      <c r="X36" s="358">
        <f t="shared" si="24"/>
        <v>4942341.2418647101</v>
      </c>
      <c r="Y36" s="358">
        <f t="shared" si="24"/>
        <v>4984311.5271467445</v>
      </c>
      <c r="Z36" s="358">
        <f t="shared" si="24"/>
        <v>5025414.9219477605</v>
      </c>
      <c r="AA36" s="358">
        <f t="shared" si="24"/>
        <v>5065582.899572541</v>
      </c>
      <c r="AB36" s="358">
        <f t="shared" si="24"/>
        <v>5104744.0271253893</v>
      </c>
      <c r="AC36" s="358">
        <f t="shared" si="24"/>
        <v>5142823.8613161398</v>
      </c>
      <c r="AD36" s="358">
        <f t="shared" si="24"/>
        <v>5179744.8408001512</v>
      </c>
      <c r="AE36" s="358">
        <f t="shared" si="24"/>
        <v>5215426.1749415724</v>
      </c>
      <c r="AF36" s="358">
        <f t="shared" si="24"/>
        <v>5249783.7288855873</v>
      </c>
      <c r="AG36" s="358">
        <f t="shared" si="24"/>
        <v>5282729.9048218345</v>
      </c>
      <c r="AH36" s="358">
        <f t="shared" si="24"/>
        <v>5314173.5193175627</v>
      </c>
      <c r="AI36" s="358">
        <f t="shared" si="24"/>
        <v>5344019.6765951868</v>
      </c>
    </row>
    <row r="38" spans="2:35">
      <c r="B38" s="222" t="s">
        <v>414</v>
      </c>
      <c r="C38" s="451" t="s">
        <v>415</v>
      </c>
      <c r="D38" s="223"/>
      <c r="E38" s="223"/>
      <c r="F38" s="452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  <c r="AA38" s="223"/>
      <c r="AB38" s="223"/>
      <c r="AC38" s="223"/>
      <c r="AD38" s="223"/>
      <c r="AE38" s="223"/>
      <c r="AF38" s="223"/>
      <c r="AG38" s="223"/>
      <c r="AH38" s="223"/>
      <c r="AI38" s="224"/>
    </row>
    <row r="39" spans="2:35">
      <c r="B39" s="62" t="s">
        <v>210</v>
      </c>
      <c r="C39" s="450">
        <f>'Construction Interest'!C21</f>
        <v>0.05</v>
      </c>
      <c r="F39" s="442">
        <f>-Mortgage!$C$48*'Rental CF'!$C$39</f>
        <v>-2359300.5183320106</v>
      </c>
      <c r="G39" s="442">
        <f>-Mortgage!$C$48*'Rental CF'!$C$39</f>
        <v>-2359300.5183320106</v>
      </c>
      <c r="H39" s="442">
        <f>-Mortgage!$C$48*'Rental CF'!$C$39</f>
        <v>-2359300.5183320106</v>
      </c>
      <c r="I39" s="442">
        <f>-Mortgage!$C$48*'Rental CF'!$C$39</f>
        <v>-2359300.5183320106</v>
      </c>
      <c r="J39" s="442">
        <f>-Mortgage!$C$48*'Rental CF'!$C$39</f>
        <v>-2359300.5183320106</v>
      </c>
      <c r="K39" s="442">
        <f>-Mortgage!$C$48*'Rental CF'!$C$39</f>
        <v>-2359300.5183320106</v>
      </c>
      <c r="L39" s="442">
        <f>-Mortgage!$C$48*'Rental CF'!$C$39</f>
        <v>-2359300.5183320106</v>
      </c>
      <c r="M39" s="442">
        <f>-Mortgage!$C$48*'Rental CF'!$C$39</f>
        <v>-2359300.5183320106</v>
      </c>
      <c r="N39" s="442">
        <f>-Mortgage!$C$48*'Rental CF'!$C$39</f>
        <v>-2359300.5183320106</v>
      </c>
      <c r="O39" s="442">
        <f>-Mortgage!$C$48*'Rental CF'!$C$39</f>
        <v>-2359300.5183320106</v>
      </c>
      <c r="P39" s="442">
        <f>-Mortgage!$C$48*'Rental CF'!$C$39</f>
        <v>-2359300.5183320106</v>
      </c>
      <c r="Q39" s="442">
        <f>-Mortgage!$C$48*'Rental CF'!$C$39</f>
        <v>-2359300.5183320106</v>
      </c>
      <c r="R39" s="442">
        <f>-Mortgage!$C$48*'Rental CF'!$C$39</f>
        <v>-2359300.5183320106</v>
      </c>
      <c r="S39" s="442">
        <f>-Mortgage!$C$48*'Rental CF'!$C$39</f>
        <v>-2359300.5183320106</v>
      </c>
      <c r="T39" s="442">
        <f>-Mortgage!$C$48*'Rental CF'!$C$39</f>
        <v>-2359300.5183320106</v>
      </c>
      <c r="U39" s="442">
        <f>-Mortgage!$C$48*'Rental CF'!$C$39</f>
        <v>-2359300.5183320106</v>
      </c>
      <c r="V39" s="442">
        <f>-Mortgage!$C$48*'Rental CF'!$C$39</f>
        <v>-2359300.5183320106</v>
      </c>
      <c r="W39" s="442">
        <f>-Mortgage!$C$48*'Rental CF'!$C$39</f>
        <v>-2359300.5183320106</v>
      </c>
      <c r="X39" s="442">
        <f>-Mortgage!$C$48*'Rental CF'!$C$39</f>
        <v>-2359300.5183320106</v>
      </c>
      <c r="Y39" s="442">
        <f>-Mortgage!$C$48*'Rental CF'!$C$39</f>
        <v>-2359300.5183320106</v>
      </c>
      <c r="Z39" s="442">
        <f>-Mortgage!$C$48*'Rental CF'!$C$39</f>
        <v>-2359300.5183320106</v>
      </c>
      <c r="AA39" s="442">
        <f>-Mortgage!$C$48*'Rental CF'!$C$39</f>
        <v>-2359300.5183320106</v>
      </c>
      <c r="AB39" s="442">
        <f>-Mortgage!$C$48*'Rental CF'!$C$39</f>
        <v>-2359300.5183320106</v>
      </c>
      <c r="AC39" s="442">
        <f>-Mortgage!$C$48*'Rental CF'!$C$39</f>
        <v>-2359300.5183320106</v>
      </c>
      <c r="AD39" s="442">
        <f>-Mortgage!$C$48*'Rental CF'!$C$39</f>
        <v>-2359300.5183320106</v>
      </c>
      <c r="AE39" s="442">
        <f>-Mortgage!$C$48*'Rental CF'!$C$39</f>
        <v>-2359300.5183320106</v>
      </c>
      <c r="AF39" s="442">
        <f>-Mortgage!$C$48*'Rental CF'!$C$39</f>
        <v>-2359300.5183320106</v>
      </c>
      <c r="AG39" s="442">
        <f>-Mortgage!$C$48*'Rental CF'!$C$39</f>
        <v>-2359300.5183320106</v>
      </c>
      <c r="AH39" s="442">
        <f>-Mortgage!$C$48*'Rental CF'!$C$39</f>
        <v>-2359300.5183320106</v>
      </c>
      <c r="AI39" s="453">
        <f>-Mortgage!$C$48*'Rental CF'!$C$39</f>
        <v>-2359300.5183320106</v>
      </c>
    </row>
    <row r="40" spans="2:35">
      <c r="B40" s="62" t="s">
        <v>238</v>
      </c>
      <c r="C40" s="450">
        <f>Mortgage!C35</f>
        <v>5.0000000000000001E-3</v>
      </c>
      <c r="F40" s="442">
        <f>-Mortgage!$C$48*$C$40</f>
        <v>-235930.05183320105</v>
      </c>
      <c r="G40" s="442">
        <f>-Mortgage!$C$48*$C$40</f>
        <v>-235930.05183320105</v>
      </c>
      <c r="H40" s="442">
        <f>-Mortgage!$C$48*$C$40</f>
        <v>-235930.05183320105</v>
      </c>
      <c r="I40" s="442">
        <f>-Mortgage!$C$48*$C$40</f>
        <v>-235930.05183320105</v>
      </c>
      <c r="J40" s="442">
        <f>-Mortgage!$C$48*$C$40</f>
        <v>-235930.05183320105</v>
      </c>
      <c r="K40" s="442">
        <f>-Mortgage!$C$48*$C$40</f>
        <v>-235930.05183320105</v>
      </c>
      <c r="L40" s="442">
        <f>-Mortgage!$C$48*$C$40</f>
        <v>-235930.05183320105</v>
      </c>
      <c r="M40" s="442">
        <f>-Mortgage!$C$48*$C$40</f>
        <v>-235930.05183320105</v>
      </c>
      <c r="N40" s="442">
        <f>-Mortgage!$C$48*$C$40</f>
        <v>-235930.05183320105</v>
      </c>
      <c r="O40" s="442">
        <f>-Mortgage!$C$48*$C$40</f>
        <v>-235930.05183320105</v>
      </c>
      <c r="P40" s="442">
        <f>-Mortgage!$C$48*$C$40</f>
        <v>-235930.05183320105</v>
      </c>
      <c r="Q40" s="442">
        <f>-Mortgage!$C$48*$C$40</f>
        <v>-235930.05183320105</v>
      </c>
      <c r="R40" s="442">
        <f>-Mortgage!$C$48*$C$40</f>
        <v>-235930.05183320105</v>
      </c>
      <c r="S40" s="442">
        <f>-Mortgage!$C$48*$C$40</f>
        <v>-235930.05183320105</v>
      </c>
      <c r="T40" s="442">
        <f>-Mortgage!$C$48*$C$40</f>
        <v>-235930.05183320105</v>
      </c>
      <c r="U40" s="442">
        <f>-Mortgage!$C$48*$C$40</f>
        <v>-235930.05183320105</v>
      </c>
      <c r="V40" s="442">
        <f>-Mortgage!$C$48*$C$40</f>
        <v>-235930.05183320105</v>
      </c>
      <c r="W40" s="442">
        <f>-Mortgage!$C$48*$C$40</f>
        <v>-235930.05183320105</v>
      </c>
      <c r="X40" s="442">
        <f>-Mortgage!$C$48*$C$40</f>
        <v>-235930.05183320105</v>
      </c>
      <c r="Y40" s="442">
        <f>-Mortgage!$C$48*$C$40</f>
        <v>-235930.05183320105</v>
      </c>
      <c r="Z40" s="442">
        <f>-Mortgage!$C$48*$C$40</f>
        <v>-235930.05183320105</v>
      </c>
      <c r="AA40" s="442">
        <f>-Mortgage!$C$48*$C$40</f>
        <v>-235930.05183320105</v>
      </c>
      <c r="AB40" s="442">
        <f>-Mortgage!$C$48*$C$40</f>
        <v>-235930.05183320105</v>
      </c>
      <c r="AC40" s="442">
        <f>-Mortgage!$C$48*$C$40</f>
        <v>-235930.05183320105</v>
      </c>
      <c r="AD40" s="442">
        <f>-Mortgage!$C$48*$C$40</f>
        <v>-235930.05183320105</v>
      </c>
      <c r="AE40" s="442">
        <f>-Mortgage!$C$48*$C$40</f>
        <v>-235930.05183320105</v>
      </c>
      <c r="AF40" s="442">
        <f>-Mortgage!$C$48*$C$40</f>
        <v>-235930.05183320105</v>
      </c>
      <c r="AG40" s="442">
        <f>-Mortgage!$C$48*$C$40</f>
        <v>-235930.05183320105</v>
      </c>
      <c r="AH40" s="442">
        <f>-Mortgage!$C$48*$C$40</f>
        <v>-235930.05183320105</v>
      </c>
      <c r="AI40" s="453">
        <f>-Mortgage!$C$48*$C$40</f>
        <v>-235930.05183320105</v>
      </c>
    </row>
    <row r="41" spans="2:35">
      <c r="B41" s="62" t="s">
        <v>242</v>
      </c>
      <c r="C41" s="450">
        <f>Mortgage!C34</f>
        <v>2.5000000000000001E-3</v>
      </c>
      <c r="F41" s="442">
        <f>-Mortgage!$C$48*$C$41</f>
        <v>-117965.02591660053</v>
      </c>
      <c r="G41" s="442">
        <f>-Mortgage!$C$48*$C$41</f>
        <v>-117965.02591660053</v>
      </c>
      <c r="H41" s="442">
        <f>-Mortgage!$C$48*$C$41</f>
        <v>-117965.02591660053</v>
      </c>
      <c r="I41" s="442">
        <f>-Mortgage!$C$48*$C$41</f>
        <v>-117965.02591660053</v>
      </c>
      <c r="J41" s="442">
        <f>-Mortgage!$C$48*$C$41</f>
        <v>-117965.02591660053</v>
      </c>
      <c r="K41" s="442">
        <f>-Mortgage!$C$48*$C$41</f>
        <v>-117965.02591660053</v>
      </c>
      <c r="L41" s="442">
        <f>-Mortgage!$C$48*$C$41</f>
        <v>-117965.02591660053</v>
      </c>
      <c r="M41" s="442">
        <f>-Mortgage!$C$48*$C$41</f>
        <v>-117965.02591660053</v>
      </c>
      <c r="N41" s="442">
        <f>-Mortgage!$C$48*$C$41</f>
        <v>-117965.02591660053</v>
      </c>
      <c r="O41" s="442">
        <f>-Mortgage!$C$48*$C$41</f>
        <v>-117965.02591660053</v>
      </c>
      <c r="P41" s="442">
        <f>-Mortgage!$C$48*$C$41</f>
        <v>-117965.02591660053</v>
      </c>
      <c r="Q41" s="442">
        <f>-Mortgage!$C$48*$C$41</f>
        <v>-117965.02591660053</v>
      </c>
      <c r="R41" s="442">
        <f>-Mortgage!$C$48*$C$41</f>
        <v>-117965.02591660053</v>
      </c>
      <c r="S41" s="442">
        <f>-Mortgage!$C$48*$C$41</f>
        <v>-117965.02591660053</v>
      </c>
      <c r="T41" s="442">
        <f>-Mortgage!$C$48*$C$41</f>
        <v>-117965.02591660053</v>
      </c>
      <c r="U41" s="442">
        <f>-Mortgage!$C$48*$C$41</f>
        <v>-117965.02591660053</v>
      </c>
      <c r="V41" s="442">
        <f>-Mortgage!$C$48*$C$41</f>
        <v>-117965.02591660053</v>
      </c>
      <c r="W41" s="442">
        <f>-Mortgage!$C$48*$C$41</f>
        <v>-117965.02591660053</v>
      </c>
      <c r="X41" s="442">
        <f>-Mortgage!$C$48*$C$41</f>
        <v>-117965.02591660053</v>
      </c>
      <c r="Y41" s="442">
        <f>-Mortgage!$C$48*$C$41</f>
        <v>-117965.02591660053</v>
      </c>
      <c r="Z41" s="442">
        <f>-Mortgage!$C$48*$C$41</f>
        <v>-117965.02591660053</v>
      </c>
      <c r="AA41" s="442">
        <f>-Mortgage!$C$48*$C$41</f>
        <v>-117965.02591660053</v>
      </c>
      <c r="AB41" s="442">
        <f>-Mortgage!$C$48*$C$41</f>
        <v>-117965.02591660053</v>
      </c>
      <c r="AC41" s="442">
        <f>-Mortgage!$C$48*$C$41</f>
        <v>-117965.02591660053</v>
      </c>
      <c r="AD41" s="442">
        <f>-Mortgage!$C$48*$C$41</f>
        <v>-117965.02591660053</v>
      </c>
      <c r="AE41" s="442">
        <f>-Mortgage!$C$48*$C$41</f>
        <v>-117965.02591660053</v>
      </c>
      <c r="AF41" s="442">
        <f>-Mortgage!$C$48*$C$41</f>
        <v>-117965.02591660053</v>
      </c>
      <c r="AG41" s="442">
        <f>-Mortgage!$C$48*$C$41</f>
        <v>-117965.02591660053</v>
      </c>
      <c r="AH41" s="442">
        <f>-Mortgage!$C$48*$C$41</f>
        <v>-117965.02591660053</v>
      </c>
      <c r="AI41" s="453">
        <f>-Mortgage!$C$48*$C$41</f>
        <v>-117965.02591660053</v>
      </c>
    </row>
    <row r="42" spans="2:35">
      <c r="B42" s="454" t="s">
        <v>413</v>
      </c>
      <c r="C42" s="105"/>
      <c r="D42" s="105"/>
      <c r="E42" s="105"/>
      <c r="F42" s="447">
        <f t="shared" ref="F42:AI42" si="25">SUM(F39:F41)</f>
        <v>-2713195.5960818124</v>
      </c>
      <c r="G42" s="447">
        <f t="shared" si="25"/>
        <v>-2713195.5960818124</v>
      </c>
      <c r="H42" s="447">
        <f t="shared" si="25"/>
        <v>-2713195.5960818124</v>
      </c>
      <c r="I42" s="447">
        <f t="shared" si="25"/>
        <v>-2713195.5960818124</v>
      </c>
      <c r="J42" s="447">
        <f t="shared" si="25"/>
        <v>-2713195.5960818124</v>
      </c>
      <c r="K42" s="447">
        <f t="shared" si="25"/>
        <v>-2713195.5960818124</v>
      </c>
      <c r="L42" s="447">
        <f t="shared" si="25"/>
        <v>-2713195.5960818124</v>
      </c>
      <c r="M42" s="447">
        <f t="shared" si="25"/>
        <v>-2713195.5960818124</v>
      </c>
      <c r="N42" s="447">
        <f t="shared" si="25"/>
        <v>-2713195.5960818124</v>
      </c>
      <c r="O42" s="447">
        <f t="shared" si="25"/>
        <v>-2713195.5960818124</v>
      </c>
      <c r="P42" s="447">
        <f t="shared" si="25"/>
        <v>-2713195.5960818124</v>
      </c>
      <c r="Q42" s="447">
        <f t="shared" si="25"/>
        <v>-2713195.5960818124</v>
      </c>
      <c r="R42" s="447">
        <f t="shared" si="25"/>
        <v>-2713195.5960818124</v>
      </c>
      <c r="S42" s="447">
        <f t="shared" si="25"/>
        <v>-2713195.5960818124</v>
      </c>
      <c r="T42" s="447">
        <f t="shared" si="25"/>
        <v>-2713195.5960818124</v>
      </c>
      <c r="U42" s="447">
        <f t="shared" si="25"/>
        <v>-2713195.5960818124</v>
      </c>
      <c r="V42" s="447">
        <f t="shared" si="25"/>
        <v>-2713195.5960818124</v>
      </c>
      <c r="W42" s="447">
        <f t="shared" si="25"/>
        <v>-2713195.5960818124</v>
      </c>
      <c r="X42" s="447">
        <f t="shared" si="25"/>
        <v>-2713195.5960818124</v>
      </c>
      <c r="Y42" s="447">
        <f t="shared" si="25"/>
        <v>-2713195.5960818124</v>
      </c>
      <c r="Z42" s="447">
        <f t="shared" si="25"/>
        <v>-2713195.5960818124</v>
      </c>
      <c r="AA42" s="447">
        <f t="shared" si="25"/>
        <v>-2713195.5960818124</v>
      </c>
      <c r="AB42" s="447">
        <f t="shared" si="25"/>
        <v>-2713195.5960818124</v>
      </c>
      <c r="AC42" s="447">
        <f t="shared" si="25"/>
        <v>-2713195.5960818124</v>
      </c>
      <c r="AD42" s="447">
        <f t="shared" si="25"/>
        <v>-2713195.5960818124</v>
      </c>
      <c r="AE42" s="447">
        <f t="shared" si="25"/>
        <v>-2713195.5960818124</v>
      </c>
      <c r="AF42" s="447">
        <f t="shared" si="25"/>
        <v>-2713195.5960818124</v>
      </c>
      <c r="AG42" s="447">
        <f t="shared" si="25"/>
        <v>-2713195.5960818124</v>
      </c>
      <c r="AH42" s="447">
        <f t="shared" si="25"/>
        <v>-2713195.5960818124</v>
      </c>
      <c r="AI42" s="455">
        <f t="shared" si="25"/>
        <v>-2713195.5960818124</v>
      </c>
    </row>
    <row r="43" spans="2:35">
      <c r="B43" s="62"/>
      <c r="AI43" s="65"/>
    </row>
    <row r="44" spans="2:35">
      <c r="B44" s="62" t="str">
        <f>'Construction Interest'!B34</f>
        <v>Subsidy Loan (NCF)</v>
      </c>
      <c r="C44" s="450">
        <f>'Construction Interest'!C28</f>
        <v>5.0000000000000001E-3</v>
      </c>
      <c r="F44" s="442">
        <f>-Mortgage!$C$63*'Rental CF'!$C$44</f>
        <v>-262400</v>
      </c>
      <c r="G44" s="442">
        <f>-Mortgage!$C$63*'Rental CF'!$C$44</f>
        <v>-262400</v>
      </c>
      <c r="H44" s="442">
        <f>-Mortgage!$C$63*'Rental CF'!$C$44</f>
        <v>-262400</v>
      </c>
      <c r="I44" s="442">
        <f>-Mortgage!$C$63*'Rental CF'!$C$44</f>
        <v>-262400</v>
      </c>
      <c r="J44" s="442">
        <f>-Mortgage!$C$63*'Rental CF'!$C$44</f>
        <v>-262400</v>
      </c>
      <c r="K44" s="442">
        <f>-Mortgage!$C$63*'Rental CF'!$C$44</f>
        <v>-262400</v>
      </c>
      <c r="L44" s="442">
        <f>-Mortgage!$C$63*'Rental CF'!$C$44</f>
        <v>-262400</v>
      </c>
      <c r="M44" s="442">
        <f>-Mortgage!$C$63*'Rental CF'!$C$44</f>
        <v>-262400</v>
      </c>
      <c r="N44" s="442">
        <f>-Mortgage!$C$63*'Rental CF'!$C$44</f>
        <v>-262400</v>
      </c>
      <c r="O44" s="442">
        <f>-Mortgage!$C$63*'Rental CF'!$C$44</f>
        <v>-262400</v>
      </c>
      <c r="P44" s="442">
        <f>-Mortgage!$C$63*'Rental CF'!$C$44</f>
        <v>-262400</v>
      </c>
      <c r="Q44" s="442">
        <f>-Mortgage!$C$63*'Rental CF'!$C$44</f>
        <v>-262400</v>
      </c>
      <c r="R44" s="442">
        <f>-Mortgage!$C$63*'Rental CF'!$C$44</f>
        <v>-262400</v>
      </c>
      <c r="S44" s="442">
        <f>-Mortgage!$C$63*'Rental CF'!$C$44</f>
        <v>-262400</v>
      </c>
      <c r="T44" s="442">
        <f>-Mortgage!$C$63*'Rental CF'!$C$44</f>
        <v>-262400</v>
      </c>
      <c r="U44" s="442">
        <f>-Mortgage!$C$63*'Rental CF'!$C$44</f>
        <v>-262400</v>
      </c>
      <c r="V44" s="442">
        <f>-Mortgage!$C$63*'Rental CF'!$C$44</f>
        <v>-262400</v>
      </c>
      <c r="W44" s="442">
        <f>-Mortgage!$C$63*'Rental CF'!$C$44</f>
        <v>-262400</v>
      </c>
      <c r="X44" s="442">
        <f>-Mortgage!$C$63*'Rental CF'!$C$44</f>
        <v>-262400</v>
      </c>
      <c r="Y44" s="442">
        <f>-Mortgage!$C$63*'Rental CF'!$C$44</f>
        <v>-262400</v>
      </c>
      <c r="Z44" s="442">
        <f>-Mortgage!$C$63*'Rental CF'!$C$44</f>
        <v>-262400</v>
      </c>
      <c r="AA44" s="442">
        <f>-Mortgage!$C$63*'Rental CF'!$C$44</f>
        <v>-262400</v>
      </c>
      <c r="AB44" s="442">
        <f>-Mortgage!$C$63*'Rental CF'!$C$44</f>
        <v>-262400</v>
      </c>
      <c r="AC44" s="442">
        <f>-Mortgage!$C$63*'Rental CF'!$C$44</f>
        <v>-262400</v>
      </c>
      <c r="AD44" s="442">
        <f>-Mortgage!$C$63*'Rental CF'!$C$44</f>
        <v>-262400</v>
      </c>
      <c r="AE44" s="442">
        <f>-Mortgage!$C$63*'Rental CF'!$C$44</f>
        <v>-262400</v>
      </c>
      <c r="AF44" s="442">
        <f>-Mortgage!$C$63*'Rental CF'!$C$44</f>
        <v>-262400</v>
      </c>
      <c r="AG44" s="442">
        <f>-Mortgage!$C$63*'Rental CF'!$C$44</f>
        <v>-262400</v>
      </c>
      <c r="AH44" s="442">
        <f>-Mortgage!$C$63*'Rental CF'!$C$44</f>
        <v>-262400</v>
      </c>
      <c r="AI44" s="453">
        <f>-Mortgage!$C$63*'Rental CF'!$C$44</f>
        <v>-262400</v>
      </c>
    </row>
    <row r="45" spans="2:35">
      <c r="B45" s="62"/>
      <c r="AI45" s="65"/>
    </row>
    <row r="46" spans="2:35">
      <c r="B46" s="456" t="s">
        <v>417</v>
      </c>
      <c r="C46" s="105"/>
      <c r="D46" s="105"/>
      <c r="E46" s="105"/>
      <c r="F46" s="447">
        <f>F44+F42</f>
        <v>-2975595.5960818124</v>
      </c>
      <c r="G46" s="447">
        <f t="shared" ref="G46:AI46" si="26">G44+G42</f>
        <v>-2975595.5960818124</v>
      </c>
      <c r="H46" s="447">
        <f t="shared" si="26"/>
        <v>-2975595.5960818124</v>
      </c>
      <c r="I46" s="447">
        <f t="shared" si="26"/>
        <v>-2975595.5960818124</v>
      </c>
      <c r="J46" s="447">
        <f t="shared" si="26"/>
        <v>-2975595.5960818124</v>
      </c>
      <c r="K46" s="447">
        <f t="shared" si="26"/>
        <v>-2975595.5960818124</v>
      </c>
      <c r="L46" s="447">
        <f t="shared" si="26"/>
        <v>-2975595.5960818124</v>
      </c>
      <c r="M46" s="447">
        <f t="shared" si="26"/>
        <v>-2975595.5960818124</v>
      </c>
      <c r="N46" s="447">
        <f t="shared" si="26"/>
        <v>-2975595.5960818124</v>
      </c>
      <c r="O46" s="447">
        <f t="shared" si="26"/>
        <v>-2975595.5960818124</v>
      </c>
      <c r="P46" s="447">
        <f t="shared" si="26"/>
        <v>-2975595.5960818124</v>
      </c>
      <c r="Q46" s="447">
        <f t="shared" si="26"/>
        <v>-2975595.5960818124</v>
      </c>
      <c r="R46" s="447">
        <f t="shared" si="26"/>
        <v>-2975595.5960818124</v>
      </c>
      <c r="S46" s="447">
        <f t="shared" si="26"/>
        <v>-2975595.5960818124</v>
      </c>
      <c r="T46" s="447">
        <f t="shared" si="26"/>
        <v>-2975595.5960818124</v>
      </c>
      <c r="U46" s="447">
        <f t="shared" si="26"/>
        <v>-2975595.5960818124</v>
      </c>
      <c r="V46" s="447">
        <f t="shared" si="26"/>
        <v>-2975595.5960818124</v>
      </c>
      <c r="W46" s="447">
        <f t="shared" si="26"/>
        <v>-2975595.5960818124</v>
      </c>
      <c r="X46" s="447">
        <f t="shared" si="26"/>
        <v>-2975595.5960818124</v>
      </c>
      <c r="Y46" s="447">
        <f t="shared" si="26"/>
        <v>-2975595.5960818124</v>
      </c>
      <c r="Z46" s="447">
        <f t="shared" si="26"/>
        <v>-2975595.5960818124</v>
      </c>
      <c r="AA46" s="447">
        <f t="shared" si="26"/>
        <v>-2975595.5960818124</v>
      </c>
      <c r="AB46" s="447">
        <f t="shared" si="26"/>
        <v>-2975595.5960818124</v>
      </c>
      <c r="AC46" s="447">
        <f t="shared" si="26"/>
        <v>-2975595.5960818124</v>
      </c>
      <c r="AD46" s="447">
        <f t="shared" si="26"/>
        <v>-2975595.5960818124</v>
      </c>
      <c r="AE46" s="447">
        <f t="shared" si="26"/>
        <v>-2975595.5960818124</v>
      </c>
      <c r="AF46" s="447">
        <f t="shared" si="26"/>
        <v>-2975595.5960818124</v>
      </c>
      <c r="AG46" s="447">
        <f t="shared" si="26"/>
        <v>-2975595.5960818124</v>
      </c>
      <c r="AH46" s="447">
        <f t="shared" si="26"/>
        <v>-2975595.5960818124</v>
      </c>
      <c r="AI46" s="455">
        <f t="shared" si="26"/>
        <v>-2975595.5960818124</v>
      </c>
    </row>
    <row r="47" spans="2:35" ht="14.25" thickBot="1"/>
    <row r="48" spans="2:35" ht="14.25" thickBot="1">
      <c r="B48" s="458" t="s">
        <v>423</v>
      </c>
      <c r="C48" s="459"/>
      <c r="D48" s="459"/>
      <c r="E48" s="459"/>
      <c r="F48" s="460">
        <f t="shared" ref="F48:AI48" si="27">F36+F46</f>
        <v>1126197.9337474555</v>
      </c>
      <c r="G48" s="460">
        <f t="shared" si="27"/>
        <v>1174824.8317094073</v>
      </c>
      <c r="H48" s="460">
        <f t="shared" si="27"/>
        <v>1223421.9984515584</v>
      </c>
      <c r="I48" s="460">
        <f t="shared" si="27"/>
        <v>1271958.7712741415</v>
      </c>
      <c r="J48" s="460">
        <f t="shared" si="27"/>
        <v>1320402.9721811353</v>
      </c>
      <c r="K48" s="460">
        <f t="shared" si="27"/>
        <v>1368720.8505130648</v>
      </c>
      <c r="L48" s="460">
        <f t="shared" si="27"/>
        <v>1416877.0236206311</v>
      </c>
      <c r="M48" s="460">
        <f t="shared" si="27"/>
        <v>1464834.4155156217</v>
      </c>
      <c r="N48" s="460">
        <f t="shared" si="27"/>
        <v>1512554.1934335404</v>
      </c>
      <c r="O48" s="460">
        <f t="shared" si="27"/>
        <v>1559995.702240394</v>
      </c>
      <c r="P48" s="460">
        <f t="shared" si="27"/>
        <v>1607116.3966138843</v>
      </c>
      <c r="Q48" s="460">
        <f t="shared" si="27"/>
        <v>1653871.7709270534</v>
      </c>
      <c r="R48" s="460">
        <f t="shared" si="27"/>
        <v>1700215.2867602636</v>
      </c>
      <c r="S48" s="460">
        <f t="shared" si="27"/>
        <v>1746098.2979649282</v>
      </c>
      <c r="T48" s="460">
        <f t="shared" si="27"/>
        <v>1791469.9732001233</v>
      </c>
      <c r="U48" s="460">
        <f t="shared" si="27"/>
        <v>1836277.2158606504</v>
      </c>
      <c r="V48" s="460">
        <f t="shared" si="27"/>
        <v>1880464.5813126336</v>
      </c>
      <c r="W48" s="460">
        <f t="shared" si="27"/>
        <v>1923974.1913500498</v>
      </c>
      <c r="X48" s="460">
        <f t="shared" si="27"/>
        <v>1966745.6457828977</v>
      </c>
      <c r="Y48" s="460">
        <f t="shared" si="27"/>
        <v>2008715.9310649321</v>
      </c>
      <c r="Z48" s="460">
        <f t="shared" si="27"/>
        <v>2049819.3258659481</v>
      </c>
      <c r="AA48" s="460">
        <f t="shared" si="27"/>
        <v>2089987.3034907286</v>
      </c>
      <c r="AB48" s="460">
        <f t="shared" si="27"/>
        <v>2129148.4310435769</v>
      </c>
      <c r="AC48" s="460">
        <f t="shared" si="27"/>
        <v>2167228.2652343274</v>
      </c>
      <c r="AD48" s="460">
        <f t="shared" si="27"/>
        <v>2204149.2447183388</v>
      </c>
      <c r="AE48" s="460">
        <f t="shared" si="27"/>
        <v>2239830.57885976</v>
      </c>
      <c r="AF48" s="460">
        <f t="shared" si="27"/>
        <v>2274188.1328037749</v>
      </c>
      <c r="AG48" s="460">
        <f t="shared" si="27"/>
        <v>2307134.3087400221</v>
      </c>
      <c r="AH48" s="460">
        <f t="shared" si="27"/>
        <v>2338577.9232357503</v>
      </c>
      <c r="AI48" s="461">
        <f t="shared" si="27"/>
        <v>2368424.0805133744</v>
      </c>
    </row>
    <row r="49" spans="2:35" ht="14.25" thickBot="1"/>
    <row r="50" spans="2:35">
      <c r="B50" s="462" t="s">
        <v>418</v>
      </c>
      <c r="C50" s="463" t="s">
        <v>420</v>
      </c>
      <c r="D50" s="464"/>
      <c r="E50" s="464"/>
      <c r="F50" s="465">
        <f t="shared" ref="F50:AI50" si="28">-F29/(F35+F46)</f>
        <v>1.1782948162516469</v>
      </c>
      <c r="G50" s="465">
        <f t="shared" si="28"/>
        <v>1.1830880687416339</v>
      </c>
      <c r="H50" s="465">
        <f t="shared" si="28"/>
        <v>1.1876427489719432</v>
      </c>
      <c r="I50" s="465">
        <f t="shared" si="28"/>
        <v>1.1919565664837857</v>
      </c>
      <c r="J50" s="465">
        <f t="shared" si="28"/>
        <v>1.1960274966241755</v>
      </c>
      <c r="K50" s="465">
        <f t="shared" si="28"/>
        <v>1.1998537827358298</v>
      </c>
      <c r="L50" s="465">
        <f t="shared" si="28"/>
        <v>1.2034339376250374</v>
      </c>
      <c r="M50" s="465">
        <f t="shared" si="28"/>
        <v>1.2067667443086141</v>
      </c>
      <c r="N50" s="465">
        <f t="shared" si="28"/>
        <v>1.2098512560445625</v>
      </c>
      <c r="O50" s="465">
        <f t="shared" si="28"/>
        <v>1.2126867956545235</v>
      </c>
      <c r="P50" s="465">
        <f t="shared" si="28"/>
        <v>1.215272954149418</v>
      </c>
      <c r="Q50" s="465">
        <f t="shared" si="28"/>
        <v>1.2176095886729092</v>
      </c>
      <c r="R50" s="465">
        <f t="shared" si="28"/>
        <v>1.2196968197803872</v>
      </c>
      <c r="S50" s="465">
        <f t="shared" si="28"/>
        <v>1.2215350280740538</v>
      </c>
      <c r="T50" s="465">
        <f t="shared" si="28"/>
        <v>1.2231248502174181</v>
      </c>
      <c r="U50" s="465">
        <f t="shared" si="28"/>
        <v>1.2244671743550082</v>
      </c>
      <c r="V50" s="465">
        <f t="shared" si="28"/>
        <v>1.2255631349653873</v>
      </c>
      <c r="W50" s="465">
        <f t="shared" si="28"/>
        <v>1.22641410717763</v>
      </c>
      <c r="X50" s="465">
        <f t="shared" si="28"/>
        <v>1.2270217005832276</v>
      </c>
      <c r="Y50" s="465">
        <f t="shared" si="28"/>
        <v>1.227387752576959</v>
      </c>
      <c r="Z50" s="465">
        <f t="shared" si="28"/>
        <v>1.2275143212615944</v>
      </c>
      <c r="AA50" s="465">
        <f t="shared" si="28"/>
        <v>1.2274036779523689</v>
      </c>
      <c r="AB50" s="465">
        <f t="shared" si="28"/>
        <v>1.2270582993179759</v>
      </c>
      <c r="AC50" s="465">
        <f t="shared" si="28"/>
        <v>1.2264808591954164</v>
      </c>
      <c r="AD50" s="465">
        <f t="shared" si="28"/>
        <v>1.2256742201163535</v>
      </c>
      <c r="AE50" s="465">
        <f t="shared" si="28"/>
        <v>1.2246414245827382</v>
      </c>
      <c r="AF50" s="465">
        <f t="shared" si="28"/>
        <v>1.2233856861293182</v>
      </c>
      <c r="AG50" s="465">
        <f t="shared" si="28"/>
        <v>1.2219103802103084</v>
      </c>
      <c r="AH50" s="465">
        <f t="shared" si="28"/>
        <v>1.2202190349469519</v>
      </c>
      <c r="AI50" s="466">
        <f t="shared" si="28"/>
        <v>1.2183153217719409</v>
      </c>
    </row>
    <row r="51" spans="2:35">
      <c r="B51" s="467" t="s">
        <v>421</v>
      </c>
      <c r="C51" s="450" t="s">
        <v>422</v>
      </c>
      <c r="F51" s="449">
        <f>-F36/F46</f>
        <v>1.3784781558456412</v>
      </c>
      <c r="G51" s="449">
        <f t="shared" ref="G51:AI51" si="29">-G36/G46</f>
        <v>1.3948200599760217</v>
      </c>
      <c r="H51" s="449">
        <f t="shared" si="29"/>
        <v>1.4111519724194137</v>
      </c>
      <c r="I51" s="449">
        <f t="shared" si="29"/>
        <v>1.4274635884489895</v>
      </c>
      <c r="J51" s="449">
        <f t="shared" si="29"/>
        <v>1.4437440940965929</v>
      </c>
      <c r="K51" s="449">
        <f t="shared" si="29"/>
        <v>1.459982146873507</v>
      </c>
      <c r="L51" s="449">
        <f t="shared" si="29"/>
        <v>1.4761658558328081</v>
      </c>
      <c r="M51" s="449">
        <f t="shared" si="29"/>
        <v>1.4922827609519511</v>
      </c>
      <c r="N51" s="449">
        <f t="shared" si="29"/>
        <v>1.5083198118135519</v>
      </c>
      <c r="O51" s="449">
        <f t="shared" si="29"/>
        <v>1.5242633455616603</v>
      </c>
      <c r="P51" s="449">
        <f t="shared" si="29"/>
        <v>1.5400990641100873</v>
      </c>
      <c r="Q51" s="449">
        <f t="shared" si="29"/>
        <v>1.5558120105785977</v>
      </c>
      <c r="R51" s="449">
        <f t="shared" si="29"/>
        <v>1.5713865449320679</v>
      </c>
      <c r="S51" s="449">
        <f t="shared" si="29"/>
        <v>1.586806318796864</v>
      </c>
      <c r="T51" s="449">
        <f t="shared" si="29"/>
        <v>1.6020542494279413</v>
      </c>
      <c r="U51" s="449">
        <f t="shared" si="29"/>
        <v>1.6171124927992946</v>
      </c>
      <c r="V51" s="449">
        <f t="shared" si="29"/>
        <v>1.6319624157895585</v>
      </c>
      <c r="W51" s="449">
        <f t="shared" si="29"/>
        <v>1.6465845674336559</v>
      </c>
      <c r="X51" s="449">
        <f t="shared" si="29"/>
        <v>1.6609586492104833</v>
      </c>
      <c r="Y51" s="449">
        <f t="shared" si="29"/>
        <v>1.6750634843356931</v>
      </c>
      <c r="Z51" s="449">
        <f t="shared" si="29"/>
        <v>1.6888769860276367</v>
      </c>
      <c r="AA51" s="449">
        <f t="shared" si="29"/>
        <v>1.7023761247135767</v>
      </c>
      <c r="AB51" s="449">
        <f t="shared" si="29"/>
        <v>1.7155368941421962</v>
      </c>
      <c r="AC51" s="449">
        <f t="shared" si="29"/>
        <v>1.7283342763674197</v>
      </c>
      <c r="AD51" s="449">
        <f t="shared" si="29"/>
        <v>1.7407422055674184</v>
      </c>
      <c r="AE51" s="449">
        <f t="shared" si="29"/>
        <v>1.7527335306615963</v>
      </c>
      <c r="AF51" s="449">
        <f t="shared" si="29"/>
        <v>1.7642799766871438</v>
      </c>
      <c r="AG51" s="449">
        <f t="shared" si="29"/>
        <v>1.7753521048955703</v>
      </c>
      <c r="AH51" s="449">
        <f t="shared" si="29"/>
        <v>1.7859192715284058</v>
      </c>
      <c r="AI51" s="468">
        <f t="shared" si="29"/>
        <v>1.7959495852299467</v>
      </c>
    </row>
    <row r="52" spans="2:35" ht="14.25" thickBot="1">
      <c r="B52" s="469" t="s">
        <v>419</v>
      </c>
      <c r="C52" s="301"/>
      <c r="D52" s="301"/>
      <c r="E52" s="301"/>
      <c r="F52" s="470">
        <f t="shared" ref="F52:AI52" si="30">-F36/F42</f>
        <v>1.5117942605217116</v>
      </c>
      <c r="G52" s="470">
        <f t="shared" si="30"/>
        <v>1.5297166314824249</v>
      </c>
      <c r="H52" s="470">
        <f t="shared" si="30"/>
        <v>1.5476280444348605</v>
      </c>
      <c r="I52" s="470">
        <f t="shared" si="30"/>
        <v>1.5655171980560281</v>
      </c>
      <c r="J52" s="470">
        <f t="shared" si="30"/>
        <v>1.5833722325315938</v>
      </c>
      <c r="K52" s="470">
        <f t="shared" si="30"/>
        <v>1.6011807084121039</v>
      </c>
      <c r="L52" s="470">
        <f t="shared" si="30"/>
        <v>1.6189295847471201</v>
      </c>
      <c r="M52" s="470">
        <f t="shared" si="30"/>
        <v>1.6366051964738408</v>
      </c>
      <c r="N52" s="470">
        <f t="shared" si="30"/>
        <v>1.6541932310360492</v>
      </c>
      <c r="O52" s="470">
        <f t="shared" si="30"/>
        <v>1.6716787042084829</v>
      </c>
      <c r="P52" s="470">
        <f t="shared" si="30"/>
        <v>1.6890459351009177</v>
      </c>
      <c r="Q52" s="470">
        <f t="shared" si="30"/>
        <v>1.7062785203154485</v>
      </c>
      <c r="R52" s="470">
        <f t="shared" si="30"/>
        <v>1.7233593072296449</v>
      </c>
      <c r="S52" s="470">
        <f t="shared" si="30"/>
        <v>1.740270366377362</v>
      </c>
      <c r="T52" s="470">
        <f t="shared" si="30"/>
        <v>1.7569929628981278</v>
      </c>
      <c r="U52" s="470">
        <f t="shared" si="30"/>
        <v>1.7735075270251057</v>
      </c>
      <c r="V52" s="470">
        <f t="shared" si="30"/>
        <v>1.7897936235806933</v>
      </c>
      <c r="W52" s="470">
        <f t="shared" si="30"/>
        <v>1.8058299204478447</v>
      </c>
      <c r="X52" s="470">
        <f t="shared" si="30"/>
        <v>1.8215941559842046</v>
      </c>
      <c r="Y52" s="470">
        <f t="shared" si="30"/>
        <v>1.837063105345115</v>
      </c>
      <c r="Z52" s="470">
        <f t="shared" si="30"/>
        <v>1.8522125456804799</v>
      </c>
      <c r="AA52" s="470">
        <f t="shared" si="30"/>
        <v>1.8670172201694064</v>
      </c>
      <c r="AB52" s="470">
        <f t="shared" si="30"/>
        <v>1.8814508008553701</v>
      </c>
      <c r="AC52" s="470">
        <f t="shared" si="30"/>
        <v>1.8954858502435317</v>
      </c>
      <c r="AD52" s="470">
        <f t="shared" si="30"/>
        <v>1.9090937816205875</v>
      </c>
      <c r="AE52" s="470">
        <f t="shared" si="30"/>
        <v>1.9222448180563496</v>
      </c>
      <c r="AF52" s="470">
        <f t="shared" si="30"/>
        <v>1.9349079500449284</v>
      </c>
      <c r="AG52" s="470">
        <f t="shared" si="30"/>
        <v>1.9470508917421012</v>
      </c>
      <c r="AH52" s="470">
        <f t="shared" si="30"/>
        <v>1.9586400357541056</v>
      </c>
      <c r="AI52" s="471">
        <f t="shared" si="30"/>
        <v>1.9696404064316659</v>
      </c>
    </row>
    <row r="54" spans="2:35">
      <c r="B54" s="752" t="s">
        <v>516</v>
      </c>
      <c r="C54" s="753">
        <v>7.0000000000000007E-2</v>
      </c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  <c r="AC54" s="223"/>
      <c r="AD54" s="223"/>
      <c r="AE54" s="223"/>
      <c r="AF54" s="223"/>
      <c r="AG54" s="223"/>
      <c r="AH54" s="223"/>
      <c r="AI54" s="224"/>
    </row>
    <row r="55" spans="2:35">
      <c r="B55" s="227" t="s">
        <v>517</v>
      </c>
      <c r="C55" s="67"/>
      <c r="D55" s="67"/>
      <c r="E55" s="67"/>
      <c r="F55" s="754">
        <f>F36/$C$54</f>
        <v>58597050.426132396</v>
      </c>
      <c r="G55" s="754">
        <f t="shared" ref="G55:AI55" si="31">G36/$C$54</f>
        <v>59291720.397017419</v>
      </c>
      <c r="H55" s="754">
        <f t="shared" si="31"/>
        <v>59985965.636191003</v>
      </c>
      <c r="I55" s="754">
        <f t="shared" si="31"/>
        <v>60679348.105085053</v>
      </c>
      <c r="J55" s="754">
        <f t="shared" si="31"/>
        <v>61371408.118042104</v>
      </c>
      <c r="K55" s="754">
        <f t="shared" si="31"/>
        <v>62061663.52278395</v>
      </c>
      <c r="L55" s="754">
        <f t="shared" si="31"/>
        <v>62749608.852892041</v>
      </c>
      <c r="M55" s="754">
        <f t="shared" si="31"/>
        <v>63434714.451391906</v>
      </c>
      <c r="N55" s="754">
        <f t="shared" si="31"/>
        <v>64116425.564505033</v>
      </c>
      <c r="O55" s="754">
        <f t="shared" si="31"/>
        <v>64794161.404602945</v>
      </c>
      <c r="P55" s="754">
        <f t="shared" si="31"/>
        <v>65467314.181367092</v>
      </c>
      <c r="Q55" s="754">
        <f t="shared" si="31"/>
        <v>66135248.100126646</v>
      </c>
      <c r="R55" s="754">
        <f t="shared" si="31"/>
        <v>66797298.326315366</v>
      </c>
      <c r="S55" s="754">
        <f t="shared" si="31"/>
        <v>67452769.914953426</v>
      </c>
      <c r="T55" s="754">
        <f t="shared" si="31"/>
        <v>68100936.704027653</v>
      </c>
      <c r="U55" s="754">
        <f t="shared" si="31"/>
        <v>68741040.170606598</v>
      </c>
      <c r="V55" s="754">
        <f t="shared" si="31"/>
        <v>69372288.248492077</v>
      </c>
      <c r="W55" s="754">
        <f t="shared" si="31"/>
        <v>69993854.106169447</v>
      </c>
      <c r="X55" s="754">
        <f t="shared" si="31"/>
        <v>70604874.883781567</v>
      </c>
      <c r="Y55" s="754">
        <f t="shared" si="31"/>
        <v>71204450.387810633</v>
      </c>
      <c r="Z55" s="754">
        <f t="shared" si="31"/>
        <v>71791641.742110863</v>
      </c>
      <c r="AA55" s="754">
        <f t="shared" si="31"/>
        <v>72365469.99389343</v>
      </c>
      <c r="AB55" s="754">
        <f t="shared" si="31"/>
        <v>72924914.673219845</v>
      </c>
      <c r="AC55" s="754">
        <f t="shared" si="31"/>
        <v>73468912.304516271</v>
      </c>
      <c r="AD55" s="754">
        <f t="shared" si="31"/>
        <v>73996354.868573576</v>
      </c>
      <c r="AE55" s="754">
        <f t="shared" si="31"/>
        <v>74506088.213451028</v>
      </c>
      <c r="AF55" s="754">
        <f t="shared" si="31"/>
        <v>74996910.412651241</v>
      </c>
      <c r="AG55" s="754">
        <f t="shared" si="31"/>
        <v>75467570.068883345</v>
      </c>
      <c r="AH55" s="754">
        <f t="shared" si="31"/>
        <v>75916764.561679453</v>
      </c>
      <c r="AI55" s="755">
        <f t="shared" si="31"/>
        <v>76343138.237074092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9B57-066A-41AB-A041-9FEBE364B3E6}">
  <sheetPr>
    <tabColor theme="5"/>
  </sheetPr>
  <dimension ref="A2:XFC436"/>
  <sheetViews>
    <sheetView showGridLines="0" zoomScaleNormal="100" workbookViewId="0"/>
  </sheetViews>
  <sheetFormatPr defaultColWidth="9.140625" defaultRowHeight="13.5"/>
  <cols>
    <col min="1" max="1" width="2.85546875" style="7" customWidth="1"/>
    <col min="2" max="2" width="27.85546875" style="7" customWidth="1"/>
    <col min="3" max="3" width="24.42578125" style="7" customWidth="1"/>
    <col min="4" max="4" width="10.7109375" style="7" bestFit="1" customWidth="1"/>
    <col min="5" max="5" width="11.28515625" style="7" bestFit="1" customWidth="1"/>
    <col min="6" max="6" width="9.140625" style="7" customWidth="1"/>
    <col min="7" max="7" width="14.5703125" style="7" customWidth="1"/>
    <col min="8" max="8" width="12.7109375" style="7" bestFit="1" customWidth="1"/>
    <col min="9" max="397" width="12.5703125" style="7" customWidth="1"/>
    <col min="398" max="16384" width="9.140625" style="7"/>
  </cols>
  <sheetData>
    <row r="2" spans="2:9" ht="15">
      <c r="B2" s="439" t="s">
        <v>445</v>
      </c>
    </row>
    <row r="3" spans="2:9">
      <c r="B3" s="7" t="s">
        <v>446</v>
      </c>
    </row>
    <row r="5" spans="2:9">
      <c r="B5" s="549" t="s">
        <v>447</v>
      </c>
      <c r="C5" s="549"/>
      <c r="F5" s="549" t="s">
        <v>466</v>
      </c>
      <c r="G5" s="549"/>
      <c r="H5" s="549"/>
    </row>
    <row r="6" spans="2:9">
      <c r="B6" s="550" t="s">
        <v>448</v>
      </c>
      <c r="C6" s="550" t="str">
        <f>Mortgage!C28</f>
        <v>SONYMA-MIF</v>
      </c>
      <c r="F6" s="550" t="s">
        <v>467</v>
      </c>
      <c r="G6" s="550"/>
      <c r="H6" s="556">
        <f>Mortgage!D56</f>
        <v>229505159.31372231</v>
      </c>
    </row>
    <row r="7" spans="2:9">
      <c r="B7" s="550" t="s">
        <v>449</v>
      </c>
      <c r="C7" s="550" t="s">
        <v>450</v>
      </c>
      <c r="F7" s="550" t="s">
        <v>429</v>
      </c>
      <c r="G7" s="550"/>
      <c r="H7" s="556">
        <f>-SUM(Budget!J62:OO62)</f>
        <v>279782338.24671686</v>
      </c>
    </row>
    <row r="8" spans="2:9">
      <c r="B8" s="550" t="s">
        <v>219</v>
      </c>
      <c r="C8" s="556">
        <f>Mortgage!C48</f>
        <v>47186010.36664021</v>
      </c>
      <c r="F8" s="550" t="s">
        <v>468</v>
      </c>
      <c r="G8" s="550"/>
      <c r="H8" s="561">
        <f>H6/H7</f>
        <v>0.82029895365067951</v>
      </c>
      <c r="I8" s="296" t="s">
        <v>469</v>
      </c>
    </row>
    <row r="9" spans="2:9">
      <c r="B9" s="550" t="s">
        <v>451</v>
      </c>
      <c r="C9" s="551">
        <f>Assumptions!C10</f>
        <v>46418</v>
      </c>
      <c r="F9" s="177"/>
    </row>
    <row r="10" spans="2:9">
      <c r="B10" s="550" t="s">
        <v>452</v>
      </c>
      <c r="C10" s="558">
        <v>30</v>
      </c>
    </row>
    <row r="11" spans="2:9">
      <c r="B11" s="550" t="s">
        <v>453</v>
      </c>
      <c r="C11" s="558">
        <f>C10</f>
        <v>30</v>
      </c>
    </row>
    <row r="12" spans="2:9">
      <c r="B12" s="550"/>
      <c r="C12" s="550"/>
    </row>
    <row r="13" spans="2:9">
      <c r="B13" s="552" t="s">
        <v>454</v>
      </c>
      <c r="C13" s="550"/>
    </row>
    <row r="14" spans="2:9">
      <c r="B14" s="554" t="s">
        <v>455</v>
      </c>
      <c r="C14" s="555">
        <f>Mortgage!C33</f>
        <v>0.05</v>
      </c>
    </row>
    <row r="15" spans="2:9">
      <c r="B15" s="554" t="s">
        <v>238</v>
      </c>
      <c r="C15" s="555">
        <f>Mortgage!C35</f>
        <v>5.0000000000000001E-3</v>
      </c>
    </row>
    <row r="16" spans="2:9">
      <c r="B16" s="554" t="s">
        <v>242</v>
      </c>
      <c r="C16" s="555">
        <f>Mortgage!C34</f>
        <v>2.5000000000000001E-3</v>
      </c>
    </row>
    <row r="17" spans="1:16383">
      <c r="B17" s="550" t="s">
        <v>456</v>
      </c>
      <c r="C17" s="553">
        <f>Mortgage!C36</f>
        <v>5.7500000000000002E-2</v>
      </c>
    </row>
    <row r="21" spans="1:16383" s="562" customFormat="1">
      <c r="A21" s="7"/>
      <c r="B21" s="559"/>
      <c r="C21" s="559"/>
      <c r="D21" s="559"/>
      <c r="E21" s="559"/>
      <c r="F21" s="566" t="s">
        <v>457</v>
      </c>
      <c r="G21" s="565">
        <v>0</v>
      </c>
      <c r="H21" s="565">
        <v>1</v>
      </c>
      <c r="I21" s="565">
        <v>2</v>
      </c>
      <c r="J21" s="565">
        <v>3</v>
      </c>
      <c r="K21" s="565">
        <v>4</v>
      </c>
      <c r="L21" s="565">
        <v>5</v>
      </c>
      <c r="M21" s="565">
        <v>6</v>
      </c>
      <c r="N21" s="565">
        <v>7</v>
      </c>
      <c r="O21" s="565">
        <v>8</v>
      </c>
      <c r="P21" s="565">
        <v>9</v>
      </c>
      <c r="Q21" s="565">
        <v>10</v>
      </c>
      <c r="R21" s="565">
        <v>11</v>
      </c>
      <c r="S21" s="565">
        <v>12</v>
      </c>
      <c r="T21" s="565">
        <v>13</v>
      </c>
      <c r="U21" s="565">
        <v>14</v>
      </c>
      <c r="V21" s="565">
        <v>15</v>
      </c>
      <c r="W21" s="565">
        <v>16</v>
      </c>
      <c r="X21" s="565">
        <v>17</v>
      </c>
      <c r="Y21" s="565">
        <v>18</v>
      </c>
      <c r="Z21" s="565">
        <v>19</v>
      </c>
      <c r="AA21" s="565">
        <v>20</v>
      </c>
      <c r="AB21" s="565">
        <v>21</v>
      </c>
      <c r="AC21" s="565">
        <v>22</v>
      </c>
      <c r="AD21" s="565">
        <v>23</v>
      </c>
      <c r="AE21" s="565">
        <v>24</v>
      </c>
      <c r="AF21" s="565">
        <v>25</v>
      </c>
      <c r="AG21" s="565">
        <v>26</v>
      </c>
      <c r="AH21" s="565">
        <v>27</v>
      </c>
      <c r="AI21" s="565">
        <v>28</v>
      </c>
      <c r="AJ21" s="565">
        <v>29</v>
      </c>
      <c r="AK21" s="565">
        <v>30</v>
      </c>
      <c r="AL21" s="565">
        <v>31</v>
      </c>
      <c r="AM21" s="565">
        <v>32</v>
      </c>
      <c r="AN21" s="565">
        <v>33</v>
      </c>
      <c r="AO21" s="565">
        <v>34</v>
      </c>
      <c r="AP21" s="565">
        <v>35</v>
      </c>
      <c r="AQ21" s="565">
        <v>36</v>
      </c>
      <c r="AR21" s="565">
        <v>37</v>
      </c>
      <c r="AS21" s="565">
        <v>38</v>
      </c>
      <c r="AT21" s="565">
        <v>39</v>
      </c>
      <c r="AU21" s="565">
        <v>40</v>
      </c>
      <c r="AV21" s="565">
        <v>41</v>
      </c>
      <c r="AW21" s="565">
        <v>42</v>
      </c>
      <c r="AX21" s="565">
        <v>43</v>
      </c>
      <c r="AY21" s="565">
        <v>44</v>
      </c>
      <c r="AZ21" s="565">
        <v>45</v>
      </c>
      <c r="BA21" s="565">
        <v>46</v>
      </c>
      <c r="BB21" s="565">
        <v>47</v>
      </c>
      <c r="BC21" s="565">
        <v>48</v>
      </c>
      <c r="BD21" s="565">
        <v>49</v>
      </c>
      <c r="BE21" s="565">
        <v>50</v>
      </c>
      <c r="BF21" s="565">
        <v>51</v>
      </c>
      <c r="BG21" s="565">
        <v>52</v>
      </c>
      <c r="BH21" s="565">
        <v>53</v>
      </c>
      <c r="BI21" s="565">
        <v>54</v>
      </c>
      <c r="BJ21" s="565">
        <v>55</v>
      </c>
      <c r="BK21" s="565">
        <v>56</v>
      </c>
      <c r="BL21" s="565">
        <v>57</v>
      </c>
      <c r="BM21" s="565">
        <v>58</v>
      </c>
      <c r="BN21" s="565">
        <v>59</v>
      </c>
      <c r="BO21" s="565">
        <v>60</v>
      </c>
      <c r="BP21" s="565">
        <v>61</v>
      </c>
      <c r="BQ21" s="565">
        <v>62</v>
      </c>
      <c r="BR21" s="565">
        <v>63</v>
      </c>
      <c r="BS21" s="565">
        <v>64</v>
      </c>
      <c r="BT21" s="565">
        <v>65</v>
      </c>
      <c r="BU21" s="565">
        <v>66</v>
      </c>
      <c r="BV21" s="565">
        <v>67</v>
      </c>
      <c r="BW21" s="565">
        <v>68</v>
      </c>
      <c r="BX21" s="565">
        <v>69</v>
      </c>
      <c r="BY21" s="565">
        <v>70</v>
      </c>
      <c r="BZ21" s="565">
        <v>71</v>
      </c>
      <c r="CA21" s="565">
        <v>72</v>
      </c>
      <c r="CB21" s="565">
        <v>73</v>
      </c>
      <c r="CC21" s="565">
        <v>74</v>
      </c>
      <c r="CD21" s="565">
        <v>75</v>
      </c>
      <c r="CE21" s="565">
        <v>76</v>
      </c>
      <c r="CF21" s="565">
        <v>77</v>
      </c>
      <c r="CG21" s="565">
        <v>78</v>
      </c>
      <c r="CH21" s="565">
        <v>79</v>
      </c>
      <c r="CI21" s="565">
        <v>80</v>
      </c>
      <c r="CJ21" s="565">
        <v>81</v>
      </c>
      <c r="CK21" s="565">
        <v>82</v>
      </c>
      <c r="CL21" s="565">
        <v>83</v>
      </c>
      <c r="CM21" s="565">
        <v>84</v>
      </c>
      <c r="CN21" s="565">
        <v>85</v>
      </c>
      <c r="CO21" s="565">
        <v>86</v>
      </c>
      <c r="CP21" s="565">
        <v>87</v>
      </c>
      <c r="CQ21" s="565">
        <v>88</v>
      </c>
      <c r="CR21" s="565">
        <v>89</v>
      </c>
      <c r="CS21" s="565">
        <v>90</v>
      </c>
      <c r="CT21" s="565">
        <v>91</v>
      </c>
      <c r="CU21" s="565">
        <v>92</v>
      </c>
      <c r="CV21" s="565">
        <v>93</v>
      </c>
      <c r="CW21" s="565">
        <v>94</v>
      </c>
      <c r="CX21" s="565">
        <v>95</v>
      </c>
      <c r="CY21" s="565">
        <v>96</v>
      </c>
      <c r="CZ21" s="565">
        <v>97</v>
      </c>
      <c r="DA21" s="565">
        <v>98</v>
      </c>
      <c r="DB21" s="565">
        <v>99</v>
      </c>
      <c r="DC21" s="565">
        <v>100</v>
      </c>
      <c r="DD21" s="565">
        <v>101</v>
      </c>
      <c r="DE21" s="565">
        <v>102</v>
      </c>
      <c r="DF21" s="565">
        <v>103</v>
      </c>
      <c r="DG21" s="565">
        <v>104</v>
      </c>
      <c r="DH21" s="565">
        <v>105</v>
      </c>
      <c r="DI21" s="565">
        <v>106</v>
      </c>
      <c r="DJ21" s="565">
        <v>107</v>
      </c>
      <c r="DK21" s="565">
        <v>108</v>
      </c>
      <c r="DL21" s="565">
        <v>109</v>
      </c>
      <c r="DM21" s="565">
        <v>110</v>
      </c>
      <c r="DN21" s="565">
        <v>111</v>
      </c>
      <c r="DO21" s="565">
        <v>112</v>
      </c>
      <c r="DP21" s="565">
        <v>113</v>
      </c>
      <c r="DQ21" s="565">
        <v>114</v>
      </c>
      <c r="DR21" s="565">
        <v>115</v>
      </c>
      <c r="DS21" s="565">
        <v>116</v>
      </c>
      <c r="DT21" s="565">
        <v>117</v>
      </c>
      <c r="DU21" s="565">
        <v>118</v>
      </c>
      <c r="DV21" s="565">
        <v>119</v>
      </c>
      <c r="DW21" s="565">
        <v>120</v>
      </c>
      <c r="DX21" s="565">
        <v>121</v>
      </c>
      <c r="DY21" s="565">
        <v>122</v>
      </c>
      <c r="DZ21" s="565">
        <v>123</v>
      </c>
      <c r="EA21" s="565">
        <v>124</v>
      </c>
      <c r="EB21" s="565">
        <v>125</v>
      </c>
      <c r="EC21" s="565">
        <v>126</v>
      </c>
      <c r="ED21" s="565">
        <v>127</v>
      </c>
      <c r="EE21" s="565">
        <v>128</v>
      </c>
      <c r="EF21" s="565">
        <v>129</v>
      </c>
      <c r="EG21" s="565">
        <v>130</v>
      </c>
      <c r="EH21" s="565">
        <v>131</v>
      </c>
      <c r="EI21" s="565">
        <v>132</v>
      </c>
      <c r="EJ21" s="565">
        <v>133</v>
      </c>
      <c r="EK21" s="565">
        <v>134</v>
      </c>
      <c r="EL21" s="565">
        <v>135</v>
      </c>
      <c r="EM21" s="565">
        <v>136</v>
      </c>
      <c r="EN21" s="565">
        <v>137</v>
      </c>
      <c r="EO21" s="565">
        <v>138</v>
      </c>
      <c r="EP21" s="565">
        <v>139</v>
      </c>
      <c r="EQ21" s="565">
        <v>140</v>
      </c>
      <c r="ER21" s="565">
        <v>141</v>
      </c>
      <c r="ES21" s="565">
        <v>142</v>
      </c>
      <c r="ET21" s="565">
        <v>143</v>
      </c>
      <c r="EU21" s="565">
        <v>144</v>
      </c>
      <c r="EV21" s="565">
        <v>145</v>
      </c>
      <c r="EW21" s="565">
        <v>146</v>
      </c>
      <c r="EX21" s="565">
        <v>147</v>
      </c>
      <c r="EY21" s="565">
        <v>148</v>
      </c>
      <c r="EZ21" s="565">
        <v>149</v>
      </c>
      <c r="FA21" s="565">
        <v>150</v>
      </c>
      <c r="FB21" s="565">
        <v>151</v>
      </c>
      <c r="FC21" s="565">
        <v>152</v>
      </c>
      <c r="FD21" s="565">
        <v>153</v>
      </c>
      <c r="FE21" s="565">
        <v>154</v>
      </c>
      <c r="FF21" s="565">
        <v>155</v>
      </c>
      <c r="FG21" s="565">
        <v>156</v>
      </c>
      <c r="FH21" s="565">
        <v>157</v>
      </c>
      <c r="FI21" s="565">
        <v>158</v>
      </c>
      <c r="FJ21" s="565">
        <v>159</v>
      </c>
      <c r="FK21" s="565">
        <v>160</v>
      </c>
      <c r="FL21" s="565">
        <v>161</v>
      </c>
      <c r="FM21" s="565">
        <v>162</v>
      </c>
      <c r="FN21" s="565">
        <v>163</v>
      </c>
      <c r="FO21" s="565">
        <v>164</v>
      </c>
      <c r="FP21" s="565">
        <v>165</v>
      </c>
      <c r="FQ21" s="565">
        <v>166</v>
      </c>
      <c r="FR21" s="565">
        <v>167</v>
      </c>
      <c r="FS21" s="565">
        <v>168</v>
      </c>
      <c r="FT21" s="565">
        <v>169</v>
      </c>
      <c r="FU21" s="565">
        <v>170</v>
      </c>
      <c r="FV21" s="565">
        <v>171</v>
      </c>
      <c r="FW21" s="565">
        <v>172</v>
      </c>
      <c r="FX21" s="565">
        <v>173</v>
      </c>
      <c r="FY21" s="565">
        <v>174</v>
      </c>
      <c r="FZ21" s="565">
        <v>175</v>
      </c>
      <c r="GA21" s="565">
        <v>176</v>
      </c>
      <c r="GB21" s="565">
        <v>177</v>
      </c>
      <c r="GC21" s="565">
        <v>178</v>
      </c>
      <c r="GD21" s="565">
        <v>179</v>
      </c>
      <c r="GE21" s="565">
        <v>180</v>
      </c>
      <c r="GF21" s="565">
        <v>181</v>
      </c>
      <c r="GG21" s="565">
        <v>182</v>
      </c>
      <c r="GH21" s="565">
        <v>183</v>
      </c>
      <c r="GI21" s="565">
        <v>184</v>
      </c>
      <c r="GJ21" s="565">
        <v>185</v>
      </c>
      <c r="GK21" s="565">
        <v>186</v>
      </c>
      <c r="GL21" s="565">
        <v>187</v>
      </c>
      <c r="GM21" s="565">
        <v>188</v>
      </c>
      <c r="GN21" s="565">
        <v>189</v>
      </c>
      <c r="GO21" s="565">
        <v>190</v>
      </c>
      <c r="GP21" s="565">
        <v>191</v>
      </c>
      <c r="GQ21" s="565">
        <v>192</v>
      </c>
      <c r="GR21" s="565">
        <v>193</v>
      </c>
      <c r="GS21" s="565">
        <v>194</v>
      </c>
      <c r="GT21" s="565">
        <v>195</v>
      </c>
      <c r="GU21" s="565">
        <v>196</v>
      </c>
      <c r="GV21" s="565">
        <v>197</v>
      </c>
      <c r="GW21" s="565">
        <v>198</v>
      </c>
      <c r="GX21" s="565">
        <v>199</v>
      </c>
      <c r="GY21" s="565">
        <v>200</v>
      </c>
      <c r="GZ21" s="565">
        <v>201</v>
      </c>
      <c r="HA21" s="565">
        <v>202</v>
      </c>
      <c r="HB21" s="565">
        <v>203</v>
      </c>
      <c r="HC21" s="565">
        <v>204</v>
      </c>
      <c r="HD21" s="565">
        <v>205</v>
      </c>
      <c r="HE21" s="565">
        <v>206</v>
      </c>
      <c r="HF21" s="565">
        <v>207</v>
      </c>
      <c r="HG21" s="565">
        <v>208</v>
      </c>
      <c r="HH21" s="565">
        <v>209</v>
      </c>
      <c r="HI21" s="565">
        <v>210</v>
      </c>
      <c r="HJ21" s="565">
        <v>211</v>
      </c>
      <c r="HK21" s="565">
        <v>212</v>
      </c>
      <c r="HL21" s="565">
        <v>213</v>
      </c>
      <c r="HM21" s="565">
        <v>214</v>
      </c>
      <c r="HN21" s="565">
        <v>215</v>
      </c>
      <c r="HO21" s="565">
        <v>216</v>
      </c>
      <c r="HP21" s="565">
        <v>217</v>
      </c>
      <c r="HQ21" s="565">
        <v>218</v>
      </c>
      <c r="HR21" s="565">
        <v>219</v>
      </c>
      <c r="HS21" s="565">
        <v>220</v>
      </c>
      <c r="HT21" s="565">
        <v>221</v>
      </c>
      <c r="HU21" s="565">
        <v>222</v>
      </c>
      <c r="HV21" s="565">
        <v>223</v>
      </c>
      <c r="HW21" s="565">
        <v>224</v>
      </c>
      <c r="HX21" s="565">
        <v>225</v>
      </c>
      <c r="HY21" s="565">
        <v>226</v>
      </c>
      <c r="HZ21" s="565">
        <v>227</v>
      </c>
      <c r="IA21" s="565">
        <v>228</v>
      </c>
      <c r="IB21" s="565">
        <v>229</v>
      </c>
      <c r="IC21" s="565">
        <v>230</v>
      </c>
      <c r="ID21" s="565">
        <v>231</v>
      </c>
      <c r="IE21" s="565">
        <v>232</v>
      </c>
      <c r="IF21" s="565">
        <v>233</v>
      </c>
      <c r="IG21" s="565">
        <v>234</v>
      </c>
      <c r="IH21" s="565">
        <v>235</v>
      </c>
      <c r="II21" s="565">
        <v>236</v>
      </c>
      <c r="IJ21" s="565">
        <v>237</v>
      </c>
      <c r="IK21" s="565">
        <v>238</v>
      </c>
      <c r="IL21" s="565">
        <v>239</v>
      </c>
      <c r="IM21" s="565">
        <v>240</v>
      </c>
      <c r="IN21" s="565">
        <v>241</v>
      </c>
      <c r="IO21" s="565">
        <v>242</v>
      </c>
      <c r="IP21" s="565">
        <v>243</v>
      </c>
      <c r="IQ21" s="565">
        <v>244</v>
      </c>
      <c r="IR21" s="565">
        <v>245</v>
      </c>
      <c r="IS21" s="565">
        <v>246</v>
      </c>
      <c r="IT21" s="565">
        <v>247</v>
      </c>
      <c r="IU21" s="565">
        <v>248</v>
      </c>
      <c r="IV21" s="565">
        <v>249</v>
      </c>
      <c r="IW21" s="565">
        <v>250</v>
      </c>
      <c r="IX21" s="565">
        <v>251</v>
      </c>
      <c r="IY21" s="565">
        <v>252</v>
      </c>
      <c r="IZ21" s="565">
        <v>253</v>
      </c>
      <c r="JA21" s="565">
        <v>254</v>
      </c>
      <c r="JB21" s="565">
        <v>255</v>
      </c>
      <c r="JC21" s="565">
        <v>256</v>
      </c>
      <c r="JD21" s="565">
        <v>257</v>
      </c>
      <c r="JE21" s="565">
        <v>258</v>
      </c>
      <c r="JF21" s="565">
        <v>259</v>
      </c>
      <c r="JG21" s="565">
        <v>260</v>
      </c>
      <c r="JH21" s="565">
        <v>261</v>
      </c>
      <c r="JI21" s="565">
        <v>262</v>
      </c>
      <c r="JJ21" s="565">
        <v>263</v>
      </c>
      <c r="JK21" s="565">
        <v>264</v>
      </c>
      <c r="JL21" s="565">
        <v>265</v>
      </c>
      <c r="JM21" s="565">
        <v>266</v>
      </c>
      <c r="JN21" s="565">
        <v>267</v>
      </c>
      <c r="JO21" s="565">
        <v>268</v>
      </c>
      <c r="JP21" s="565">
        <v>269</v>
      </c>
      <c r="JQ21" s="565">
        <v>270</v>
      </c>
      <c r="JR21" s="565">
        <v>271</v>
      </c>
      <c r="JS21" s="565">
        <v>272</v>
      </c>
      <c r="JT21" s="565">
        <v>273</v>
      </c>
      <c r="JU21" s="565">
        <v>274</v>
      </c>
      <c r="JV21" s="565">
        <v>275</v>
      </c>
      <c r="JW21" s="565">
        <v>276</v>
      </c>
      <c r="JX21" s="565">
        <v>277</v>
      </c>
      <c r="JY21" s="565">
        <v>278</v>
      </c>
      <c r="JZ21" s="565">
        <v>279</v>
      </c>
      <c r="KA21" s="565">
        <v>280</v>
      </c>
      <c r="KB21" s="565">
        <v>281</v>
      </c>
      <c r="KC21" s="565">
        <v>282</v>
      </c>
      <c r="KD21" s="565">
        <v>283</v>
      </c>
      <c r="KE21" s="565">
        <v>284</v>
      </c>
      <c r="KF21" s="565">
        <v>285</v>
      </c>
      <c r="KG21" s="565">
        <v>286</v>
      </c>
      <c r="KH21" s="565">
        <v>287</v>
      </c>
      <c r="KI21" s="565">
        <v>288</v>
      </c>
      <c r="KJ21" s="565">
        <v>289</v>
      </c>
      <c r="KK21" s="565">
        <v>290</v>
      </c>
      <c r="KL21" s="565">
        <v>291</v>
      </c>
      <c r="KM21" s="565">
        <v>292</v>
      </c>
      <c r="KN21" s="565">
        <v>293</v>
      </c>
      <c r="KO21" s="565">
        <v>294</v>
      </c>
      <c r="KP21" s="565">
        <v>295</v>
      </c>
      <c r="KQ21" s="565">
        <v>296</v>
      </c>
      <c r="KR21" s="565">
        <v>297</v>
      </c>
      <c r="KS21" s="565">
        <v>298</v>
      </c>
      <c r="KT21" s="565">
        <v>299</v>
      </c>
      <c r="KU21" s="565">
        <v>300</v>
      </c>
      <c r="KV21" s="565">
        <v>301</v>
      </c>
      <c r="KW21" s="565">
        <v>302</v>
      </c>
      <c r="KX21" s="565">
        <v>303</v>
      </c>
      <c r="KY21" s="565">
        <v>304</v>
      </c>
      <c r="KZ21" s="565">
        <v>305</v>
      </c>
      <c r="LA21" s="565">
        <v>306</v>
      </c>
      <c r="LB21" s="565">
        <v>307</v>
      </c>
      <c r="LC21" s="565">
        <v>308</v>
      </c>
      <c r="LD21" s="565">
        <v>309</v>
      </c>
      <c r="LE21" s="565">
        <v>310</v>
      </c>
      <c r="LF21" s="565">
        <v>311</v>
      </c>
      <c r="LG21" s="565">
        <v>312</v>
      </c>
      <c r="LH21" s="565">
        <v>313</v>
      </c>
      <c r="LI21" s="565">
        <v>314</v>
      </c>
      <c r="LJ21" s="565">
        <v>315</v>
      </c>
      <c r="LK21" s="565">
        <v>316</v>
      </c>
      <c r="LL21" s="565">
        <v>317</v>
      </c>
      <c r="LM21" s="565">
        <v>318</v>
      </c>
      <c r="LN21" s="565">
        <v>319</v>
      </c>
      <c r="LO21" s="565">
        <v>320</v>
      </c>
      <c r="LP21" s="565">
        <v>321</v>
      </c>
      <c r="LQ21" s="565">
        <v>322</v>
      </c>
      <c r="LR21" s="565">
        <v>323</v>
      </c>
      <c r="LS21" s="565">
        <v>324</v>
      </c>
      <c r="LT21" s="565">
        <v>325</v>
      </c>
      <c r="LU21" s="565">
        <v>326</v>
      </c>
      <c r="LV21" s="565">
        <v>327</v>
      </c>
      <c r="LW21" s="565">
        <v>328</v>
      </c>
      <c r="LX21" s="565">
        <v>329</v>
      </c>
      <c r="LY21" s="565">
        <v>330</v>
      </c>
      <c r="LZ21" s="565">
        <v>331</v>
      </c>
      <c r="MA21" s="565">
        <v>332</v>
      </c>
      <c r="MB21" s="565">
        <v>333</v>
      </c>
      <c r="MC21" s="565">
        <v>334</v>
      </c>
      <c r="MD21" s="565">
        <v>335</v>
      </c>
      <c r="ME21" s="565">
        <v>336</v>
      </c>
      <c r="MF21" s="565">
        <v>337</v>
      </c>
      <c r="MG21" s="565">
        <v>338</v>
      </c>
      <c r="MH21" s="565">
        <v>339</v>
      </c>
      <c r="MI21" s="565">
        <v>340</v>
      </c>
      <c r="MJ21" s="565">
        <v>341</v>
      </c>
      <c r="MK21" s="565">
        <v>342</v>
      </c>
      <c r="ML21" s="565">
        <v>343</v>
      </c>
      <c r="MM21" s="565">
        <v>344</v>
      </c>
      <c r="MN21" s="565">
        <v>345</v>
      </c>
      <c r="MO21" s="565">
        <v>346</v>
      </c>
      <c r="MP21" s="565">
        <v>347</v>
      </c>
      <c r="MQ21" s="565">
        <v>348</v>
      </c>
      <c r="MR21" s="565">
        <v>349</v>
      </c>
      <c r="MS21" s="565">
        <v>350</v>
      </c>
      <c r="MT21" s="565">
        <v>351</v>
      </c>
      <c r="MU21" s="565">
        <v>352</v>
      </c>
      <c r="MV21" s="565">
        <v>353</v>
      </c>
      <c r="MW21" s="565">
        <v>354</v>
      </c>
      <c r="MX21" s="565">
        <v>355</v>
      </c>
      <c r="MY21" s="565">
        <v>356</v>
      </c>
      <c r="MZ21" s="565">
        <v>357</v>
      </c>
      <c r="NA21" s="565">
        <v>358</v>
      </c>
      <c r="NB21" s="565">
        <v>359</v>
      </c>
      <c r="NC21" s="565">
        <v>360</v>
      </c>
      <c r="ND21" s="565">
        <v>361</v>
      </c>
      <c r="NE21" s="565">
        <v>362</v>
      </c>
      <c r="NF21" s="565">
        <v>363</v>
      </c>
      <c r="NG21" s="565">
        <v>364</v>
      </c>
      <c r="NH21" s="565">
        <v>365</v>
      </c>
      <c r="NI21" s="565">
        <v>366</v>
      </c>
      <c r="NJ21" s="565">
        <v>367</v>
      </c>
      <c r="NK21" s="565">
        <v>368</v>
      </c>
      <c r="NL21" s="565">
        <v>369</v>
      </c>
      <c r="NM21" s="565">
        <v>370</v>
      </c>
      <c r="NN21" s="565">
        <v>371</v>
      </c>
      <c r="NO21" s="565">
        <v>372</v>
      </c>
      <c r="NP21" s="565">
        <v>373</v>
      </c>
      <c r="NQ21" s="565">
        <v>374</v>
      </c>
      <c r="NR21" s="565">
        <v>375</v>
      </c>
      <c r="NS21" s="565">
        <v>376</v>
      </c>
      <c r="NT21" s="565">
        <v>377</v>
      </c>
      <c r="NU21" s="565">
        <v>378</v>
      </c>
      <c r="NV21" s="565">
        <v>379</v>
      </c>
      <c r="NW21" s="565">
        <v>380</v>
      </c>
      <c r="NX21" s="565">
        <v>381</v>
      </c>
      <c r="NY21" s="565">
        <v>382</v>
      </c>
      <c r="NZ21" s="565">
        <v>383</v>
      </c>
      <c r="OA21" s="565">
        <v>384</v>
      </c>
      <c r="OB21" s="565">
        <v>385</v>
      </c>
      <c r="OC21" s="565">
        <v>386</v>
      </c>
      <c r="OD21" s="565">
        <v>387</v>
      </c>
      <c r="OE21" s="565">
        <v>388</v>
      </c>
      <c r="OF21" s="565">
        <v>389</v>
      </c>
      <c r="OG21" s="565">
        <v>390</v>
      </c>
      <c r="OH21" s="559"/>
      <c r="OI21" s="559"/>
      <c r="OJ21" s="559"/>
      <c r="OK21" s="559"/>
      <c r="OL21" s="559"/>
      <c r="OM21" s="559"/>
      <c r="ON21" s="559"/>
      <c r="OO21" s="559"/>
      <c r="OP21" s="559"/>
      <c r="OQ21" s="559"/>
      <c r="OR21" s="559"/>
      <c r="OS21" s="559"/>
      <c r="OT21" s="559"/>
      <c r="OU21" s="559"/>
      <c r="OV21" s="559"/>
      <c r="OW21" s="559"/>
      <c r="OX21" s="559"/>
      <c r="OY21" s="559"/>
      <c r="OZ21" s="559"/>
      <c r="PA21" s="559"/>
      <c r="PB21" s="559"/>
      <c r="PC21" s="559"/>
      <c r="PD21" s="559"/>
      <c r="PE21" s="559"/>
      <c r="PF21" s="559"/>
      <c r="PG21" s="559"/>
      <c r="PH21" s="559"/>
      <c r="PI21" s="559"/>
      <c r="PJ21" s="559"/>
      <c r="PK21" s="559"/>
      <c r="PL21" s="559"/>
      <c r="PM21" s="559"/>
      <c r="PN21" s="559"/>
      <c r="PO21" s="559"/>
      <c r="PP21" s="559"/>
      <c r="PQ21" s="559"/>
      <c r="PR21" s="559"/>
      <c r="PS21" s="559"/>
      <c r="PT21" s="559"/>
      <c r="PU21" s="559"/>
      <c r="PV21" s="559"/>
      <c r="PW21" s="559"/>
      <c r="PX21" s="559"/>
      <c r="PY21" s="559"/>
      <c r="PZ21" s="559"/>
      <c r="QA21" s="559"/>
      <c r="QB21" s="559"/>
      <c r="QC21" s="559"/>
      <c r="QD21" s="559"/>
      <c r="QE21" s="559"/>
      <c r="QF21" s="559"/>
      <c r="QG21" s="559"/>
      <c r="QH21" s="559"/>
      <c r="QI21" s="559"/>
      <c r="QJ21" s="559"/>
      <c r="QK21" s="559"/>
      <c r="QL21" s="559"/>
      <c r="QM21" s="559"/>
      <c r="QN21" s="559"/>
      <c r="QO21" s="559"/>
      <c r="QP21" s="559"/>
      <c r="QQ21" s="559"/>
      <c r="QR21" s="559"/>
      <c r="QS21" s="559"/>
      <c r="QT21" s="559"/>
      <c r="QU21" s="559"/>
      <c r="QV21" s="559"/>
      <c r="QW21" s="559"/>
      <c r="QX21" s="559"/>
      <c r="QY21" s="559"/>
      <c r="QZ21" s="559"/>
      <c r="RA21" s="559"/>
      <c r="RB21" s="559"/>
      <c r="RC21" s="559"/>
      <c r="RD21" s="559"/>
      <c r="RE21" s="559"/>
      <c r="RF21" s="559"/>
      <c r="RG21" s="559"/>
      <c r="RH21" s="559"/>
      <c r="RI21" s="559"/>
      <c r="RJ21" s="559"/>
      <c r="RK21" s="559"/>
      <c r="RL21" s="559"/>
      <c r="RM21" s="559"/>
      <c r="RN21" s="559"/>
      <c r="RO21" s="559"/>
      <c r="RP21" s="559"/>
      <c r="RQ21" s="559"/>
      <c r="RR21" s="559"/>
      <c r="RS21" s="559"/>
      <c r="RT21" s="559"/>
      <c r="RU21" s="559"/>
      <c r="RV21" s="559"/>
      <c r="RW21" s="559"/>
      <c r="RX21" s="559"/>
      <c r="RY21" s="559"/>
      <c r="RZ21" s="559"/>
      <c r="SA21" s="559"/>
      <c r="SB21" s="559"/>
      <c r="SC21" s="559"/>
      <c r="SD21" s="559"/>
      <c r="SE21" s="559"/>
      <c r="SF21" s="559"/>
      <c r="SG21" s="559"/>
      <c r="SH21" s="559"/>
      <c r="SI21" s="559"/>
      <c r="SJ21" s="559"/>
      <c r="SK21" s="559"/>
      <c r="SL21" s="559"/>
      <c r="SM21" s="559"/>
      <c r="SN21" s="559"/>
      <c r="SO21" s="559"/>
      <c r="SP21" s="559"/>
      <c r="SQ21" s="559"/>
      <c r="SR21" s="559"/>
      <c r="SS21" s="559"/>
      <c r="ST21" s="559"/>
      <c r="SU21" s="559"/>
      <c r="SV21" s="559"/>
      <c r="SW21" s="559"/>
      <c r="SX21" s="559"/>
      <c r="SY21" s="559"/>
      <c r="SZ21" s="559"/>
      <c r="TA21" s="559"/>
      <c r="TB21" s="559"/>
      <c r="TC21" s="559"/>
      <c r="TD21" s="559"/>
      <c r="TE21" s="559"/>
      <c r="TF21" s="559"/>
      <c r="TG21" s="559"/>
      <c r="TH21" s="559"/>
      <c r="TI21" s="559"/>
      <c r="TJ21" s="559"/>
      <c r="TK21" s="559"/>
      <c r="TL21" s="559"/>
      <c r="TM21" s="559"/>
      <c r="TN21" s="559"/>
      <c r="TO21" s="559"/>
      <c r="TP21" s="559"/>
      <c r="TQ21" s="559"/>
      <c r="TR21" s="559"/>
      <c r="TS21" s="559"/>
      <c r="TT21" s="559"/>
      <c r="TU21" s="559"/>
      <c r="TV21" s="559"/>
      <c r="TW21" s="559"/>
      <c r="TX21" s="559"/>
      <c r="TY21" s="559"/>
      <c r="TZ21" s="559"/>
      <c r="UA21" s="559"/>
      <c r="UB21" s="559"/>
      <c r="UC21" s="559"/>
      <c r="UD21" s="559"/>
      <c r="UE21" s="559"/>
      <c r="UF21" s="559"/>
      <c r="UG21" s="559"/>
      <c r="UH21" s="559"/>
      <c r="UI21" s="559"/>
      <c r="UJ21" s="559"/>
      <c r="UK21" s="559"/>
      <c r="UL21" s="559"/>
      <c r="UM21" s="559"/>
      <c r="UN21" s="559"/>
      <c r="UO21" s="559"/>
      <c r="UP21" s="559"/>
      <c r="UQ21" s="559"/>
      <c r="UR21" s="559"/>
      <c r="US21" s="559"/>
      <c r="UT21" s="559"/>
      <c r="UU21" s="559"/>
      <c r="UV21" s="559"/>
      <c r="UW21" s="559"/>
      <c r="UX21" s="559"/>
      <c r="UY21" s="559"/>
      <c r="UZ21" s="559"/>
      <c r="VA21" s="559"/>
      <c r="VB21" s="559"/>
      <c r="VC21" s="559"/>
      <c r="VD21" s="559"/>
      <c r="VE21" s="559"/>
      <c r="VF21" s="559"/>
      <c r="VG21" s="559"/>
      <c r="VH21" s="559"/>
      <c r="VI21" s="559"/>
      <c r="VJ21" s="559"/>
      <c r="VK21" s="559"/>
      <c r="VL21" s="559"/>
      <c r="VM21" s="559"/>
      <c r="VN21" s="559"/>
      <c r="VO21" s="559"/>
      <c r="VP21" s="559"/>
      <c r="VQ21" s="559"/>
      <c r="VR21" s="559"/>
      <c r="VS21" s="559"/>
      <c r="VT21" s="559"/>
      <c r="VU21" s="559"/>
      <c r="VV21" s="559"/>
      <c r="VW21" s="559"/>
      <c r="VX21" s="559"/>
      <c r="VY21" s="559"/>
      <c r="VZ21" s="559"/>
      <c r="WA21" s="559"/>
      <c r="WB21" s="559"/>
      <c r="WC21" s="559"/>
      <c r="WD21" s="559"/>
      <c r="WE21" s="559"/>
      <c r="WF21" s="559"/>
      <c r="WG21" s="559"/>
      <c r="WH21" s="559"/>
      <c r="WI21" s="559"/>
      <c r="WJ21" s="559"/>
      <c r="WK21" s="559"/>
      <c r="WL21" s="559"/>
      <c r="WM21" s="559"/>
      <c r="WN21" s="559"/>
      <c r="WO21" s="559"/>
      <c r="WP21" s="559"/>
      <c r="WQ21" s="559"/>
      <c r="WR21" s="559"/>
      <c r="WS21" s="559"/>
      <c r="WT21" s="559"/>
      <c r="WU21" s="559"/>
      <c r="WV21" s="559"/>
      <c r="WW21" s="559"/>
      <c r="WX21" s="559"/>
      <c r="WY21" s="559"/>
      <c r="WZ21" s="559"/>
      <c r="XA21" s="559"/>
      <c r="XB21" s="559"/>
      <c r="XC21" s="559"/>
      <c r="XD21" s="559"/>
      <c r="XE21" s="559"/>
      <c r="XF21" s="559"/>
      <c r="XG21" s="559"/>
      <c r="XH21" s="559"/>
      <c r="XI21" s="559"/>
      <c r="XJ21" s="559"/>
      <c r="XK21" s="559"/>
      <c r="XL21" s="559"/>
      <c r="XM21" s="559"/>
      <c r="XN21" s="559"/>
      <c r="XO21" s="559"/>
      <c r="XP21" s="559"/>
      <c r="XQ21" s="559"/>
      <c r="XR21" s="559"/>
      <c r="XS21" s="559"/>
      <c r="XT21" s="559"/>
      <c r="XU21" s="559"/>
      <c r="XV21" s="559"/>
      <c r="XW21" s="559"/>
      <c r="XX21" s="559"/>
      <c r="XY21" s="559"/>
      <c r="XZ21" s="559"/>
      <c r="YA21" s="559"/>
      <c r="YB21" s="559"/>
      <c r="YC21" s="559"/>
      <c r="YD21" s="559"/>
      <c r="YE21" s="559"/>
      <c r="YF21" s="559"/>
      <c r="YG21" s="559"/>
      <c r="YH21" s="559"/>
      <c r="YI21" s="559"/>
      <c r="YJ21" s="559"/>
      <c r="YK21" s="559"/>
      <c r="YL21" s="559"/>
      <c r="YM21" s="559"/>
      <c r="YN21" s="559"/>
      <c r="YO21" s="559"/>
      <c r="YP21" s="559"/>
      <c r="YQ21" s="559"/>
      <c r="YR21" s="559"/>
      <c r="YS21" s="559"/>
      <c r="YT21" s="559"/>
      <c r="YU21" s="559"/>
      <c r="YV21" s="559"/>
      <c r="YW21" s="559"/>
      <c r="YX21" s="559"/>
      <c r="YY21" s="559"/>
      <c r="YZ21" s="559"/>
      <c r="ZA21" s="559"/>
      <c r="ZB21" s="559"/>
      <c r="ZC21" s="559"/>
      <c r="ZD21" s="559"/>
      <c r="ZE21" s="559"/>
      <c r="ZF21" s="559"/>
      <c r="ZG21" s="559"/>
      <c r="ZH21" s="559"/>
      <c r="ZI21" s="559"/>
      <c r="ZJ21" s="559"/>
      <c r="ZK21" s="559"/>
      <c r="ZL21" s="559"/>
      <c r="ZM21" s="559"/>
      <c r="ZN21" s="559"/>
      <c r="ZO21" s="559"/>
      <c r="ZP21" s="559"/>
      <c r="ZQ21" s="559"/>
      <c r="ZR21" s="559"/>
      <c r="ZS21" s="559"/>
      <c r="ZT21" s="559"/>
      <c r="ZU21" s="559"/>
      <c r="ZV21" s="559"/>
      <c r="ZW21" s="559"/>
      <c r="ZX21" s="559"/>
      <c r="ZY21" s="559"/>
      <c r="ZZ21" s="559"/>
      <c r="AAA21" s="559"/>
      <c r="AAB21" s="559"/>
      <c r="AAC21" s="559"/>
      <c r="AAD21" s="559"/>
      <c r="AAE21" s="559"/>
      <c r="AAF21" s="559"/>
      <c r="AAG21" s="559"/>
      <c r="AAH21" s="559"/>
      <c r="AAI21" s="559"/>
      <c r="AAJ21" s="559"/>
      <c r="AAK21" s="559"/>
      <c r="AAL21" s="559"/>
      <c r="AAM21" s="559"/>
      <c r="AAN21" s="559"/>
      <c r="AAO21" s="559"/>
      <c r="AAP21" s="559"/>
      <c r="AAQ21" s="559"/>
      <c r="AAR21" s="559"/>
      <c r="AAS21" s="559"/>
      <c r="AAT21" s="559"/>
      <c r="AAU21" s="559"/>
      <c r="AAV21" s="559"/>
      <c r="AAW21" s="559"/>
      <c r="AAX21" s="559"/>
      <c r="AAY21" s="559"/>
      <c r="AAZ21" s="559"/>
      <c r="ABA21" s="559"/>
      <c r="ABB21" s="559"/>
      <c r="ABC21" s="559"/>
      <c r="ABD21" s="559"/>
      <c r="ABE21" s="559"/>
      <c r="ABF21" s="559"/>
      <c r="ABG21" s="559"/>
      <c r="ABH21" s="559"/>
      <c r="ABI21" s="559"/>
      <c r="ABJ21" s="559"/>
      <c r="ABK21" s="559"/>
      <c r="ABL21" s="559"/>
      <c r="ABM21" s="559"/>
      <c r="ABN21" s="559"/>
      <c r="ABO21" s="559"/>
      <c r="ABP21" s="559"/>
      <c r="ABQ21" s="559"/>
      <c r="ABR21" s="559"/>
      <c r="ABS21" s="559"/>
      <c r="ABT21" s="559"/>
      <c r="ABU21" s="559"/>
      <c r="ABV21" s="559"/>
      <c r="ABW21" s="559"/>
      <c r="ABX21" s="559"/>
      <c r="ABY21" s="559"/>
      <c r="ABZ21" s="559"/>
      <c r="ACA21" s="559"/>
      <c r="ACB21" s="559"/>
      <c r="ACC21" s="559"/>
      <c r="ACD21" s="559"/>
      <c r="ACE21" s="559"/>
      <c r="ACF21" s="559"/>
      <c r="ACG21" s="559"/>
      <c r="ACH21" s="559"/>
      <c r="ACI21" s="559"/>
      <c r="ACJ21" s="559"/>
      <c r="ACK21" s="559"/>
      <c r="ACL21" s="559"/>
      <c r="ACM21" s="559"/>
      <c r="ACN21" s="559"/>
      <c r="ACO21" s="559"/>
      <c r="ACP21" s="559"/>
      <c r="ACQ21" s="559"/>
      <c r="ACR21" s="559"/>
      <c r="ACS21" s="559"/>
      <c r="ACT21" s="559"/>
      <c r="ACU21" s="559"/>
      <c r="ACV21" s="559"/>
      <c r="ACW21" s="559"/>
      <c r="ACX21" s="559"/>
      <c r="ACY21" s="559"/>
      <c r="ACZ21" s="559"/>
      <c r="ADA21" s="559"/>
      <c r="ADB21" s="559"/>
      <c r="ADC21" s="559"/>
      <c r="ADD21" s="559"/>
      <c r="ADE21" s="559"/>
      <c r="ADF21" s="559"/>
      <c r="ADG21" s="559"/>
      <c r="ADH21" s="559"/>
      <c r="ADI21" s="559"/>
      <c r="ADJ21" s="559"/>
      <c r="ADK21" s="559"/>
      <c r="ADL21" s="559"/>
      <c r="ADM21" s="559"/>
      <c r="ADN21" s="559"/>
      <c r="ADO21" s="559"/>
      <c r="ADP21" s="559"/>
      <c r="ADQ21" s="559"/>
      <c r="ADR21" s="559"/>
      <c r="ADS21" s="559"/>
      <c r="ADT21" s="559"/>
      <c r="ADU21" s="559"/>
      <c r="ADV21" s="559"/>
      <c r="ADW21" s="559"/>
      <c r="ADX21" s="559"/>
      <c r="ADY21" s="559"/>
      <c r="ADZ21" s="559"/>
      <c r="AEA21" s="559"/>
      <c r="AEB21" s="559"/>
      <c r="AEC21" s="559"/>
      <c r="AED21" s="559"/>
      <c r="AEE21" s="559"/>
      <c r="AEF21" s="559"/>
      <c r="AEG21" s="559"/>
      <c r="AEH21" s="559"/>
      <c r="AEI21" s="559"/>
      <c r="AEJ21" s="559"/>
      <c r="AEK21" s="559"/>
      <c r="AEL21" s="559"/>
      <c r="AEM21" s="559"/>
      <c r="AEN21" s="559"/>
      <c r="AEO21" s="559"/>
      <c r="AEP21" s="559"/>
      <c r="AEQ21" s="559"/>
      <c r="AER21" s="559"/>
      <c r="AES21" s="559"/>
      <c r="AET21" s="559"/>
      <c r="AEU21" s="559"/>
      <c r="AEV21" s="559"/>
      <c r="AEW21" s="559"/>
      <c r="AEX21" s="559"/>
      <c r="AEY21" s="559"/>
      <c r="AEZ21" s="559"/>
      <c r="AFA21" s="559"/>
      <c r="AFB21" s="559"/>
      <c r="AFC21" s="559"/>
      <c r="AFD21" s="559"/>
      <c r="AFE21" s="559"/>
      <c r="AFF21" s="559"/>
      <c r="AFG21" s="559"/>
      <c r="AFH21" s="559"/>
      <c r="AFI21" s="559"/>
      <c r="AFJ21" s="559"/>
      <c r="AFK21" s="559"/>
      <c r="AFL21" s="559"/>
      <c r="AFM21" s="559"/>
      <c r="AFN21" s="559"/>
      <c r="AFO21" s="559"/>
      <c r="AFP21" s="559"/>
      <c r="AFQ21" s="559"/>
      <c r="AFR21" s="559"/>
      <c r="AFS21" s="559"/>
      <c r="AFT21" s="559"/>
      <c r="AFU21" s="559"/>
      <c r="AFV21" s="559"/>
      <c r="AFW21" s="559"/>
      <c r="AFX21" s="559"/>
      <c r="AFY21" s="559"/>
      <c r="AFZ21" s="559"/>
      <c r="AGA21" s="559"/>
      <c r="AGB21" s="559"/>
      <c r="AGC21" s="559"/>
      <c r="AGD21" s="559"/>
      <c r="AGE21" s="559"/>
      <c r="AGF21" s="559"/>
      <c r="AGG21" s="559"/>
      <c r="AGH21" s="559"/>
      <c r="AGI21" s="559"/>
      <c r="AGJ21" s="559"/>
      <c r="AGK21" s="559"/>
      <c r="AGL21" s="559"/>
      <c r="AGM21" s="559"/>
      <c r="AGN21" s="559"/>
      <c r="AGO21" s="559"/>
      <c r="AGP21" s="559"/>
      <c r="AGQ21" s="559"/>
      <c r="AGR21" s="559"/>
      <c r="AGS21" s="559"/>
      <c r="AGT21" s="559"/>
      <c r="AGU21" s="559"/>
      <c r="AGV21" s="559"/>
      <c r="AGW21" s="559"/>
      <c r="AGX21" s="559"/>
      <c r="AGY21" s="559"/>
      <c r="AGZ21" s="559"/>
      <c r="AHA21" s="559"/>
      <c r="AHB21" s="559"/>
      <c r="AHC21" s="559"/>
      <c r="AHD21" s="559"/>
      <c r="AHE21" s="559"/>
      <c r="AHF21" s="559"/>
      <c r="AHG21" s="559"/>
      <c r="AHH21" s="559"/>
      <c r="AHI21" s="559"/>
      <c r="AHJ21" s="559"/>
      <c r="AHK21" s="559"/>
      <c r="AHL21" s="559"/>
      <c r="AHM21" s="559"/>
      <c r="AHN21" s="559"/>
      <c r="AHO21" s="559"/>
      <c r="AHP21" s="559"/>
      <c r="AHQ21" s="559"/>
      <c r="AHR21" s="559"/>
      <c r="AHS21" s="559"/>
      <c r="AHT21" s="559"/>
      <c r="AHU21" s="559"/>
      <c r="AHV21" s="559"/>
      <c r="AHW21" s="559"/>
      <c r="AHX21" s="559"/>
      <c r="AHY21" s="559"/>
      <c r="AHZ21" s="559"/>
      <c r="AIA21" s="559"/>
      <c r="AIB21" s="559"/>
      <c r="AIC21" s="559"/>
      <c r="AID21" s="559"/>
      <c r="AIE21" s="559"/>
      <c r="AIF21" s="559"/>
      <c r="AIG21" s="559"/>
      <c r="AIH21" s="559"/>
      <c r="AII21" s="559"/>
      <c r="AIJ21" s="559"/>
      <c r="AIK21" s="559"/>
      <c r="AIL21" s="559"/>
      <c r="AIM21" s="559"/>
      <c r="AIN21" s="559"/>
      <c r="AIO21" s="559"/>
      <c r="AIP21" s="559"/>
      <c r="AIQ21" s="559"/>
      <c r="AIR21" s="559"/>
      <c r="AIS21" s="559"/>
      <c r="AIT21" s="559"/>
      <c r="AIU21" s="559"/>
      <c r="AIV21" s="559"/>
      <c r="AIW21" s="559"/>
      <c r="AIX21" s="559"/>
      <c r="AIY21" s="559"/>
      <c r="AIZ21" s="559"/>
      <c r="AJA21" s="559"/>
      <c r="AJB21" s="559"/>
      <c r="AJC21" s="559"/>
      <c r="AJD21" s="559"/>
      <c r="AJE21" s="559"/>
      <c r="AJF21" s="559"/>
      <c r="AJG21" s="559"/>
      <c r="AJH21" s="559"/>
      <c r="AJI21" s="559"/>
      <c r="AJJ21" s="559"/>
      <c r="AJK21" s="559"/>
      <c r="AJL21" s="559"/>
      <c r="AJM21" s="559"/>
      <c r="AJN21" s="559"/>
      <c r="AJO21" s="559"/>
      <c r="AJP21" s="559"/>
      <c r="AJQ21" s="559"/>
      <c r="AJR21" s="559"/>
      <c r="AJS21" s="559"/>
      <c r="AJT21" s="559"/>
      <c r="AJU21" s="559"/>
      <c r="AJV21" s="559"/>
      <c r="AJW21" s="559"/>
      <c r="AJX21" s="559"/>
      <c r="AJY21" s="559"/>
      <c r="AJZ21" s="559"/>
      <c r="AKA21" s="559"/>
      <c r="AKB21" s="559"/>
      <c r="AKC21" s="559"/>
      <c r="AKD21" s="559"/>
      <c r="AKE21" s="559"/>
      <c r="AKF21" s="559"/>
      <c r="AKG21" s="559"/>
      <c r="AKH21" s="559"/>
      <c r="AKI21" s="559"/>
      <c r="AKJ21" s="559"/>
      <c r="AKK21" s="559"/>
      <c r="AKL21" s="559"/>
      <c r="AKM21" s="559"/>
      <c r="AKN21" s="559"/>
      <c r="AKO21" s="559"/>
      <c r="AKP21" s="559"/>
      <c r="AKQ21" s="559"/>
      <c r="AKR21" s="559"/>
      <c r="AKS21" s="559"/>
      <c r="AKT21" s="559"/>
      <c r="AKU21" s="559"/>
      <c r="AKV21" s="559"/>
      <c r="AKW21" s="559"/>
      <c r="AKX21" s="559"/>
      <c r="AKY21" s="559"/>
      <c r="AKZ21" s="559"/>
      <c r="ALA21" s="559"/>
      <c r="ALB21" s="559"/>
      <c r="ALC21" s="559"/>
      <c r="ALD21" s="559"/>
      <c r="ALE21" s="559"/>
      <c r="ALF21" s="559"/>
      <c r="ALG21" s="559"/>
      <c r="ALH21" s="559"/>
      <c r="ALI21" s="559"/>
      <c r="ALJ21" s="559"/>
      <c r="ALK21" s="559"/>
      <c r="ALL21" s="559"/>
      <c r="ALM21" s="559"/>
      <c r="ALN21" s="559"/>
      <c r="ALO21" s="559"/>
      <c r="ALP21" s="559"/>
      <c r="ALQ21" s="559"/>
      <c r="ALR21" s="559"/>
      <c r="ALS21" s="559"/>
      <c r="ALT21" s="559"/>
      <c r="ALU21" s="559"/>
      <c r="ALV21" s="559"/>
      <c r="ALW21" s="559"/>
      <c r="ALX21" s="559"/>
      <c r="ALY21" s="559"/>
      <c r="ALZ21" s="559"/>
      <c r="AMA21" s="559"/>
      <c r="AMB21" s="559"/>
      <c r="AMC21" s="559"/>
      <c r="AMD21" s="559"/>
      <c r="AME21" s="559"/>
      <c r="AMF21" s="559"/>
      <c r="AMG21" s="559"/>
      <c r="AMH21" s="559"/>
      <c r="AMI21" s="559"/>
      <c r="AMJ21" s="559"/>
      <c r="AMK21" s="559"/>
      <c r="AML21" s="559"/>
      <c r="AMM21" s="559"/>
      <c r="AMN21" s="559"/>
      <c r="AMO21" s="559"/>
      <c r="AMP21" s="559"/>
      <c r="AMQ21" s="559"/>
      <c r="AMR21" s="559"/>
      <c r="AMS21" s="559"/>
      <c r="AMT21" s="559"/>
      <c r="AMU21" s="559"/>
      <c r="AMV21" s="559"/>
      <c r="AMW21" s="559"/>
      <c r="AMX21" s="559"/>
      <c r="AMY21" s="559"/>
      <c r="AMZ21" s="559"/>
      <c r="ANA21" s="559"/>
      <c r="ANB21" s="559"/>
      <c r="ANC21" s="559"/>
      <c r="AND21" s="559"/>
      <c r="ANE21" s="559"/>
      <c r="ANF21" s="559"/>
      <c r="ANG21" s="559"/>
      <c r="ANH21" s="559"/>
      <c r="ANI21" s="559"/>
      <c r="ANJ21" s="559"/>
      <c r="ANK21" s="559"/>
      <c r="ANL21" s="559"/>
      <c r="ANM21" s="559"/>
      <c r="ANN21" s="559"/>
      <c r="ANO21" s="559"/>
      <c r="ANP21" s="559"/>
      <c r="ANQ21" s="559"/>
      <c r="ANR21" s="559"/>
      <c r="ANS21" s="559"/>
      <c r="ANT21" s="559"/>
      <c r="ANU21" s="559"/>
      <c r="ANV21" s="559"/>
      <c r="ANW21" s="559"/>
      <c r="ANX21" s="559"/>
      <c r="ANY21" s="559"/>
      <c r="ANZ21" s="559"/>
      <c r="AOA21" s="559"/>
      <c r="AOB21" s="559"/>
      <c r="AOC21" s="559"/>
      <c r="AOD21" s="559"/>
      <c r="AOE21" s="559"/>
      <c r="AOF21" s="559"/>
      <c r="AOG21" s="559"/>
      <c r="AOH21" s="559"/>
      <c r="AOI21" s="559"/>
      <c r="AOJ21" s="559"/>
      <c r="AOK21" s="559"/>
      <c r="AOL21" s="559"/>
      <c r="AOM21" s="559"/>
      <c r="AON21" s="559"/>
      <c r="AOO21" s="559"/>
      <c r="AOP21" s="559"/>
      <c r="AOQ21" s="559"/>
      <c r="AOR21" s="559"/>
      <c r="AOS21" s="559"/>
      <c r="AOT21" s="559"/>
      <c r="AOU21" s="559"/>
      <c r="AOV21" s="559"/>
      <c r="AOW21" s="559"/>
      <c r="AOX21" s="559"/>
      <c r="AOY21" s="559"/>
      <c r="AOZ21" s="559"/>
      <c r="APA21" s="559"/>
      <c r="APB21" s="559"/>
      <c r="APC21" s="559"/>
      <c r="APD21" s="559"/>
      <c r="APE21" s="559"/>
      <c r="APF21" s="559"/>
      <c r="APG21" s="559"/>
      <c r="APH21" s="559"/>
      <c r="API21" s="559"/>
      <c r="APJ21" s="559"/>
      <c r="APK21" s="559"/>
      <c r="APL21" s="559"/>
      <c r="APM21" s="559"/>
      <c r="APN21" s="559"/>
      <c r="APO21" s="559"/>
      <c r="APP21" s="559"/>
      <c r="APQ21" s="559"/>
      <c r="APR21" s="559"/>
      <c r="APS21" s="559"/>
      <c r="APT21" s="559"/>
      <c r="APU21" s="559"/>
      <c r="APV21" s="559"/>
      <c r="APW21" s="559"/>
      <c r="APX21" s="559"/>
      <c r="APY21" s="559"/>
      <c r="APZ21" s="559"/>
      <c r="AQA21" s="559"/>
      <c r="AQB21" s="559"/>
      <c r="AQC21" s="559"/>
      <c r="AQD21" s="559"/>
      <c r="AQE21" s="559"/>
      <c r="AQF21" s="559"/>
      <c r="AQG21" s="559"/>
      <c r="AQH21" s="559"/>
      <c r="AQI21" s="559"/>
      <c r="AQJ21" s="559"/>
      <c r="AQK21" s="559"/>
      <c r="AQL21" s="559"/>
      <c r="AQM21" s="559"/>
      <c r="AQN21" s="559"/>
      <c r="AQO21" s="559"/>
      <c r="AQP21" s="559"/>
      <c r="AQQ21" s="559"/>
      <c r="AQR21" s="559"/>
      <c r="AQS21" s="559"/>
      <c r="AQT21" s="559"/>
      <c r="AQU21" s="559"/>
      <c r="AQV21" s="559"/>
      <c r="AQW21" s="559"/>
      <c r="AQX21" s="559"/>
      <c r="AQY21" s="559"/>
      <c r="AQZ21" s="559"/>
      <c r="ARA21" s="559"/>
      <c r="ARB21" s="559"/>
      <c r="ARC21" s="559"/>
      <c r="ARD21" s="559"/>
      <c r="ARE21" s="559"/>
      <c r="ARF21" s="559"/>
      <c r="ARG21" s="559"/>
      <c r="ARH21" s="559"/>
      <c r="ARI21" s="559"/>
      <c r="ARJ21" s="559"/>
      <c r="ARK21" s="559"/>
      <c r="ARL21" s="559"/>
      <c r="ARM21" s="559"/>
      <c r="ARN21" s="559"/>
      <c r="ARO21" s="559"/>
      <c r="ARP21" s="559"/>
      <c r="ARQ21" s="559"/>
      <c r="ARR21" s="559"/>
      <c r="ARS21" s="559"/>
      <c r="ART21" s="559"/>
      <c r="ARU21" s="559"/>
      <c r="ARV21" s="559"/>
      <c r="ARW21" s="559"/>
      <c r="ARX21" s="559"/>
      <c r="ARY21" s="559"/>
      <c r="ARZ21" s="559"/>
      <c r="ASA21" s="559"/>
      <c r="ASB21" s="559"/>
      <c r="ASC21" s="559"/>
      <c r="ASD21" s="559"/>
      <c r="ASE21" s="559"/>
      <c r="ASF21" s="559"/>
      <c r="ASG21" s="559"/>
      <c r="ASH21" s="559"/>
      <c r="ASI21" s="559"/>
      <c r="ASJ21" s="559"/>
      <c r="ASK21" s="559"/>
      <c r="ASL21" s="559"/>
      <c r="ASM21" s="559"/>
      <c r="ASN21" s="559"/>
      <c r="ASO21" s="559"/>
      <c r="ASP21" s="559"/>
      <c r="ASQ21" s="559"/>
      <c r="ASR21" s="559"/>
      <c r="ASS21" s="559"/>
      <c r="AST21" s="559"/>
      <c r="ASU21" s="559"/>
      <c r="ASV21" s="559"/>
      <c r="ASW21" s="559"/>
      <c r="ASX21" s="559"/>
      <c r="ASY21" s="559"/>
      <c r="ASZ21" s="559"/>
      <c r="ATA21" s="559"/>
      <c r="ATB21" s="559"/>
      <c r="ATC21" s="559"/>
      <c r="ATD21" s="559"/>
      <c r="ATE21" s="559"/>
      <c r="ATF21" s="559"/>
      <c r="ATG21" s="559"/>
      <c r="ATH21" s="559"/>
      <c r="ATI21" s="559"/>
      <c r="ATJ21" s="559"/>
      <c r="ATK21" s="559"/>
      <c r="ATL21" s="559"/>
      <c r="ATM21" s="559"/>
      <c r="ATN21" s="559"/>
      <c r="ATO21" s="559"/>
      <c r="ATP21" s="559"/>
      <c r="ATQ21" s="559"/>
      <c r="ATR21" s="559"/>
      <c r="ATS21" s="559"/>
      <c r="ATT21" s="559"/>
      <c r="ATU21" s="559"/>
      <c r="ATV21" s="559"/>
      <c r="ATW21" s="559"/>
      <c r="ATX21" s="559"/>
      <c r="ATY21" s="559"/>
      <c r="ATZ21" s="559"/>
      <c r="AUA21" s="559"/>
      <c r="AUB21" s="559"/>
      <c r="AUC21" s="559"/>
      <c r="AUD21" s="559"/>
      <c r="AUE21" s="559"/>
      <c r="AUF21" s="559"/>
      <c r="AUG21" s="559"/>
      <c r="AUH21" s="559"/>
      <c r="AUI21" s="559"/>
      <c r="AUJ21" s="559"/>
      <c r="AUK21" s="559"/>
      <c r="AUL21" s="559"/>
      <c r="AUM21" s="559"/>
      <c r="AUN21" s="559"/>
      <c r="AUO21" s="559"/>
      <c r="AUP21" s="559"/>
      <c r="AUQ21" s="559"/>
      <c r="AUR21" s="559"/>
      <c r="AUS21" s="559"/>
      <c r="AUT21" s="559"/>
      <c r="AUU21" s="559"/>
      <c r="AUV21" s="559"/>
      <c r="AUW21" s="559"/>
      <c r="AUX21" s="559"/>
      <c r="AUY21" s="559"/>
      <c r="AUZ21" s="559"/>
      <c r="AVA21" s="559"/>
      <c r="AVB21" s="559"/>
      <c r="AVC21" s="559"/>
      <c r="AVD21" s="559"/>
      <c r="AVE21" s="559"/>
      <c r="AVF21" s="559"/>
      <c r="AVG21" s="559"/>
      <c r="AVH21" s="559"/>
      <c r="AVI21" s="559"/>
      <c r="AVJ21" s="559"/>
      <c r="AVK21" s="559"/>
      <c r="AVL21" s="559"/>
      <c r="AVM21" s="559"/>
      <c r="AVN21" s="559"/>
      <c r="AVO21" s="559"/>
      <c r="AVP21" s="559"/>
      <c r="AVQ21" s="559"/>
      <c r="AVR21" s="559"/>
      <c r="AVS21" s="559"/>
      <c r="AVT21" s="559"/>
      <c r="AVU21" s="559"/>
      <c r="AVV21" s="559"/>
      <c r="AVW21" s="559"/>
      <c r="AVX21" s="559"/>
      <c r="AVY21" s="559"/>
      <c r="AVZ21" s="559"/>
      <c r="AWA21" s="559"/>
      <c r="AWB21" s="559"/>
      <c r="AWC21" s="559"/>
      <c r="AWD21" s="559"/>
      <c r="AWE21" s="559"/>
      <c r="AWF21" s="559"/>
      <c r="AWG21" s="559"/>
      <c r="AWH21" s="559"/>
      <c r="AWI21" s="559"/>
      <c r="AWJ21" s="559"/>
      <c r="AWK21" s="559"/>
      <c r="AWL21" s="559"/>
      <c r="AWM21" s="559"/>
      <c r="AWN21" s="559"/>
      <c r="AWO21" s="559"/>
      <c r="AWP21" s="559"/>
      <c r="AWQ21" s="559"/>
      <c r="AWR21" s="559"/>
      <c r="AWS21" s="559"/>
      <c r="AWT21" s="559"/>
      <c r="AWU21" s="559"/>
      <c r="AWV21" s="559"/>
      <c r="AWW21" s="559"/>
      <c r="AWX21" s="559"/>
      <c r="AWY21" s="559"/>
      <c r="AWZ21" s="559"/>
      <c r="AXA21" s="559"/>
      <c r="AXB21" s="559"/>
      <c r="AXC21" s="559"/>
      <c r="AXD21" s="559"/>
      <c r="AXE21" s="559"/>
      <c r="AXF21" s="559"/>
      <c r="AXG21" s="559"/>
      <c r="AXH21" s="559"/>
      <c r="AXI21" s="559"/>
      <c r="AXJ21" s="559"/>
      <c r="AXK21" s="559"/>
      <c r="AXL21" s="559"/>
      <c r="AXM21" s="559"/>
      <c r="AXN21" s="559"/>
      <c r="AXO21" s="559"/>
      <c r="AXP21" s="559"/>
      <c r="AXQ21" s="559"/>
      <c r="AXR21" s="559"/>
      <c r="AXS21" s="559"/>
      <c r="AXT21" s="559"/>
      <c r="AXU21" s="559"/>
      <c r="AXV21" s="559"/>
      <c r="AXW21" s="559"/>
      <c r="AXX21" s="559"/>
      <c r="AXY21" s="559"/>
      <c r="AXZ21" s="559"/>
      <c r="AYA21" s="559"/>
      <c r="AYB21" s="559"/>
      <c r="AYC21" s="559"/>
      <c r="AYD21" s="559"/>
      <c r="AYE21" s="559"/>
      <c r="AYF21" s="559"/>
      <c r="AYG21" s="559"/>
      <c r="AYH21" s="559"/>
      <c r="AYI21" s="559"/>
      <c r="AYJ21" s="559"/>
      <c r="AYK21" s="559"/>
      <c r="AYL21" s="559"/>
      <c r="AYM21" s="559"/>
      <c r="AYN21" s="559"/>
      <c r="AYO21" s="559"/>
      <c r="AYP21" s="559"/>
      <c r="AYQ21" s="559"/>
      <c r="AYR21" s="559"/>
      <c r="AYS21" s="559"/>
      <c r="AYT21" s="559"/>
      <c r="AYU21" s="559"/>
      <c r="AYV21" s="559"/>
      <c r="AYW21" s="559"/>
      <c r="AYX21" s="559"/>
      <c r="AYY21" s="559"/>
      <c r="AYZ21" s="559"/>
      <c r="AZA21" s="559"/>
      <c r="AZB21" s="559"/>
      <c r="AZC21" s="559"/>
      <c r="AZD21" s="559"/>
      <c r="AZE21" s="559"/>
      <c r="AZF21" s="559"/>
      <c r="AZG21" s="559"/>
      <c r="AZH21" s="559"/>
      <c r="AZI21" s="559"/>
      <c r="AZJ21" s="559"/>
      <c r="AZK21" s="559"/>
      <c r="AZL21" s="559"/>
      <c r="AZM21" s="559"/>
      <c r="AZN21" s="559"/>
      <c r="AZO21" s="559"/>
      <c r="AZP21" s="559"/>
      <c r="AZQ21" s="559"/>
      <c r="AZR21" s="559"/>
      <c r="AZS21" s="559"/>
      <c r="AZT21" s="559"/>
      <c r="AZU21" s="559"/>
      <c r="AZV21" s="559"/>
      <c r="AZW21" s="559"/>
      <c r="AZX21" s="559"/>
      <c r="AZY21" s="559"/>
      <c r="AZZ21" s="559"/>
      <c r="BAA21" s="559"/>
      <c r="BAB21" s="559"/>
      <c r="BAC21" s="559"/>
      <c r="BAD21" s="559"/>
      <c r="BAE21" s="559"/>
      <c r="BAF21" s="559"/>
      <c r="BAG21" s="559"/>
      <c r="BAH21" s="559"/>
      <c r="BAI21" s="559"/>
      <c r="BAJ21" s="559"/>
      <c r="BAK21" s="559"/>
      <c r="BAL21" s="559"/>
      <c r="BAM21" s="559"/>
      <c r="BAN21" s="559"/>
      <c r="BAO21" s="559"/>
      <c r="BAP21" s="559"/>
      <c r="BAQ21" s="559"/>
      <c r="BAR21" s="559"/>
      <c r="BAS21" s="559"/>
      <c r="BAT21" s="559"/>
      <c r="BAU21" s="559"/>
      <c r="BAV21" s="559"/>
      <c r="BAW21" s="559"/>
      <c r="BAX21" s="559"/>
      <c r="BAY21" s="559"/>
      <c r="BAZ21" s="559"/>
      <c r="BBA21" s="559"/>
      <c r="BBB21" s="559"/>
      <c r="BBC21" s="559"/>
      <c r="BBD21" s="559"/>
      <c r="BBE21" s="559"/>
      <c r="BBF21" s="559"/>
      <c r="BBG21" s="559"/>
      <c r="BBH21" s="559"/>
      <c r="BBI21" s="559"/>
      <c r="BBJ21" s="559"/>
      <c r="BBK21" s="559"/>
      <c r="BBL21" s="559"/>
      <c r="BBM21" s="559"/>
      <c r="BBN21" s="559"/>
      <c r="BBO21" s="559"/>
      <c r="BBP21" s="559"/>
      <c r="BBQ21" s="559"/>
      <c r="BBR21" s="559"/>
      <c r="BBS21" s="559"/>
      <c r="BBT21" s="559"/>
      <c r="BBU21" s="559"/>
      <c r="BBV21" s="559"/>
      <c r="BBW21" s="559"/>
      <c r="BBX21" s="559"/>
      <c r="BBY21" s="559"/>
      <c r="BBZ21" s="559"/>
      <c r="BCA21" s="559"/>
      <c r="BCB21" s="559"/>
      <c r="BCC21" s="559"/>
      <c r="BCD21" s="559"/>
      <c r="BCE21" s="559"/>
      <c r="BCF21" s="559"/>
      <c r="BCG21" s="559"/>
      <c r="BCH21" s="559"/>
      <c r="BCI21" s="559"/>
      <c r="BCJ21" s="559"/>
      <c r="BCK21" s="559"/>
      <c r="BCL21" s="559"/>
      <c r="BCM21" s="559"/>
      <c r="BCN21" s="559"/>
      <c r="BCO21" s="559"/>
      <c r="BCP21" s="559"/>
      <c r="BCQ21" s="559"/>
      <c r="BCR21" s="559"/>
      <c r="BCS21" s="559"/>
      <c r="BCT21" s="559"/>
      <c r="BCU21" s="559"/>
      <c r="BCV21" s="559"/>
      <c r="BCW21" s="559"/>
      <c r="BCX21" s="559"/>
      <c r="BCY21" s="559"/>
      <c r="BCZ21" s="559"/>
      <c r="BDA21" s="559"/>
      <c r="BDB21" s="559"/>
      <c r="BDC21" s="559"/>
      <c r="BDD21" s="559"/>
      <c r="BDE21" s="559"/>
      <c r="BDF21" s="559"/>
      <c r="BDG21" s="559"/>
      <c r="BDH21" s="559"/>
      <c r="BDI21" s="559"/>
      <c r="BDJ21" s="559"/>
      <c r="BDK21" s="559"/>
      <c r="BDL21" s="559"/>
      <c r="BDM21" s="559"/>
      <c r="BDN21" s="559"/>
      <c r="BDO21" s="559"/>
      <c r="BDP21" s="559"/>
      <c r="BDQ21" s="559"/>
      <c r="BDR21" s="559"/>
      <c r="BDS21" s="559"/>
      <c r="BDT21" s="559"/>
      <c r="BDU21" s="559"/>
      <c r="BDV21" s="559"/>
      <c r="BDW21" s="559"/>
      <c r="BDX21" s="559"/>
      <c r="BDY21" s="559"/>
      <c r="BDZ21" s="559"/>
      <c r="BEA21" s="559"/>
      <c r="BEB21" s="559"/>
      <c r="BEC21" s="559"/>
      <c r="BED21" s="559"/>
      <c r="BEE21" s="559"/>
      <c r="BEF21" s="559"/>
      <c r="BEG21" s="559"/>
      <c r="BEH21" s="559"/>
      <c r="BEI21" s="559"/>
      <c r="BEJ21" s="559"/>
      <c r="BEK21" s="559"/>
      <c r="BEL21" s="559"/>
      <c r="BEM21" s="559"/>
      <c r="BEN21" s="559"/>
      <c r="BEO21" s="559"/>
      <c r="BEP21" s="559"/>
      <c r="BEQ21" s="559"/>
      <c r="BER21" s="559"/>
      <c r="BES21" s="559"/>
      <c r="BET21" s="559"/>
      <c r="BEU21" s="559"/>
      <c r="BEV21" s="559"/>
      <c r="BEW21" s="559"/>
      <c r="BEX21" s="559"/>
      <c r="BEY21" s="559"/>
      <c r="BEZ21" s="559"/>
      <c r="BFA21" s="559"/>
      <c r="BFB21" s="559"/>
      <c r="BFC21" s="559"/>
      <c r="BFD21" s="559"/>
      <c r="BFE21" s="559"/>
      <c r="BFF21" s="559"/>
      <c r="BFG21" s="559"/>
      <c r="BFH21" s="559"/>
      <c r="BFI21" s="559"/>
      <c r="BFJ21" s="559"/>
      <c r="BFK21" s="559"/>
      <c r="BFL21" s="559"/>
      <c r="BFM21" s="559"/>
      <c r="BFN21" s="559"/>
      <c r="BFO21" s="559"/>
      <c r="BFP21" s="559"/>
      <c r="BFQ21" s="559"/>
      <c r="BFR21" s="559"/>
      <c r="BFS21" s="559"/>
      <c r="BFT21" s="559"/>
      <c r="BFU21" s="559"/>
      <c r="BFV21" s="559"/>
      <c r="BFW21" s="559"/>
      <c r="BFX21" s="559"/>
      <c r="BFY21" s="559"/>
      <c r="BFZ21" s="559"/>
      <c r="BGA21" s="559"/>
      <c r="BGB21" s="559"/>
      <c r="BGC21" s="559"/>
      <c r="BGD21" s="559"/>
      <c r="BGE21" s="559"/>
      <c r="BGF21" s="559"/>
      <c r="BGG21" s="559"/>
      <c r="BGH21" s="559"/>
      <c r="BGI21" s="559"/>
      <c r="BGJ21" s="559"/>
      <c r="BGK21" s="559"/>
      <c r="BGL21" s="559"/>
      <c r="BGM21" s="559"/>
      <c r="BGN21" s="559"/>
      <c r="BGO21" s="559"/>
      <c r="BGP21" s="559"/>
      <c r="BGQ21" s="559"/>
      <c r="BGR21" s="559"/>
      <c r="BGS21" s="559"/>
      <c r="BGT21" s="559"/>
      <c r="BGU21" s="559"/>
      <c r="BGV21" s="559"/>
      <c r="BGW21" s="559"/>
      <c r="BGX21" s="559"/>
      <c r="BGY21" s="559"/>
      <c r="BGZ21" s="559"/>
      <c r="BHA21" s="559"/>
      <c r="BHB21" s="559"/>
      <c r="BHC21" s="559"/>
      <c r="BHD21" s="559"/>
      <c r="BHE21" s="559"/>
      <c r="BHF21" s="559"/>
      <c r="BHG21" s="559"/>
      <c r="BHH21" s="559"/>
      <c r="BHI21" s="559"/>
      <c r="BHJ21" s="559"/>
      <c r="BHK21" s="559"/>
      <c r="BHL21" s="559"/>
      <c r="BHM21" s="559"/>
      <c r="BHN21" s="559"/>
      <c r="BHO21" s="559"/>
      <c r="BHP21" s="559"/>
      <c r="BHQ21" s="559"/>
      <c r="BHR21" s="559"/>
      <c r="BHS21" s="559"/>
      <c r="BHT21" s="559"/>
      <c r="BHU21" s="559"/>
      <c r="BHV21" s="559"/>
      <c r="BHW21" s="559"/>
      <c r="BHX21" s="559"/>
      <c r="BHY21" s="559"/>
      <c r="BHZ21" s="559"/>
      <c r="BIA21" s="559"/>
      <c r="BIB21" s="559"/>
      <c r="BIC21" s="559"/>
      <c r="BID21" s="559"/>
      <c r="BIE21" s="559"/>
      <c r="BIF21" s="559"/>
      <c r="BIG21" s="559"/>
      <c r="BIH21" s="559"/>
      <c r="BII21" s="559"/>
      <c r="BIJ21" s="559"/>
      <c r="BIK21" s="559"/>
      <c r="BIL21" s="559"/>
      <c r="BIM21" s="559"/>
      <c r="BIN21" s="559"/>
      <c r="BIO21" s="559"/>
      <c r="BIP21" s="559"/>
      <c r="BIQ21" s="559"/>
      <c r="BIR21" s="559"/>
      <c r="BIS21" s="559"/>
      <c r="BIT21" s="559"/>
      <c r="BIU21" s="559"/>
      <c r="BIV21" s="559"/>
      <c r="BIW21" s="559"/>
      <c r="BIX21" s="559"/>
      <c r="BIY21" s="559"/>
      <c r="BIZ21" s="559"/>
      <c r="BJA21" s="559"/>
      <c r="BJB21" s="559"/>
      <c r="BJC21" s="559"/>
      <c r="BJD21" s="559"/>
      <c r="BJE21" s="559"/>
      <c r="BJF21" s="559"/>
      <c r="BJG21" s="559"/>
      <c r="BJH21" s="559"/>
      <c r="BJI21" s="559"/>
      <c r="BJJ21" s="559"/>
      <c r="BJK21" s="559"/>
      <c r="BJL21" s="559"/>
      <c r="BJM21" s="559"/>
      <c r="BJN21" s="559"/>
      <c r="BJO21" s="559"/>
      <c r="BJP21" s="559"/>
      <c r="BJQ21" s="559"/>
      <c r="BJR21" s="559"/>
      <c r="BJS21" s="559"/>
      <c r="BJT21" s="559"/>
      <c r="BJU21" s="559"/>
      <c r="BJV21" s="559"/>
      <c r="BJW21" s="559"/>
      <c r="BJX21" s="559"/>
      <c r="BJY21" s="559"/>
      <c r="BJZ21" s="559"/>
      <c r="BKA21" s="559"/>
      <c r="BKB21" s="559"/>
      <c r="BKC21" s="559"/>
      <c r="BKD21" s="559"/>
      <c r="BKE21" s="559"/>
      <c r="BKF21" s="559"/>
      <c r="BKG21" s="559"/>
      <c r="BKH21" s="559"/>
      <c r="BKI21" s="559"/>
      <c r="BKJ21" s="559"/>
      <c r="BKK21" s="559"/>
      <c r="BKL21" s="559"/>
      <c r="BKM21" s="559"/>
      <c r="BKN21" s="559"/>
      <c r="BKO21" s="559"/>
      <c r="BKP21" s="559"/>
      <c r="BKQ21" s="559"/>
      <c r="BKR21" s="559"/>
      <c r="BKS21" s="559"/>
      <c r="BKT21" s="559"/>
      <c r="BKU21" s="559"/>
      <c r="BKV21" s="559"/>
      <c r="BKW21" s="559"/>
      <c r="BKX21" s="559"/>
      <c r="BKY21" s="559"/>
      <c r="BKZ21" s="559"/>
      <c r="BLA21" s="559"/>
      <c r="BLB21" s="559"/>
      <c r="BLC21" s="559"/>
      <c r="BLD21" s="559"/>
      <c r="BLE21" s="559"/>
      <c r="BLF21" s="559"/>
      <c r="BLG21" s="559"/>
      <c r="BLH21" s="559"/>
      <c r="BLI21" s="559"/>
      <c r="BLJ21" s="559"/>
      <c r="BLK21" s="559"/>
      <c r="BLL21" s="559"/>
      <c r="BLM21" s="559"/>
      <c r="BLN21" s="559"/>
      <c r="BLO21" s="559"/>
      <c r="BLP21" s="559"/>
      <c r="BLQ21" s="559"/>
      <c r="BLR21" s="559"/>
      <c r="BLS21" s="559"/>
      <c r="BLT21" s="559"/>
      <c r="BLU21" s="559"/>
      <c r="BLV21" s="559"/>
      <c r="BLW21" s="559"/>
      <c r="BLX21" s="559"/>
      <c r="BLY21" s="559"/>
      <c r="BLZ21" s="559"/>
      <c r="BMA21" s="559"/>
      <c r="BMB21" s="559"/>
      <c r="BMC21" s="559"/>
      <c r="BMD21" s="559"/>
      <c r="BME21" s="559"/>
      <c r="BMF21" s="559"/>
      <c r="BMG21" s="559"/>
      <c r="BMH21" s="559"/>
      <c r="BMI21" s="559"/>
      <c r="BMJ21" s="559"/>
      <c r="BMK21" s="559"/>
      <c r="BML21" s="559"/>
      <c r="BMM21" s="559"/>
      <c r="BMN21" s="559"/>
      <c r="BMO21" s="559"/>
      <c r="BMP21" s="559"/>
      <c r="BMQ21" s="559"/>
      <c r="BMR21" s="559"/>
      <c r="BMS21" s="559"/>
      <c r="BMT21" s="559"/>
      <c r="BMU21" s="559"/>
      <c r="BMV21" s="559"/>
      <c r="BMW21" s="559"/>
      <c r="BMX21" s="559"/>
      <c r="BMY21" s="559"/>
      <c r="BMZ21" s="559"/>
      <c r="BNA21" s="559"/>
      <c r="BNB21" s="559"/>
      <c r="BNC21" s="559"/>
      <c r="BND21" s="559"/>
      <c r="BNE21" s="559"/>
      <c r="BNF21" s="559"/>
      <c r="BNG21" s="559"/>
      <c r="BNH21" s="559"/>
      <c r="BNI21" s="559"/>
      <c r="BNJ21" s="559"/>
      <c r="BNK21" s="559"/>
      <c r="BNL21" s="559"/>
      <c r="BNM21" s="559"/>
      <c r="BNN21" s="559"/>
      <c r="BNO21" s="559"/>
      <c r="BNP21" s="559"/>
      <c r="BNQ21" s="559"/>
      <c r="BNR21" s="559"/>
      <c r="BNS21" s="559"/>
      <c r="BNT21" s="559"/>
      <c r="BNU21" s="559"/>
      <c r="BNV21" s="559"/>
      <c r="BNW21" s="559"/>
      <c r="BNX21" s="559"/>
      <c r="BNY21" s="559"/>
      <c r="BNZ21" s="559"/>
      <c r="BOA21" s="559"/>
      <c r="BOB21" s="559"/>
      <c r="BOC21" s="559"/>
      <c r="BOD21" s="559"/>
      <c r="BOE21" s="559"/>
      <c r="BOF21" s="559"/>
      <c r="BOG21" s="559"/>
      <c r="BOH21" s="559"/>
      <c r="BOI21" s="559"/>
      <c r="BOJ21" s="559"/>
      <c r="BOK21" s="559"/>
      <c r="BOL21" s="559"/>
      <c r="BOM21" s="559"/>
      <c r="BON21" s="559"/>
      <c r="BOO21" s="559"/>
      <c r="BOP21" s="559"/>
      <c r="BOQ21" s="559"/>
      <c r="BOR21" s="559"/>
      <c r="BOS21" s="559"/>
      <c r="BOT21" s="559"/>
      <c r="BOU21" s="559"/>
      <c r="BOV21" s="559"/>
      <c r="BOW21" s="559"/>
      <c r="BOX21" s="559"/>
      <c r="BOY21" s="559"/>
      <c r="BOZ21" s="559"/>
      <c r="BPA21" s="559"/>
      <c r="BPB21" s="559"/>
      <c r="BPC21" s="559"/>
      <c r="BPD21" s="559"/>
      <c r="BPE21" s="559"/>
      <c r="BPF21" s="559"/>
      <c r="BPG21" s="559"/>
      <c r="BPH21" s="559"/>
      <c r="BPI21" s="559"/>
      <c r="BPJ21" s="559"/>
      <c r="BPK21" s="559"/>
      <c r="BPL21" s="559"/>
      <c r="BPM21" s="559"/>
      <c r="BPN21" s="559"/>
      <c r="BPO21" s="559"/>
      <c r="BPP21" s="559"/>
      <c r="BPQ21" s="559"/>
      <c r="BPR21" s="559"/>
      <c r="BPS21" s="559"/>
      <c r="BPT21" s="559"/>
      <c r="BPU21" s="559"/>
      <c r="BPV21" s="559"/>
      <c r="BPW21" s="559"/>
      <c r="BPX21" s="559"/>
      <c r="BPY21" s="559"/>
      <c r="BPZ21" s="559"/>
      <c r="BQA21" s="559"/>
      <c r="BQB21" s="559"/>
      <c r="BQC21" s="559"/>
      <c r="BQD21" s="559"/>
      <c r="BQE21" s="559"/>
      <c r="BQF21" s="559"/>
      <c r="BQG21" s="559"/>
      <c r="BQH21" s="559"/>
      <c r="BQI21" s="559"/>
      <c r="BQJ21" s="559"/>
      <c r="BQK21" s="559"/>
      <c r="BQL21" s="559"/>
      <c r="BQM21" s="559"/>
      <c r="BQN21" s="559"/>
      <c r="BQO21" s="559"/>
      <c r="BQP21" s="559"/>
      <c r="BQQ21" s="559"/>
      <c r="BQR21" s="559"/>
      <c r="BQS21" s="559"/>
      <c r="BQT21" s="559"/>
      <c r="BQU21" s="559"/>
      <c r="BQV21" s="559"/>
      <c r="BQW21" s="559"/>
      <c r="BQX21" s="559"/>
      <c r="BQY21" s="559"/>
      <c r="BQZ21" s="559"/>
      <c r="BRA21" s="559"/>
      <c r="BRB21" s="559"/>
      <c r="BRC21" s="559"/>
      <c r="BRD21" s="559"/>
      <c r="BRE21" s="559"/>
      <c r="BRF21" s="559"/>
      <c r="BRG21" s="559"/>
      <c r="BRH21" s="559"/>
      <c r="BRI21" s="559"/>
      <c r="BRJ21" s="559"/>
      <c r="BRK21" s="559"/>
      <c r="BRL21" s="559"/>
      <c r="BRM21" s="559"/>
      <c r="BRN21" s="559"/>
      <c r="BRO21" s="559"/>
      <c r="BRP21" s="559"/>
      <c r="BRQ21" s="559"/>
      <c r="BRR21" s="559"/>
      <c r="BRS21" s="559"/>
      <c r="BRT21" s="559"/>
      <c r="BRU21" s="559"/>
      <c r="BRV21" s="559"/>
      <c r="BRW21" s="559"/>
      <c r="BRX21" s="559"/>
      <c r="BRY21" s="559"/>
      <c r="BRZ21" s="559"/>
      <c r="BSA21" s="559"/>
      <c r="BSB21" s="559"/>
      <c r="BSC21" s="559"/>
      <c r="BSD21" s="559"/>
      <c r="BSE21" s="559"/>
      <c r="BSF21" s="559"/>
      <c r="BSG21" s="559"/>
      <c r="BSH21" s="559"/>
      <c r="BSI21" s="559"/>
      <c r="BSJ21" s="559"/>
      <c r="BSK21" s="559"/>
      <c r="BSL21" s="559"/>
      <c r="BSM21" s="559"/>
      <c r="BSN21" s="559"/>
      <c r="BSO21" s="559"/>
      <c r="BSP21" s="559"/>
      <c r="BSQ21" s="559"/>
      <c r="BSR21" s="559"/>
      <c r="BSS21" s="559"/>
      <c r="BST21" s="559"/>
      <c r="BSU21" s="559"/>
      <c r="BSV21" s="559"/>
      <c r="BSW21" s="559"/>
      <c r="BSX21" s="559"/>
      <c r="BSY21" s="559"/>
      <c r="BSZ21" s="559"/>
      <c r="BTA21" s="559"/>
      <c r="BTB21" s="559"/>
      <c r="BTC21" s="559"/>
      <c r="BTD21" s="559"/>
      <c r="BTE21" s="559"/>
      <c r="BTF21" s="559"/>
      <c r="BTG21" s="559"/>
      <c r="BTH21" s="559"/>
      <c r="BTI21" s="559"/>
      <c r="BTJ21" s="559"/>
      <c r="BTK21" s="559"/>
      <c r="BTL21" s="559"/>
      <c r="BTM21" s="559"/>
      <c r="BTN21" s="559"/>
      <c r="BTO21" s="559"/>
      <c r="BTP21" s="559"/>
      <c r="BTQ21" s="559"/>
      <c r="BTR21" s="559"/>
      <c r="BTS21" s="559"/>
      <c r="BTT21" s="559"/>
      <c r="BTU21" s="559"/>
      <c r="BTV21" s="559"/>
      <c r="BTW21" s="559"/>
      <c r="BTX21" s="559"/>
      <c r="BTY21" s="559"/>
      <c r="BTZ21" s="559"/>
      <c r="BUA21" s="559"/>
      <c r="BUB21" s="559"/>
      <c r="BUC21" s="559"/>
      <c r="BUD21" s="559"/>
      <c r="BUE21" s="559"/>
      <c r="BUF21" s="559"/>
      <c r="BUG21" s="559"/>
      <c r="BUH21" s="559"/>
      <c r="BUI21" s="559"/>
      <c r="BUJ21" s="559"/>
      <c r="BUK21" s="559"/>
      <c r="BUL21" s="559"/>
      <c r="BUM21" s="559"/>
      <c r="BUN21" s="559"/>
      <c r="BUO21" s="559"/>
      <c r="BUP21" s="559"/>
      <c r="BUQ21" s="559"/>
      <c r="BUR21" s="559"/>
      <c r="BUS21" s="559"/>
      <c r="BUT21" s="559"/>
      <c r="BUU21" s="559"/>
      <c r="BUV21" s="559"/>
      <c r="BUW21" s="559"/>
      <c r="BUX21" s="559"/>
      <c r="BUY21" s="559"/>
      <c r="BUZ21" s="559"/>
      <c r="BVA21" s="559"/>
      <c r="BVB21" s="559"/>
      <c r="BVC21" s="559"/>
      <c r="BVD21" s="559"/>
      <c r="BVE21" s="559"/>
      <c r="BVF21" s="559"/>
      <c r="BVG21" s="559"/>
      <c r="BVH21" s="559"/>
      <c r="BVI21" s="559"/>
      <c r="BVJ21" s="559"/>
      <c r="BVK21" s="559"/>
      <c r="BVL21" s="559"/>
      <c r="BVM21" s="559"/>
      <c r="BVN21" s="559"/>
      <c r="BVO21" s="559"/>
      <c r="BVP21" s="559"/>
      <c r="BVQ21" s="559"/>
      <c r="BVR21" s="559"/>
      <c r="BVS21" s="559"/>
      <c r="BVT21" s="559"/>
      <c r="BVU21" s="559"/>
      <c r="BVV21" s="559"/>
      <c r="BVW21" s="559"/>
      <c r="BVX21" s="559"/>
      <c r="BVY21" s="559"/>
      <c r="BVZ21" s="559"/>
      <c r="BWA21" s="559"/>
      <c r="BWB21" s="559"/>
      <c r="BWC21" s="559"/>
      <c r="BWD21" s="559"/>
      <c r="BWE21" s="559"/>
      <c r="BWF21" s="559"/>
      <c r="BWG21" s="559"/>
      <c r="BWH21" s="559"/>
      <c r="BWI21" s="559"/>
      <c r="BWJ21" s="559"/>
      <c r="BWK21" s="559"/>
      <c r="BWL21" s="559"/>
      <c r="BWM21" s="559"/>
      <c r="BWN21" s="559"/>
      <c r="BWO21" s="559"/>
      <c r="BWP21" s="559"/>
      <c r="BWQ21" s="559"/>
      <c r="BWR21" s="559"/>
      <c r="BWS21" s="559"/>
      <c r="BWT21" s="559"/>
      <c r="BWU21" s="559"/>
      <c r="BWV21" s="559"/>
      <c r="BWW21" s="559"/>
      <c r="BWX21" s="559"/>
      <c r="BWY21" s="559"/>
      <c r="BWZ21" s="559"/>
      <c r="BXA21" s="559"/>
      <c r="BXB21" s="559"/>
      <c r="BXC21" s="559"/>
      <c r="BXD21" s="559"/>
      <c r="BXE21" s="559"/>
      <c r="BXF21" s="559"/>
      <c r="BXG21" s="559"/>
      <c r="BXH21" s="559"/>
      <c r="BXI21" s="559"/>
      <c r="BXJ21" s="559"/>
      <c r="BXK21" s="559"/>
      <c r="BXL21" s="559"/>
      <c r="BXM21" s="559"/>
      <c r="BXN21" s="559"/>
      <c r="BXO21" s="559"/>
      <c r="BXP21" s="559"/>
      <c r="BXQ21" s="559"/>
      <c r="BXR21" s="559"/>
      <c r="BXS21" s="559"/>
      <c r="BXT21" s="559"/>
      <c r="BXU21" s="559"/>
      <c r="BXV21" s="559"/>
      <c r="BXW21" s="559"/>
      <c r="BXX21" s="559"/>
      <c r="BXY21" s="559"/>
      <c r="BXZ21" s="559"/>
      <c r="BYA21" s="559"/>
      <c r="BYB21" s="559"/>
      <c r="BYC21" s="559"/>
      <c r="BYD21" s="559"/>
      <c r="BYE21" s="559"/>
      <c r="BYF21" s="559"/>
      <c r="BYG21" s="559"/>
      <c r="BYH21" s="559"/>
      <c r="BYI21" s="559"/>
      <c r="BYJ21" s="559"/>
      <c r="BYK21" s="559"/>
      <c r="BYL21" s="559"/>
      <c r="BYM21" s="559"/>
      <c r="BYN21" s="559"/>
      <c r="BYO21" s="559"/>
      <c r="BYP21" s="559"/>
      <c r="BYQ21" s="559"/>
      <c r="BYR21" s="559"/>
      <c r="BYS21" s="559"/>
      <c r="BYT21" s="559"/>
      <c r="BYU21" s="559"/>
      <c r="BYV21" s="559"/>
      <c r="BYW21" s="559"/>
      <c r="BYX21" s="559"/>
      <c r="BYY21" s="559"/>
      <c r="BYZ21" s="559"/>
      <c r="BZA21" s="559"/>
      <c r="BZB21" s="559"/>
      <c r="BZC21" s="559"/>
      <c r="BZD21" s="559"/>
      <c r="BZE21" s="559"/>
      <c r="BZF21" s="559"/>
      <c r="BZG21" s="559"/>
      <c r="BZH21" s="559"/>
      <c r="BZI21" s="559"/>
      <c r="BZJ21" s="559"/>
      <c r="BZK21" s="559"/>
      <c r="BZL21" s="559"/>
      <c r="BZM21" s="559"/>
      <c r="BZN21" s="559"/>
      <c r="BZO21" s="559"/>
      <c r="BZP21" s="559"/>
      <c r="BZQ21" s="559"/>
      <c r="BZR21" s="559"/>
      <c r="BZS21" s="559"/>
      <c r="BZT21" s="559"/>
      <c r="BZU21" s="559"/>
      <c r="BZV21" s="559"/>
      <c r="BZW21" s="559"/>
      <c r="BZX21" s="559"/>
      <c r="BZY21" s="559"/>
      <c r="BZZ21" s="559"/>
      <c r="CAA21" s="559"/>
      <c r="CAB21" s="559"/>
      <c r="CAC21" s="559"/>
      <c r="CAD21" s="559"/>
      <c r="CAE21" s="559"/>
      <c r="CAF21" s="559"/>
      <c r="CAG21" s="559"/>
      <c r="CAH21" s="559"/>
      <c r="CAI21" s="559"/>
      <c r="CAJ21" s="559"/>
      <c r="CAK21" s="559"/>
      <c r="CAL21" s="559"/>
      <c r="CAM21" s="559"/>
      <c r="CAN21" s="559"/>
      <c r="CAO21" s="559"/>
      <c r="CAP21" s="559"/>
      <c r="CAQ21" s="559"/>
      <c r="CAR21" s="559"/>
      <c r="CAS21" s="559"/>
      <c r="CAT21" s="559"/>
      <c r="CAU21" s="559"/>
      <c r="CAV21" s="559"/>
      <c r="CAW21" s="559"/>
      <c r="CAX21" s="559"/>
      <c r="CAY21" s="559"/>
      <c r="CAZ21" s="559"/>
      <c r="CBA21" s="559"/>
      <c r="CBB21" s="559"/>
      <c r="CBC21" s="559"/>
      <c r="CBD21" s="559"/>
      <c r="CBE21" s="559"/>
      <c r="CBF21" s="559"/>
      <c r="CBG21" s="559"/>
      <c r="CBH21" s="559"/>
      <c r="CBI21" s="559"/>
      <c r="CBJ21" s="559"/>
      <c r="CBK21" s="559"/>
      <c r="CBL21" s="559"/>
      <c r="CBM21" s="559"/>
      <c r="CBN21" s="559"/>
      <c r="CBO21" s="559"/>
      <c r="CBP21" s="559"/>
      <c r="CBQ21" s="559"/>
      <c r="CBR21" s="559"/>
      <c r="CBS21" s="559"/>
      <c r="CBT21" s="559"/>
      <c r="CBU21" s="559"/>
      <c r="CBV21" s="559"/>
      <c r="CBW21" s="559"/>
      <c r="CBX21" s="559"/>
      <c r="CBY21" s="559"/>
      <c r="CBZ21" s="559"/>
      <c r="CCA21" s="559"/>
      <c r="CCB21" s="559"/>
      <c r="CCC21" s="559"/>
      <c r="CCD21" s="559"/>
      <c r="CCE21" s="559"/>
      <c r="CCF21" s="559"/>
      <c r="CCG21" s="559"/>
      <c r="CCH21" s="559"/>
      <c r="CCI21" s="559"/>
      <c r="CCJ21" s="559"/>
      <c r="CCK21" s="559"/>
      <c r="CCL21" s="559"/>
      <c r="CCM21" s="559"/>
      <c r="CCN21" s="559"/>
      <c r="CCO21" s="559"/>
      <c r="CCP21" s="559"/>
      <c r="CCQ21" s="559"/>
      <c r="CCR21" s="559"/>
      <c r="CCS21" s="559"/>
      <c r="CCT21" s="559"/>
      <c r="CCU21" s="559"/>
      <c r="CCV21" s="559"/>
      <c r="CCW21" s="559"/>
      <c r="CCX21" s="559"/>
      <c r="CCY21" s="559"/>
      <c r="CCZ21" s="559"/>
      <c r="CDA21" s="559"/>
      <c r="CDB21" s="559"/>
      <c r="CDC21" s="559"/>
      <c r="CDD21" s="559"/>
      <c r="CDE21" s="559"/>
      <c r="CDF21" s="559"/>
      <c r="CDG21" s="559"/>
      <c r="CDH21" s="559"/>
      <c r="CDI21" s="559"/>
      <c r="CDJ21" s="559"/>
      <c r="CDK21" s="559"/>
      <c r="CDL21" s="559"/>
      <c r="CDM21" s="559"/>
      <c r="CDN21" s="559"/>
      <c r="CDO21" s="559"/>
      <c r="CDP21" s="559"/>
      <c r="CDQ21" s="559"/>
      <c r="CDR21" s="559"/>
      <c r="CDS21" s="559"/>
      <c r="CDT21" s="559"/>
      <c r="CDU21" s="559"/>
      <c r="CDV21" s="559"/>
      <c r="CDW21" s="559"/>
      <c r="CDX21" s="559"/>
      <c r="CDY21" s="559"/>
      <c r="CDZ21" s="559"/>
      <c r="CEA21" s="559"/>
      <c r="CEB21" s="559"/>
      <c r="CEC21" s="559"/>
      <c r="CED21" s="559"/>
      <c r="CEE21" s="559"/>
      <c r="CEF21" s="559"/>
      <c r="CEG21" s="559"/>
      <c r="CEH21" s="559"/>
      <c r="CEI21" s="559"/>
      <c r="CEJ21" s="559"/>
      <c r="CEK21" s="559"/>
      <c r="CEL21" s="559"/>
      <c r="CEM21" s="559"/>
      <c r="CEN21" s="559"/>
      <c r="CEO21" s="559"/>
      <c r="CEP21" s="559"/>
      <c r="CEQ21" s="559"/>
      <c r="CER21" s="559"/>
      <c r="CES21" s="559"/>
      <c r="CET21" s="559"/>
      <c r="CEU21" s="559"/>
      <c r="CEV21" s="559"/>
      <c r="CEW21" s="559"/>
      <c r="CEX21" s="559"/>
      <c r="CEY21" s="559"/>
      <c r="CEZ21" s="559"/>
      <c r="CFA21" s="559"/>
      <c r="CFB21" s="559"/>
      <c r="CFC21" s="559"/>
      <c r="CFD21" s="559"/>
      <c r="CFE21" s="559"/>
      <c r="CFF21" s="559"/>
      <c r="CFG21" s="559"/>
      <c r="CFH21" s="559"/>
      <c r="CFI21" s="559"/>
      <c r="CFJ21" s="559"/>
      <c r="CFK21" s="559"/>
      <c r="CFL21" s="559"/>
      <c r="CFM21" s="559"/>
      <c r="CFN21" s="559"/>
      <c r="CFO21" s="559"/>
      <c r="CFP21" s="559"/>
      <c r="CFQ21" s="559"/>
      <c r="CFR21" s="559"/>
      <c r="CFS21" s="559"/>
      <c r="CFT21" s="559"/>
      <c r="CFU21" s="559"/>
      <c r="CFV21" s="559"/>
      <c r="CFW21" s="559"/>
      <c r="CFX21" s="559"/>
      <c r="CFY21" s="559"/>
      <c r="CFZ21" s="559"/>
      <c r="CGA21" s="559"/>
      <c r="CGB21" s="559"/>
      <c r="CGC21" s="559"/>
      <c r="CGD21" s="559"/>
      <c r="CGE21" s="559"/>
      <c r="CGF21" s="559"/>
      <c r="CGG21" s="559"/>
      <c r="CGH21" s="559"/>
      <c r="CGI21" s="559"/>
      <c r="CGJ21" s="559"/>
      <c r="CGK21" s="559"/>
      <c r="CGL21" s="559"/>
      <c r="CGM21" s="559"/>
      <c r="CGN21" s="559"/>
      <c r="CGO21" s="559"/>
      <c r="CGP21" s="559"/>
      <c r="CGQ21" s="559"/>
      <c r="CGR21" s="559"/>
      <c r="CGS21" s="559"/>
      <c r="CGT21" s="559"/>
      <c r="CGU21" s="559"/>
      <c r="CGV21" s="559"/>
      <c r="CGW21" s="559"/>
      <c r="CGX21" s="559"/>
      <c r="CGY21" s="559"/>
      <c r="CGZ21" s="559"/>
      <c r="CHA21" s="559"/>
      <c r="CHB21" s="559"/>
      <c r="CHC21" s="559"/>
      <c r="CHD21" s="559"/>
      <c r="CHE21" s="559"/>
      <c r="CHF21" s="559"/>
      <c r="CHG21" s="559"/>
      <c r="CHH21" s="559"/>
      <c r="CHI21" s="559"/>
      <c r="CHJ21" s="559"/>
      <c r="CHK21" s="559"/>
      <c r="CHL21" s="559"/>
      <c r="CHM21" s="559"/>
      <c r="CHN21" s="559"/>
      <c r="CHO21" s="559"/>
      <c r="CHP21" s="559"/>
      <c r="CHQ21" s="559"/>
      <c r="CHR21" s="559"/>
      <c r="CHS21" s="559"/>
      <c r="CHT21" s="559"/>
      <c r="CHU21" s="559"/>
      <c r="CHV21" s="559"/>
      <c r="CHW21" s="559"/>
      <c r="CHX21" s="559"/>
      <c r="CHY21" s="559"/>
      <c r="CHZ21" s="559"/>
      <c r="CIA21" s="559"/>
      <c r="CIB21" s="559"/>
      <c r="CIC21" s="559"/>
      <c r="CID21" s="559"/>
      <c r="CIE21" s="559"/>
      <c r="CIF21" s="559"/>
      <c r="CIG21" s="559"/>
      <c r="CIH21" s="559"/>
      <c r="CII21" s="559"/>
      <c r="CIJ21" s="559"/>
      <c r="CIK21" s="559"/>
      <c r="CIL21" s="559"/>
      <c r="CIM21" s="559"/>
      <c r="CIN21" s="559"/>
      <c r="CIO21" s="559"/>
      <c r="CIP21" s="559"/>
      <c r="CIQ21" s="559"/>
      <c r="CIR21" s="559"/>
      <c r="CIS21" s="559"/>
      <c r="CIT21" s="559"/>
      <c r="CIU21" s="559"/>
      <c r="CIV21" s="559"/>
      <c r="CIW21" s="559"/>
      <c r="CIX21" s="559"/>
      <c r="CIY21" s="559"/>
      <c r="CIZ21" s="559"/>
      <c r="CJA21" s="559"/>
      <c r="CJB21" s="559"/>
      <c r="CJC21" s="559"/>
      <c r="CJD21" s="559"/>
      <c r="CJE21" s="559"/>
      <c r="CJF21" s="559"/>
      <c r="CJG21" s="559"/>
      <c r="CJH21" s="559"/>
      <c r="CJI21" s="559"/>
      <c r="CJJ21" s="559"/>
      <c r="CJK21" s="559"/>
      <c r="CJL21" s="559"/>
      <c r="CJM21" s="559"/>
      <c r="CJN21" s="559"/>
      <c r="CJO21" s="559"/>
      <c r="CJP21" s="559"/>
      <c r="CJQ21" s="559"/>
      <c r="CJR21" s="559"/>
      <c r="CJS21" s="559"/>
      <c r="CJT21" s="559"/>
      <c r="CJU21" s="559"/>
      <c r="CJV21" s="559"/>
      <c r="CJW21" s="559"/>
      <c r="CJX21" s="559"/>
      <c r="CJY21" s="559"/>
      <c r="CJZ21" s="559"/>
      <c r="CKA21" s="559"/>
      <c r="CKB21" s="559"/>
      <c r="CKC21" s="559"/>
      <c r="CKD21" s="559"/>
      <c r="CKE21" s="559"/>
      <c r="CKF21" s="559"/>
      <c r="CKG21" s="559"/>
      <c r="CKH21" s="559"/>
      <c r="CKI21" s="559"/>
      <c r="CKJ21" s="559"/>
      <c r="CKK21" s="559"/>
      <c r="CKL21" s="559"/>
      <c r="CKM21" s="559"/>
      <c r="CKN21" s="559"/>
      <c r="CKO21" s="559"/>
      <c r="CKP21" s="559"/>
      <c r="CKQ21" s="559"/>
      <c r="CKR21" s="559"/>
      <c r="CKS21" s="559"/>
      <c r="CKT21" s="559"/>
      <c r="CKU21" s="559"/>
      <c r="CKV21" s="559"/>
      <c r="CKW21" s="559"/>
      <c r="CKX21" s="559"/>
      <c r="CKY21" s="559"/>
      <c r="CKZ21" s="559"/>
      <c r="CLA21" s="559"/>
      <c r="CLB21" s="559"/>
      <c r="CLC21" s="559"/>
      <c r="CLD21" s="559"/>
      <c r="CLE21" s="559"/>
      <c r="CLF21" s="559"/>
      <c r="CLG21" s="559"/>
      <c r="CLH21" s="559"/>
      <c r="CLI21" s="559"/>
      <c r="CLJ21" s="559"/>
      <c r="CLK21" s="559"/>
      <c r="CLL21" s="559"/>
      <c r="CLM21" s="559"/>
      <c r="CLN21" s="559"/>
      <c r="CLO21" s="559"/>
      <c r="CLP21" s="559"/>
      <c r="CLQ21" s="559"/>
      <c r="CLR21" s="559"/>
      <c r="CLS21" s="559"/>
      <c r="CLT21" s="559"/>
      <c r="CLU21" s="559"/>
      <c r="CLV21" s="559"/>
      <c r="CLW21" s="559"/>
      <c r="CLX21" s="559"/>
      <c r="CLY21" s="559"/>
      <c r="CLZ21" s="559"/>
      <c r="CMA21" s="559"/>
      <c r="CMB21" s="559"/>
      <c r="CMC21" s="559"/>
      <c r="CMD21" s="559"/>
      <c r="CME21" s="559"/>
      <c r="CMF21" s="559"/>
      <c r="CMG21" s="559"/>
      <c r="CMH21" s="559"/>
      <c r="CMI21" s="559"/>
      <c r="CMJ21" s="559"/>
      <c r="CMK21" s="559"/>
      <c r="CML21" s="559"/>
      <c r="CMM21" s="559"/>
      <c r="CMN21" s="559"/>
      <c r="CMO21" s="559"/>
      <c r="CMP21" s="559"/>
      <c r="CMQ21" s="559"/>
      <c r="CMR21" s="559"/>
      <c r="CMS21" s="559"/>
      <c r="CMT21" s="559"/>
      <c r="CMU21" s="559"/>
      <c r="CMV21" s="559"/>
      <c r="CMW21" s="559"/>
      <c r="CMX21" s="559"/>
      <c r="CMY21" s="559"/>
      <c r="CMZ21" s="559"/>
      <c r="CNA21" s="559"/>
      <c r="CNB21" s="559"/>
      <c r="CNC21" s="559"/>
      <c r="CND21" s="559"/>
      <c r="CNE21" s="559"/>
      <c r="CNF21" s="559"/>
      <c r="CNG21" s="559"/>
      <c r="CNH21" s="559"/>
      <c r="CNI21" s="559"/>
      <c r="CNJ21" s="559"/>
      <c r="CNK21" s="559"/>
      <c r="CNL21" s="559"/>
      <c r="CNM21" s="559"/>
      <c r="CNN21" s="559"/>
      <c r="CNO21" s="559"/>
      <c r="CNP21" s="559"/>
      <c r="CNQ21" s="559"/>
      <c r="CNR21" s="559"/>
      <c r="CNS21" s="559"/>
      <c r="CNT21" s="559"/>
      <c r="CNU21" s="559"/>
      <c r="CNV21" s="559"/>
      <c r="CNW21" s="559"/>
      <c r="CNX21" s="559"/>
      <c r="CNY21" s="559"/>
      <c r="CNZ21" s="559"/>
      <c r="COA21" s="559"/>
      <c r="COB21" s="559"/>
      <c r="COC21" s="559"/>
      <c r="COD21" s="559"/>
      <c r="COE21" s="559"/>
      <c r="COF21" s="559"/>
      <c r="COG21" s="559"/>
      <c r="COH21" s="559"/>
      <c r="COI21" s="559"/>
      <c r="COJ21" s="559"/>
      <c r="COK21" s="559"/>
      <c r="COL21" s="559"/>
      <c r="COM21" s="559"/>
      <c r="CON21" s="559"/>
      <c r="COO21" s="559"/>
      <c r="COP21" s="559"/>
      <c r="COQ21" s="559"/>
      <c r="COR21" s="559"/>
      <c r="COS21" s="559"/>
      <c r="COT21" s="559"/>
      <c r="COU21" s="559"/>
      <c r="COV21" s="559"/>
      <c r="COW21" s="559"/>
      <c r="COX21" s="559"/>
      <c r="COY21" s="559"/>
      <c r="COZ21" s="559"/>
      <c r="CPA21" s="559"/>
      <c r="CPB21" s="559"/>
      <c r="CPC21" s="559"/>
      <c r="CPD21" s="559"/>
      <c r="CPE21" s="559"/>
      <c r="CPF21" s="559"/>
      <c r="CPG21" s="559"/>
      <c r="CPH21" s="559"/>
      <c r="CPI21" s="559"/>
      <c r="CPJ21" s="559"/>
      <c r="CPK21" s="559"/>
      <c r="CPL21" s="559"/>
      <c r="CPM21" s="559"/>
      <c r="CPN21" s="559"/>
      <c r="CPO21" s="559"/>
      <c r="CPP21" s="559"/>
      <c r="CPQ21" s="559"/>
      <c r="CPR21" s="559"/>
      <c r="CPS21" s="559"/>
      <c r="CPT21" s="559"/>
      <c r="CPU21" s="559"/>
      <c r="CPV21" s="559"/>
      <c r="CPW21" s="559"/>
      <c r="CPX21" s="559"/>
      <c r="CPY21" s="559"/>
      <c r="CPZ21" s="559"/>
      <c r="CQA21" s="559"/>
      <c r="CQB21" s="559"/>
      <c r="CQC21" s="559"/>
      <c r="CQD21" s="559"/>
      <c r="CQE21" s="559"/>
      <c r="CQF21" s="559"/>
      <c r="CQG21" s="559"/>
      <c r="CQH21" s="559"/>
      <c r="CQI21" s="559"/>
      <c r="CQJ21" s="559"/>
      <c r="CQK21" s="559"/>
      <c r="CQL21" s="559"/>
      <c r="CQM21" s="559"/>
      <c r="CQN21" s="559"/>
      <c r="CQO21" s="559"/>
      <c r="CQP21" s="559"/>
      <c r="CQQ21" s="559"/>
      <c r="CQR21" s="559"/>
      <c r="CQS21" s="559"/>
      <c r="CQT21" s="559"/>
      <c r="CQU21" s="559"/>
      <c r="CQV21" s="559"/>
      <c r="CQW21" s="559"/>
      <c r="CQX21" s="559"/>
      <c r="CQY21" s="559"/>
      <c r="CQZ21" s="559"/>
      <c r="CRA21" s="559"/>
      <c r="CRB21" s="559"/>
      <c r="CRC21" s="559"/>
      <c r="CRD21" s="559"/>
      <c r="CRE21" s="559"/>
      <c r="CRF21" s="559"/>
      <c r="CRG21" s="559"/>
      <c r="CRH21" s="559"/>
      <c r="CRI21" s="559"/>
      <c r="CRJ21" s="559"/>
      <c r="CRK21" s="559"/>
      <c r="CRL21" s="559"/>
      <c r="CRM21" s="559"/>
      <c r="CRN21" s="559"/>
      <c r="CRO21" s="559"/>
      <c r="CRP21" s="559"/>
      <c r="CRQ21" s="559"/>
      <c r="CRR21" s="559"/>
      <c r="CRS21" s="559"/>
      <c r="CRT21" s="559"/>
      <c r="CRU21" s="559"/>
      <c r="CRV21" s="559"/>
      <c r="CRW21" s="559"/>
      <c r="CRX21" s="559"/>
      <c r="CRY21" s="559"/>
      <c r="CRZ21" s="559"/>
      <c r="CSA21" s="559"/>
      <c r="CSB21" s="559"/>
      <c r="CSC21" s="559"/>
      <c r="CSD21" s="559"/>
      <c r="CSE21" s="559"/>
      <c r="CSF21" s="559"/>
      <c r="CSG21" s="559"/>
      <c r="CSH21" s="559"/>
      <c r="CSI21" s="559"/>
      <c r="CSJ21" s="559"/>
      <c r="CSK21" s="559"/>
      <c r="CSL21" s="559"/>
      <c r="CSM21" s="559"/>
      <c r="CSN21" s="559"/>
      <c r="CSO21" s="559"/>
      <c r="CSP21" s="559"/>
      <c r="CSQ21" s="559"/>
      <c r="CSR21" s="559"/>
      <c r="CSS21" s="559"/>
      <c r="CST21" s="559"/>
      <c r="CSU21" s="559"/>
      <c r="CSV21" s="559"/>
      <c r="CSW21" s="559"/>
      <c r="CSX21" s="559"/>
      <c r="CSY21" s="559"/>
      <c r="CSZ21" s="559"/>
      <c r="CTA21" s="559"/>
      <c r="CTB21" s="559"/>
      <c r="CTC21" s="559"/>
      <c r="CTD21" s="559"/>
      <c r="CTE21" s="559"/>
      <c r="CTF21" s="559"/>
      <c r="CTG21" s="559"/>
      <c r="CTH21" s="559"/>
      <c r="CTI21" s="559"/>
      <c r="CTJ21" s="559"/>
      <c r="CTK21" s="559"/>
      <c r="CTL21" s="559"/>
      <c r="CTM21" s="559"/>
      <c r="CTN21" s="559"/>
      <c r="CTO21" s="559"/>
      <c r="CTP21" s="559"/>
      <c r="CTQ21" s="559"/>
      <c r="CTR21" s="559"/>
      <c r="CTS21" s="559"/>
      <c r="CTT21" s="559"/>
      <c r="CTU21" s="559"/>
      <c r="CTV21" s="559"/>
      <c r="CTW21" s="559"/>
      <c r="CTX21" s="559"/>
      <c r="CTY21" s="559"/>
      <c r="CTZ21" s="559"/>
      <c r="CUA21" s="559"/>
      <c r="CUB21" s="559"/>
      <c r="CUC21" s="559"/>
      <c r="CUD21" s="559"/>
      <c r="CUE21" s="559"/>
      <c r="CUF21" s="559"/>
      <c r="CUG21" s="559"/>
      <c r="CUH21" s="559"/>
      <c r="CUI21" s="559"/>
      <c r="CUJ21" s="559"/>
      <c r="CUK21" s="559"/>
      <c r="CUL21" s="559"/>
      <c r="CUM21" s="559"/>
      <c r="CUN21" s="559"/>
      <c r="CUO21" s="559"/>
      <c r="CUP21" s="559"/>
      <c r="CUQ21" s="559"/>
      <c r="CUR21" s="559"/>
      <c r="CUS21" s="559"/>
      <c r="CUT21" s="559"/>
      <c r="CUU21" s="559"/>
      <c r="CUV21" s="559"/>
      <c r="CUW21" s="559"/>
      <c r="CUX21" s="559"/>
      <c r="CUY21" s="559"/>
      <c r="CUZ21" s="559"/>
      <c r="CVA21" s="559"/>
      <c r="CVB21" s="559"/>
      <c r="CVC21" s="559"/>
      <c r="CVD21" s="559"/>
      <c r="CVE21" s="559"/>
      <c r="CVF21" s="559"/>
      <c r="CVG21" s="559"/>
      <c r="CVH21" s="559"/>
      <c r="CVI21" s="559"/>
      <c r="CVJ21" s="559"/>
      <c r="CVK21" s="559"/>
      <c r="CVL21" s="559"/>
      <c r="CVM21" s="559"/>
      <c r="CVN21" s="559"/>
      <c r="CVO21" s="559"/>
      <c r="CVP21" s="559"/>
      <c r="CVQ21" s="559"/>
      <c r="CVR21" s="559"/>
      <c r="CVS21" s="559"/>
      <c r="CVT21" s="559"/>
      <c r="CVU21" s="559"/>
      <c r="CVV21" s="559"/>
      <c r="CVW21" s="559"/>
      <c r="CVX21" s="559"/>
      <c r="CVY21" s="559"/>
      <c r="CVZ21" s="559"/>
      <c r="CWA21" s="559"/>
      <c r="CWB21" s="559"/>
      <c r="CWC21" s="559"/>
      <c r="CWD21" s="559"/>
      <c r="CWE21" s="559"/>
      <c r="CWF21" s="559"/>
      <c r="CWG21" s="559"/>
      <c r="CWH21" s="559"/>
      <c r="CWI21" s="559"/>
      <c r="CWJ21" s="559"/>
      <c r="CWK21" s="559"/>
      <c r="CWL21" s="559"/>
      <c r="CWM21" s="559"/>
      <c r="CWN21" s="559"/>
      <c r="CWO21" s="559"/>
      <c r="CWP21" s="559"/>
      <c r="CWQ21" s="559"/>
      <c r="CWR21" s="559"/>
      <c r="CWS21" s="559"/>
      <c r="CWT21" s="559"/>
      <c r="CWU21" s="559"/>
      <c r="CWV21" s="559"/>
      <c r="CWW21" s="559"/>
      <c r="CWX21" s="559"/>
      <c r="CWY21" s="559"/>
      <c r="CWZ21" s="559"/>
      <c r="CXA21" s="559"/>
      <c r="CXB21" s="559"/>
      <c r="CXC21" s="559"/>
      <c r="CXD21" s="559"/>
      <c r="CXE21" s="559"/>
      <c r="CXF21" s="559"/>
      <c r="CXG21" s="559"/>
      <c r="CXH21" s="559"/>
      <c r="CXI21" s="559"/>
      <c r="CXJ21" s="559"/>
      <c r="CXK21" s="559"/>
      <c r="CXL21" s="559"/>
      <c r="CXM21" s="559"/>
      <c r="CXN21" s="559"/>
      <c r="CXO21" s="559"/>
      <c r="CXP21" s="559"/>
      <c r="CXQ21" s="559"/>
      <c r="CXR21" s="559"/>
      <c r="CXS21" s="559"/>
      <c r="CXT21" s="559"/>
      <c r="CXU21" s="559"/>
      <c r="CXV21" s="559"/>
      <c r="CXW21" s="559"/>
      <c r="CXX21" s="559"/>
      <c r="CXY21" s="559"/>
      <c r="CXZ21" s="559"/>
      <c r="CYA21" s="559"/>
      <c r="CYB21" s="559"/>
      <c r="CYC21" s="559"/>
      <c r="CYD21" s="559"/>
      <c r="CYE21" s="559"/>
      <c r="CYF21" s="559"/>
      <c r="CYG21" s="559"/>
      <c r="CYH21" s="559"/>
      <c r="CYI21" s="559"/>
      <c r="CYJ21" s="559"/>
      <c r="CYK21" s="559"/>
      <c r="CYL21" s="559"/>
      <c r="CYM21" s="559"/>
      <c r="CYN21" s="559"/>
      <c r="CYO21" s="559"/>
      <c r="CYP21" s="559"/>
      <c r="CYQ21" s="559"/>
      <c r="CYR21" s="559"/>
      <c r="CYS21" s="559"/>
      <c r="CYT21" s="559"/>
      <c r="CYU21" s="559"/>
      <c r="CYV21" s="559"/>
      <c r="CYW21" s="559"/>
      <c r="CYX21" s="559"/>
      <c r="CYY21" s="559"/>
      <c r="CYZ21" s="559"/>
      <c r="CZA21" s="559"/>
      <c r="CZB21" s="559"/>
      <c r="CZC21" s="559"/>
      <c r="CZD21" s="559"/>
      <c r="CZE21" s="559"/>
      <c r="CZF21" s="559"/>
      <c r="CZG21" s="559"/>
      <c r="CZH21" s="559"/>
      <c r="CZI21" s="559"/>
      <c r="CZJ21" s="559"/>
      <c r="CZK21" s="559"/>
      <c r="CZL21" s="559"/>
      <c r="CZM21" s="559"/>
      <c r="CZN21" s="559"/>
      <c r="CZO21" s="559"/>
      <c r="CZP21" s="559"/>
      <c r="CZQ21" s="559"/>
      <c r="CZR21" s="559"/>
      <c r="CZS21" s="559"/>
      <c r="CZT21" s="559"/>
      <c r="CZU21" s="559"/>
      <c r="CZV21" s="559"/>
      <c r="CZW21" s="559"/>
      <c r="CZX21" s="559"/>
      <c r="CZY21" s="559"/>
      <c r="CZZ21" s="559"/>
      <c r="DAA21" s="559"/>
      <c r="DAB21" s="559"/>
      <c r="DAC21" s="559"/>
      <c r="DAD21" s="559"/>
      <c r="DAE21" s="559"/>
      <c r="DAF21" s="559"/>
      <c r="DAG21" s="559"/>
      <c r="DAH21" s="559"/>
      <c r="DAI21" s="559"/>
      <c r="DAJ21" s="559"/>
      <c r="DAK21" s="559"/>
      <c r="DAL21" s="559"/>
      <c r="DAM21" s="559"/>
      <c r="DAN21" s="559"/>
      <c r="DAO21" s="559"/>
      <c r="DAP21" s="559"/>
      <c r="DAQ21" s="559"/>
      <c r="DAR21" s="559"/>
      <c r="DAS21" s="559"/>
      <c r="DAT21" s="559"/>
      <c r="DAU21" s="559"/>
      <c r="DAV21" s="559"/>
      <c r="DAW21" s="559"/>
      <c r="DAX21" s="559"/>
      <c r="DAY21" s="559"/>
      <c r="DAZ21" s="559"/>
      <c r="DBA21" s="559"/>
      <c r="DBB21" s="559"/>
      <c r="DBC21" s="559"/>
      <c r="DBD21" s="559"/>
      <c r="DBE21" s="559"/>
      <c r="DBF21" s="559"/>
      <c r="DBG21" s="559"/>
      <c r="DBH21" s="559"/>
      <c r="DBI21" s="559"/>
      <c r="DBJ21" s="559"/>
      <c r="DBK21" s="559"/>
      <c r="DBL21" s="559"/>
      <c r="DBM21" s="559"/>
      <c r="DBN21" s="559"/>
      <c r="DBO21" s="559"/>
      <c r="DBP21" s="559"/>
      <c r="DBQ21" s="559"/>
      <c r="DBR21" s="559"/>
      <c r="DBS21" s="559"/>
      <c r="DBT21" s="559"/>
      <c r="DBU21" s="559"/>
      <c r="DBV21" s="559"/>
      <c r="DBW21" s="559"/>
      <c r="DBX21" s="559"/>
      <c r="DBY21" s="559"/>
      <c r="DBZ21" s="559"/>
      <c r="DCA21" s="559"/>
      <c r="DCB21" s="559"/>
      <c r="DCC21" s="559"/>
      <c r="DCD21" s="559"/>
      <c r="DCE21" s="559"/>
      <c r="DCF21" s="559"/>
      <c r="DCG21" s="559"/>
      <c r="DCH21" s="559"/>
      <c r="DCI21" s="559"/>
      <c r="DCJ21" s="559"/>
      <c r="DCK21" s="559"/>
      <c r="DCL21" s="559"/>
      <c r="DCM21" s="559"/>
      <c r="DCN21" s="559"/>
      <c r="DCO21" s="559"/>
      <c r="DCP21" s="559"/>
      <c r="DCQ21" s="559"/>
      <c r="DCR21" s="559"/>
      <c r="DCS21" s="559"/>
      <c r="DCT21" s="559"/>
      <c r="DCU21" s="559"/>
      <c r="DCV21" s="559"/>
      <c r="DCW21" s="559"/>
      <c r="DCX21" s="559"/>
      <c r="DCY21" s="559"/>
      <c r="DCZ21" s="559"/>
      <c r="DDA21" s="559"/>
      <c r="DDB21" s="559"/>
      <c r="DDC21" s="559"/>
      <c r="DDD21" s="559"/>
      <c r="DDE21" s="559"/>
      <c r="DDF21" s="559"/>
      <c r="DDG21" s="559"/>
      <c r="DDH21" s="559"/>
      <c r="DDI21" s="559"/>
      <c r="DDJ21" s="559"/>
      <c r="DDK21" s="559"/>
      <c r="DDL21" s="559"/>
      <c r="DDM21" s="559"/>
      <c r="DDN21" s="559"/>
      <c r="DDO21" s="559"/>
      <c r="DDP21" s="559"/>
      <c r="DDQ21" s="559"/>
      <c r="DDR21" s="559"/>
      <c r="DDS21" s="559"/>
      <c r="DDT21" s="559"/>
      <c r="DDU21" s="559"/>
      <c r="DDV21" s="559"/>
      <c r="DDW21" s="559"/>
      <c r="DDX21" s="559"/>
      <c r="DDY21" s="559"/>
      <c r="DDZ21" s="559"/>
      <c r="DEA21" s="559"/>
      <c r="DEB21" s="559"/>
      <c r="DEC21" s="559"/>
      <c r="DED21" s="559"/>
      <c r="DEE21" s="559"/>
      <c r="DEF21" s="559"/>
      <c r="DEG21" s="559"/>
      <c r="DEH21" s="559"/>
      <c r="DEI21" s="559"/>
      <c r="DEJ21" s="559"/>
      <c r="DEK21" s="559"/>
      <c r="DEL21" s="559"/>
      <c r="DEM21" s="559"/>
      <c r="DEN21" s="559"/>
      <c r="DEO21" s="559"/>
      <c r="DEP21" s="559"/>
      <c r="DEQ21" s="559"/>
      <c r="DER21" s="559"/>
      <c r="DES21" s="559"/>
      <c r="DET21" s="559"/>
      <c r="DEU21" s="559"/>
      <c r="DEV21" s="559"/>
      <c r="DEW21" s="559"/>
      <c r="DEX21" s="559"/>
      <c r="DEY21" s="559"/>
      <c r="DEZ21" s="559"/>
      <c r="DFA21" s="559"/>
      <c r="DFB21" s="559"/>
      <c r="DFC21" s="559"/>
      <c r="DFD21" s="559"/>
      <c r="DFE21" s="559"/>
      <c r="DFF21" s="559"/>
      <c r="DFG21" s="559"/>
      <c r="DFH21" s="559"/>
      <c r="DFI21" s="559"/>
      <c r="DFJ21" s="559"/>
      <c r="DFK21" s="559"/>
      <c r="DFL21" s="559"/>
      <c r="DFM21" s="559"/>
      <c r="DFN21" s="559"/>
      <c r="DFO21" s="559"/>
      <c r="DFP21" s="559"/>
      <c r="DFQ21" s="559"/>
      <c r="DFR21" s="559"/>
      <c r="DFS21" s="559"/>
      <c r="DFT21" s="559"/>
      <c r="DFU21" s="559"/>
      <c r="DFV21" s="559"/>
      <c r="DFW21" s="559"/>
      <c r="DFX21" s="559"/>
      <c r="DFY21" s="559"/>
      <c r="DFZ21" s="559"/>
      <c r="DGA21" s="559"/>
      <c r="DGB21" s="559"/>
      <c r="DGC21" s="559"/>
      <c r="DGD21" s="559"/>
      <c r="DGE21" s="559"/>
      <c r="DGF21" s="559"/>
      <c r="DGG21" s="559"/>
      <c r="DGH21" s="559"/>
      <c r="DGI21" s="559"/>
      <c r="DGJ21" s="559"/>
      <c r="DGK21" s="559"/>
      <c r="DGL21" s="559"/>
      <c r="DGM21" s="559"/>
      <c r="DGN21" s="559"/>
      <c r="DGO21" s="559"/>
      <c r="DGP21" s="559"/>
      <c r="DGQ21" s="559"/>
      <c r="DGR21" s="559"/>
      <c r="DGS21" s="559"/>
      <c r="DGT21" s="559"/>
      <c r="DGU21" s="559"/>
      <c r="DGV21" s="559"/>
      <c r="DGW21" s="559"/>
      <c r="DGX21" s="559"/>
      <c r="DGY21" s="559"/>
      <c r="DGZ21" s="559"/>
      <c r="DHA21" s="559"/>
      <c r="DHB21" s="559"/>
      <c r="DHC21" s="559"/>
      <c r="DHD21" s="559"/>
      <c r="DHE21" s="559"/>
      <c r="DHF21" s="559"/>
      <c r="DHG21" s="559"/>
      <c r="DHH21" s="559"/>
      <c r="DHI21" s="559"/>
      <c r="DHJ21" s="559"/>
      <c r="DHK21" s="559"/>
      <c r="DHL21" s="559"/>
      <c r="DHM21" s="559"/>
      <c r="DHN21" s="559"/>
      <c r="DHO21" s="559"/>
      <c r="DHP21" s="559"/>
      <c r="DHQ21" s="559"/>
      <c r="DHR21" s="559"/>
      <c r="DHS21" s="559"/>
      <c r="DHT21" s="559"/>
      <c r="DHU21" s="559"/>
      <c r="DHV21" s="559"/>
      <c r="DHW21" s="559"/>
      <c r="DHX21" s="559"/>
      <c r="DHY21" s="559"/>
      <c r="DHZ21" s="559"/>
      <c r="DIA21" s="559"/>
      <c r="DIB21" s="559"/>
      <c r="DIC21" s="559"/>
      <c r="DID21" s="559"/>
      <c r="DIE21" s="559"/>
      <c r="DIF21" s="559"/>
      <c r="DIG21" s="559"/>
      <c r="DIH21" s="559"/>
      <c r="DII21" s="559"/>
      <c r="DIJ21" s="559"/>
      <c r="DIK21" s="559"/>
      <c r="DIL21" s="559"/>
      <c r="DIM21" s="559"/>
      <c r="DIN21" s="559"/>
      <c r="DIO21" s="559"/>
      <c r="DIP21" s="559"/>
      <c r="DIQ21" s="559"/>
      <c r="DIR21" s="559"/>
      <c r="DIS21" s="559"/>
      <c r="DIT21" s="559"/>
      <c r="DIU21" s="559"/>
      <c r="DIV21" s="559"/>
      <c r="DIW21" s="559"/>
      <c r="DIX21" s="559"/>
      <c r="DIY21" s="559"/>
      <c r="DIZ21" s="559"/>
      <c r="DJA21" s="559"/>
      <c r="DJB21" s="559"/>
      <c r="DJC21" s="559"/>
      <c r="DJD21" s="559"/>
      <c r="DJE21" s="559"/>
      <c r="DJF21" s="559"/>
      <c r="DJG21" s="559"/>
      <c r="DJH21" s="559"/>
      <c r="DJI21" s="559"/>
      <c r="DJJ21" s="559"/>
      <c r="DJK21" s="559"/>
      <c r="DJL21" s="559"/>
      <c r="DJM21" s="559"/>
      <c r="DJN21" s="559"/>
      <c r="DJO21" s="559"/>
      <c r="DJP21" s="559"/>
      <c r="DJQ21" s="559"/>
      <c r="DJR21" s="559"/>
      <c r="DJS21" s="559"/>
      <c r="DJT21" s="559"/>
      <c r="DJU21" s="559"/>
      <c r="DJV21" s="559"/>
      <c r="DJW21" s="559"/>
      <c r="DJX21" s="559"/>
      <c r="DJY21" s="559"/>
      <c r="DJZ21" s="559"/>
      <c r="DKA21" s="559"/>
      <c r="DKB21" s="559"/>
      <c r="DKC21" s="559"/>
      <c r="DKD21" s="559"/>
      <c r="DKE21" s="559"/>
      <c r="DKF21" s="559"/>
      <c r="DKG21" s="559"/>
      <c r="DKH21" s="559"/>
      <c r="DKI21" s="559"/>
      <c r="DKJ21" s="559"/>
      <c r="DKK21" s="559"/>
      <c r="DKL21" s="559"/>
      <c r="DKM21" s="559"/>
      <c r="DKN21" s="559"/>
      <c r="DKO21" s="559"/>
      <c r="DKP21" s="559"/>
      <c r="DKQ21" s="559"/>
      <c r="DKR21" s="559"/>
      <c r="DKS21" s="559"/>
      <c r="DKT21" s="559"/>
      <c r="DKU21" s="559"/>
      <c r="DKV21" s="559"/>
      <c r="DKW21" s="559"/>
      <c r="DKX21" s="559"/>
      <c r="DKY21" s="559"/>
      <c r="DKZ21" s="559"/>
      <c r="DLA21" s="559"/>
      <c r="DLB21" s="559"/>
      <c r="DLC21" s="559"/>
      <c r="DLD21" s="559"/>
      <c r="DLE21" s="559"/>
      <c r="DLF21" s="559"/>
      <c r="DLG21" s="559"/>
      <c r="DLH21" s="559"/>
      <c r="DLI21" s="559"/>
      <c r="DLJ21" s="559"/>
      <c r="DLK21" s="559"/>
      <c r="DLL21" s="559"/>
      <c r="DLM21" s="559"/>
      <c r="DLN21" s="559"/>
      <c r="DLO21" s="559"/>
      <c r="DLP21" s="559"/>
      <c r="DLQ21" s="559"/>
      <c r="DLR21" s="559"/>
      <c r="DLS21" s="559"/>
      <c r="DLT21" s="559"/>
      <c r="DLU21" s="559"/>
      <c r="DLV21" s="559"/>
      <c r="DLW21" s="559"/>
      <c r="DLX21" s="559"/>
      <c r="DLY21" s="559"/>
      <c r="DLZ21" s="559"/>
      <c r="DMA21" s="559"/>
      <c r="DMB21" s="559"/>
      <c r="DMC21" s="559"/>
      <c r="DMD21" s="559"/>
      <c r="DME21" s="559"/>
      <c r="DMF21" s="559"/>
      <c r="DMG21" s="559"/>
      <c r="DMH21" s="559"/>
      <c r="DMI21" s="559"/>
      <c r="DMJ21" s="559"/>
      <c r="DMK21" s="559"/>
      <c r="DML21" s="559"/>
      <c r="DMM21" s="559"/>
      <c r="DMN21" s="559"/>
      <c r="DMO21" s="559"/>
      <c r="DMP21" s="559"/>
      <c r="DMQ21" s="559"/>
      <c r="DMR21" s="559"/>
      <c r="DMS21" s="559"/>
      <c r="DMT21" s="559"/>
      <c r="DMU21" s="559"/>
      <c r="DMV21" s="559"/>
      <c r="DMW21" s="559"/>
      <c r="DMX21" s="559"/>
      <c r="DMY21" s="559"/>
      <c r="DMZ21" s="559"/>
      <c r="DNA21" s="559"/>
      <c r="DNB21" s="559"/>
      <c r="DNC21" s="559"/>
      <c r="DND21" s="559"/>
      <c r="DNE21" s="559"/>
      <c r="DNF21" s="559"/>
      <c r="DNG21" s="559"/>
      <c r="DNH21" s="559"/>
      <c r="DNI21" s="559"/>
      <c r="DNJ21" s="559"/>
      <c r="DNK21" s="559"/>
      <c r="DNL21" s="559"/>
      <c r="DNM21" s="559"/>
      <c r="DNN21" s="559"/>
      <c r="DNO21" s="559"/>
      <c r="DNP21" s="559"/>
      <c r="DNQ21" s="559"/>
      <c r="DNR21" s="559"/>
      <c r="DNS21" s="559"/>
      <c r="DNT21" s="559"/>
      <c r="DNU21" s="559"/>
      <c r="DNV21" s="559"/>
      <c r="DNW21" s="559"/>
      <c r="DNX21" s="559"/>
      <c r="DNY21" s="559"/>
      <c r="DNZ21" s="559"/>
      <c r="DOA21" s="559"/>
      <c r="DOB21" s="559"/>
      <c r="DOC21" s="559"/>
      <c r="DOD21" s="559"/>
      <c r="DOE21" s="559"/>
      <c r="DOF21" s="559"/>
      <c r="DOG21" s="559"/>
      <c r="DOH21" s="559"/>
      <c r="DOI21" s="559"/>
      <c r="DOJ21" s="559"/>
      <c r="DOK21" s="559"/>
      <c r="DOL21" s="559"/>
      <c r="DOM21" s="559"/>
      <c r="DON21" s="559"/>
      <c r="DOO21" s="559"/>
      <c r="DOP21" s="559"/>
      <c r="DOQ21" s="559"/>
      <c r="DOR21" s="559"/>
      <c r="DOS21" s="559"/>
      <c r="DOT21" s="559"/>
      <c r="DOU21" s="559"/>
      <c r="DOV21" s="559"/>
      <c r="DOW21" s="559"/>
      <c r="DOX21" s="559"/>
      <c r="DOY21" s="559"/>
      <c r="DOZ21" s="559"/>
      <c r="DPA21" s="559"/>
      <c r="DPB21" s="559"/>
      <c r="DPC21" s="559"/>
      <c r="DPD21" s="559"/>
      <c r="DPE21" s="559"/>
      <c r="DPF21" s="559"/>
      <c r="DPG21" s="559"/>
      <c r="DPH21" s="559"/>
      <c r="DPI21" s="559"/>
      <c r="DPJ21" s="559"/>
      <c r="DPK21" s="559"/>
      <c r="DPL21" s="559"/>
      <c r="DPM21" s="559"/>
      <c r="DPN21" s="559"/>
      <c r="DPO21" s="559"/>
      <c r="DPP21" s="559"/>
      <c r="DPQ21" s="559"/>
      <c r="DPR21" s="559"/>
      <c r="DPS21" s="559"/>
      <c r="DPT21" s="559"/>
      <c r="DPU21" s="559"/>
      <c r="DPV21" s="559"/>
      <c r="DPW21" s="559"/>
      <c r="DPX21" s="559"/>
      <c r="DPY21" s="559"/>
      <c r="DPZ21" s="559"/>
      <c r="DQA21" s="559"/>
      <c r="DQB21" s="559"/>
      <c r="DQC21" s="559"/>
      <c r="DQD21" s="559"/>
      <c r="DQE21" s="559"/>
      <c r="DQF21" s="559"/>
      <c r="DQG21" s="559"/>
      <c r="DQH21" s="559"/>
      <c r="DQI21" s="559"/>
      <c r="DQJ21" s="559"/>
      <c r="DQK21" s="559"/>
      <c r="DQL21" s="559"/>
      <c r="DQM21" s="559"/>
      <c r="DQN21" s="559"/>
      <c r="DQO21" s="559"/>
      <c r="DQP21" s="559"/>
      <c r="DQQ21" s="559"/>
      <c r="DQR21" s="559"/>
      <c r="DQS21" s="559"/>
      <c r="DQT21" s="559"/>
      <c r="DQU21" s="559"/>
      <c r="DQV21" s="559"/>
      <c r="DQW21" s="559"/>
      <c r="DQX21" s="559"/>
      <c r="DQY21" s="559"/>
      <c r="DQZ21" s="559"/>
      <c r="DRA21" s="559"/>
      <c r="DRB21" s="559"/>
      <c r="DRC21" s="559"/>
      <c r="DRD21" s="559"/>
      <c r="DRE21" s="559"/>
      <c r="DRF21" s="559"/>
      <c r="DRG21" s="559"/>
      <c r="DRH21" s="559"/>
      <c r="DRI21" s="559"/>
      <c r="DRJ21" s="559"/>
      <c r="DRK21" s="559"/>
      <c r="DRL21" s="559"/>
      <c r="DRM21" s="559"/>
      <c r="DRN21" s="559"/>
      <c r="DRO21" s="559"/>
      <c r="DRP21" s="559"/>
      <c r="DRQ21" s="559"/>
      <c r="DRR21" s="559"/>
      <c r="DRS21" s="559"/>
      <c r="DRT21" s="559"/>
      <c r="DRU21" s="559"/>
      <c r="DRV21" s="559"/>
      <c r="DRW21" s="559"/>
      <c r="DRX21" s="559"/>
      <c r="DRY21" s="559"/>
      <c r="DRZ21" s="559"/>
      <c r="DSA21" s="559"/>
      <c r="DSB21" s="559"/>
      <c r="DSC21" s="559"/>
      <c r="DSD21" s="559"/>
      <c r="DSE21" s="559"/>
      <c r="DSF21" s="559"/>
      <c r="DSG21" s="559"/>
      <c r="DSH21" s="559"/>
      <c r="DSI21" s="559"/>
      <c r="DSJ21" s="559"/>
      <c r="DSK21" s="559"/>
      <c r="DSL21" s="559"/>
      <c r="DSM21" s="559"/>
      <c r="DSN21" s="559"/>
      <c r="DSO21" s="559"/>
      <c r="DSP21" s="559"/>
      <c r="DSQ21" s="559"/>
      <c r="DSR21" s="559"/>
      <c r="DSS21" s="559"/>
      <c r="DST21" s="559"/>
      <c r="DSU21" s="559"/>
      <c r="DSV21" s="559"/>
      <c r="DSW21" s="559"/>
      <c r="DSX21" s="559"/>
      <c r="DSY21" s="559"/>
      <c r="DSZ21" s="559"/>
      <c r="DTA21" s="559"/>
      <c r="DTB21" s="559"/>
      <c r="DTC21" s="559"/>
      <c r="DTD21" s="559"/>
      <c r="DTE21" s="559"/>
      <c r="DTF21" s="559"/>
      <c r="DTG21" s="559"/>
      <c r="DTH21" s="559"/>
      <c r="DTI21" s="559"/>
      <c r="DTJ21" s="559"/>
      <c r="DTK21" s="559"/>
      <c r="DTL21" s="559"/>
      <c r="DTM21" s="559"/>
      <c r="DTN21" s="559"/>
      <c r="DTO21" s="559"/>
      <c r="DTP21" s="559"/>
      <c r="DTQ21" s="559"/>
      <c r="DTR21" s="559"/>
      <c r="DTS21" s="559"/>
      <c r="DTT21" s="559"/>
      <c r="DTU21" s="559"/>
      <c r="DTV21" s="559"/>
      <c r="DTW21" s="559"/>
      <c r="DTX21" s="559"/>
      <c r="DTY21" s="559"/>
      <c r="DTZ21" s="559"/>
      <c r="DUA21" s="559"/>
      <c r="DUB21" s="559"/>
      <c r="DUC21" s="559"/>
      <c r="DUD21" s="559"/>
      <c r="DUE21" s="559"/>
      <c r="DUF21" s="559"/>
      <c r="DUG21" s="559"/>
      <c r="DUH21" s="559"/>
      <c r="DUI21" s="559"/>
      <c r="DUJ21" s="559"/>
      <c r="DUK21" s="559"/>
      <c r="DUL21" s="559"/>
      <c r="DUM21" s="559"/>
      <c r="DUN21" s="559"/>
      <c r="DUO21" s="559"/>
      <c r="DUP21" s="559"/>
      <c r="DUQ21" s="559"/>
      <c r="DUR21" s="559"/>
      <c r="DUS21" s="559"/>
      <c r="DUT21" s="559"/>
      <c r="DUU21" s="559"/>
      <c r="DUV21" s="559"/>
      <c r="DUW21" s="559"/>
      <c r="DUX21" s="559"/>
      <c r="DUY21" s="559"/>
      <c r="DUZ21" s="559"/>
      <c r="DVA21" s="559"/>
      <c r="DVB21" s="559"/>
      <c r="DVC21" s="559"/>
      <c r="DVD21" s="559"/>
      <c r="DVE21" s="559"/>
      <c r="DVF21" s="559"/>
      <c r="DVG21" s="559"/>
      <c r="DVH21" s="559"/>
      <c r="DVI21" s="559"/>
      <c r="DVJ21" s="559"/>
      <c r="DVK21" s="559"/>
      <c r="DVL21" s="559"/>
      <c r="DVM21" s="559"/>
      <c r="DVN21" s="559"/>
      <c r="DVO21" s="559"/>
      <c r="DVP21" s="559"/>
      <c r="DVQ21" s="559"/>
      <c r="DVR21" s="559"/>
      <c r="DVS21" s="559"/>
      <c r="DVT21" s="559"/>
      <c r="DVU21" s="559"/>
      <c r="DVV21" s="559"/>
      <c r="DVW21" s="559"/>
      <c r="DVX21" s="559"/>
      <c r="DVY21" s="559"/>
      <c r="DVZ21" s="559"/>
      <c r="DWA21" s="559"/>
      <c r="DWB21" s="559"/>
      <c r="DWC21" s="559"/>
      <c r="DWD21" s="559"/>
      <c r="DWE21" s="559"/>
      <c r="DWF21" s="559"/>
      <c r="DWG21" s="559"/>
      <c r="DWH21" s="559"/>
      <c r="DWI21" s="559"/>
      <c r="DWJ21" s="559"/>
      <c r="DWK21" s="559"/>
      <c r="DWL21" s="559"/>
      <c r="DWM21" s="559"/>
      <c r="DWN21" s="559"/>
      <c r="DWO21" s="559"/>
      <c r="DWP21" s="559"/>
      <c r="DWQ21" s="559"/>
      <c r="DWR21" s="559"/>
      <c r="DWS21" s="559"/>
      <c r="DWT21" s="559"/>
      <c r="DWU21" s="559"/>
      <c r="DWV21" s="559"/>
      <c r="DWW21" s="559"/>
      <c r="DWX21" s="559"/>
      <c r="DWY21" s="559"/>
      <c r="DWZ21" s="559"/>
      <c r="DXA21" s="559"/>
      <c r="DXB21" s="559"/>
      <c r="DXC21" s="559"/>
      <c r="DXD21" s="559"/>
      <c r="DXE21" s="559"/>
      <c r="DXF21" s="559"/>
      <c r="DXG21" s="559"/>
      <c r="DXH21" s="559"/>
      <c r="DXI21" s="559"/>
      <c r="DXJ21" s="559"/>
      <c r="DXK21" s="559"/>
      <c r="DXL21" s="559"/>
      <c r="DXM21" s="559"/>
      <c r="DXN21" s="559"/>
      <c r="DXO21" s="559"/>
      <c r="DXP21" s="559"/>
      <c r="DXQ21" s="559"/>
      <c r="DXR21" s="559"/>
      <c r="DXS21" s="559"/>
      <c r="DXT21" s="559"/>
      <c r="DXU21" s="559"/>
      <c r="DXV21" s="559"/>
      <c r="DXW21" s="559"/>
      <c r="DXX21" s="559"/>
      <c r="DXY21" s="559"/>
      <c r="DXZ21" s="559"/>
      <c r="DYA21" s="559"/>
      <c r="DYB21" s="559"/>
      <c r="DYC21" s="559"/>
      <c r="DYD21" s="559"/>
      <c r="DYE21" s="559"/>
      <c r="DYF21" s="559"/>
      <c r="DYG21" s="559"/>
      <c r="DYH21" s="559"/>
      <c r="DYI21" s="559"/>
      <c r="DYJ21" s="559"/>
      <c r="DYK21" s="559"/>
      <c r="DYL21" s="559"/>
      <c r="DYM21" s="559"/>
      <c r="DYN21" s="559"/>
      <c r="DYO21" s="559"/>
      <c r="DYP21" s="559"/>
      <c r="DYQ21" s="559"/>
      <c r="DYR21" s="559"/>
      <c r="DYS21" s="559"/>
      <c r="DYT21" s="559"/>
      <c r="DYU21" s="559"/>
      <c r="DYV21" s="559"/>
      <c r="DYW21" s="559"/>
      <c r="DYX21" s="559"/>
      <c r="DYY21" s="559"/>
      <c r="DYZ21" s="559"/>
      <c r="DZA21" s="559"/>
      <c r="DZB21" s="559"/>
      <c r="DZC21" s="559"/>
      <c r="DZD21" s="559"/>
      <c r="DZE21" s="559"/>
      <c r="DZF21" s="559"/>
      <c r="DZG21" s="559"/>
      <c r="DZH21" s="559"/>
      <c r="DZI21" s="559"/>
      <c r="DZJ21" s="559"/>
      <c r="DZK21" s="559"/>
      <c r="DZL21" s="559"/>
      <c r="DZM21" s="559"/>
      <c r="DZN21" s="559"/>
      <c r="DZO21" s="559"/>
      <c r="DZP21" s="559"/>
      <c r="DZQ21" s="559"/>
      <c r="DZR21" s="559"/>
      <c r="DZS21" s="559"/>
      <c r="DZT21" s="559"/>
      <c r="DZU21" s="559"/>
      <c r="DZV21" s="559"/>
      <c r="DZW21" s="559"/>
      <c r="DZX21" s="559"/>
      <c r="DZY21" s="559"/>
      <c r="DZZ21" s="559"/>
      <c r="EAA21" s="559"/>
      <c r="EAB21" s="559"/>
      <c r="EAC21" s="559"/>
      <c r="EAD21" s="559"/>
      <c r="EAE21" s="559"/>
      <c r="EAF21" s="559"/>
      <c r="EAG21" s="559"/>
      <c r="EAH21" s="559"/>
      <c r="EAI21" s="559"/>
      <c r="EAJ21" s="559"/>
      <c r="EAK21" s="559"/>
      <c r="EAL21" s="559"/>
      <c r="EAM21" s="559"/>
      <c r="EAN21" s="559"/>
      <c r="EAO21" s="559"/>
      <c r="EAP21" s="559"/>
      <c r="EAQ21" s="559"/>
      <c r="EAR21" s="559"/>
      <c r="EAS21" s="559"/>
      <c r="EAT21" s="559"/>
      <c r="EAU21" s="559"/>
      <c r="EAV21" s="559"/>
      <c r="EAW21" s="559"/>
      <c r="EAX21" s="559"/>
      <c r="EAY21" s="559"/>
      <c r="EAZ21" s="559"/>
      <c r="EBA21" s="559"/>
      <c r="EBB21" s="559"/>
      <c r="EBC21" s="559"/>
      <c r="EBD21" s="559"/>
      <c r="EBE21" s="559"/>
      <c r="EBF21" s="559"/>
      <c r="EBG21" s="559"/>
      <c r="EBH21" s="559"/>
      <c r="EBI21" s="559"/>
      <c r="EBJ21" s="559"/>
      <c r="EBK21" s="559"/>
      <c r="EBL21" s="559"/>
      <c r="EBM21" s="559"/>
      <c r="EBN21" s="559"/>
      <c r="EBO21" s="559"/>
      <c r="EBP21" s="559"/>
      <c r="EBQ21" s="559"/>
      <c r="EBR21" s="559"/>
      <c r="EBS21" s="559"/>
      <c r="EBT21" s="559"/>
      <c r="EBU21" s="559"/>
      <c r="EBV21" s="559"/>
      <c r="EBW21" s="559"/>
      <c r="EBX21" s="559"/>
      <c r="EBY21" s="559"/>
      <c r="EBZ21" s="559"/>
      <c r="ECA21" s="559"/>
      <c r="ECB21" s="559"/>
      <c r="ECC21" s="559"/>
      <c r="ECD21" s="559"/>
      <c r="ECE21" s="559"/>
      <c r="ECF21" s="559"/>
      <c r="ECG21" s="559"/>
      <c r="ECH21" s="559"/>
      <c r="ECI21" s="559"/>
      <c r="ECJ21" s="559"/>
      <c r="ECK21" s="559"/>
      <c r="ECL21" s="559"/>
      <c r="ECM21" s="559"/>
      <c r="ECN21" s="559"/>
      <c r="ECO21" s="559"/>
      <c r="ECP21" s="559"/>
      <c r="ECQ21" s="559"/>
      <c r="ECR21" s="559"/>
      <c r="ECS21" s="559"/>
      <c r="ECT21" s="559"/>
      <c r="ECU21" s="559"/>
      <c r="ECV21" s="559"/>
      <c r="ECW21" s="559"/>
      <c r="ECX21" s="559"/>
      <c r="ECY21" s="559"/>
      <c r="ECZ21" s="559"/>
      <c r="EDA21" s="559"/>
      <c r="EDB21" s="559"/>
      <c r="EDC21" s="559"/>
      <c r="EDD21" s="559"/>
      <c r="EDE21" s="559"/>
      <c r="EDF21" s="559"/>
      <c r="EDG21" s="559"/>
      <c r="EDH21" s="559"/>
      <c r="EDI21" s="559"/>
      <c r="EDJ21" s="559"/>
      <c r="EDK21" s="559"/>
      <c r="EDL21" s="559"/>
      <c r="EDM21" s="559"/>
      <c r="EDN21" s="559"/>
      <c r="EDO21" s="559"/>
      <c r="EDP21" s="559"/>
      <c r="EDQ21" s="559"/>
      <c r="EDR21" s="559"/>
      <c r="EDS21" s="559"/>
      <c r="EDT21" s="559"/>
      <c r="EDU21" s="559"/>
      <c r="EDV21" s="559"/>
      <c r="EDW21" s="559"/>
      <c r="EDX21" s="559"/>
      <c r="EDY21" s="559"/>
      <c r="EDZ21" s="559"/>
      <c r="EEA21" s="559"/>
      <c r="EEB21" s="559"/>
      <c r="EEC21" s="559"/>
      <c r="EED21" s="559"/>
      <c r="EEE21" s="559"/>
      <c r="EEF21" s="559"/>
      <c r="EEG21" s="559"/>
      <c r="EEH21" s="559"/>
      <c r="EEI21" s="559"/>
      <c r="EEJ21" s="559"/>
      <c r="EEK21" s="559"/>
      <c r="EEL21" s="559"/>
      <c r="EEM21" s="559"/>
      <c r="EEN21" s="559"/>
      <c r="EEO21" s="559"/>
      <c r="EEP21" s="559"/>
      <c r="EEQ21" s="559"/>
      <c r="EER21" s="559"/>
      <c r="EES21" s="559"/>
      <c r="EET21" s="559"/>
      <c r="EEU21" s="559"/>
      <c r="EEV21" s="559"/>
      <c r="EEW21" s="559"/>
      <c r="EEX21" s="559"/>
      <c r="EEY21" s="559"/>
      <c r="EEZ21" s="559"/>
      <c r="EFA21" s="559"/>
      <c r="EFB21" s="559"/>
      <c r="EFC21" s="559"/>
      <c r="EFD21" s="559"/>
      <c r="EFE21" s="559"/>
      <c r="EFF21" s="559"/>
      <c r="EFG21" s="559"/>
      <c r="EFH21" s="559"/>
      <c r="EFI21" s="559"/>
      <c r="EFJ21" s="559"/>
      <c r="EFK21" s="559"/>
      <c r="EFL21" s="559"/>
      <c r="EFM21" s="559"/>
      <c r="EFN21" s="559"/>
      <c r="EFO21" s="559"/>
      <c r="EFP21" s="559"/>
      <c r="EFQ21" s="559"/>
      <c r="EFR21" s="559"/>
      <c r="EFS21" s="559"/>
      <c r="EFT21" s="559"/>
      <c r="EFU21" s="559"/>
      <c r="EFV21" s="559"/>
      <c r="EFW21" s="559"/>
      <c r="EFX21" s="559"/>
      <c r="EFY21" s="559"/>
      <c r="EFZ21" s="559"/>
      <c r="EGA21" s="559"/>
      <c r="EGB21" s="559"/>
      <c r="EGC21" s="559"/>
      <c r="EGD21" s="559"/>
      <c r="EGE21" s="559"/>
      <c r="EGF21" s="559"/>
      <c r="EGG21" s="559"/>
      <c r="EGH21" s="559"/>
      <c r="EGI21" s="559"/>
      <c r="EGJ21" s="559"/>
      <c r="EGK21" s="559"/>
      <c r="EGL21" s="559"/>
      <c r="EGM21" s="559"/>
      <c r="EGN21" s="559"/>
      <c r="EGO21" s="559"/>
      <c r="EGP21" s="559"/>
      <c r="EGQ21" s="559"/>
      <c r="EGR21" s="559"/>
      <c r="EGS21" s="559"/>
      <c r="EGT21" s="559"/>
      <c r="EGU21" s="559"/>
      <c r="EGV21" s="559"/>
      <c r="EGW21" s="559"/>
      <c r="EGX21" s="559"/>
      <c r="EGY21" s="559"/>
      <c r="EGZ21" s="559"/>
      <c r="EHA21" s="559"/>
      <c r="EHB21" s="559"/>
      <c r="EHC21" s="559"/>
      <c r="EHD21" s="559"/>
      <c r="EHE21" s="559"/>
      <c r="EHF21" s="559"/>
      <c r="EHG21" s="559"/>
      <c r="EHH21" s="559"/>
      <c r="EHI21" s="559"/>
      <c r="EHJ21" s="559"/>
      <c r="EHK21" s="559"/>
      <c r="EHL21" s="559"/>
      <c r="EHM21" s="559"/>
      <c r="EHN21" s="559"/>
      <c r="EHO21" s="559"/>
      <c r="EHP21" s="559"/>
      <c r="EHQ21" s="559"/>
      <c r="EHR21" s="559"/>
      <c r="EHS21" s="559"/>
      <c r="EHT21" s="559"/>
      <c r="EHU21" s="559"/>
      <c r="EHV21" s="559"/>
      <c r="EHW21" s="559"/>
      <c r="EHX21" s="559"/>
      <c r="EHY21" s="559"/>
      <c r="EHZ21" s="559"/>
      <c r="EIA21" s="559"/>
      <c r="EIB21" s="559"/>
      <c r="EIC21" s="559"/>
      <c r="EID21" s="559"/>
      <c r="EIE21" s="559"/>
      <c r="EIF21" s="559"/>
      <c r="EIG21" s="559"/>
      <c r="EIH21" s="559"/>
      <c r="EII21" s="559"/>
      <c r="EIJ21" s="559"/>
      <c r="EIK21" s="559"/>
      <c r="EIL21" s="559"/>
      <c r="EIM21" s="559"/>
      <c r="EIN21" s="559"/>
      <c r="EIO21" s="559"/>
      <c r="EIP21" s="559"/>
      <c r="EIQ21" s="559"/>
      <c r="EIR21" s="559"/>
      <c r="EIS21" s="559"/>
      <c r="EIT21" s="559"/>
      <c r="EIU21" s="559"/>
      <c r="EIV21" s="559"/>
      <c r="EIW21" s="559"/>
      <c r="EIX21" s="559"/>
      <c r="EIY21" s="559"/>
      <c r="EIZ21" s="559"/>
      <c r="EJA21" s="559"/>
      <c r="EJB21" s="559"/>
      <c r="EJC21" s="559"/>
      <c r="EJD21" s="559"/>
      <c r="EJE21" s="559"/>
      <c r="EJF21" s="559"/>
      <c r="EJG21" s="559"/>
      <c r="EJH21" s="559"/>
      <c r="EJI21" s="559"/>
      <c r="EJJ21" s="559"/>
      <c r="EJK21" s="559"/>
      <c r="EJL21" s="559"/>
      <c r="EJM21" s="559"/>
      <c r="EJN21" s="559"/>
      <c r="EJO21" s="559"/>
      <c r="EJP21" s="559"/>
      <c r="EJQ21" s="559"/>
      <c r="EJR21" s="559"/>
      <c r="EJS21" s="559"/>
      <c r="EJT21" s="559"/>
      <c r="EJU21" s="559"/>
      <c r="EJV21" s="559"/>
      <c r="EJW21" s="559"/>
      <c r="EJX21" s="559"/>
      <c r="EJY21" s="559"/>
      <c r="EJZ21" s="559"/>
      <c r="EKA21" s="559"/>
      <c r="EKB21" s="559"/>
      <c r="EKC21" s="559"/>
      <c r="EKD21" s="559"/>
      <c r="EKE21" s="559"/>
      <c r="EKF21" s="559"/>
      <c r="EKG21" s="559"/>
      <c r="EKH21" s="559"/>
      <c r="EKI21" s="559"/>
      <c r="EKJ21" s="559"/>
      <c r="EKK21" s="559"/>
      <c r="EKL21" s="559"/>
      <c r="EKM21" s="559"/>
      <c r="EKN21" s="559"/>
      <c r="EKO21" s="559"/>
      <c r="EKP21" s="559"/>
      <c r="EKQ21" s="559"/>
      <c r="EKR21" s="559"/>
      <c r="EKS21" s="559"/>
      <c r="EKT21" s="559"/>
      <c r="EKU21" s="559"/>
      <c r="EKV21" s="559"/>
      <c r="EKW21" s="559"/>
      <c r="EKX21" s="559"/>
      <c r="EKY21" s="559"/>
      <c r="EKZ21" s="559"/>
      <c r="ELA21" s="559"/>
      <c r="ELB21" s="559"/>
      <c r="ELC21" s="559"/>
      <c r="ELD21" s="559"/>
      <c r="ELE21" s="559"/>
      <c r="ELF21" s="559"/>
      <c r="ELG21" s="559"/>
      <c r="ELH21" s="559"/>
      <c r="ELI21" s="559"/>
      <c r="ELJ21" s="559"/>
      <c r="ELK21" s="559"/>
      <c r="ELL21" s="559"/>
      <c r="ELM21" s="559"/>
      <c r="ELN21" s="559"/>
      <c r="ELO21" s="559"/>
      <c r="ELP21" s="559"/>
      <c r="ELQ21" s="559"/>
      <c r="ELR21" s="559"/>
      <c r="ELS21" s="559"/>
      <c r="ELT21" s="559"/>
      <c r="ELU21" s="559"/>
      <c r="ELV21" s="559"/>
      <c r="ELW21" s="559"/>
      <c r="ELX21" s="559"/>
      <c r="ELY21" s="559"/>
      <c r="ELZ21" s="559"/>
      <c r="EMA21" s="559"/>
      <c r="EMB21" s="559"/>
      <c r="EMC21" s="559"/>
      <c r="EMD21" s="559"/>
      <c r="EME21" s="559"/>
      <c r="EMF21" s="559"/>
      <c r="EMG21" s="559"/>
      <c r="EMH21" s="559"/>
      <c r="EMI21" s="559"/>
      <c r="EMJ21" s="559"/>
      <c r="EMK21" s="559"/>
      <c r="EML21" s="559"/>
      <c r="EMM21" s="559"/>
      <c r="EMN21" s="559"/>
      <c r="EMO21" s="559"/>
      <c r="EMP21" s="559"/>
      <c r="EMQ21" s="559"/>
      <c r="EMR21" s="559"/>
      <c r="EMS21" s="559"/>
      <c r="EMT21" s="559"/>
      <c r="EMU21" s="559"/>
      <c r="EMV21" s="559"/>
      <c r="EMW21" s="559"/>
      <c r="EMX21" s="559"/>
      <c r="EMY21" s="559"/>
      <c r="EMZ21" s="559"/>
      <c r="ENA21" s="559"/>
      <c r="ENB21" s="559"/>
      <c r="ENC21" s="559"/>
      <c r="END21" s="559"/>
      <c r="ENE21" s="559"/>
      <c r="ENF21" s="559"/>
      <c r="ENG21" s="559"/>
      <c r="ENH21" s="559"/>
      <c r="ENI21" s="559"/>
      <c r="ENJ21" s="559"/>
      <c r="ENK21" s="559"/>
      <c r="ENL21" s="559"/>
      <c r="ENM21" s="559"/>
      <c r="ENN21" s="559"/>
      <c r="ENO21" s="559"/>
      <c r="ENP21" s="559"/>
      <c r="ENQ21" s="559"/>
      <c r="ENR21" s="559"/>
      <c r="ENS21" s="559"/>
      <c r="ENT21" s="559"/>
      <c r="ENU21" s="559"/>
      <c r="ENV21" s="559"/>
      <c r="ENW21" s="559"/>
      <c r="ENX21" s="559"/>
      <c r="ENY21" s="559"/>
      <c r="ENZ21" s="559"/>
      <c r="EOA21" s="559"/>
      <c r="EOB21" s="559"/>
      <c r="EOC21" s="559"/>
      <c r="EOD21" s="559"/>
      <c r="EOE21" s="559"/>
      <c r="EOF21" s="559"/>
      <c r="EOG21" s="559"/>
      <c r="EOH21" s="559"/>
      <c r="EOI21" s="559"/>
      <c r="EOJ21" s="559"/>
      <c r="EOK21" s="559"/>
      <c r="EOL21" s="559"/>
      <c r="EOM21" s="559"/>
      <c r="EON21" s="559"/>
      <c r="EOO21" s="559"/>
      <c r="EOP21" s="559"/>
      <c r="EOQ21" s="559"/>
      <c r="EOR21" s="559"/>
      <c r="EOS21" s="559"/>
      <c r="EOT21" s="559"/>
      <c r="EOU21" s="559"/>
      <c r="EOV21" s="559"/>
      <c r="EOW21" s="559"/>
      <c r="EOX21" s="559"/>
      <c r="EOY21" s="559"/>
      <c r="EOZ21" s="559"/>
      <c r="EPA21" s="559"/>
      <c r="EPB21" s="559"/>
      <c r="EPC21" s="559"/>
      <c r="EPD21" s="559"/>
      <c r="EPE21" s="559"/>
      <c r="EPF21" s="559"/>
      <c r="EPG21" s="559"/>
      <c r="EPH21" s="559"/>
      <c r="EPI21" s="559"/>
      <c r="EPJ21" s="559"/>
      <c r="EPK21" s="559"/>
      <c r="EPL21" s="559"/>
      <c r="EPM21" s="559"/>
      <c r="EPN21" s="559"/>
      <c r="EPO21" s="559"/>
      <c r="EPP21" s="559"/>
      <c r="EPQ21" s="559"/>
      <c r="EPR21" s="559"/>
      <c r="EPS21" s="559"/>
      <c r="EPT21" s="559"/>
      <c r="EPU21" s="559"/>
      <c r="EPV21" s="559"/>
      <c r="EPW21" s="559"/>
      <c r="EPX21" s="559"/>
      <c r="EPY21" s="559"/>
      <c r="EPZ21" s="559"/>
      <c r="EQA21" s="559"/>
      <c r="EQB21" s="559"/>
      <c r="EQC21" s="559"/>
      <c r="EQD21" s="559"/>
      <c r="EQE21" s="559"/>
      <c r="EQF21" s="559"/>
      <c r="EQG21" s="559"/>
      <c r="EQH21" s="559"/>
      <c r="EQI21" s="559"/>
      <c r="EQJ21" s="559"/>
      <c r="EQK21" s="559"/>
      <c r="EQL21" s="559"/>
      <c r="EQM21" s="559"/>
      <c r="EQN21" s="559"/>
      <c r="EQO21" s="559"/>
      <c r="EQP21" s="559"/>
      <c r="EQQ21" s="559"/>
      <c r="EQR21" s="559"/>
      <c r="EQS21" s="559"/>
      <c r="EQT21" s="559"/>
      <c r="EQU21" s="559"/>
      <c r="EQV21" s="559"/>
      <c r="EQW21" s="559"/>
      <c r="EQX21" s="559"/>
      <c r="EQY21" s="559"/>
      <c r="EQZ21" s="559"/>
      <c r="ERA21" s="559"/>
      <c r="ERB21" s="559"/>
      <c r="ERC21" s="559"/>
      <c r="ERD21" s="559"/>
      <c r="ERE21" s="559"/>
      <c r="ERF21" s="559"/>
      <c r="ERG21" s="559"/>
      <c r="ERH21" s="559"/>
      <c r="ERI21" s="559"/>
      <c r="ERJ21" s="559"/>
      <c r="ERK21" s="559"/>
      <c r="ERL21" s="559"/>
      <c r="ERM21" s="559"/>
      <c r="ERN21" s="559"/>
      <c r="ERO21" s="559"/>
      <c r="ERP21" s="559"/>
      <c r="ERQ21" s="559"/>
      <c r="ERR21" s="559"/>
      <c r="ERS21" s="559"/>
      <c r="ERT21" s="559"/>
      <c r="ERU21" s="559"/>
      <c r="ERV21" s="559"/>
      <c r="ERW21" s="559"/>
      <c r="ERX21" s="559"/>
      <c r="ERY21" s="559"/>
      <c r="ERZ21" s="559"/>
      <c r="ESA21" s="559"/>
      <c r="ESB21" s="559"/>
      <c r="ESC21" s="559"/>
      <c r="ESD21" s="559"/>
      <c r="ESE21" s="559"/>
      <c r="ESF21" s="559"/>
      <c r="ESG21" s="559"/>
      <c r="ESH21" s="559"/>
      <c r="ESI21" s="559"/>
      <c r="ESJ21" s="559"/>
      <c r="ESK21" s="559"/>
      <c r="ESL21" s="559"/>
      <c r="ESM21" s="559"/>
      <c r="ESN21" s="559"/>
      <c r="ESO21" s="559"/>
      <c r="ESP21" s="559"/>
      <c r="ESQ21" s="559"/>
      <c r="ESR21" s="559"/>
      <c r="ESS21" s="559"/>
      <c r="EST21" s="559"/>
      <c r="ESU21" s="559"/>
      <c r="ESV21" s="559"/>
      <c r="ESW21" s="559"/>
      <c r="ESX21" s="559"/>
      <c r="ESY21" s="559"/>
      <c r="ESZ21" s="559"/>
      <c r="ETA21" s="559"/>
      <c r="ETB21" s="559"/>
      <c r="ETC21" s="559"/>
      <c r="ETD21" s="559"/>
      <c r="ETE21" s="559"/>
      <c r="ETF21" s="559"/>
      <c r="ETG21" s="559"/>
      <c r="ETH21" s="559"/>
      <c r="ETI21" s="559"/>
      <c r="ETJ21" s="559"/>
      <c r="ETK21" s="559"/>
      <c r="ETL21" s="559"/>
      <c r="ETM21" s="559"/>
      <c r="ETN21" s="559"/>
      <c r="ETO21" s="559"/>
      <c r="ETP21" s="559"/>
      <c r="ETQ21" s="559"/>
      <c r="ETR21" s="559"/>
      <c r="ETS21" s="559"/>
      <c r="ETT21" s="559"/>
      <c r="ETU21" s="559"/>
      <c r="ETV21" s="559"/>
      <c r="ETW21" s="559"/>
      <c r="ETX21" s="559"/>
      <c r="ETY21" s="559"/>
      <c r="ETZ21" s="559"/>
      <c r="EUA21" s="559"/>
      <c r="EUB21" s="559"/>
      <c r="EUC21" s="559"/>
      <c r="EUD21" s="559"/>
      <c r="EUE21" s="559"/>
      <c r="EUF21" s="559"/>
      <c r="EUG21" s="559"/>
      <c r="EUH21" s="559"/>
      <c r="EUI21" s="559"/>
      <c r="EUJ21" s="559"/>
      <c r="EUK21" s="559"/>
      <c r="EUL21" s="559"/>
      <c r="EUM21" s="559"/>
      <c r="EUN21" s="559"/>
      <c r="EUO21" s="559"/>
      <c r="EUP21" s="559"/>
      <c r="EUQ21" s="559"/>
      <c r="EUR21" s="559"/>
      <c r="EUS21" s="559"/>
      <c r="EUT21" s="559"/>
      <c r="EUU21" s="559"/>
      <c r="EUV21" s="559"/>
      <c r="EUW21" s="559"/>
      <c r="EUX21" s="559"/>
      <c r="EUY21" s="559"/>
      <c r="EUZ21" s="559"/>
      <c r="EVA21" s="559"/>
      <c r="EVB21" s="559"/>
      <c r="EVC21" s="559"/>
      <c r="EVD21" s="559"/>
      <c r="EVE21" s="559"/>
      <c r="EVF21" s="559"/>
      <c r="EVG21" s="559"/>
      <c r="EVH21" s="559"/>
      <c r="EVI21" s="559"/>
      <c r="EVJ21" s="559"/>
      <c r="EVK21" s="559"/>
      <c r="EVL21" s="559"/>
      <c r="EVM21" s="559"/>
      <c r="EVN21" s="559"/>
      <c r="EVO21" s="559"/>
      <c r="EVP21" s="559"/>
      <c r="EVQ21" s="559"/>
      <c r="EVR21" s="559"/>
      <c r="EVS21" s="559"/>
      <c r="EVT21" s="559"/>
      <c r="EVU21" s="559"/>
      <c r="EVV21" s="559"/>
      <c r="EVW21" s="559"/>
      <c r="EVX21" s="559"/>
      <c r="EVY21" s="559"/>
      <c r="EVZ21" s="559"/>
      <c r="EWA21" s="559"/>
      <c r="EWB21" s="559"/>
      <c r="EWC21" s="559"/>
      <c r="EWD21" s="559"/>
      <c r="EWE21" s="559"/>
      <c r="EWF21" s="559"/>
      <c r="EWG21" s="559"/>
      <c r="EWH21" s="559"/>
      <c r="EWI21" s="559"/>
      <c r="EWJ21" s="559"/>
      <c r="EWK21" s="559"/>
      <c r="EWL21" s="559"/>
      <c r="EWM21" s="559"/>
      <c r="EWN21" s="559"/>
      <c r="EWO21" s="559"/>
      <c r="EWP21" s="559"/>
      <c r="EWQ21" s="559"/>
      <c r="EWR21" s="559"/>
      <c r="EWS21" s="559"/>
      <c r="EWT21" s="559"/>
      <c r="EWU21" s="559"/>
      <c r="EWV21" s="559"/>
      <c r="EWW21" s="559"/>
      <c r="EWX21" s="559"/>
      <c r="EWY21" s="559"/>
      <c r="EWZ21" s="559"/>
      <c r="EXA21" s="559"/>
      <c r="EXB21" s="559"/>
      <c r="EXC21" s="559"/>
      <c r="EXD21" s="559"/>
      <c r="EXE21" s="559"/>
      <c r="EXF21" s="559"/>
      <c r="EXG21" s="559"/>
      <c r="EXH21" s="559"/>
      <c r="EXI21" s="559"/>
      <c r="EXJ21" s="559"/>
      <c r="EXK21" s="559"/>
      <c r="EXL21" s="559"/>
      <c r="EXM21" s="559"/>
      <c r="EXN21" s="559"/>
      <c r="EXO21" s="559"/>
      <c r="EXP21" s="559"/>
      <c r="EXQ21" s="559"/>
      <c r="EXR21" s="559"/>
      <c r="EXS21" s="559"/>
      <c r="EXT21" s="559"/>
      <c r="EXU21" s="559"/>
      <c r="EXV21" s="559"/>
      <c r="EXW21" s="559"/>
      <c r="EXX21" s="559"/>
      <c r="EXY21" s="559"/>
      <c r="EXZ21" s="559"/>
      <c r="EYA21" s="559"/>
      <c r="EYB21" s="559"/>
      <c r="EYC21" s="559"/>
      <c r="EYD21" s="559"/>
      <c r="EYE21" s="559"/>
      <c r="EYF21" s="559"/>
      <c r="EYG21" s="559"/>
      <c r="EYH21" s="559"/>
      <c r="EYI21" s="559"/>
      <c r="EYJ21" s="559"/>
      <c r="EYK21" s="559"/>
      <c r="EYL21" s="559"/>
      <c r="EYM21" s="559"/>
      <c r="EYN21" s="559"/>
      <c r="EYO21" s="559"/>
      <c r="EYP21" s="559"/>
      <c r="EYQ21" s="559"/>
      <c r="EYR21" s="559"/>
      <c r="EYS21" s="559"/>
      <c r="EYT21" s="559"/>
      <c r="EYU21" s="559"/>
      <c r="EYV21" s="559"/>
      <c r="EYW21" s="559"/>
      <c r="EYX21" s="559"/>
      <c r="EYY21" s="559"/>
      <c r="EYZ21" s="559"/>
      <c r="EZA21" s="559"/>
      <c r="EZB21" s="559"/>
      <c r="EZC21" s="559"/>
      <c r="EZD21" s="559"/>
      <c r="EZE21" s="559"/>
      <c r="EZF21" s="559"/>
      <c r="EZG21" s="559"/>
      <c r="EZH21" s="559"/>
      <c r="EZI21" s="559"/>
      <c r="EZJ21" s="559"/>
      <c r="EZK21" s="559"/>
      <c r="EZL21" s="559"/>
      <c r="EZM21" s="559"/>
      <c r="EZN21" s="559"/>
      <c r="EZO21" s="559"/>
      <c r="EZP21" s="559"/>
      <c r="EZQ21" s="559"/>
      <c r="EZR21" s="559"/>
      <c r="EZS21" s="559"/>
      <c r="EZT21" s="559"/>
      <c r="EZU21" s="559"/>
      <c r="EZV21" s="559"/>
      <c r="EZW21" s="559"/>
      <c r="EZX21" s="559"/>
      <c r="EZY21" s="559"/>
      <c r="EZZ21" s="559"/>
      <c r="FAA21" s="559"/>
      <c r="FAB21" s="559"/>
      <c r="FAC21" s="559"/>
      <c r="FAD21" s="559"/>
      <c r="FAE21" s="559"/>
      <c r="FAF21" s="559"/>
      <c r="FAG21" s="559"/>
      <c r="FAH21" s="559"/>
      <c r="FAI21" s="559"/>
      <c r="FAJ21" s="559"/>
      <c r="FAK21" s="559"/>
      <c r="FAL21" s="559"/>
      <c r="FAM21" s="559"/>
      <c r="FAN21" s="559"/>
      <c r="FAO21" s="559"/>
      <c r="FAP21" s="559"/>
      <c r="FAQ21" s="559"/>
      <c r="FAR21" s="559"/>
      <c r="FAS21" s="559"/>
      <c r="FAT21" s="559"/>
      <c r="FAU21" s="559"/>
      <c r="FAV21" s="559"/>
      <c r="FAW21" s="559"/>
      <c r="FAX21" s="559"/>
      <c r="FAY21" s="559"/>
      <c r="FAZ21" s="559"/>
      <c r="FBA21" s="559"/>
      <c r="FBB21" s="559"/>
      <c r="FBC21" s="559"/>
      <c r="FBD21" s="559"/>
      <c r="FBE21" s="559"/>
      <c r="FBF21" s="559"/>
      <c r="FBG21" s="559"/>
      <c r="FBH21" s="559"/>
      <c r="FBI21" s="559"/>
      <c r="FBJ21" s="559"/>
      <c r="FBK21" s="559"/>
      <c r="FBL21" s="559"/>
      <c r="FBM21" s="559"/>
      <c r="FBN21" s="559"/>
      <c r="FBO21" s="559"/>
      <c r="FBP21" s="559"/>
      <c r="FBQ21" s="559"/>
      <c r="FBR21" s="559"/>
      <c r="FBS21" s="559"/>
      <c r="FBT21" s="559"/>
      <c r="FBU21" s="559"/>
      <c r="FBV21" s="559"/>
      <c r="FBW21" s="559"/>
      <c r="FBX21" s="559"/>
      <c r="FBY21" s="559"/>
      <c r="FBZ21" s="559"/>
      <c r="FCA21" s="559"/>
      <c r="FCB21" s="559"/>
      <c r="FCC21" s="559"/>
      <c r="FCD21" s="559"/>
      <c r="FCE21" s="559"/>
      <c r="FCF21" s="559"/>
      <c r="FCG21" s="559"/>
      <c r="FCH21" s="559"/>
      <c r="FCI21" s="559"/>
      <c r="FCJ21" s="559"/>
      <c r="FCK21" s="559"/>
      <c r="FCL21" s="559"/>
      <c r="FCM21" s="559"/>
      <c r="FCN21" s="559"/>
      <c r="FCO21" s="559"/>
      <c r="FCP21" s="559"/>
      <c r="FCQ21" s="559"/>
      <c r="FCR21" s="559"/>
      <c r="FCS21" s="559"/>
      <c r="FCT21" s="559"/>
      <c r="FCU21" s="559"/>
      <c r="FCV21" s="559"/>
      <c r="FCW21" s="559"/>
      <c r="FCX21" s="559"/>
      <c r="FCY21" s="559"/>
      <c r="FCZ21" s="559"/>
      <c r="FDA21" s="559"/>
      <c r="FDB21" s="559"/>
      <c r="FDC21" s="559"/>
      <c r="FDD21" s="559"/>
      <c r="FDE21" s="559"/>
      <c r="FDF21" s="559"/>
      <c r="FDG21" s="559"/>
      <c r="FDH21" s="559"/>
      <c r="FDI21" s="559"/>
      <c r="FDJ21" s="559"/>
      <c r="FDK21" s="559"/>
      <c r="FDL21" s="559"/>
      <c r="FDM21" s="559"/>
      <c r="FDN21" s="559"/>
      <c r="FDO21" s="559"/>
      <c r="FDP21" s="559"/>
      <c r="FDQ21" s="559"/>
      <c r="FDR21" s="559"/>
      <c r="FDS21" s="559"/>
      <c r="FDT21" s="559"/>
      <c r="FDU21" s="559"/>
      <c r="FDV21" s="559"/>
      <c r="FDW21" s="559"/>
      <c r="FDX21" s="559"/>
      <c r="FDY21" s="559"/>
      <c r="FDZ21" s="559"/>
      <c r="FEA21" s="559"/>
      <c r="FEB21" s="559"/>
      <c r="FEC21" s="559"/>
      <c r="FED21" s="559"/>
      <c r="FEE21" s="559"/>
      <c r="FEF21" s="559"/>
      <c r="FEG21" s="559"/>
      <c r="FEH21" s="559"/>
      <c r="FEI21" s="559"/>
      <c r="FEJ21" s="559"/>
      <c r="FEK21" s="559"/>
      <c r="FEL21" s="559"/>
      <c r="FEM21" s="559"/>
      <c r="FEN21" s="559"/>
      <c r="FEO21" s="559"/>
      <c r="FEP21" s="559"/>
      <c r="FEQ21" s="559"/>
      <c r="FER21" s="559"/>
      <c r="FES21" s="559"/>
      <c r="FET21" s="559"/>
      <c r="FEU21" s="559"/>
      <c r="FEV21" s="559"/>
      <c r="FEW21" s="559"/>
      <c r="FEX21" s="559"/>
      <c r="FEY21" s="559"/>
      <c r="FEZ21" s="559"/>
      <c r="FFA21" s="559"/>
      <c r="FFB21" s="559"/>
      <c r="FFC21" s="559"/>
      <c r="FFD21" s="559"/>
      <c r="FFE21" s="559"/>
      <c r="FFF21" s="559"/>
      <c r="FFG21" s="559"/>
      <c r="FFH21" s="559"/>
      <c r="FFI21" s="559"/>
      <c r="FFJ21" s="559"/>
      <c r="FFK21" s="559"/>
      <c r="FFL21" s="559"/>
      <c r="FFM21" s="559"/>
      <c r="FFN21" s="559"/>
      <c r="FFO21" s="559"/>
      <c r="FFP21" s="559"/>
      <c r="FFQ21" s="559"/>
      <c r="FFR21" s="559"/>
      <c r="FFS21" s="559"/>
      <c r="FFT21" s="559"/>
      <c r="FFU21" s="559"/>
      <c r="FFV21" s="559"/>
      <c r="FFW21" s="559"/>
      <c r="FFX21" s="559"/>
      <c r="FFY21" s="559"/>
      <c r="FFZ21" s="559"/>
      <c r="FGA21" s="559"/>
      <c r="FGB21" s="559"/>
      <c r="FGC21" s="559"/>
      <c r="FGD21" s="559"/>
      <c r="FGE21" s="559"/>
      <c r="FGF21" s="559"/>
      <c r="FGG21" s="559"/>
      <c r="FGH21" s="559"/>
      <c r="FGI21" s="559"/>
      <c r="FGJ21" s="559"/>
      <c r="FGK21" s="559"/>
      <c r="FGL21" s="559"/>
      <c r="FGM21" s="559"/>
      <c r="FGN21" s="559"/>
      <c r="FGO21" s="559"/>
      <c r="FGP21" s="559"/>
      <c r="FGQ21" s="559"/>
      <c r="FGR21" s="559"/>
      <c r="FGS21" s="559"/>
      <c r="FGT21" s="559"/>
      <c r="FGU21" s="559"/>
      <c r="FGV21" s="559"/>
      <c r="FGW21" s="559"/>
      <c r="FGX21" s="559"/>
      <c r="FGY21" s="559"/>
      <c r="FGZ21" s="559"/>
      <c r="FHA21" s="559"/>
      <c r="FHB21" s="559"/>
      <c r="FHC21" s="559"/>
      <c r="FHD21" s="559"/>
      <c r="FHE21" s="559"/>
      <c r="FHF21" s="559"/>
      <c r="FHG21" s="559"/>
      <c r="FHH21" s="559"/>
      <c r="FHI21" s="559"/>
      <c r="FHJ21" s="559"/>
      <c r="FHK21" s="559"/>
      <c r="FHL21" s="559"/>
      <c r="FHM21" s="559"/>
      <c r="FHN21" s="559"/>
      <c r="FHO21" s="559"/>
      <c r="FHP21" s="559"/>
      <c r="FHQ21" s="559"/>
      <c r="FHR21" s="559"/>
      <c r="FHS21" s="559"/>
      <c r="FHT21" s="559"/>
      <c r="FHU21" s="559"/>
      <c r="FHV21" s="559"/>
      <c r="FHW21" s="559"/>
      <c r="FHX21" s="559"/>
      <c r="FHY21" s="559"/>
      <c r="FHZ21" s="559"/>
      <c r="FIA21" s="559"/>
      <c r="FIB21" s="559"/>
      <c r="FIC21" s="559"/>
      <c r="FID21" s="559"/>
      <c r="FIE21" s="559"/>
      <c r="FIF21" s="559"/>
      <c r="FIG21" s="559"/>
      <c r="FIH21" s="559"/>
      <c r="FII21" s="559"/>
      <c r="FIJ21" s="559"/>
      <c r="FIK21" s="559"/>
      <c r="FIL21" s="559"/>
      <c r="FIM21" s="559"/>
      <c r="FIN21" s="559"/>
      <c r="FIO21" s="559"/>
      <c r="FIP21" s="559"/>
      <c r="FIQ21" s="559"/>
      <c r="FIR21" s="559"/>
      <c r="FIS21" s="559"/>
      <c r="FIT21" s="559"/>
      <c r="FIU21" s="559"/>
      <c r="FIV21" s="559"/>
      <c r="FIW21" s="559"/>
      <c r="FIX21" s="559"/>
      <c r="FIY21" s="559"/>
      <c r="FIZ21" s="559"/>
      <c r="FJA21" s="559"/>
      <c r="FJB21" s="559"/>
      <c r="FJC21" s="559"/>
      <c r="FJD21" s="559"/>
      <c r="FJE21" s="559"/>
      <c r="FJF21" s="559"/>
      <c r="FJG21" s="559"/>
      <c r="FJH21" s="559"/>
      <c r="FJI21" s="559"/>
      <c r="FJJ21" s="559"/>
      <c r="FJK21" s="559"/>
      <c r="FJL21" s="559"/>
      <c r="FJM21" s="559"/>
      <c r="FJN21" s="559"/>
      <c r="FJO21" s="559"/>
      <c r="FJP21" s="559"/>
      <c r="FJQ21" s="559"/>
      <c r="FJR21" s="559"/>
      <c r="FJS21" s="559"/>
      <c r="FJT21" s="559"/>
      <c r="FJU21" s="559"/>
      <c r="FJV21" s="559"/>
      <c r="FJW21" s="559"/>
      <c r="FJX21" s="559"/>
      <c r="FJY21" s="559"/>
      <c r="FJZ21" s="559"/>
      <c r="FKA21" s="559"/>
      <c r="FKB21" s="559"/>
      <c r="FKC21" s="559"/>
      <c r="FKD21" s="559"/>
      <c r="FKE21" s="559"/>
      <c r="FKF21" s="559"/>
      <c r="FKG21" s="559"/>
      <c r="FKH21" s="559"/>
      <c r="FKI21" s="559"/>
      <c r="FKJ21" s="559"/>
      <c r="FKK21" s="559"/>
      <c r="FKL21" s="559"/>
      <c r="FKM21" s="559"/>
      <c r="FKN21" s="559"/>
      <c r="FKO21" s="559"/>
      <c r="FKP21" s="559"/>
      <c r="FKQ21" s="559"/>
      <c r="FKR21" s="559"/>
      <c r="FKS21" s="559"/>
      <c r="FKT21" s="559"/>
      <c r="FKU21" s="559"/>
      <c r="FKV21" s="559"/>
      <c r="FKW21" s="559"/>
      <c r="FKX21" s="559"/>
      <c r="FKY21" s="559"/>
      <c r="FKZ21" s="559"/>
      <c r="FLA21" s="559"/>
      <c r="FLB21" s="559"/>
      <c r="FLC21" s="559"/>
      <c r="FLD21" s="559"/>
      <c r="FLE21" s="559"/>
      <c r="FLF21" s="559"/>
      <c r="FLG21" s="559"/>
      <c r="FLH21" s="559"/>
      <c r="FLI21" s="559"/>
      <c r="FLJ21" s="559"/>
      <c r="FLK21" s="559"/>
      <c r="FLL21" s="559"/>
      <c r="FLM21" s="559"/>
      <c r="FLN21" s="559"/>
      <c r="FLO21" s="559"/>
      <c r="FLP21" s="559"/>
      <c r="FLQ21" s="559"/>
      <c r="FLR21" s="559"/>
      <c r="FLS21" s="559"/>
      <c r="FLT21" s="559"/>
      <c r="FLU21" s="559"/>
      <c r="FLV21" s="559"/>
      <c r="FLW21" s="559"/>
      <c r="FLX21" s="559"/>
      <c r="FLY21" s="559"/>
      <c r="FLZ21" s="559"/>
      <c r="FMA21" s="559"/>
      <c r="FMB21" s="559"/>
      <c r="FMC21" s="559"/>
      <c r="FMD21" s="559"/>
      <c r="FME21" s="559"/>
      <c r="FMF21" s="559"/>
      <c r="FMG21" s="559"/>
      <c r="FMH21" s="559"/>
      <c r="FMI21" s="559"/>
      <c r="FMJ21" s="559"/>
      <c r="FMK21" s="559"/>
      <c r="FML21" s="559"/>
      <c r="FMM21" s="559"/>
      <c r="FMN21" s="559"/>
      <c r="FMO21" s="559"/>
      <c r="FMP21" s="559"/>
      <c r="FMQ21" s="559"/>
      <c r="FMR21" s="559"/>
      <c r="FMS21" s="559"/>
      <c r="FMT21" s="559"/>
      <c r="FMU21" s="559"/>
      <c r="FMV21" s="559"/>
      <c r="FMW21" s="559"/>
      <c r="FMX21" s="559"/>
      <c r="FMY21" s="559"/>
      <c r="FMZ21" s="559"/>
      <c r="FNA21" s="559"/>
      <c r="FNB21" s="559"/>
      <c r="FNC21" s="559"/>
      <c r="FND21" s="559"/>
      <c r="FNE21" s="559"/>
      <c r="FNF21" s="559"/>
      <c r="FNG21" s="559"/>
      <c r="FNH21" s="559"/>
      <c r="FNI21" s="559"/>
      <c r="FNJ21" s="559"/>
      <c r="FNK21" s="559"/>
      <c r="FNL21" s="559"/>
      <c r="FNM21" s="559"/>
      <c r="FNN21" s="559"/>
      <c r="FNO21" s="559"/>
      <c r="FNP21" s="559"/>
      <c r="FNQ21" s="559"/>
      <c r="FNR21" s="559"/>
      <c r="FNS21" s="559"/>
      <c r="FNT21" s="559"/>
      <c r="FNU21" s="559"/>
      <c r="FNV21" s="559"/>
      <c r="FNW21" s="559"/>
      <c r="FNX21" s="559"/>
      <c r="FNY21" s="559"/>
      <c r="FNZ21" s="559"/>
      <c r="FOA21" s="559"/>
      <c r="FOB21" s="559"/>
      <c r="FOC21" s="559"/>
      <c r="FOD21" s="559"/>
      <c r="FOE21" s="559"/>
      <c r="FOF21" s="559"/>
      <c r="FOG21" s="559"/>
      <c r="FOH21" s="559"/>
      <c r="FOI21" s="559"/>
      <c r="FOJ21" s="559"/>
      <c r="FOK21" s="559"/>
      <c r="FOL21" s="559"/>
      <c r="FOM21" s="559"/>
      <c r="FON21" s="559"/>
      <c r="FOO21" s="559"/>
      <c r="FOP21" s="559"/>
      <c r="FOQ21" s="559"/>
      <c r="FOR21" s="559"/>
      <c r="FOS21" s="559"/>
      <c r="FOT21" s="559"/>
      <c r="FOU21" s="559"/>
      <c r="FOV21" s="559"/>
      <c r="FOW21" s="559"/>
      <c r="FOX21" s="559"/>
      <c r="FOY21" s="559"/>
      <c r="FOZ21" s="559"/>
      <c r="FPA21" s="559"/>
      <c r="FPB21" s="559"/>
      <c r="FPC21" s="559"/>
      <c r="FPD21" s="559"/>
      <c r="FPE21" s="559"/>
      <c r="FPF21" s="559"/>
      <c r="FPG21" s="559"/>
      <c r="FPH21" s="559"/>
      <c r="FPI21" s="559"/>
      <c r="FPJ21" s="559"/>
      <c r="FPK21" s="559"/>
      <c r="FPL21" s="559"/>
      <c r="FPM21" s="559"/>
      <c r="FPN21" s="559"/>
      <c r="FPO21" s="559"/>
      <c r="FPP21" s="559"/>
      <c r="FPQ21" s="559"/>
      <c r="FPR21" s="559"/>
      <c r="FPS21" s="559"/>
      <c r="FPT21" s="559"/>
      <c r="FPU21" s="559"/>
      <c r="FPV21" s="559"/>
      <c r="FPW21" s="559"/>
      <c r="FPX21" s="559"/>
      <c r="FPY21" s="559"/>
      <c r="FPZ21" s="559"/>
      <c r="FQA21" s="559"/>
      <c r="FQB21" s="559"/>
      <c r="FQC21" s="559"/>
      <c r="FQD21" s="559"/>
      <c r="FQE21" s="559"/>
      <c r="FQF21" s="559"/>
      <c r="FQG21" s="559"/>
      <c r="FQH21" s="559"/>
      <c r="FQI21" s="559"/>
      <c r="FQJ21" s="559"/>
      <c r="FQK21" s="559"/>
      <c r="FQL21" s="559"/>
      <c r="FQM21" s="559"/>
      <c r="FQN21" s="559"/>
      <c r="FQO21" s="559"/>
      <c r="FQP21" s="559"/>
      <c r="FQQ21" s="559"/>
      <c r="FQR21" s="559"/>
      <c r="FQS21" s="559"/>
      <c r="FQT21" s="559"/>
      <c r="FQU21" s="559"/>
      <c r="FQV21" s="559"/>
      <c r="FQW21" s="559"/>
      <c r="FQX21" s="559"/>
      <c r="FQY21" s="559"/>
      <c r="FQZ21" s="559"/>
      <c r="FRA21" s="559"/>
      <c r="FRB21" s="559"/>
      <c r="FRC21" s="559"/>
      <c r="FRD21" s="559"/>
      <c r="FRE21" s="559"/>
      <c r="FRF21" s="559"/>
      <c r="FRG21" s="559"/>
      <c r="FRH21" s="559"/>
      <c r="FRI21" s="559"/>
      <c r="FRJ21" s="559"/>
      <c r="FRK21" s="559"/>
      <c r="FRL21" s="559"/>
      <c r="FRM21" s="559"/>
      <c r="FRN21" s="559"/>
      <c r="FRO21" s="559"/>
      <c r="FRP21" s="559"/>
      <c r="FRQ21" s="559"/>
      <c r="FRR21" s="559"/>
      <c r="FRS21" s="559"/>
      <c r="FRT21" s="559"/>
      <c r="FRU21" s="559"/>
      <c r="FRV21" s="559"/>
      <c r="FRW21" s="559"/>
      <c r="FRX21" s="559"/>
      <c r="FRY21" s="559"/>
      <c r="FRZ21" s="559"/>
      <c r="FSA21" s="559"/>
      <c r="FSB21" s="559"/>
      <c r="FSC21" s="559"/>
      <c r="FSD21" s="559"/>
      <c r="FSE21" s="559"/>
      <c r="FSF21" s="559"/>
      <c r="FSG21" s="559"/>
      <c r="FSH21" s="559"/>
      <c r="FSI21" s="559"/>
      <c r="FSJ21" s="559"/>
      <c r="FSK21" s="559"/>
      <c r="FSL21" s="559"/>
      <c r="FSM21" s="559"/>
      <c r="FSN21" s="559"/>
      <c r="FSO21" s="559"/>
      <c r="FSP21" s="559"/>
      <c r="FSQ21" s="559"/>
      <c r="FSR21" s="559"/>
      <c r="FSS21" s="559"/>
      <c r="FST21" s="559"/>
      <c r="FSU21" s="559"/>
      <c r="FSV21" s="559"/>
      <c r="FSW21" s="559"/>
      <c r="FSX21" s="559"/>
      <c r="FSY21" s="559"/>
      <c r="FSZ21" s="559"/>
      <c r="FTA21" s="559"/>
      <c r="FTB21" s="559"/>
      <c r="FTC21" s="559"/>
      <c r="FTD21" s="559"/>
      <c r="FTE21" s="559"/>
      <c r="FTF21" s="559"/>
      <c r="FTG21" s="559"/>
      <c r="FTH21" s="559"/>
      <c r="FTI21" s="559"/>
      <c r="FTJ21" s="559"/>
      <c r="FTK21" s="559"/>
      <c r="FTL21" s="559"/>
      <c r="FTM21" s="559"/>
      <c r="FTN21" s="559"/>
      <c r="FTO21" s="559"/>
      <c r="FTP21" s="559"/>
      <c r="FTQ21" s="559"/>
      <c r="FTR21" s="559"/>
      <c r="FTS21" s="559"/>
      <c r="FTT21" s="559"/>
      <c r="FTU21" s="559"/>
      <c r="FTV21" s="559"/>
      <c r="FTW21" s="559"/>
      <c r="FTX21" s="559"/>
      <c r="FTY21" s="559"/>
      <c r="FTZ21" s="559"/>
      <c r="FUA21" s="559"/>
      <c r="FUB21" s="559"/>
      <c r="FUC21" s="559"/>
      <c r="FUD21" s="559"/>
      <c r="FUE21" s="559"/>
      <c r="FUF21" s="559"/>
      <c r="FUG21" s="559"/>
      <c r="FUH21" s="559"/>
      <c r="FUI21" s="559"/>
      <c r="FUJ21" s="559"/>
      <c r="FUK21" s="559"/>
      <c r="FUL21" s="559"/>
      <c r="FUM21" s="559"/>
      <c r="FUN21" s="559"/>
      <c r="FUO21" s="559"/>
      <c r="FUP21" s="559"/>
      <c r="FUQ21" s="559"/>
      <c r="FUR21" s="559"/>
      <c r="FUS21" s="559"/>
      <c r="FUT21" s="559"/>
      <c r="FUU21" s="559"/>
      <c r="FUV21" s="559"/>
      <c r="FUW21" s="559"/>
      <c r="FUX21" s="559"/>
      <c r="FUY21" s="559"/>
      <c r="FUZ21" s="559"/>
      <c r="FVA21" s="559"/>
      <c r="FVB21" s="559"/>
      <c r="FVC21" s="559"/>
      <c r="FVD21" s="559"/>
      <c r="FVE21" s="559"/>
      <c r="FVF21" s="559"/>
      <c r="FVG21" s="559"/>
      <c r="FVH21" s="559"/>
      <c r="FVI21" s="559"/>
      <c r="FVJ21" s="559"/>
      <c r="FVK21" s="559"/>
      <c r="FVL21" s="559"/>
      <c r="FVM21" s="559"/>
      <c r="FVN21" s="559"/>
      <c r="FVO21" s="559"/>
      <c r="FVP21" s="559"/>
      <c r="FVQ21" s="559"/>
      <c r="FVR21" s="559"/>
      <c r="FVS21" s="559"/>
      <c r="FVT21" s="559"/>
      <c r="FVU21" s="559"/>
      <c r="FVV21" s="559"/>
      <c r="FVW21" s="559"/>
      <c r="FVX21" s="559"/>
      <c r="FVY21" s="559"/>
      <c r="FVZ21" s="559"/>
      <c r="FWA21" s="559"/>
      <c r="FWB21" s="559"/>
      <c r="FWC21" s="559"/>
      <c r="FWD21" s="559"/>
      <c r="FWE21" s="559"/>
      <c r="FWF21" s="559"/>
      <c r="FWG21" s="559"/>
      <c r="FWH21" s="559"/>
      <c r="FWI21" s="559"/>
      <c r="FWJ21" s="559"/>
      <c r="FWK21" s="559"/>
      <c r="FWL21" s="559"/>
      <c r="FWM21" s="559"/>
      <c r="FWN21" s="559"/>
      <c r="FWO21" s="559"/>
      <c r="FWP21" s="559"/>
      <c r="FWQ21" s="559"/>
      <c r="FWR21" s="559"/>
      <c r="FWS21" s="559"/>
      <c r="FWT21" s="559"/>
      <c r="FWU21" s="559"/>
      <c r="FWV21" s="559"/>
      <c r="FWW21" s="559"/>
      <c r="FWX21" s="559"/>
      <c r="FWY21" s="559"/>
      <c r="FWZ21" s="559"/>
      <c r="FXA21" s="559"/>
      <c r="FXB21" s="559"/>
      <c r="FXC21" s="559"/>
      <c r="FXD21" s="559"/>
      <c r="FXE21" s="559"/>
      <c r="FXF21" s="559"/>
      <c r="FXG21" s="559"/>
      <c r="FXH21" s="559"/>
      <c r="FXI21" s="559"/>
      <c r="FXJ21" s="559"/>
      <c r="FXK21" s="559"/>
      <c r="FXL21" s="559"/>
      <c r="FXM21" s="559"/>
      <c r="FXN21" s="559"/>
      <c r="FXO21" s="559"/>
      <c r="FXP21" s="559"/>
      <c r="FXQ21" s="559"/>
      <c r="FXR21" s="559"/>
      <c r="FXS21" s="559"/>
      <c r="FXT21" s="559"/>
      <c r="FXU21" s="559"/>
      <c r="FXV21" s="559"/>
      <c r="FXW21" s="559"/>
      <c r="FXX21" s="559"/>
      <c r="FXY21" s="559"/>
      <c r="FXZ21" s="559"/>
      <c r="FYA21" s="559"/>
      <c r="FYB21" s="559"/>
      <c r="FYC21" s="559"/>
      <c r="FYD21" s="559"/>
      <c r="FYE21" s="559"/>
      <c r="FYF21" s="559"/>
      <c r="FYG21" s="559"/>
      <c r="FYH21" s="559"/>
      <c r="FYI21" s="559"/>
      <c r="FYJ21" s="559"/>
      <c r="FYK21" s="559"/>
      <c r="FYL21" s="559"/>
      <c r="FYM21" s="559"/>
      <c r="FYN21" s="559"/>
      <c r="FYO21" s="559"/>
      <c r="FYP21" s="559"/>
      <c r="FYQ21" s="559"/>
      <c r="FYR21" s="559"/>
      <c r="FYS21" s="559"/>
      <c r="FYT21" s="559"/>
      <c r="FYU21" s="559"/>
      <c r="FYV21" s="559"/>
      <c r="FYW21" s="559"/>
      <c r="FYX21" s="559"/>
      <c r="FYY21" s="559"/>
      <c r="FYZ21" s="559"/>
      <c r="FZA21" s="559"/>
      <c r="FZB21" s="559"/>
      <c r="FZC21" s="559"/>
      <c r="FZD21" s="559"/>
      <c r="FZE21" s="559"/>
      <c r="FZF21" s="559"/>
      <c r="FZG21" s="559"/>
      <c r="FZH21" s="559"/>
      <c r="FZI21" s="559"/>
      <c r="FZJ21" s="559"/>
      <c r="FZK21" s="559"/>
      <c r="FZL21" s="559"/>
      <c r="FZM21" s="559"/>
      <c r="FZN21" s="559"/>
      <c r="FZO21" s="559"/>
      <c r="FZP21" s="559"/>
      <c r="FZQ21" s="559"/>
      <c r="FZR21" s="559"/>
      <c r="FZS21" s="559"/>
      <c r="FZT21" s="559"/>
      <c r="FZU21" s="559"/>
      <c r="FZV21" s="559"/>
      <c r="FZW21" s="559"/>
      <c r="FZX21" s="559"/>
      <c r="FZY21" s="559"/>
      <c r="FZZ21" s="559"/>
      <c r="GAA21" s="559"/>
      <c r="GAB21" s="559"/>
      <c r="GAC21" s="559"/>
      <c r="GAD21" s="559"/>
      <c r="GAE21" s="559"/>
      <c r="GAF21" s="559"/>
      <c r="GAG21" s="559"/>
      <c r="GAH21" s="559"/>
      <c r="GAI21" s="559"/>
      <c r="GAJ21" s="559"/>
      <c r="GAK21" s="559"/>
      <c r="GAL21" s="559"/>
      <c r="GAM21" s="559"/>
      <c r="GAN21" s="559"/>
      <c r="GAO21" s="559"/>
      <c r="GAP21" s="559"/>
      <c r="GAQ21" s="559"/>
      <c r="GAR21" s="559"/>
      <c r="GAS21" s="559"/>
      <c r="GAT21" s="559"/>
      <c r="GAU21" s="559"/>
      <c r="GAV21" s="559"/>
      <c r="GAW21" s="559"/>
      <c r="GAX21" s="559"/>
      <c r="GAY21" s="559"/>
      <c r="GAZ21" s="559"/>
      <c r="GBA21" s="559"/>
      <c r="GBB21" s="559"/>
      <c r="GBC21" s="559"/>
      <c r="GBD21" s="559"/>
      <c r="GBE21" s="559"/>
      <c r="GBF21" s="559"/>
      <c r="GBG21" s="559"/>
      <c r="GBH21" s="559"/>
      <c r="GBI21" s="559"/>
      <c r="GBJ21" s="559"/>
      <c r="GBK21" s="559"/>
      <c r="GBL21" s="559"/>
      <c r="GBM21" s="559"/>
      <c r="GBN21" s="559"/>
      <c r="GBO21" s="559"/>
      <c r="GBP21" s="559"/>
      <c r="GBQ21" s="559"/>
      <c r="GBR21" s="559"/>
      <c r="GBS21" s="559"/>
      <c r="GBT21" s="559"/>
      <c r="GBU21" s="559"/>
      <c r="GBV21" s="559"/>
      <c r="GBW21" s="559"/>
      <c r="GBX21" s="559"/>
      <c r="GBY21" s="559"/>
      <c r="GBZ21" s="559"/>
      <c r="GCA21" s="559"/>
      <c r="GCB21" s="559"/>
      <c r="GCC21" s="559"/>
      <c r="GCD21" s="559"/>
      <c r="GCE21" s="559"/>
      <c r="GCF21" s="559"/>
      <c r="GCG21" s="559"/>
      <c r="GCH21" s="559"/>
      <c r="GCI21" s="559"/>
      <c r="GCJ21" s="559"/>
      <c r="GCK21" s="559"/>
      <c r="GCL21" s="559"/>
      <c r="GCM21" s="559"/>
      <c r="GCN21" s="559"/>
      <c r="GCO21" s="559"/>
      <c r="GCP21" s="559"/>
      <c r="GCQ21" s="559"/>
      <c r="GCR21" s="559"/>
      <c r="GCS21" s="559"/>
      <c r="GCT21" s="559"/>
      <c r="GCU21" s="559"/>
      <c r="GCV21" s="559"/>
      <c r="GCW21" s="559"/>
      <c r="GCX21" s="559"/>
      <c r="GCY21" s="559"/>
      <c r="GCZ21" s="559"/>
      <c r="GDA21" s="559"/>
      <c r="GDB21" s="559"/>
      <c r="GDC21" s="559"/>
      <c r="GDD21" s="559"/>
      <c r="GDE21" s="559"/>
      <c r="GDF21" s="559"/>
      <c r="GDG21" s="559"/>
      <c r="GDH21" s="559"/>
      <c r="GDI21" s="559"/>
      <c r="GDJ21" s="559"/>
      <c r="GDK21" s="559"/>
      <c r="GDL21" s="559"/>
      <c r="GDM21" s="559"/>
      <c r="GDN21" s="559"/>
      <c r="GDO21" s="559"/>
      <c r="GDP21" s="559"/>
      <c r="GDQ21" s="559"/>
      <c r="GDR21" s="559"/>
      <c r="GDS21" s="559"/>
      <c r="GDT21" s="559"/>
      <c r="GDU21" s="559"/>
      <c r="GDV21" s="559"/>
      <c r="GDW21" s="559"/>
      <c r="GDX21" s="559"/>
      <c r="GDY21" s="559"/>
      <c r="GDZ21" s="559"/>
      <c r="GEA21" s="559"/>
      <c r="GEB21" s="559"/>
      <c r="GEC21" s="559"/>
      <c r="GED21" s="559"/>
      <c r="GEE21" s="559"/>
      <c r="GEF21" s="559"/>
      <c r="GEG21" s="559"/>
      <c r="GEH21" s="559"/>
      <c r="GEI21" s="559"/>
      <c r="GEJ21" s="559"/>
      <c r="GEK21" s="559"/>
      <c r="GEL21" s="559"/>
      <c r="GEM21" s="559"/>
      <c r="GEN21" s="559"/>
      <c r="GEO21" s="559"/>
      <c r="GEP21" s="559"/>
      <c r="GEQ21" s="559"/>
      <c r="GER21" s="559"/>
      <c r="GES21" s="559"/>
      <c r="GET21" s="559"/>
      <c r="GEU21" s="559"/>
      <c r="GEV21" s="559"/>
      <c r="GEW21" s="559"/>
      <c r="GEX21" s="559"/>
      <c r="GEY21" s="559"/>
      <c r="GEZ21" s="559"/>
      <c r="GFA21" s="559"/>
      <c r="GFB21" s="559"/>
      <c r="GFC21" s="559"/>
      <c r="GFD21" s="559"/>
      <c r="GFE21" s="559"/>
      <c r="GFF21" s="559"/>
      <c r="GFG21" s="559"/>
      <c r="GFH21" s="559"/>
      <c r="GFI21" s="559"/>
      <c r="GFJ21" s="559"/>
      <c r="GFK21" s="559"/>
      <c r="GFL21" s="559"/>
      <c r="GFM21" s="559"/>
      <c r="GFN21" s="559"/>
      <c r="GFO21" s="559"/>
      <c r="GFP21" s="559"/>
      <c r="GFQ21" s="559"/>
      <c r="GFR21" s="559"/>
      <c r="GFS21" s="559"/>
      <c r="GFT21" s="559"/>
      <c r="GFU21" s="559"/>
      <c r="GFV21" s="559"/>
      <c r="GFW21" s="559"/>
      <c r="GFX21" s="559"/>
      <c r="GFY21" s="559"/>
      <c r="GFZ21" s="559"/>
      <c r="GGA21" s="559"/>
      <c r="GGB21" s="559"/>
      <c r="GGC21" s="559"/>
      <c r="GGD21" s="559"/>
      <c r="GGE21" s="559"/>
      <c r="GGF21" s="559"/>
      <c r="GGG21" s="559"/>
      <c r="GGH21" s="559"/>
      <c r="GGI21" s="559"/>
      <c r="GGJ21" s="559"/>
      <c r="GGK21" s="559"/>
      <c r="GGL21" s="559"/>
      <c r="GGM21" s="559"/>
      <c r="GGN21" s="559"/>
      <c r="GGO21" s="559"/>
      <c r="GGP21" s="559"/>
      <c r="GGQ21" s="559"/>
      <c r="GGR21" s="559"/>
      <c r="GGS21" s="559"/>
      <c r="GGT21" s="559"/>
      <c r="GGU21" s="559"/>
      <c r="GGV21" s="559"/>
      <c r="GGW21" s="559"/>
      <c r="GGX21" s="559"/>
      <c r="GGY21" s="559"/>
      <c r="GGZ21" s="559"/>
      <c r="GHA21" s="559"/>
      <c r="GHB21" s="559"/>
      <c r="GHC21" s="559"/>
      <c r="GHD21" s="559"/>
      <c r="GHE21" s="559"/>
      <c r="GHF21" s="559"/>
      <c r="GHG21" s="559"/>
      <c r="GHH21" s="559"/>
      <c r="GHI21" s="559"/>
      <c r="GHJ21" s="559"/>
      <c r="GHK21" s="559"/>
      <c r="GHL21" s="559"/>
      <c r="GHM21" s="559"/>
      <c r="GHN21" s="559"/>
      <c r="GHO21" s="559"/>
      <c r="GHP21" s="559"/>
      <c r="GHQ21" s="559"/>
      <c r="GHR21" s="559"/>
      <c r="GHS21" s="559"/>
      <c r="GHT21" s="559"/>
      <c r="GHU21" s="559"/>
      <c r="GHV21" s="559"/>
      <c r="GHW21" s="559"/>
      <c r="GHX21" s="559"/>
      <c r="GHY21" s="559"/>
      <c r="GHZ21" s="559"/>
      <c r="GIA21" s="559"/>
      <c r="GIB21" s="559"/>
      <c r="GIC21" s="559"/>
      <c r="GID21" s="559"/>
      <c r="GIE21" s="559"/>
      <c r="GIF21" s="559"/>
      <c r="GIG21" s="559"/>
      <c r="GIH21" s="559"/>
      <c r="GII21" s="559"/>
      <c r="GIJ21" s="559"/>
      <c r="GIK21" s="559"/>
      <c r="GIL21" s="559"/>
      <c r="GIM21" s="559"/>
      <c r="GIN21" s="559"/>
      <c r="GIO21" s="559"/>
      <c r="GIP21" s="559"/>
      <c r="GIQ21" s="559"/>
      <c r="GIR21" s="559"/>
      <c r="GIS21" s="559"/>
      <c r="GIT21" s="559"/>
      <c r="GIU21" s="559"/>
      <c r="GIV21" s="559"/>
      <c r="GIW21" s="559"/>
      <c r="GIX21" s="559"/>
      <c r="GIY21" s="559"/>
      <c r="GIZ21" s="559"/>
      <c r="GJA21" s="559"/>
      <c r="GJB21" s="559"/>
      <c r="GJC21" s="559"/>
      <c r="GJD21" s="559"/>
      <c r="GJE21" s="559"/>
      <c r="GJF21" s="559"/>
      <c r="GJG21" s="559"/>
      <c r="GJH21" s="559"/>
      <c r="GJI21" s="559"/>
      <c r="GJJ21" s="559"/>
      <c r="GJK21" s="559"/>
      <c r="GJL21" s="559"/>
      <c r="GJM21" s="559"/>
      <c r="GJN21" s="559"/>
      <c r="GJO21" s="559"/>
      <c r="GJP21" s="559"/>
      <c r="GJQ21" s="559"/>
      <c r="GJR21" s="559"/>
      <c r="GJS21" s="559"/>
      <c r="GJT21" s="559"/>
      <c r="GJU21" s="559"/>
      <c r="GJV21" s="559"/>
      <c r="GJW21" s="559"/>
      <c r="GJX21" s="559"/>
      <c r="GJY21" s="559"/>
      <c r="GJZ21" s="559"/>
      <c r="GKA21" s="559"/>
      <c r="GKB21" s="559"/>
      <c r="GKC21" s="559"/>
      <c r="GKD21" s="559"/>
      <c r="GKE21" s="559"/>
      <c r="GKF21" s="559"/>
      <c r="GKG21" s="559"/>
      <c r="GKH21" s="559"/>
      <c r="GKI21" s="559"/>
      <c r="GKJ21" s="559"/>
      <c r="GKK21" s="559"/>
      <c r="GKL21" s="559"/>
      <c r="GKM21" s="559"/>
      <c r="GKN21" s="559"/>
      <c r="GKO21" s="559"/>
      <c r="GKP21" s="559"/>
      <c r="GKQ21" s="559"/>
      <c r="GKR21" s="559"/>
      <c r="GKS21" s="559"/>
      <c r="GKT21" s="559"/>
      <c r="GKU21" s="559"/>
      <c r="GKV21" s="559"/>
      <c r="GKW21" s="559"/>
      <c r="GKX21" s="559"/>
      <c r="GKY21" s="559"/>
      <c r="GKZ21" s="559"/>
      <c r="GLA21" s="559"/>
      <c r="GLB21" s="559"/>
      <c r="GLC21" s="559"/>
      <c r="GLD21" s="559"/>
      <c r="GLE21" s="559"/>
      <c r="GLF21" s="559"/>
      <c r="GLG21" s="559"/>
      <c r="GLH21" s="559"/>
      <c r="GLI21" s="559"/>
      <c r="GLJ21" s="559"/>
      <c r="GLK21" s="559"/>
      <c r="GLL21" s="559"/>
      <c r="GLM21" s="559"/>
      <c r="GLN21" s="559"/>
      <c r="GLO21" s="559"/>
      <c r="GLP21" s="559"/>
      <c r="GLQ21" s="559"/>
      <c r="GLR21" s="559"/>
      <c r="GLS21" s="559"/>
      <c r="GLT21" s="559"/>
      <c r="GLU21" s="559"/>
      <c r="GLV21" s="559"/>
      <c r="GLW21" s="559"/>
      <c r="GLX21" s="559"/>
      <c r="GLY21" s="559"/>
      <c r="GLZ21" s="559"/>
      <c r="GMA21" s="559"/>
      <c r="GMB21" s="559"/>
      <c r="GMC21" s="559"/>
      <c r="GMD21" s="559"/>
      <c r="GME21" s="559"/>
      <c r="GMF21" s="559"/>
      <c r="GMG21" s="559"/>
      <c r="GMH21" s="559"/>
      <c r="GMI21" s="559"/>
      <c r="GMJ21" s="559"/>
      <c r="GMK21" s="559"/>
      <c r="GML21" s="559"/>
      <c r="GMM21" s="559"/>
      <c r="GMN21" s="559"/>
      <c r="GMO21" s="559"/>
      <c r="GMP21" s="559"/>
      <c r="GMQ21" s="559"/>
      <c r="GMR21" s="559"/>
      <c r="GMS21" s="559"/>
      <c r="GMT21" s="559"/>
      <c r="GMU21" s="559"/>
      <c r="GMV21" s="559"/>
      <c r="GMW21" s="559"/>
      <c r="GMX21" s="559"/>
      <c r="GMY21" s="559"/>
      <c r="GMZ21" s="559"/>
      <c r="GNA21" s="559"/>
      <c r="GNB21" s="559"/>
      <c r="GNC21" s="559"/>
      <c r="GND21" s="559"/>
      <c r="GNE21" s="559"/>
      <c r="GNF21" s="559"/>
      <c r="GNG21" s="559"/>
      <c r="GNH21" s="559"/>
      <c r="GNI21" s="559"/>
      <c r="GNJ21" s="559"/>
      <c r="GNK21" s="559"/>
      <c r="GNL21" s="559"/>
      <c r="GNM21" s="559"/>
      <c r="GNN21" s="559"/>
      <c r="GNO21" s="559"/>
      <c r="GNP21" s="559"/>
      <c r="GNQ21" s="559"/>
      <c r="GNR21" s="559"/>
      <c r="GNS21" s="559"/>
      <c r="GNT21" s="559"/>
      <c r="GNU21" s="559"/>
      <c r="GNV21" s="559"/>
      <c r="GNW21" s="559"/>
      <c r="GNX21" s="559"/>
      <c r="GNY21" s="559"/>
      <c r="GNZ21" s="559"/>
      <c r="GOA21" s="559"/>
      <c r="GOB21" s="559"/>
      <c r="GOC21" s="559"/>
      <c r="GOD21" s="559"/>
      <c r="GOE21" s="559"/>
      <c r="GOF21" s="559"/>
      <c r="GOG21" s="559"/>
      <c r="GOH21" s="559"/>
      <c r="GOI21" s="559"/>
      <c r="GOJ21" s="559"/>
      <c r="GOK21" s="559"/>
      <c r="GOL21" s="559"/>
      <c r="GOM21" s="559"/>
      <c r="GON21" s="559"/>
      <c r="GOO21" s="559"/>
      <c r="GOP21" s="559"/>
      <c r="GOQ21" s="559"/>
      <c r="GOR21" s="559"/>
      <c r="GOS21" s="559"/>
      <c r="GOT21" s="559"/>
      <c r="GOU21" s="559"/>
      <c r="GOV21" s="559"/>
      <c r="GOW21" s="559"/>
      <c r="GOX21" s="559"/>
      <c r="GOY21" s="559"/>
      <c r="GOZ21" s="559"/>
      <c r="GPA21" s="559"/>
      <c r="GPB21" s="559"/>
      <c r="GPC21" s="559"/>
      <c r="GPD21" s="559"/>
      <c r="GPE21" s="559"/>
      <c r="GPF21" s="559"/>
      <c r="GPG21" s="559"/>
      <c r="GPH21" s="559"/>
      <c r="GPI21" s="559"/>
      <c r="GPJ21" s="559"/>
      <c r="GPK21" s="559"/>
      <c r="GPL21" s="559"/>
      <c r="GPM21" s="559"/>
      <c r="GPN21" s="559"/>
      <c r="GPO21" s="559"/>
      <c r="GPP21" s="559"/>
      <c r="GPQ21" s="559"/>
      <c r="GPR21" s="559"/>
      <c r="GPS21" s="559"/>
      <c r="GPT21" s="559"/>
      <c r="GPU21" s="559"/>
      <c r="GPV21" s="559"/>
      <c r="GPW21" s="559"/>
      <c r="GPX21" s="559"/>
      <c r="GPY21" s="559"/>
      <c r="GPZ21" s="559"/>
      <c r="GQA21" s="559"/>
      <c r="GQB21" s="559"/>
      <c r="GQC21" s="559"/>
      <c r="GQD21" s="559"/>
      <c r="GQE21" s="559"/>
      <c r="GQF21" s="559"/>
      <c r="GQG21" s="559"/>
      <c r="GQH21" s="559"/>
      <c r="GQI21" s="559"/>
      <c r="GQJ21" s="559"/>
      <c r="GQK21" s="559"/>
      <c r="GQL21" s="559"/>
      <c r="GQM21" s="559"/>
      <c r="GQN21" s="559"/>
      <c r="GQO21" s="559"/>
      <c r="GQP21" s="559"/>
      <c r="GQQ21" s="559"/>
      <c r="GQR21" s="559"/>
      <c r="GQS21" s="559"/>
      <c r="GQT21" s="559"/>
      <c r="GQU21" s="559"/>
      <c r="GQV21" s="559"/>
      <c r="GQW21" s="559"/>
      <c r="GQX21" s="559"/>
      <c r="GQY21" s="559"/>
      <c r="GQZ21" s="559"/>
      <c r="GRA21" s="559"/>
      <c r="GRB21" s="559"/>
      <c r="GRC21" s="559"/>
      <c r="GRD21" s="559"/>
      <c r="GRE21" s="559"/>
      <c r="GRF21" s="559"/>
      <c r="GRG21" s="559"/>
      <c r="GRH21" s="559"/>
      <c r="GRI21" s="559"/>
      <c r="GRJ21" s="559"/>
      <c r="GRK21" s="559"/>
      <c r="GRL21" s="559"/>
      <c r="GRM21" s="559"/>
      <c r="GRN21" s="559"/>
      <c r="GRO21" s="559"/>
      <c r="GRP21" s="559"/>
      <c r="GRQ21" s="559"/>
      <c r="GRR21" s="559"/>
      <c r="GRS21" s="559"/>
      <c r="GRT21" s="559"/>
      <c r="GRU21" s="559"/>
      <c r="GRV21" s="559"/>
      <c r="GRW21" s="559"/>
      <c r="GRX21" s="559"/>
      <c r="GRY21" s="559"/>
      <c r="GRZ21" s="559"/>
      <c r="GSA21" s="559"/>
      <c r="GSB21" s="559"/>
      <c r="GSC21" s="559"/>
      <c r="GSD21" s="559"/>
      <c r="GSE21" s="559"/>
      <c r="GSF21" s="559"/>
      <c r="GSG21" s="559"/>
      <c r="GSH21" s="559"/>
      <c r="GSI21" s="559"/>
      <c r="GSJ21" s="559"/>
      <c r="GSK21" s="559"/>
      <c r="GSL21" s="559"/>
      <c r="GSM21" s="559"/>
      <c r="GSN21" s="559"/>
      <c r="GSO21" s="559"/>
      <c r="GSP21" s="559"/>
      <c r="GSQ21" s="559"/>
      <c r="GSR21" s="559"/>
      <c r="GSS21" s="559"/>
      <c r="GST21" s="559"/>
      <c r="GSU21" s="559"/>
      <c r="GSV21" s="559"/>
      <c r="GSW21" s="559"/>
      <c r="GSX21" s="559"/>
      <c r="GSY21" s="559"/>
      <c r="GSZ21" s="559"/>
      <c r="GTA21" s="559"/>
      <c r="GTB21" s="559"/>
      <c r="GTC21" s="559"/>
      <c r="GTD21" s="559"/>
      <c r="GTE21" s="559"/>
      <c r="GTF21" s="559"/>
      <c r="GTG21" s="559"/>
      <c r="GTH21" s="559"/>
      <c r="GTI21" s="559"/>
      <c r="GTJ21" s="559"/>
      <c r="GTK21" s="559"/>
      <c r="GTL21" s="559"/>
      <c r="GTM21" s="559"/>
      <c r="GTN21" s="559"/>
      <c r="GTO21" s="559"/>
      <c r="GTP21" s="559"/>
      <c r="GTQ21" s="559"/>
      <c r="GTR21" s="559"/>
      <c r="GTS21" s="559"/>
      <c r="GTT21" s="559"/>
      <c r="GTU21" s="559"/>
      <c r="GTV21" s="559"/>
      <c r="GTW21" s="559"/>
      <c r="GTX21" s="559"/>
      <c r="GTY21" s="559"/>
      <c r="GTZ21" s="559"/>
      <c r="GUA21" s="559"/>
      <c r="GUB21" s="559"/>
      <c r="GUC21" s="559"/>
      <c r="GUD21" s="559"/>
      <c r="GUE21" s="559"/>
      <c r="GUF21" s="559"/>
      <c r="GUG21" s="559"/>
      <c r="GUH21" s="559"/>
      <c r="GUI21" s="559"/>
      <c r="GUJ21" s="559"/>
      <c r="GUK21" s="559"/>
      <c r="GUL21" s="559"/>
      <c r="GUM21" s="559"/>
      <c r="GUN21" s="559"/>
      <c r="GUO21" s="559"/>
      <c r="GUP21" s="559"/>
      <c r="GUQ21" s="559"/>
      <c r="GUR21" s="559"/>
      <c r="GUS21" s="559"/>
      <c r="GUT21" s="559"/>
      <c r="GUU21" s="559"/>
      <c r="GUV21" s="559"/>
      <c r="GUW21" s="559"/>
      <c r="GUX21" s="559"/>
      <c r="GUY21" s="559"/>
      <c r="GUZ21" s="559"/>
      <c r="GVA21" s="559"/>
      <c r="GVB21" s="559"/>
      <c r="GVC21" s="559"/>
      <c r="GVD21" s="559"/>
      <c r="GVE21" s="559"/>
      <c r="GVF21" s="559"/>
      <c r="GVG21" s="559"/>
      <c r="GVH21" s="559"/>
      <c r="GVI21" s="559"/>
      <c r="GVJ21" s="559"/>
      <c r="GVK21" s="559"/>
      <c r="GVL21" s="559"/>
      <c r="GVM21" s="559"/>
      <c r="GVN21" s="559"/>
      <c r="GVO21" s="559"/>
      <c r="GVP21" s="559"/>
      <c r="GVQ21" s="559"/>
      <c r="GVR21" s="559"/>
      <c r="GVS21" s="559"/>
      <c r="GVT21" s="559"/>
      <c r="GVU21" s="559"/>
      <c r="GVV21" s="559"/>
      <c r="GVW21" s="559"/>
      <c r="GVX21" s="559"/>
      <c r="GVY21" s="559"/>
      <c r="GVZ21" s="559"/>
      <c r="GWA21" s="559"/>
      <c r="GWB21" s="559"/>
      <c r="GWC21" s="559"/>
      <c r="GWD21" s="559"/>
      <c r="GWE21" s="559"/>
      <c r="GWF21" s="559"/>
      <c r="GWG21" s="559"/>
      <c r="GWH21" s="559"/>
      <c r="GWI21" s="559"/>
      <c r="GWJ21" s="559"/>
      <c r="GWK21" s="559"/>
      <c r="GWL21" s="559"/>
      <c r="GWM21" s="559"/>
      <c r="GWN21" s="559"/>
      <c r="GWO21" s="559"/>
      <c r="GWP21" s="559"/>
      <c r="GWQ21" s="559"/>
      <c r="GWR21" s="559"/>
      <c r="GWS21" s="559"/>
      <c r="GWT21" s="559"/>
      <c r="GWU21" s="559"/>
      <c r="GWV21" s="559"/>
      <c r="GWW21" s="559"/>
      <c r="GWX21" s="559"/>
      <c r="GWY21" s="559"/>
      <c r="GWZ21" s="559"/>
      <c r="GXA21" s="559"/>
      <c r="GXB21" s="559"/>
      <c r="GXC21" s="559"/>
      <c r="GXD21" s="559"/>
      <c r="GXE21" s="559"/>
      <c r="GXF21" s="559"/>
      <c r="GXG21" s="559"/>
      <c r="GXH21" s="559"/>
      <c r="GXI21" s="559"/>
      <c r="GXJ21" s="559"/>
      <c r="GXK21" s="559"/>
      <c r="GXL21" s="559"/>
      <c r="GXM21" s="559"/>
      <c r="GXN21" s="559"/>
      <c r="GXO21" s="559"/>
      <c r="GXP21" s="559"/>
      <c r="GXQ21" s="559"/>
      <c r="GXR21" s="559"/>
      <c r="GXS21" s="559"/>
      <c r="GXT21" s="559"/>
      <c r="GXU21" s="559"/>
      <c r="GXV21" s="559"/>
      <c r="GXW21" s="559"/>
      <c r="GXX21" s="559"/>
      <c r="GXY21" s="559"/>
      <c r="GXZ21" s="559"/>
      <c r="GYA21" s="559"/>
      <c r="GYB21" s="559"/>
      <c r="GYC21" s="559"/>
      <c r="GYD21" s="559"/>
      <c r="GYE21" s="559"/>
      <c r="GYF21" s="559"/>
      <c r="GYG21" s="559"/>
      <c r="GYH21" s="559"/>
      <c r="GYI21" s="559"/>
      <c r="GYJ21" s="559"/>
      <c r="GYK21" s="559"/>
      <c r="GYL21" s="559"/>
      <c r="GYM21" s="559"/>
      <c r="GYN21" s="559"/>
      <c r="GYO21" s="559"/>
      <c r="GYP21" s="559"/>
      <c r="GYQ21" s="559"/>
      <c r="GYR21" s="559"/>
      <c r="GYS21" s="559"/>
      <c r="GYT21" s="559"/>
      <c r="GYU21" s="559"/>
      <c r="GYV21" s="559"/>
      <c r="GYW21" s="559"/>
      <c r="GYX21" s="559"/>
      <c r="GYY21" s="559"/>
      <c r="GYZ21" s="559"/>
      <c r="GZA21" s="559"/>
      <c r="GZB21" s="559"/>
      <c r="GZC21" s="559"/>
      <c r="GZD21" s="559"/>
      <c r="GZE21" s="559"/>
      <c r="GZF21" s="559"/>
      <c r="GZG21" s="559"/>
      <c r="GZH21" s="559"/>
      <c r="GZI21" s="559"/>
      <c r="GZJ21" s="559"/>
      <c r="GZK21" s="559"/>
      <c r="GZL21" s="559"/>
      <c r="GZM21" s="559"/>
      <c r="GZN21" s="559"/>
      <c r="GZO21" s="559"/>
      <c r="GZP21" s="559"/>
      <c r="GZQ21" s="559"/>
      <c r="GZR21" s="559"/>
      <c r="GZS21" s="559"/>
      <c r="GZT21" s="559"/>
      <c r="GZU21" s="559"/>
      <c r="GZV21" s="559"/>
      <c r="GZW21" s="559"/>
      <c r="GZX21" s="559"/>
      <c r="GZY21" s="559"/>
      <c r="GZZ21" s="559"/>
      <c r="HAA21" s="559"/>
      <c r="HAB21" s="559"/>
      <c r="HAC21" s="559"/>
      <c r="HAD21" s="559"/>
      <c r="HAE21" s="559"/>
      <c r="HAF21" s="559"/>
      <c r="HAG21" s="559"/>
      <c r="HAH21" s="559"/>
      <c r="HAI21" s="559"/>
      <c r="HAJ21" s="559"/>
      <c r="HAK21" s="559"/>
      <c r="HAL21" s="559"/>
      <c r="HAM21" s="559"/>
      <c r="HAN21" s="559"/>
      <c r="HAO21" s="559"/>
      <c r="HAP21" s="559"/>
      <c r="HAQ21" s="559"/>
      <c r="HAR21" s="559"/>
      <c r="HAS21" s="559"/>
      <c r="HAT21" s="559"/>
      <c r="HAU21" s="559"/>
      <c r="HAV21" s="559"/>
      <c r="HAW21" s="559"/>
      <c r="HAX21" s="559"/>
      <c r="HAY21" s="559"/>
      <c r="HAZ21" s="559"/>
      <c r="HBA21" s="559"/>
      <c r="HBB21" s="559"/>
      <c r="HBC21" s="559"/>
      <c r="HBD21" s="559"/>
      <c r="HBE21" s="559"/>
      <c r="HBF21" s="559"/>
      <c r="HBG21" s="559"/>
      <c r="HBH21" s="559"/>
      <c r="HBI21" s="559"/>
      <c r="HBJ21" s="559"/>
      <c r="HBK21" s="559"/>
      <c r="HBL21" s="559"/>
      <c r="HBM21" s="559"/>
      <c r="HBN21" s="559"/>
      <c r="HBO21" s="559"/>
      <c r="HBP21" s="559"/>
      <c r="HBQ21" s="559"/>
      <c r="HBR21" s="559"/>
      <c r="HBS21" s="559"/>
      <c r="HBT21" s="559"/>
      <c r="HBU21" s="559"/>
      <c r="HBV21" s="559"/>
      <c r="HBW21" s="559"/>
      <c r="HBX21" s="559"/>
      <c r="HBY21" s="559"/>
      <c r="HBZ21" s="559"/>
      <c r="HCA21" s="559"/>
      <c r="HCB21" s="559"/>
      <c r="HCC21" s="559"/>
      <c r="HCD21" s="559"/>
      <c r="HCE21" s="559"/>
      <c r="HCF21" s="559"/>
      <c r="HCG21" s="559"/>
      <c r="HCH21" s="559"/>
      <c r="HCI21" s="559"/>
      <c r="HCJ21" s="559"/>
      <c r="HCK21" s="559"/>
      <c r="HCL21" s="559"/>
      <c r="HCM21" s="559"/>
      <c r="HCN21" s="559"/>
      <c r="HCO21" s="559"/>
      <c r="HCP21" s="559"/>
      <c r="HCQ21" s="559"/>
      <c r="HCR21" s="559"/>
      <c r="HCS21" s="559"/>
      <c r="HCT21" s="559"/>
      <c r="HCU21" s="559"/>
      <c r="HCV21" s="559"/>
      <c r="HCW21" s="559"/>
      <c r="HCX21" s="559"/>
      <c r="HCY21" s="559"/>
      <c r="HCZ21" s="559"/>
      <c r="HDA21" s="559"/>
      <c r="HDB21" s="559"/>
      <c r="HDC21" s="559"/>
      <c r="HDD21" s="559"/>
      <c r="HDE21" s="559"/>
      <c r="HDF21" s="559"/>
      <c r="HDG21" s="559"/>
      <c r="HDH21" s="559"/>
      <c r="HDI21" s="559"/>
      <c r="HDJ21" s="559"/>
      <c r="HDK21" s="559"/>
      <c r="HDL21" s="559"/>
      <c r="HDM21" s="559"/>
      <c r="HDN21" s="559"/>
      <c r="HDO21" s="559"/>
      <c r="HDP21" s="559"/>
      <c r="HDQ21" s="559"/>
      <c r="HDR21" s="559"/>
      <c r="HDS21" s="559"/>
      <c r="HDT21" s="559"/>
      <c r="HDU21" s="559"/>
      <c r="HDV21" s="559"/>
      <c r="HDW21" s="559"/>
      <c r="HDX21" s="559"/>
      <c r="HDY21" s="559"/>
      <c r="HDZ21" s="559"/>
      <c r="HEA21" s="559"/>
      <c r="HEB21" s="559"/>
      <c r="HEC21" s="559"/>
      <c r="HED21" s="559"/>
      <c r="HEE21" s="559"/>
      <c r="HEF21" s="559"/>
      <c r="HEG21" s="559"/>
      <c r="HEH21" s="559"/>
      <c r="HEI21" s="559"/>
      <c r="HEJ21" s="559"/>
      <c r="HEK21" s="559"/>
      <c r="HEL21" s="559"/>
      <c r="HEM21" s="559"/>
      <c r="HEN21" s="559"/>
      <c r="HEO21" s="559"/>
      <c r="HEP21" s="559"/>
      <c r="HEQ21" s="559"/>
      <c r="HER21" s="559"/>
      <c r="HES21" s="559"/>
      <c r="HET21" s="559"/>
      <c r="HEU21" s="559"/>
      <c r="HEV21" s="559"/>
      <c r="HEW21" s="559"/>
      <c r="HEX21" s="559"/>
      <c r="HEY21" s="559"/>
      <c r="HEZ21" s="559"/>
      <c r="HFA21" s="559"/>
      <c r="HFB21" s="559"/>
      <c r="HFC21" s="559"/>
      <c r="HFD21" s="559"/>
      <c r="HFE21" s="559"/>
      <c r="HFF21" s="559"/>
      <c r="HFG21" s="559"/>
      <c r="HFH21" s="559"/>
      <c r="HFI21" s="559"/>
      <c r="HFJ21" s="559"/>
      <c r="HFK21" s="559"/>
      <c r="HFL21" s="559"/>
      <c r="HFM21" s="559"/>
      <c r="HFN21" s="559"/>
      <c r="HFO21" s="559"/>
      <c r="HFP21" s="559"/>
      <c r="HFQ21" s="559"/>
      <c r="HFR21" s="559"/>
      <c r="HFS21" s="559"/>
      <c r="HFT21" s="559"/>
      <c r="HFU21" s="559"/>
      <c r="HFV21" s="559"/>
      <c r="HFW21" s="559"/>
      <c r="HFX21" s="559"/>
      <c r="HFY21" s="559"/>
      <c r="HFZ21" s="559"/>
      <c r="HGA21" s="559"/>
      <c r="HGB21" s="559"/>
      <c r="HGC21" s="559"/>
      <c r="HGD21" s="559"/>
      <c r="HGE21" s="559"/>
      <c r="HGF21" s="559"/>
      <c r="HGG21" s="559"/>
      <c r="HGH21" s="559"/>
      <c r="HGI21" s="559"/>
      <c r="HGJ21" s="559"/>
      <c r="HGK21" s="559"/>
      <c r="HGL21" s="559"/>
      <c r="HGM21" s="559"/>
      <c r="HGN21" s="559"/>
      <c r="HGO21" s="559"/>
      <c r="HGP21" s="559"/>
      <c r="HGQ21" s="559"/>
      <c r="HGR21" s="559"/>
      <c r="HGS21" s="559"/>
      <c r="HGT21" s="559"/>
      <c r="HGU21" s="559"/>
      <c r="HGV21" s="559"/>
      <c r="HGW21" s="559"/>
      <c r="HGX21" s="559"/>
      <c r="HGY21" s="559"/>
      <c r="HGZ21" s="559"/>
      <c r="HHA21" s="559"/>
      <c r="HHB21" s="559"/>
      <c r="HHC21" s="559"/>
      <c r="HHD21" s="559"/>
      <c r="HHE21" s="559"/>
      <c r="HHF21" s="559"/>
      <c r="HHG21" s="559"/>
      <c r="HHH21" s="559"/>
      <c r="HHI21" s="559"/>
      <c r="HHJ21" s="559"/>
      <c r="HHK21" s="559"/>
      <c r="HHL21" s="559"/>
      <c r="HHM21" s="559"/>
      <c r="HHN21" s="559"/>
      <c r="HHO21" s="559"/>
      <c r="HHP21" s="559"/>
      <c r="HHQ21" s="559"/>
      <c r="HHR21" s="559"/>
      <c r="HHS21" s="559"/>
      <c r="HHT21" s="559"/>
      <c r="HHU21" s="559"/>
      <c r="HHV21" s="559"/>
      <c r="HHW21" s="559"/>
      <c r="HHX21" s="559"/>
      <c r="HHY21" s="559"/>
      <c r="HHZ21" s="559"/>
      <c r="HIA21" s="559"/>
      <c r="HIB21" s="559"/>
      <c r="HIC21" s="559"/>
      <c r="HID21" s="559"/>
      <c r="HIE21" s="559"/>
      <c r="HIF21" s="559"/>
      <c r="HIG21" s="559"/>
      <c r="HIH21" s="559"/>
      <c r="HII21" s="559"/>
      <c r="HIJ21" s="559"/>
      <c r="HIK21" s="559"/>
      <c r="HIL21" s="559"/>
      <c r="HIM21" s="559"/>
      <c r="HIN21" s="559"/>
      <c r="HIO21" s="559"/>
      <c r="HIP21" s="559"/>
      <c r="HIQ21" s="559"/>
      <c r="HIR21" s="559"/>
      <c r="HIS21" s="559"/>
      <c r="HIT21" s="559"/>
      <c r="HIU21" s="559"/>
      <c r="HIV21" s="559"/>
      <c r="HIW21" s="559"/>
      <c r="HIX21" s="559"/>
      <c r="HIY21" s="559"/>
      <c r="HIZ21" s="559"/>
      <c r="HJA21" s="559"/>
      <c r="HJB21" s="559"/>
      <c r="HJC21" s="559"/>
      <c r="HJD21" s="559"/>
      <c r="HJE21" s="559"/>
      <c r="HJF21" s="559"/>
      <c r="HJG21" s="559"/>
      <c r="HJH21" s="559"/>
      <c r="HJI21" s="559"/>
      <c r="HJJ21" s="559"/>
      <c r="HJK21" s="559"/>
      <c r="HJL21" s="559"/>
      <c r="HJM21" s="559"/>
      <c r="HJN21" s="559"/>
      <c r="HJO21" s="559"/>
      <c r="HJP21" s="559"/>
      <c r="HJQ21" s="559"/>
      <c r="HJR21" s="559"/>
      <c r="HJS21" s="559"/>
      <c r="HJT21" s="559"/>
      <c r="HJU21" s="559"/>
      <c r="HJV21" s="559"/>
      <c r="HJW21" s="559"/>
      <c r="HJX21" s="559"/>
      <c r="HJY21" s="559"/>
      <c r="HJZ21" s="559"/>
      <c r="HKA21" s="559"/>
      <c r="HKB21" s="559"/>
      <c r="HKC21" s="559"/>
      <c r="HKD21" s="559"/>
      <c r="HKE21" s="559"/>
      <c r="HKF21" s="559"/>
      <c r="HKG21" s="559"/>
      <c r="HKH21" s="559"/>
      <c r="HKI21" s="559"/>
      <c r="HKJ21" s="559"/>
      <c r="HKK21" s="559"/>
      <c r="HKL21" s="559"/>
      <c r="HKM21" s="559"/>
      <c r="HKN21" s="559"/>
      <c r="HKO21" s="559"/>
      <c r="HKP21" s="559"/>
      <c r="HKQ21" s="559"/>
      <c r="HKR21" s="559"/>
      <c r="HKS21" s="559"/>
      <c r="HKT21" s="559"/>
      <c r="HKU21" s="559"/>
      <c r="HKV21" s="559"/>
      <c r="HKW21" s="559"/>
      <c r="HKX21" s="559"/>
      <c r="HKY21" s="559"/>
      <c r="HKZ21" s="559"/>
      <c r="HLA21" s="559"/>
      <c r="HLB21" s="559"/>
      <c r="HLC21" s="559"/>
      <c r="HLD21" s="559"/>
      <c r="HLE21" s="559"/>
      <c r="HLF21" s="559"/>
      <c r="HLG21" s="559"/>
      <c r="HLH21" s="559"/>
      <c r="HLI21" s="559"/>
      <c r="HLJ21" s="559"/>
      <c r="HLK21" s="559"/>
      <c r="HLL21" s="559"/>
      <c r="HLM21" s="559"/>
      <c r="HLN21" s="559"/>
      <c r="HLO21" s="559"/>
      <c r="HLP21" s="559"/>
      <c r="HLQ21" s="559"/>
      <c r="HLR21" s="559"/>
      <c r="HLS21" s="559"/>
      <c r="HLT21" s="559"/>
      <c r="HLU21" s="559"/>
      <c r="HLV21" s="559"/>
      <c r="HLW21" s="559"/>
      <c r="HLX21" s="559"/>
      <c r="HLY21" s="559"/>
      <c r="HLZ21" s="559"/>
      <c r="HMA21" s="559"/>
      <c r="HMB21" s="559"/>
      <c r="HMC21" s="559"/>
      <c r="HMD21" s="559"/>
      <c r="HME21" s="559"/>
      <c r="HMF21" s="559"/>
      <c r="HMG21" s="559"/>
      <c r="HMH21" s="559"/>
      <c r="HMI21" s="559"/>
      <c r="HMJ21" s="559"/>
      <c r="HMK21" s="559"/>
      <c r="HML21" s="559"/>
      <c r="HMM21" s="559"/>
      <c r="HMN21" s="559"/>
      <c r="HMO21" s="559"/>
      <c r="HMP21" s="559"/>
      <c r="HMQ21" s="559"/>
      <c r="HMR21" s="559"/>
      <c r="HMS21" s="559"/>
      <c r="HMT21" s="559"/>
      <c r="HMU21" s="559"/>
      <c r="HMV21" s="559"/>
      <c r="HMW21" s="559"/>
      <c r="HMX21" s="559"/>
      <c r="HMY21" s="559"/>
      <c r="HMZ21" s="559"/>
      <c r="HNA21" s="559"/>
      <c r="HNB21" s="559"/>
      <c r="HNC21" s="559"/>
      <c r="HND21" s="559"/>
      <c r="HNE21" s="559"/>
      <c r="HNF21" s="559"/>
      <c r="HNG21" s="559"/>
      <c r="HNH21" s="559"/>
      <c r="HNI21" s="559"/>
      <c r="HNJ21" s="559"/>
      <c r="HNK21" s="559"/>
      <c r="HNL21" s="559"/>
      <c r="HNM21" s="559"/>
      <c r="HNN21" s="559"/>
      <c r="HNO21" s="559"/>
      <c r="HNP21" s="559"/>
      <c r="HNQ21" s="559"/>
      <c r="HNR21" s="559"/>
      <c r="HNS21" s="559"/>
      <c r="HNT21" s="559"/>
      <c r="HNU21" s="559"/>
      <c r="HNV21" s="559"/>
      <c r="HNW21" s="559"/>
      <c r="HNX21" s="559"/>
      <c r="HNY21" s="559"/>
      <c r="HNZ21" s="559"/>
      <c r="HOA21" s="559"/>
      <c r="HOB21" s="559"/>
      <c r="HOC21" s="559"/>
      <c r="HOD21" s="559"/>
      <c r="HOE21" s="559"/>
      <c r="HOF21" s="559"/>
      <c r="HOG21" s="559"/>
      <c r="HOH21" s="559"/>
      <c r="HOI21" s="559"/>
      <c r="HOJ21" s="559"/>
      <c r="HOK21" s="559"/>
      <c r="HOL21" s="559"/>
      <c r="HOM21" s="559"/>
      <c r="HON21" s="559"/>
      <c r="HOO21" s="559"/>
      <c r="HOP21" s="559"/>
      <c r="HOQ21" s="559"/>
      <c r="HOR21" s="559"/>
      <c r="HOS21" s="559"/>
      <c r="HOT21" s="559"/>
      <c r="HOU21" s="559"/>
      <c r="HOV21" s="559"/>
      <c r="HOW21" s="559"/>
      <c r="HOX21" s="559"/>
      <c r="HOY21" s="559"/>
      <c r="HOZ21" s="559"/>
      <c r="HPA21" s="559"/>
      <c r="HPB21" s="559"/>
      <c r="HPC21" s="559"/>
      <c r="HPD21" s="559"/>
      <c r="HPE21" s="559"/>
      <c r="HPF21" s="559"/>
      <c r="HPG21" s="559"/>
      <c r="HPH21" s="559"/>
      <c r="HPI21" s="559"/>
      <c r="HPJ21" s="559"/>
      <c r="HPK21" s="559"/>
      <c r="HPL21" s="559"/>
      <c r="HPM21" s="559"/>
      <c r="HPN21" s="559"/>
      <c r="HPO21" s="559"/>
      <c r="HPP21" s="559"/>
      <c r="HPQ21" s="559"/>
      <c r="HPR21" s="559"/>
      <c r="HPS21" s="559"/>
      <c r="HPT21" s="559"/>
      <c r="HPU21" s="559"/>
      <c r="HPV21" s="559"/>
      <c r="HPW21" s="559"/>
      <c r="HPX21" s="559"/>
      <c r="HPY21" s="559"/>
      <c r="HPZ21" s="559"/>
      <c r="HQA21" s="559"/>
      <c r="HQB21" s="559"/>
      <c r="HQC21" s="559"/>
      <c r="HQD21" s="559"/>
      <c r="HQE21" s="559"/>
      <c r="HQF21" s="559"/>
      <c r="HQG21" s="559"/>
      <c r="HQH21" s="559"/>
      <c r="HQI21" s="559"/>
      <c r="HQJ21" s="559"/>
      <c r="HQK21" s="559"/>
      <c r="HQL21" s="559"/>
      <c r="HQM21" s="559"/>
      <c r="HQN21" s="559"/>
      <c r="HQO21" s="559"/>
      <c r="HQP21" s="559"/>
      <c r="HQQ21" s="559"/>
      <c r="HQR21" s="559"/>
      <c r="HQS21" s="559"/>
      <c r="HQT21" s="559"/>
      <c r="HQU21" s="559"/>
      <c r="HQV21" s="559"/>
      <c r="HQW21" s="559"/>
      <c r="HQX21" s="559"/>
      <c r="HQY21" s="559"/>
      <c r="HQZ21" s="559"/>
      <c r="HRA21" s="559"/>
      <c r="HRB21" s="559"/>
      <c r="HRC21" s="559"/>
      <c r="HRD21" s="559"/>
      <c r="HRE21" s="559"/>
      <c r="HRF21" s="559"/>
      <c r="HRG21" s="559"/>
      <c r="HRH21" s="559"/>
      <c r="HRI21" s="559"/>
      <c r="HRJ21" s="559"/>
      <c r="HRK21" s="559"/>
      <c r="HRL21" s="559"/>
      <c r="HRM21" s="559"/>
      <c r="HRN21" s="559"/>
      <c r="HRO21" s="559"/>
      <c r="HRP21" s="559"/>
      <c r="HRQ21" s="559"/>
      <c r="HRR21" s="559"/>
      <c r="HRS21" s="559"/>
      <c r="HRT21" s="559"/>
      <c r="HRU21" s="559"/>
      <c r="HRV21" s="559"/>
      <c r="HRW21" s="559"/>
      <c r="HRX21" s="559"/>
      <c r="HRY21" s="559"/>
      <c r="HRZ21" s="559"/>
      <c r="HSA21" s="559"/>
      <c r="HSB21" s="559"/>
      <c r="HSC21" s="559"/>
      <c r="HSD21" s="559"/>
      <c r="HSE21" s="559"/>
      <c r="HSF21" s="559"/>
      <c r="HSG21" s="559"/>
      <c r="HSH21" s="559"/>
      <c r="HSI21" s="559"/>
      <c r="HSJ21" s="559"/>
      <c r="HSK21" s="559"/>
      <c r="HSL21" s="559"/>
      <c r="HSM21" s="559"/>
      <c r="HSN21" s="559"/>
      <c r="HSO21" s="559"/>
      <c r="HSP21" s="559"/>
      <c r="HSQ21" s="559"/>
      <c r="HSR21" s="559"/>
      <c r="HSS21" s="559"/>
      <c r="HST21" s="559"/>
      <c r="HSU21" s="559"/>
      <c r="HSV21" s="559"/>
      <c r="HSW21" s="559"/>
      <c r="HSX21" s="559"/>
      <c r="HSY21" s="559"/>
      <c r="HSZ21" s="559"/>
      <c r="HTA21" s="559"/>
      <c r="HTB21" s="559"/>
      <c r="HTC21" s="559"/>
      <c r="HTD21" s="559"/>
      <c r="HTE21" s="559"/>
      <c r="HTF21" s="559"/>
      <c r="HTG21" s="559"/>
      <c r="HTH21" s="559"/>
      <c r="HTI21" s="559"/>
      <c r="HTJ21" s="559"/>
      <c r="HTK21" s="559"/>
      <c r="HTL21" s="559"/>
      <c r="HTM21" s="559"/>
      <c r="HTN21" s="559"/>
      <c r="HTO21" s="559"/>
      <c r="HTP21" s="559"/>
      <c r="HTQ21" s="559"/>
      <c r="HTR21" s="559"/>
      <c r="HTS21" s="559"/>
      <c r="HTT21" s="559"/>
      <c r="HTU21" s="559"/>
      <c r="HTV21" s="559"/>
      <c r="HTW21" s="559"/>
      <c r="HTX21" s="559"/>
      <c r="HTY21" s="559"/>
      <c r="HTZ21" s="559"/>
      <c r="HUA21" s="559"/>
      <c r="HUB21" s="559"/>
      <c r="HUC21" s="559"/>
      <c r="HUD21" s="559"/>
      <c r="HUE21" s="559"/>
      <c r="HUF21" s="559"/>
      <c r="HUG21" s="559"/>
      <c r="HUH21" s="559"/>
      <c r="HUI21" s="559"/>
      <c r="HUJ21" s="559"/>
      <c r="HUK21" s="559"/>
      <c r="HUL21" s="559"/>
      <c r="HUM21" s="559"/>
      <c r="HUN21" s="559"/>
      <c r="HUO21" s="559"/>
      <c r="HUP21" s="559"/>
      <c r="HUQ21" s="559"/>
      <c r="HUR21" s="559"/>
      <c r="HUS21" s="559"/>
      <c r="HUT21" s="559"/>
      <c r="HUU21" s="559"/>
      <c r="HUV21" s="559"/>
      <c r="HUW21" s="559"/>
      <c r="HUX21" s="559"/>
      <c r="HUY21" s="559"/>
      <c r="HUZ21" s="559"/>
      <c r="HVA21" s="559"/>
      <c r="HVB21" s="559"/>
      <c r="HVC21" s="559"/>
      <c r="HVD21" s="559"/>
      <c r="HVE21" s="559"/>
      <c r="HVF21" s="559"/>
      <c r="HVG21" s="559"/>
      <c r="HVH21" s="559"/>
      <c r="HVI21" s="559"/>
      <c r="HVJ21" s="559"/>
      <c r="HVK21" s="559"/>
      <c r="HVL21" s="559"/>
      <c r="HVM21" s="559"/>
      <c r="HVN21" s="559"/>
      <c r="HVO21" s="559"/>
      <c r="HVP21" s="559"/>
      <c r="HVQ21" s="559"/>
      <c r="HVR21" s="559"/>
      <c r="HVS21" s="559"/>
      <c r="HVT21" s="559"/>
      <c r="HVU21" s="559"/>
      <c r="HVV21" s="559"/>
      <c r="HVW21" s="559"/>
      <c r="HVX21" s="559"/>
      <c r="HVY21" s="559"/>
      <c r="HVZ21" s="559"/>
      <c r="HWA21" s="559"/>
      <c r="HWB21" s="559"/>
      <c r="HWC21" s="559"/>
      <c r="HWD21" s="559"/>
      <c r="HWE21" s="559"/>
      <c r="HWF21" s="559"/>
      <c r="HWG21" s="559"/>
      <c r="HWH21" s="559"/>
      <c r="HWI21" s="559"/>
      <c r="HWJ21" s="559"/>
      <c r="HWK21" s="559"/>
      <c r="HWL21" s="559"/>
      <c r="HWM21" s="559"/>
      <c r="HWN21" s="559"/>
      <c r="HWO21" s="559"/>
      <c r="HWP21" s="559"/>
      <c r="HWQ21" s="559"/>
      <c r="HWR21" s="559"/>
      <c r="HWS21" s="559"/>
      <c r="HWT21" s="559"/>
      <c r="HWU21" s="559"/>
      <c r="HWV21" s="559"/>
      <c r="HWW21" s="559"/>
      <c r="HWX21" s="559"/>
      <c r="HWY21" s="559"/>
      <c r="HWZ21" s="559"/>
      <c r="HXA21" s="559"/>
      <c r="HXB21" s="559"/>
      <c r="HXC21" s="559"/>
      <c r="HXD21" s="559"/>
      <c r="HXE21" s="559"/>
      <c r="HXF21" s="559"/>
      <c r="HXG21" s="559"/>
      <c r="HXH21" s="559"/>
      <c r="HXI21" s="559"/>
      <c r="HXJ21" s="559"/>
      <c r="HXK21" s="559"/>
      <c r="HXL21" s="559"/>
      <c r="HXM21" s="559"/>
      <c r="HXN21" s="559"/>
      <c r="HXO21" s="559"/>
      <c r="HXP21" s="559"/>
      <c r="HXQ21" s="559"/>
      <c r="HXR21" s="559"/>
      <c r="HXS21" s="559"/>
      <c r="HXT21" s="559"/>
      <c r="HXU21" s="559"/>
      <c r="HXV21" s="559"/>
      <c r="HXW21" s="559"/>
      <c r="HXX21" s="559"/>
      <c r="HXY21" s="559"/>
      <c r="HXZ21" s="559"/>
      <c r="HYA21" s="559"/>
      <c r="HYB21" s="559"/>
      <c r="HYC21" s="559"/>
      <c r="HYD21" s="559"/>
      <c r="HYE21" s="559"/>
      <c r="HYF21" s="559"/>
      <c r="HYG21" s="559"/>
      <c r="HYH21" s="559"/>
      <c r="HYI21" s="559"/>
      <c r="HYJ21" s="559"/>
      <c r="HYK21" s="559"/>
      <c r="HYL21" s="559"/>
      <c r="HYM21" s="559"/>
      <c r="HYN21" s="559"/>
      <c r="HYO21" s="559"/>
      <c r="HYP21" s="559"/>
      <c r="HYQ21" s="559"/>
      <c r="HYR21" s="559"/>
      <c r="HYS21" s="559"/>
      <c r="HYT21" s="559"/>
      <c r="HYU21" s="559"/>
      <c r="HYV21" s="559"/>
      <c r="HYW21" s="559"/>
      <c r="HYX21" s="559"/>
      <c r="HYY21" s="559"/>
      <c r="HYZ21" s="559"/>
      <c r="HZA21" s="559"/>
      <c r="HZB21" s="559"/>
      <c r="HZC21" s="559"/>
      <c r="HZD21" s="559"/>
      <c r="HZE21" s="559"/>
      <c r="HZF21" s="559"/>
      <c r="HZG21" s="559"/>
      <c r="HZH21" s="559"/>
      <c r="HZI21" s="559"/>
      <c r="HZJ21" s="559"/>
      <c r="HZK21" s="559"/>
      <c r="HZL21" s="559"/>
      <c r="HZM21" s="559"/>
      <c r="HZN21" s="559"/>
      <c r="HZO21" s="559"/>
      <c r="HZP21" s="559"/>
      <c r="HZQ21" s="559"/>
      <c r="HZR21" s="559"/>
      <c r="HZS21" s="559"/>
      <c r="HZT21" s="559"/>
      <c r="HZU21" s="559"/>
      <c r="HZV21" s="559"/>
      <c r="HZW21" s="559"/>
      <c r="HZX21" s="559"/>
      <c r="HZY21" s="559"/>
      <c r="HZZ21" s="559"/>
      <c r="IAA21" s="559"/>
      <c r="IAB21" s="559"/>
      <c r="IAC21" s="559"/>
      <c r="IAD21" s="559"/>
      <c r="IAE21" s="559"/>
      <c r="IAF21" s="559"/>
      <c r="IAG21" s="559"/>
      <c r="IAH21" s="559"/>
      <c r="IAI21" s="559"/>
      <c r="IAJ21" s="559"/>
      <c r="IAK21" s="559"/>
      <c r="IAL21" s="559"/>
      <c r="IAM21" s="559"/>
      <c r="IAN21" s="559"/>
      <c r="IAO21" s="559"/>
      <c r="IAP21" s="559"/>
      <c r="IAQ21" s="559"/>
      <c r="IAR21" s="559"/>
      <c r="IAS21" s="559"/>
      <c r="IAT21" s="559"/>
      <c r="IAU21" s="559"/>
      <c r="IAV21" s="559"/>
      <c r="IAW21" s="559"/>
      <c r="IAX21" s="559"/>
      <c r="IAY21" s="559"/>
      <c r="IAZ21" s="559"/>
      <c r="IBA21" s="559"/>
      <c r="IBB21" s="559"/>
      <c r="IBC21" s="559"/>
      <c r="IBD21" s="559"/>
      <c r="IBE21" s="559"/>
      <c r="IBF21" s="559"/>
      <c r="IBG21" s="559"/>
      <c r="IBH21" s="559"/>
      <c r="IBI21" s="559"/>
      <c r="IBJ21" s="559"/>
      <c r="IBK21" s="559"/>
      <c r="IBL21" s="559"/>
      <c r="IBM21" s="559"/>
      <c r="IBN21" s="559"/>
      <c r="IBO21" s="559"/>
      <c r="IBP21" s="559"/>
      <c r="IBQ21" s="559"/>
      <c r="IBR21" s="559"/>
      <c r="IBS21" s="559"/>
      <c r="IBT21" s="559"/>
      <c r="IBU21" s="559"/>
      <c r="IBV21" s="559"/>
      <c r="IBW21" s="559"/>
      <c r="IBX21" s="559"/>
      <c r="IBY21" s="559"/>
      <c r="IBZ21" s="559"/>
      <c r="ICA21" s="559"/>
      <c r="ICB21" s="559"/>
      <c r="ICC21" s="559"/>
      <c r="ICD21" s="559"/>
      <c r="ICE21" s="559"/>
      <c r="ICF21" s="559"/>
      <c r="ICG21" s="559"/>
      <c r="ICH21" s="559"/>
      <c r="ICI21" s="559"/>
      <c r="ICJ21" s="559"/>
      <c r="ICK21" s="559"/>
      <c r="ICL21" s="559"/>
      <c r="ICM21" s="559"/>
      <c r="ICN21" s="559"/>
      <c r="ICO21" s="559"/>
      <c r="ICP21" s="559"/>
      <c r="ICQ21" s="559"/>
      <c r="ICR21" s="559"/>
      <c r="ICS21" s="559"/>
      <c r="ICT21" s="559"/>
      <c r="ICU21" s="559"/>
      <c r="ICV21" s="559"/>
      <c r="ICW21" s="559"/>
      <c r="ICX21" s="559"/>
      <c r="ICY21" s="559"/>
      <c r="ICZ21" s="559"/>
      <c r="IDA21" s="559"/>
      <c r="IDB21" s="559"/>
      <c r="IDC21" s="559"/>
      <c r="IDD21" s="559"/>
      <c r="IDE21" s="559"/>
      <c r="IDF21" s="559"/>
      <c r="IDG21" s="559"/>
      <c r="IDH21" s="559"/>
      <c r="IDI21" s="559"/>
      <c r="IDJ21" s="559"/>
      <c r="IDK21" s="559"/>
      <c r="IDL21" s="559"/>
      <c r="IDM21" s="559"/>
      <c r="IDN21" s="559"/>
      <c r="IDO21" s="559"/>
      <c r="IDP21" s="559"/>
      <c r="IDQ21" s="559"/>
      <c r="IDR21" s="559"/>
      <c r="IDS21" s="559"/>
      <c r="IDT21" s="559"/>
      <c r="IDU21" s="559"/>
      <c r="IDV21" s="559"/>
      <c r="IDW21" s="559"/>
      <c r="IDX21" s="559"/>
      <c r="IDY21" s="559"/>
      <c r="IDZ21" s="559"/>
      <c r="IEA21" s="559"/>
      <c r="IEB21" s="559"/>
      <c r="IEC21" s="559"/>
      <c r="IED21" s="559"/>
      <c r="IEE21" s="559"/>
      <c r="IEF21" s="559"/>
      <c r="IEG21" s="559"/>
      <c r="IEH21" s="559"/>
      <c r="IEI21" s="559"/>
      <c r="IEJ21" s="559"/>
      <c r="IEK21" s="559"/>
      <c r="IEL21" s="559"/>
      <c r="IEM21" s="559"/>
      <c r="IEN21" s="559"/>
      <c r="IEO21" s="559"/>
      <c r="IEP21" s="559"/>
      <c r="IEQ21" s="559"/>
      <c r="IER21" s="559"/>
      <c r="IES21" s="559"/>
      <c r="IET21" s="559"/>
      <c r="IEU21" s="559"/>
      <c r="IEV21" s="559"/>
      <c r="IEW21" s="559"/>
      <c r="IEX21" s="559"/>
      <c r="IEY21" s="559"/>
      <c r="IEZ21" s="559"/>
      <c r="IFA21" s="559"/>
      <c r="IFB21" s="559"/>
      <c r="IFC21" s="559"/>
      <c r="IFD21" s="559"/>
      <c r="IFE21" s="559"/>
      <c r="IFF21" s="559"/>
      <c r="IFG21" s="559"/>
      <c r="IFH21" s="559"/>
      <c r="IFI21" s="559"/>
      <c r="IFJ21" s="559"/>
      <c r="IFK21" s="559"/>
      <c r="IFL21" s="559"/>
      <c r="IFM21" s="559"/>
      <c r="IFN21" s="559"/>
      <c r="IFO21" s="559"/>
      <c r="IFP21" s="559"/>
      <c r="IFQ21" s="559"/>
      <c r="IFR21" s="559"/>
      <c r="IFS21" s="559"/>
      <c r="IFT21" s="559"/>
      <c r="IFU21" s="559"/>
      <c r="IFV21" s="559"/>
      <c r="IFW21" s="559"/>
      <c r="IFX21" s="559"/>
      <c r="IFY21" s="559"/>
      <c r="IFZ21" s="559"/>
      <c r="IGA21" s="559"/>
      <c r="IGB21" s="559"/>
      <c r="IGC21" s="559"/>
      <c r="IGD21" s="559"/>
      <c r="IGE21" s="559"/>
      <c r="IGF21" s="559"/>
      <c r="IGG21" s="559"/>
      <c r="IGH21" s="559"/>
      <c r="IGI21" s="559"/>
      <c r="IGJ21" s="559"/>
      <c r="IGK21" s="559"/>
      <c r="IGL21" s="559"/>
      <c r="IGM21" s="559"/>
      <c r="IGN21" s="559"/>
      <c r="IGO21" s="559"/>
      <c r="IGP21" s="559"/>
      <c r="IGQ21" s="559"/>
      <c r="IGR21" s="559"/>
      <c r="IGS21" s="559"/>
      <c r="IGT21" s="559"/>
      <c r="IGU21" s="559"/>
      <c r="IGV21" s="559"/>
      <c r="IGW21" s="559"/>
      <c r="IGX21" s="559"/>
      <c r="IGY21" s="559"/>
      <c r="IGZ21" s="559"/>
      <c r="IHA21" s="559"/>
      <c r="IHB21" s="559"/>
      <c r="IHC21" s="559"/>
      <c r="IHD21" s="559"/>
      <c r="IHE21" s="559"/>
      <c r="IHF21" s="559"/>
      <c r="IHG21" s="559"/>
      <c r="IHH21" s="559"/>
      <c r="IHI21" s="559"/>
      <c r="IHJ21" s="559"/>
      <c r="IHK21" s="559"/>
      <c r="IHL21" s="559"/>
      <c r="IHM21" s="559"/>
      <c r="IHN21" s="559"/>
      <c r="IHO21" s="559"/>
      <c r="IHP21" s="559"/>
      <c r="IHQ21" s="559"/>
      <c r="IHR21" s="559"/>
      <c r="IHS21" s="559"/>
      <c r="IHT21" s="559"/>
      <c r="IHU21" s="559"/>
      <c r="IHV21" s="559"/>
      <c r="IHW21" s="559"/>
      <c r="IHX21" s="559"/>
      <c r="IHY21" s="559"/>
      <c r="IHZ21" s="559"/>
      <c r="IIA21" s="559"/>
      <c r="IIB21" s="559"/>
      <c r="IIC21" s="559"/>
      <c r="IID21" s="559"/>
      <c r="IIE21" s="559"/>
      <c r="IIF21" s="559"/>
      <c r="IIG21" s="559"/>
      <c r="IIH21" s="559"/>
      <c r="III21" s="559"/>
      <c r="IIJ21" s="559"/>
      <c r="IIK21" s="559"/>
      <c r="IIL21" s="559"/>
      <c r="IIM21" s="559"/>
      <c r="IIN21" s="559"/>
      <c r="IIO21" s="559"/>
      <c r="IIP21" s="559"/>
      <c r="IIQ21" s="559"/>
      <c r="IIR21" s="559"/>
      <c r="IIS21" s="559"/>
      <c r="IIT21" s="559"/>
      <c r="IIU21" s="559"/>
      <c r="IIV21" s="559"/>
      <c r="IIW21" s="559"/>
      <c r="IIX21" s="559"/>
      <c r="IIY21" s="559"/>
      <c r="IIZ21" s="559"/>
      <c r="IJA21" s="559"/>
      <c r="IJB21" s="559"/>
      <c r="IJC21" s="559"/>
      <c r="IJD21" s="559"/>
      <c r="IJE21" s="559"/>
      <c r="IJF21" s="559"/>
      <c r="IJG21" s="559"/>
      <c r="IJH21" s="559"/>
      <c r="IJI21" s="559"/>
      <c r="IJJ21" s="559"/>
      <c r="IJK21" s="559"/>
      <c r="IJL21" s="559"/>
      <c r="IJM21" s="559"/>
      <c r="IJN21" s="559"/>
      <c r="IJO21" s="559"/>
      <c r="IJP21" s="559"/>
      <c r="IJQ21" s="559"/>
      <c r="IJR21" s="559"/>
      <c r="IJS21" s="559"/>
      <c r="IJT21" s="559"/>
      <c r="IJU21" s="559"/>
      <c r="IJV21" s="559"/>
      <c r="IJW21" s="559"/>
      <c r="IJX21" s="559"/>
      <c r="IJY21" s="559"/>
      <c r="IJZ21" s="559"/>
      <c r="IKA21" s="559"/>
      <c r="IKB21" s="559"/>
      <c r="IKC21" s="559"/>
      <c r="IKD21" s="559"/>
      <c r="IKE21" s="559"/>
      <c r="IKF21" s="559"/>
      <c r="IKG21" s="559"/>
      <c r="IKH21" s="559"/>
      <c r="IKI21" s="559"/>
      <c r="IKJ21" s="559"/>
      <c r="IKK21" s="559"/>
      <c r="IKL21" s="559"/>
      <c r="IKM21" s="559"/>
      <c r="IKN21" s="559"/>
      <c r="IKO21" s="559"/>
      <c r="IKP21" s="559"/>
      <c r="IKQ21" s="559"/>
      <c r="IKR21" s="559"/>
      <c r="IKS21" s="559"/>
      <c r="IKT21" s="559"/>
      <c r="IKU21" s="559"/>
      <c r="IKV21" s="559"/>
      <c r="IKW21" s="559"/>
      <c r="IKX21" s="559"/>
      <c r="IKY21" s="559"/>
      <c r="IKZ21" s="559"/>
      <c r="ILA21" s="559"/>
      <c r="ILB21" s="559"/>
      <c r="ILC21" s="559"/>
      <c r="ILD21" s="559"/>
      <c r="ILE21" s="559"/>
      <c r="ILF21" s="559"/>
      <c r="ILG21" s="559"/>
      <c r="ILH21" s="559"/>
      <c r="ILI21" s="559"/>
      <c r="ILJ21" s="559"/>
      <c r="ILK21" s="559"/>
      <c r="ILL21" s="559"/>
      <c r="ILM21" s="559"/>
      <c r="ILN21" s="559"/>
      <c r="ILO21" s="559"/>
      <c r="ILP21" s="559"/>
      <c r="ILQ21" s="559"/>
      <c r="ILR21" s="559"/>
      <c r="ILS21" s="559"/>
      <c r="ILT21" s="559"/>
      <c r="ILU21" s="559"/>
      <c r="ILV21" s="559"/>
      <c r="ILW21" s="559"/>
      <c r="ILX21" s="559"/>
      <c r="ILY21" s="559"/>
      <c r="ILZ21" s="559"/>
      <c r="IMA21" s="559"/>
      <c r="IMB21" s="559"/>
      <c r="IMC21" s="559"/>
      <c r="IMD21" s="559"/>
      <c r="IME21" s="559"/>
      <c r="IMF21" s="559"/>
      <c r="IMG21" s="559"/>
      <c r="IMH21" s="559"/>
      <c r="IMI21" s="559"/>
      <c r="IMJ21" s="559"/>
      <c r="IMK21" s="559"/>
      <c r="IML21" s="559"/>
      <c r="IMM21" s="559"/>
      <c r="IMN21" s="559"/>
      <c r="IMO21" s="559"/>
      <c r="IMP21" s="559"/>
      <c r="IMQ21" s="559"/>
      <c r="IMR21" s="559"/>
      <c r="IMS21" s="559"/>
      <c r="IMT21" s="559"/>
      <c r="IMU21" s="559"/>
      <c r="IMV21" s="559"/>
      <c r="IMW21" s="559"/>
      <c r="IMX21" s="559"/>
      <c r="IMY21" s="559"/>
      <c r="IMZ21" s="559"/>
      <c r="INA21" s="559"/>
      <c r="INB21" s="559"/>
      <c r="INC21" s="559"/>
      <c r="IND21" s="559"/>
      <c r="INE21" s="559"/>
      <c r="INF21" s="559"/>
      <c r="ING21" s="559"/>
      <c r="INH21" s="559"/>
      <c r="INI21" s="559"/>
      <c r="INJ21" s="559"/>
      <c r="INK21" s="559"/>
      <c r="INL21" s="559"/>
      <c r="INM21" s="559"/>
      <c r="INN21" s="559"/>
      <c r="INO21" s="559"/>
      <c r="INP21" s="559"/>
      <c r="INQ21" s="559"/>
      <c r="INR21" s="559"/>
      <c r="INS21" s="559"/>
      <c r="INT21" s="559"/>
      <c r="INU21" s="559"/>
      <c r="INV21" s="559"/>
      <c r="INW21" s="559"/>
      <c r="INX21" s="559"/>
      <c r="INY21" s="559"/>
      <c r="INZ21" s="559"/>
      <c r="IOA21" s="559"/>
      <c r="IOB21" s="559"/>
      <c r="IOC21" s="559"/>
      <c r="IOD21" s="559"/>
      <c r="IOE21" s="559"/>
      <c r="IOF21" s="559"/>
      <c r="IOG21" s="559"/>
      <c r="IOH21" s="559"/>
      <c r="IOI21" s="559"/>
      <c r="IOJ21" s="559"/>
      <c r="IOK21" s="559"/>
      <c r="IOL21" s="559"/>
      <c r="IOM21" s="559"/>
      <c r="ION21" s="559"/>
      <c r="IOO21" s="559"/>
      <c r="IOP21" s="559"/>
      <c r="IOQ21" s="559"/>
      <c r="IOR21" s="559"/>
      <c r="IOS21" s="559"/>
      <c r="IOT21" s="559"/>
      <c r="IOU21" s="559"/>
      <c r="IOV21" s="559"/>
      <c r="IOW21" s="559"/>
      <c r="IOX21" s="559"/>
      <c r="IOY21" s="559"/>
      <c r="IOZ21" s="559"/>
      <c r="IPA21" s="559"/>
      <c r="IPB21" s="559"/>
      <c r="IPC21" s="559"/>
      <c r="IPD21" s="559"/>
      <c r="IPE21" s="559"/>
      <c r="IPF21" s="559"/>
      <c r="IPG21" s="559"/>
      <c r="IPH21" s="559"/>
      <c r="IPI21" s="559"/>
      <c r="IPJ21" s="559"/>
      <c r="IPK21" s="559"/>
      <c r="IPL21" s="559"/>
      <c r="IPM21" s="559"/>
      <c r="IPN21" s="559"/>
      <c r="IPO21" s="559"/>
      <c r="IPP21" s="559"/>
      <c r="IPQ21" s="559"/>
      <c r="IPR21" s="559"/>
      <c r="IPS21" s="559"/>
      <c r="IPT21" s="559"/>
      <c r="IPU21" s="559"/>
      <c r="IPV21" s="559"/>
      <c r="IPW21" s="559"/>
      <c r="IPX21" s="559"/>
      <c r="IPY21" s="559"/>
      <c r="IPZ21" s="559"/>
      <c r="IQA21" s="559"/>
      <c r="IQB21" s="559"/>
      <c r="IQC21" s="559"/>
      <c r="IQD21" s="559"/>
      <c r="IQE21" s="559"/>
      <c r="IQF21" s="559"/>
      <c r="IQG21" s="559"/>
      <c r="IQH21" s="559"/>
      <c r="IQI21" s="559"/>
      <c r="IQJ21" s="559"/>
      <c r="IQK21" s="559"/>
      <c r="IQL21" s="559"/>
      <c r="IQM21" s="559"/>
      <c r="IQN21" s="559"/>
      <c r="IQO21" s="559"/>
      <c r="IQP21" s="559"/>
      <c r="IQQ21" s="559"/>
      <c r="IQR21" s="559"/>
      <c r="IQS21" s="559"/>
      <c r="IQT21" s="559"/>
      <c r="IQU21" s="559"/>
      <c r="IQV21" s="559"/>
      <c r="IQW21" s="559"/>
      <c r="IQX21" s="559"/>
      <c r="IQY21" s="559"/>
      <c r="IQZ21" s="559"/>
      <c r="IRA21" s="559"/>
      <c r="IRB21" s="559"/>
      <c r="IRC21" s="559"/>
      <c r="IRD21" s="559"/>
      <c r="IRE21" s="559"/>
      <c r="IRF21" s="559"/>
      <c r="IRG21" s="559"/>
      <c r="IRH21" s="559"/>
      <c r="IRI21" s="559"/>
      <c r="IRJ21" s="559"/>
      <c r="IRK21" s="559"/>
      <c r="IRL21" s="559"/>
      <c r="IRM21" s="559"/>
      <c r="IRN21" s="559"/>
      <c r="IRO21" s="559"/>
      <c r="IRP21" s="559"/>
      <c r="IRQ21" s="559"/>
      <c r="IRR21" s="559"/>
      <c r="IRS21" s="559"/>
      <c r="IRT21" s="559"/>
      <c r="IRU21" s="559"/>
      <c r="IRV21" s="559"/>
      <c r="IRW21" s="559"/>
      <c r="IRX21" s="559"/>
      <c r="IRY21" s="559"/>
      <c r="IRZ21" s="559"/>
      <c r="ISA21" s="559"/>
      <c r="ISB21" s="559"/>
      <c r="ISC21" s="559"/>
      <c r="ISD21" s="559"/>
      <c r="ISE21" s="559"/>
      <c r="ISF21" s="559"/>
      <c r="ISG21" s="559"/>
      <c r="ISH21" s="559"/>
      <c r="ISI21" s="559"/>
      <c r="ISJ21" s="559"/>
      <c r="ISK21" s="559"/>
      <c r="ISL21" s="559"/>
      <c r="ISM21" s="559"/>
      <c r="ISN21" s="559"/>
      <c r="ISO21" s="559"/>
      <c r="ISP21" s="559"/>
      <c r="ISQ21" s="559"/>
      <c r="ISR21" s="559"/>
      <c r="ISS21" s="559"/>
      <c r="IST21" s="559"/>
      <c r="ISU21" s="559"/>
      <c r="ISV21" s="559"/>
      <c r="ISW21" s="559"/>
      <c r="ISX21" s="559"/>
      <c r="ISY21" s="559"/>
      <c r="ISZ21" s="559"/>
      <c r="ITA21" s="559"/>
      <c r="ITB21" s="559"/>
      <c r="ITC21" s="559"/>
      <c r="ITD21" s="559"/>
      <c r="ITE21" s="559"/>
      <c r="ITF21" s="559"/>
      <c r="ITG21" s="559"/>
      <c r="ITH21" s="559"/>
      <c r="ITI21" s="559"/>
      <c r="ITJ21" s="559"/>
      <c r="ITK21" s="559"/>
      <c r="ITL21" s="559"/>
      <c r="ITM21" s="559"/>
      <c r="ITN21" s="559"/>
      <c r="ITO21" s="559"/>
      <c r="ITP21" s="559"/>
      <c r="ITQ21" s="559"/>
      <c r="ITR21" s="559"/>
      <c r="ITS21" s="559"/>
      <c r="ITT21" s="559"/>
      <c r="ITU21" s="559"/>
      <c r="ITV21" s="559"/>
      <c r="ITW21" s="559"/>
      <c r="ITX21" s="559"/>
      <c r="ITY21" s="559"/>
      <c r="ITZ21" s="559"/>
      <c r="IUA21" s="559"/>
      <c r="IUB21" s="559"/>
      <c r="IUC21" s="559"/>
      <c r="IUD21" s="559"/>
      <c r="IUE21" s="559"/>
      <c r="IUF21" s="559"/>
      <c r="IUG21" s="559"/>
      <c r="IUH21" s="559"/>
      <c r="IUI21" s="559"/>
      <c r="IUJ21" s="559"/>
      <c r="IUK21" s="559"/>
      <c r="IUL21" s="559"/>
      <c r="IUM21" s="559"/>
      <c r="IUN21" s="559"/>
      <c r="IUO21" s="559"/>
      <c r="IUP21" s="559"/>
      <c r="IUQ21" s="559"/>
      <c r="IUR21" s="559"/>
      <c r="IUS21" s="559"/>
      <c r="IUT21" s="559"/>
      <c r="IUU21" s="559"/>
      <c r="IUV21" s="559"/>
      <c r="IUW21" s="559"/>
      <c r="IUX21" s="559"/>
      <c r="IUY21" s="559"/>
      <c r="IUZ21" s="559"/>
      <c r="IVA21" s="559"/>
      <c r="IVB21" s="559"/>
      <c r="IVC21" s="559"/>
      <c r="IVD21" s="559"/>
      <c r="IVE21" s="559"/>
      <c r="IVF21" s="559"/>
      <c r="IVG21" s="559"/>
      <c r="IVH21" s="559"/>
      <c r="IVI21" s="559"/>
      <c r="IVJ21" s="559"/>
      <c r="IVK21" s="559"/>
      <c r="IVL21" s="559"/>
      <c r="IVM21" s="559"/>
      <c r="IVN21" s="559"/>
      <c r="IVO21" s="559"/>
      <c r="IVP21" s="559"/>
      <c r="IVQ21" s="559"/>
      <c r="IVR21" s="559"/>
      <c r="IVS21" s="559"/>
      <c r="IVT21" s="559"/>
      <c r="IVU21" s="559"/>
      <c r="IVV21" s="559"/>
      <c r="IVW21" s="559"/>
      <c r="IVX21" s="559"/>
      <c r="IVY21" s="559"/>
      <c r="IVZ21" s="559"/>
      <c r="IWA21" s="559"/>
      <c r="IWB21" s="559"/>
      <c r="IWC21" s="559"/>
      <c r="IWD21" s="559"/>
      <c r="IWE21" s="559"/>
      <c r="IWF21" s="559"/>
      <c r="IWG21" s="559"/>
      <c r="IWH21" s="559"/>
      <c r="IWI21" s="559"/>
      <c r="IWJ21" s="559"/>
      <c r="IWK21" s="559"/>
      <c r="IWL21" s="559"/>
      <c r="IWM21" s="559"/>
      <c r="IWN21" s="559"/>
      <c r="IWO21" s="559"/>
      <c r="IWP21" s="559"/>
      <c r="IWQ21" s="559"/>
      <c r="IWR21" s="559"/>
      <c r="IWS21" s="559"/>
      <c r="IWT21" s="559"/>
      <c r="IWU21" s="559"/>
      <c r="IWV21" s="559"/>
      <c r="IWW21" s="559"/>
      <c r="IWX21" s="559"/>
      <c r="IWY21" s="559"/>
      <c r="IWZ21" s="559"/>
      <c r="IXA21" s="559"/>
      <c r="IXB21" s="559"/>
      <c r="IXC21" s="559"/>
      <c r="IXD21" s="559"/>
      <c r="IXE21" s="559"/>
      <c r="IXF21" s="559"/>
      <c r="IXG21" s="559"/>
      <c r="IXH21" s="559"/>
      <c r="IXI21" s="559"/>
      <c r="IXJ21" s="559"/>
      <c r="IXK21" s="559"/>
      <c r="IXL21" s="559"/>
      <c r="IXM21" s="559"/>
      <c r="IXN21" s="559"/>
      <c r="IXO21" s="559"/>
      <c r="IXP21" s="559"/>
      <c r="IXQ21" s="559"/>
      <c r="IXR21" s="559"/>
      <c r="IXS21" s="559"/>
      <c r="IXT21" s="559"/>
      <c r="IXU21" s="559"/>
      <c r="IXV21" s="559"/>
      <c r="IXW21" s="559"/>
      <c r="IXX21" s="559"/>
      <c r="IXY21" s="559"/>
      <c r="IXZ21" s="559"/>
      <c r="IYA21" s="559"/>
      <c r="IYB21" s="559"/>
      <c r="IYC21" s="559"/>
      <c r="IYD21" s="559"/>
      <c r="IYE21" s="559"/>
      <c r="IYF21" s="559"/>
      <c r="IYG21" s="559"/>
      <c r="IYH21" s="559"/>
      <c r="IYI21" s="559"/>
      <c r="IYJ21" s="559"/>
      <c r="IYK21" s="559"/>
      <c r="IYL21" s="559"/>
      <c r="IYM21" s="559"/>
      <c r="IYN21" s="559"/>
      <c r="IYO21" s="559"/>
      <c r="IYP21" s="559"/>
      <c r="IYQ21" s="559"/>
      <c r="IYR21" s="559"/>
      <c r="IYS21" s="559"/>
      <c r="IYT21" s="559"/>
      <c r="IYU21" s="559"/>
      <c r="IYV21" s="559"/>
      <c r="IYW21" s="559"/>
      <c r="IYX21" s="559"/>
      <c r="IYY21" s="559"/>
      <c r="IYZ21" s="559"/>
      <c r="IZA21" s="559"/>
      <c r="IZB21" s="559"/>
      <c r="IZC21" s="559"/>
      <c r="IZD21" s="559"/>
      <c r="IZE21" s="559"/>
      <c r="IZF21" s="559"/>
      <c r="IZG21" s="559"/>
      <c r="IZH21" s="559"/>
      <c r="IZI21" s="559"/>
      <c r="IZJ21" s="559"/>
      <c r="IZK21" s="559"/>
      <c r="IZL21" s="559"/>
      <c r="IZM21" s="559"/>
      <c r="IZN21" s="559"/>
      <c r="IZO21" s="559"/>
      <c r="IZP21" s="559"/>
      <c r="IZQ21" s="559"/>
      <c r="IZR21" s="559"/>
      <c r="IZS21" s="559"/>
      <c r="IZT21" s="559"/>
      <c r="IZU21" s="559"/>
      <c r="IZV21" s="559"/>
      <c r="IZW21" s="559"/>
      <c r="IZX21" s="559"/>
      <c r="IZY21" s="559"/>
      <c r="IZZ21" s="559"/>
      <c r="JAA21" s="559"/>
      <c r="JAB21" s="559"/>
      <c r="JAC21" s="559"/>
      <c r="JAD21" s="559"/>
      <c r="JAE21" s="559"/>
      <c r="JAF21" s="559"/>
      <c r="JAG21" s="559"/>
      <c r="JAH21" s="559"/>
      <c r="JAI21" s="559"/>
      <c r="JAJ21" s="559"/>
      <c r="JAK21" s="559"/>
      <c r="JAL21" s="559"/>
      <c r="JAM21" s="559"/>
      <c r="JAN21" s="559"/>
      <c r="JAO21" s="559"/>
      <c r="JAP21" s="559"/>
      <c r="JAQ21" s="559"/>
      <c r="JAR21" s="559"/>
      <c r="JAS21" s="559"/>
      <c r="JAT21" s="559"/>
      <c r="JAU21" s="559"/>
      <c r="JAV21" s="559"/>
      <c r="JAW21" s="559"/>
      <c r="JAX21" s="559"/>
      <c r="JAY21" s="559"/>
      <c r="JAZ21" s="559"/>
      <c r="JBA21" s="559"/>
      <c r="JBB21" s="559"/>
      <c r="JBC21" s="559"/>
      <c r="JBD21" s="559"/>
      <c r="JBE21" s="559"/>
      <c r="JBF21" s="559"/>
      <c r="JBG21" s="559"/>
      <c r="JBH21" s="559"/>
      <c r="JBI21" s="559"/>
      <c r="JBJ21" s="559"/>
      <c r="JBK21" s="559"/>
      <c r="JBL21" s="559"/>
      <c r="JBM21" s="559"/>
      <c r="JBN21" s="559"/>
      <c r="JBO21" s="559"/>
      <c r="JBP21" s="559"/>
      <c r="JBQ21" s="559"/>
      <c r="JBR21" s="559"/>
      <c r="JBS21" s="559"/>
      <c r="JBT21" s="559"/>
      <c r="JBU21" s="559"/>
      <c r="JBV21" s="559"/>
      <c r="JBW21" s="559"/>
      <c r="JBX21" s="559"/>
      <c r="JBY21" s="559"/>
      <c r="JBZ21" s="559"/>
      <c r="JCA21" s="559"/>
      <c r="JCB21" s="559"/>
      <c r="JCC21" s="559"/>
      <c r="JCD21" s="559"/>
      <c r="JCE21" s="559"/>
      <c r="JCF21" s="559"/>
      <c r="JCG21" s="559"/>
      <c r="JCH21" s="559"/>
      <c r="JCI21" s="559"/>
      <c r="JCJ21" s="559"/>
      <c r="JCK21" s="559"/>
      <c r="JCL21" s="559"/>
      <c r="JCM21" s="559"/>
      <c r="JCN21" s="559"/>
      <c r="JCO21" s="559"/>
      <c r="JCP21" s="559"/>
      <c r="JCQ21" s="559"/>
      <c r="JCR21" s="559"/>
      <c r="JCS21" s="559"/>
      <c r="JCT21" s="559"/>
      <c r="JCU21" s="559"/>
      <c r="JCV21" s="559"/>
      <c r="JCW21" s="559"/>
      <c r="JCX21" s="559"/>
      <c r="JCY21" s="559"/>
      <c r="JCZ21" s="559"/>
      <c r="JDA21" s="559"/>
      <c r="JDB21" s="559"/>
      <c r="JDC21" s="559"/>
      <c r="JDD21" s="559"/>
      <c r="JDE21" s="559"/>
      <c r="JDF21" s="559"/>
      <c r="JDG21" s="559"/>
      <c r="JDH21" s="559"/>
      <c r="JDI21" s="559"/>
      <c r="JDJ21" s="559"/>
      <c r="JDK21" s="559"/>
      <c r="JDL21" s="559"/>
      <c r="JDM21" s="559"/>
      <c r="JDN21" s="559"/>
      <c r="JDO21" s="559"/>
      <c r="JDP21" s="559"/>
      <c r="JDQ21" s="559"/>
      <c r="JDR21" s="559"/>
      <c r="JDS21" s="559"/>
      <c r="JDT21" s="559"/>
      <c r="JDU21" s="559"/>
      <c r="JDV21" s="559"/>
      <c r="JDW21" s="559"/>
      <c r="JDX21" s="559"/>
      <c r="JDY21" s="559"/>
      <c r="JDZ21" s="559"/>
      <c r="JEA21" s="559"/>
      <c r="JEB21" s="559"/>
      <c r="JEC21" s="559"/>
      <c r="JED21" s="559"/>
      <c r="JEE21" s="559"/>
      <c r="JEF21" s="559"/>
      <c r="JEG21" s="559"/>
      <c r="JEH21" s="559"/>
      <c r="JEI21" s="559"/>
      <c r="JEJ21" s="559"/>
      <c r="JEK21" s="559"/>
      <c r="JEL21" s="559"/>
      <c r="JEM21" s="559"/>
      <c r="JEN21" s="559"/>
      <c r="JEO21" s="559"/>
      <c r="JEP21" s="559"/>
      <c r="JEQ21" s="559"/>
      <c r="JER21" s="559"/>
      <c r="JES21" s="559"/>
      <c r="JET21" s="559"/>
      <c r="JEU21" s="559"/>
      <c r="JEV21" s="559"/>
      <c r="JEW21" s="559"/>
      <c r="JEX21" s="559"/>
      <c r="JEY21" s="559"/>
      <c r="JEZ21" s="559"/>
      <c r="JFA21" s="559"/>
      <c r="JFB21" s="559"/>
      <c r="JFC21" s="559"/>
      <c r="JFD21" s="559"/>
      <c r="JFE21" s="559"/>
      <c r="JFF21" s="559"/>
      <c r="JFG21" s="559"/>
      <c r="JFH21" s="559"/>
      <c r="JFI21" s="559"/>
      <c r="JFJ21" s="559"/>
      <c r="JFK21" s="559"/>
      <c r="JFL21" s="559"/>
      <c r="JFM21" s="559"/>
      <c r="JFN21" s="559"/>
      <c r="JFO21" s="559"/>
      <c r="JFP21" s="559"/>
      <c r="JFQ21" s="559"/>
      <c r="JFR21" s="559"/>
      <c r="JFS21" s="559"/>
      <c r="JFT21" s="559"/>
      <c r="JFU21" s="559"/>
      <c r="JFV21" s="559"/>
      <c r="JFW21" s="559"/>
      <c r="JFX21" s="559"/>
      <c r="JFY21" s="559"/>
      <c r="JFZ21" s="559"/>
      <c r="JGA21" s="559"/>
      <c r="JGB21" s="559"/>
      <c r="JGC21" s="559"/>
      <c r="JGD21" s="559"/>
      <c r="JGE21" s="559"/>
      <c r="JGF21" s="559"/>
      <c r="JGG21" s="559"/>
      <c r="JGH21" s="559"/>
      <c r="JGI21" s="559"/>
      <c r="JGJ21" s="559"/>
      <c r="JGK21" s="559"/>
      <c r="JGL21" s="559"/>
      <c r="JGM21" s="559"/>
      <c r="JGN21" s="559"/>
      <c r="JGO21" s="559"/>
      <c r="JGP21" s="559"/>
      <c r="JGQ21" s="559"/>
      <c r="JGR21" s="559"/>
      <c r="JGS21" s="559"/>
      <c r="JGT21" s="559"/>
      <c r="JGU21" s="559"/>
      <c r="JGV21" s="559"/>
      <c r="JGW21" s="559"/>
      <c r="JGX21" s="559"/>
      <c r="JGY21" s="559"/>
      <c r="JGZ21" s="559"/>
      <c r="JHA21" s="559"/>
      <c r="JHB21" s="559"/>
      <c r="JHC21" s="559"/>
      <c r="JHD21" s="559"/>
      <c r="JHE21" s="559"/>
      <c r="JHF21" s="559"/>
      <c r="JHG21" s="559"/>
      <c r="JHH21" s="559"/>
      <c r="JHI21" s="559"/>
      <c r="JHJ21" s="559"/>
      <c r="JHK21" s="559"/>
      <c r="JHL21" s="559"/>
      <c r="JHM21" s="559"/>
      <c r="JHN21" s="559"/>
      <c r="JHO21" s="559"/>
      <c r="JHP21" s="559"/>
      <c r="JHQ21" s="559"/>
      <c r="JHR21" s="559"/>
      <c r="JHS21" s="559"/>
      <c r="JHT21" s="559"/>
      <c r="JHU21" s="559"/>
      <c r="JHV21" s="559"/>
      <c r="JHW21" s="559"/>
      <c r="JHX21" s="559"/>
      <c r="JHY21" s="559"/>
      <c r="JHZ21" s="559"/>
      <c r="JIA21" s="559"/>
      <c r="JIB21" s="559"/>
      <c r="JIC21" s="559"/>
      <c r="JID21" s="559"/>
      <c r="JIE21" s="559"/>
      <c r="JIF21" s="559"/>
      <c r="JIG21" s="559"/>
      <c r="JIH21" s="559"/>
      <c r="JII21" s="559"/>
      <c r="JIJ21" s="559"/>
      <c r="JIK21" s="559"/>
      <c r="JIL21" s="559"/>
      <c r="JIM21" s="559"/>
      <c r="JIN21" s="559"/>
      <c r="JIO21" s="559"/>
      <c r="JIP21" s="559"/>
      <c r="JIQ21" s="559"/>
      <c r="JIR21" s="559"/>
      <c r="JIS21" s="559"/>
      <c r="JIT21" s="559"/>
      <c r="JIU21" s="559"/>
      <c r="JIV21" s="559"/>
      <c r="JIW21" s="559"/>
      <c r="JIX21" s="559"/>
      <c r="JIY21" s="559"/>
      <c r="JIZ21" s="559"/>
      <c r="JJA21" s="559"/>
      <c r="JJB21" s="559"/>
      <c r="JJC21" s="559"/>
      <c r="JJD21" s="559"/>
      <c r="JJE21" s="559"/>
      <c r="JJF21" s="559"/>
      <c r="JJG21" s="559"/>
      <c r="JJH21" s="559"/>
      <c r="JJI21" s="559"/>
      <c r="JJJ21" s="559"/>
      <c r="JJK21" s="559"/>
      <c r="JJL21" s="559"/>
      <c r="JJM21" s="559"/>
      <c r="JJN21" s="559"/>
      <c r="JJO21" s="559"/>
      <c r="JJP21" s="559"/>
      <c r="JJQ21" s="559"/>
      <c r="JJR21" s="559"/>
      <c r="JJS21" s="559"/>
      <c r="JJT21" s="559"/>
      <c r="JJU21" s="559"/>
      <c r="JJV21" s="559"/>
      <c r="JJW21" s="559"/>
      <c r="JJX21" s="559"/>
      <c r="JJY21" s="559"/>
      <c r="JJZ21" s="559"/>
      <c r="JKA21" s="559"/>
      <c r="JKB21" s="559"/>
      <c r="JKC21" s="559"/>
      <c r="JKD21" s="559"/>
      <c r="JKE21" s="559"/>
      <c r="JKF21" s="559"/>
      <c r="JKG21" s="559"/>
      <c r="JKH21" s="559"/>
      <c r="JKI21" s="559"/>
      <c r="JKJ21" s="559"/>
      <c r="JKK21" s="559"/>
      <c r="JKL21" s="559"/>
      <c r="JKM21" s="559"/>
      <c r="JKN21" s="559"/>
      <c r="JKO21" s="559"/>
      <c r="JKP21" s="559"/>
      <c r="JKQ21" s="559"/>
      <c r="JKR21" s="559"/>
      <c r="JKS21" s="559"/>
      <c r="JKT21" s="559"/>
      <c r="JKU21" s="559"/>
      <c r="JKV21" s="559"/>
      <c r="JKW21" s="559"/>
      <c r="JKX21" s="559"/>
      <c r="JKY21" s="559"/>
      <c r="JKZ21" s="559"/>
      <c r="JLA21" s="559"/>
      <c r="JLB21" s="559"/>
      <c r="JLC21" s="559"/>
      <c r="JLD21" s="559"/>
      <c r="JLE21" s="559"/>
      <c r="JLF21" s="559"/>
      <c r="JLG21" s="559"/>
      <c r="JLH21" s="559"/>
      <c r="JLI21" s="559"/>
      <c r="JLJ21" s="559"/>
      <c r="JLK21" s="559"/>
      <c r="JLL21" s="559"/>
      <c r="JLM21" s="559"/>
      <c r="JLN21" s="559"/>
      <c r="JLO21" s="559"/>
      <c r="JLP21" s="559"/>
      <c r="JLQ21" s="559"/>
      <c r="JLR21" s="559"/>
      <c r="JLS21" s="559"/>
      <c r="JLT21" s="559"/>
      <c r="JLU21" s="559"/>
      <c r="JLV21" s="559"/>
      <c r="JLW21" s="559"/>
      <c r="JLX21" s="559"/>
      <c r="JLY21" s="559"/>
      <c r="JLZ21" s="559"/>
      <c r="JMA21" s="559"/>
      <c r="JMB21" s="559"/>
      <c r="JMC21" s="559"/>
      <c r="JMD21" s="559"/>
      <c r="JME21" s="559"/>
      <c r="JMF21" s="559"/>
      <c r="JMG21" s="559"/>
      <c r="JMH21" s="559"/>
      <c r="JMI21" s="559"/>
      <c r="JMJ21" s="559"/>
      <c r="JMK21" s="559"/>
      <c r="JML21" s="559"/>
      <c r="JMM21" s="559"/>
      <c r="JMN21" s="559"/>
      <c r="JMO21" s="559"/>
      <c r="JMP21" s="559"/>
      <c r="JMQ21" s="559"/>
      <c r="JMR21" s="559"/>
      <c r="JMS21" s="559"/>
      <c r="JMT21" s="559"/>
      <c r="JMU21" s="559"/>
      <c r="JMV21" s="559"/>
      <c r="JMW21" s="559"/>
      <c r="JMX21" s="559"/>
      <c r="JMY21" s="559"/>
      <c r="JMZ21" s="559"/>
      <c r="JNA21" s="559"/>
      <c r="JNB21" s="559"/>
      <c r="JNC21" s="559"/>
      <c r="JND21" s="559"/>
      <c r="JNE21" s="559"/>
      <c r="JNF21" s="559"/>
      <c r="JNG21" s="559"/>
      <c r="JNH21" s="559"/>
      <c r="JNI21" s="559"/>
      <c r="JNJ21" s="559"/>
      <c r="JNK21" s="559"/>
      <c r="JNL21" s="559"/>
      <c r="JNM21" s="559"/>
      <c r="JNN21" s="559"/>
      <c r="JNO21" s="559"/>
      <c r="JNP21" s="559"/>
      <c r="JNQ21" s="559"/>
      <c r="JNR21" s="559"/>
      <c r="JNS21" s="559"/>
      <c r="JNT21" s="559"/>
      <c r="JNU21" s="559"/>
      <c r="JNV21" s="559"/>
      <c r="JNW21" s="559"/>
      <c r="JNX21" s="559"/>
      <c r="JNY21" s="559"/>
      <c r="JNZ21" s="559"/>
      <c r="JOA21" s="559"/>
      <c r="JOB21" s="559"/>
      <c r="JOC21" s="559"/>
      <c r="JOD21" s="559"/>
      <c r="JOE21" s="559"/>
      <c r="JOF21" s="559"/>
      <c r="JOG21" s="559"/>
      <c r="JOH21" s="559"/>
      <c r="JOI21" s="559"/>
      <c r="JOJ21" s="559"/>
      <c r="JOK21" s="559"/>
      <c r="JOL21" s="559"/>
      <c r="JOM21" s="559"/>
      <c r="JON21" s="559"/>
      <c r="JOO21" s="559"/>
      <c r="JOP21" s="559"/>
      <c r="JOQ21" s="559"/>
      <c r="JOR21" s="559"/>
      <c r="JOS21" s="559"/>
      <c r="JOT21" s="559"/>
      <c r="JOU21" s="559"/>
      <c r="JOV21" s="559"/>
      <c r="JOW21" s="559"/>
      <c r="JOX21" s="559"/>
      <c r="JOY21" s="559"/>
      <c r="JOZ21" s="559"/>
      <c r="JPA21" s="559"/>
      <c r="JPB21" s="559"/>
      <c r="JPC21" s="559"/>
      <c r="JPD21" s="559"/>
      <c r="JPE21" s="559"/>
      <c r="JPF21" s="559"/>
      <c r="JPG21" s="559"/>
      <c r="JPH21" s="559"/>
      <c r="JPI21" s="559"/>
      <c r="JPJ21" s="559"/>
      <c r="JPK21" s="559"/>
      <c r="JPL21" s="559"/>
      <c r="JPM21" s="559"/>
      <c r="JPN21" s="559"/>
      <c r="JPO21" s="559"/>
      <c r="JPP21" s="559"/>
      <c r="JPQ21" s="559"/>
      <c r="JPR21" s="559"/>
      <c r="JPS21" s="559"/>
      <c r="JPT21" s="559"/>
      <c r="JPU21" s="559"/>
      <c r="JPV21" s="559"/>
      <c r="JPW21" s="559"/>
      <c r="JPX21" s="559"/>
      <c r="JPY21" s="559"/>
      <c r="JPZ21" s="559"/>
      <c r="JQA21" s="559"/>
      <c r="JQB21" s="559"/>
      <c r="JQC21" s="559"/>
      <c r="JQD21" s="559"/>
      <c r="JQE21" s="559"/>
      <c r="JQF21" s="559"/>
      <c r="JQG21" s="559"/>
      <c r="JQH21" s="559"/>
      <c r="JQI21" s="559"/>
      <c r="JQJ21" s="559"/>
      <c r="JQK21" s="559"/>
      <c r="JQL21" s="559"/>
      <c r="JQM21" s="559"/>
      <c r="JQN21" s="559"/>
      <c r="JQO21" s="559"/>
      <c r="JQP21" s="559"/>
      <c r="JQQ21" s="559"/>
      <c r="JQR21" s="559"/>
      <c r="JQS21" s="559"/>
      <c r="JQT21" s="559"/>
      <c r="JQU21" s="559"/>
      <c r="JQV21" s="559"/>
      <c r="JQW21" s="559"/>
      <c r="JQX21" s="559"/>
      <c r="JQY21" s="559"/>
      <c r="JQZ21" s="559"/>
      <c r="JRA21" s="559"/>
      <c r="JRB21" s="559"/>
      <c r="JRC21" s="559"/>
      <c r="JRD21" s="559"/>
      <c r="JRE21" s="559"/>
      <c r="JRF21" s="559"/>
      <c r="JRG21" s="559"/>
      <c r="JRH21" s="559"/>
      <c r="JRI21" s="559"/>
      <c r="JRJ21" s="559"/>
      <c r="JRK21" s="559"/>
      <c r="JRL21" s="559"/>
      <c r="JRM21" s="559"/>
      <c r="JRN21" s="559"/>
      <c r="JRO21" s="559"/>
      <c r="JRP21" s="559"/>
      <c r="JRQ21" s="559"/>
      <c r="JRR21" s="559"/>
      <c r="JRS21" s="559"/>
      <c r="JRT21" s="559"/>
      <c r="JRU21" s="559"/>
      <c r="JRV21" s="559"/>
      <c r="JRW21" s="559"/>
      <c r="JRX21" s="559"/>
      <c r="JRY21" s="559"/>
      <c r="JRZ21" s="559"/>
      <c r="JSA21" s="559"/>
      <c r="JSB21" s="559"/>
      <c r="JSC21" s="559"/>
      <c r="JSD21" s="559"/>
      <c r="JSE21" s="559"/>
      <c r="JSF21" s="559"/>
      <c r="JSG21" s="559"/>
      <c r="JSH21" s="559"/>
      <c r="JSI21" s="559"/>
      <c r="JSJ21" s="559"/>
      <c r="JSK21" s="559"/>
      <c r="JSL21" s="559"/>
      <c r="JSM21" s="559"/>
      <c r="JSN21" s="559"/>
      <c r="JSO21" s="559"/>
      <c r="JSP21" s="559"/>
      <c r="JSQ21" s="559"/>
      <c r="JSR21" s="559"/>
      <c r="JSS21" s="559"/>
      <c r="JST21" s="559"/>
      <c r="JSU21" s="559"/>
      <c r="JSV21" s="559"/>
      <c r="JSW21" s="559"/>
      <c r="JSX21" s="559"/>
      <c r="JSY21" s="559"/>
      <c r="JSZ21" s="559"/>
      <c r="JTA21" s="559"/>
      <c r="JTB21" s="559"/>
      <c r="JTC21" s="559"/>
      <c r="JTD21" s="559"/>
      <c r="JTE21" s="559"/>
      <c r="JTF21" s="559"/>
      <c r="JTG21" s="559"/>
      <c r="JTH21" s="559"/>
      <c r="JTI21" s="559"/>
      <c r="JTJ21" s="559"/>
      <c r="JTK21" s="559"/>
      <c r="JTL21" s="559"/>
      <c r="JTM21" s="559"/>
      <c r="JTN21" s="559"/>
      <c r="JTO21" s="559"/>
      <c r="JTP21" s="559"/>
      <c r="JTQ21" s="559"/>
      <c r="JTR21" s="559"/>
      <c r="JTS21" s="559"/>
      <c r="JTT21" s="559"/>
      <c r="JTU21" s="559"/>
      <c r="JTV21" s="559"/>
      <c r="JTW21" s="559"/>
      <c r="JTX21" s="559"/>
      <c r="JTY21" s="559"/>
      <c r="JTZ21" s="559"/>
      <c r="JUA21" s="559"/>
      <c r="JUB21" s="559"/>
      <c r="JUC21" s="559"/>
      <c r="JUD21" s="559"/>
      <c r="JUE21" s="559"/>
      <c r="JUF21" s="559"/>
      <c r="JUG21" s="559"/>
      <c r="JUH21" s="559"/>
      <c r="JUI21" s="559"/>
      <c r="JUJ21" s="559"/>
      <c r="JUK21" s="559"/>
      <c r="JUL21" s="559"/>
      <c r="JUM21" s="559"/>
      <c r="JUN21" s="559"/>
      <c r="JUO21" s="559"/>
      <c r="JUP21" s="559"/>
      <c r="JUQ21" s="559"/>
      <c r="JUR21" s="559"/>
      <c r="JUS21" s="559"/>
      <c r="JUT21" s="559"/>
      <c r="JUU21" s="559"/>
      <c r="JUV21" s="559"/>
      <c r="JUW21" s="559"/>
      <c r="JUX21" s="559"/>
      <c r="JUY21" s="559"/>
      <c r="JUZ21" s="559"/>
      <c r="JVA21" s="559"/>
      <c r="JVB21" s="559"/>
      <c r="JVC21" s="559"/>
      <c r="JVD21" s="559"/>
      <c r="JVE21" s="559"/>
      <c r="JVF21" s="559"/>
      <c r="JVG21" s="559"/>
      <c r="JVH21" s="559"/>
      <c r="JVI21" s="559"/>
      <c r="JVJ21" s="559"/>
      <c r="JVK21" s="559"/>
      <c r="JVL21" s="559"/>
      <c r="JVM21" s="559"/>
      <c r="JVN21" s="559"/>
      <c r="JVO21" s="559"/>
      <c r="JVP21" s="559"/>
      <c r="JVQ21" s="559"/>
      <c r="JVR21" s="559"/>
      <c r="JVS21" s="559"/>
      <c r="JVT21" s="559"/>
      <c r="JVU21" s="559"/>
      <c r="JVV21" s="559"/>
      <c r="JVW21" s="559"/>
      <c r="JVX21" s="559"/>
      <c r="JVY21" s="559"/>
      <c r="JVZ21" s="559"/>
      <c r="JWA21" s="559"/>
      <c r="JWB21" s="559"/>
      <c r="JWC21" s="559"/>
      <c r="JWD21" s="559"/>
      <c r="JWE21" s="559"/>
      <c r="JWF21" s="559"/>
      <c r="JWG21" s="559"/>
      <c r="JWH21" s="559"/>
      <c r="JWI21" s="559"/>
      <c r="JWJ21" s="559"/>
      <c r="JWK21" s="559"/>
      <c r="JWL21" s="559"/>
      <c r="JWM21" s="559"/>
      <c r="JWN21" s="559"/>
      <c r="JWO21" s="559"/>
      <c r="JWP21" s="559"/>
      <c r="JWQ21" s="559"/>
      <c r="JWR21" s="559"/>
      <c r="JWS21" s="559"/>
      <c r="JWT21" s="559"/>
      <c r="JWU21" s="559"/>
      <c r="JWV21" s="559"/>
      <c r="JWW21" s="559"/>
      <c r="JWX21" s="559"/>
      <c r="JWY21" s="559"/>
      <c r="JWZ21" s="559"/>
      <c r="JXA21" s="559"/>
      <c r="JXB21" s="559"/>
      <c r="JXC21" s="559"/>
      <c r="JXD21" s="559"/>
      <c r="JXE21" s="559"/>
      <c r="JXF21" s="559"/>
      <c r="JXG21" s="559"/>
      <c r="JXH21" s="559"/>
      <c r="JXI21" s="559"/>
      <c r="JXJ21" s="559"/>
      <c r="JXK21" s="559"/>
      <c r="JXL21" s="559"/>
      <c r="JXM21" s="559"/>
      <c r="JXN21" s="559"/>
      <c r="JXO21" s="559"/>
      <c r="JXP21" s="559"/>
      <c r="JXQ21" s="559"/>
      <c r="JXR21" s="559"/>
      <c r="JXS21" s="559"/>
      <c r="JXT21" s="559"/>
      <c r="JXU21" s="559"/>
      <c r="JXV21" s="559"/>
      <c r="JXW21" s="559"/>
      <c r="JXX21" s="559"/>
      <c r="JXY21" s="559"/>
      <c r="JXZ21" s="559"/>
      <c r="JYA21" s="559"/>
      <c r="JYB21" s="559"/>
      <c r="JYC21" s="559"/>
      <c r="JYD21" s="559"/>
      <c r="JYE21" s="559"/>
      <c r="JYF21" s="559"/>
      <c r="JYG21" s="559"/>
      <c r="JYH21" s="559"/>
      <c r="JYI21" s="559"/>
      <c r="JYJ21" s="559"/>
      <c r="JYK21" s="559"/>
      <c r="JYL21" s="559"/>
      <c r="JYM21" s="559"/>
      <c r="JYN21" s="559"/>
      <c r="JYO21" s="559"/>
      <c r="JYP21" s="559"/>
      <c r="JYQ21" s="559"/>
      <c r="JYR21" s="559"/>
      <c r="JYS21" s="559"/>
      <c r="JYT21" s="559"/>
      <c r="JYU21" s="559"/>
      <c r="JYV21" s="559"/>
      <c r="JYW21" s="559"/>
      <c r="JYX21" s="559"/>
      <c r="JYY21" s="559"/>
      <c r="JYZ21" s="559"/>
      <c r="JZA21" s="559"/>
      <c r="JZB21" s="559"/>
      <c r="JZC21" s="559"/>
      <c r="JZD21" s="559"/>
      <c r="JZE21" s="559"/>
      <c r="JZF21" s="559"/>
      <c r="JZG21" s="559"/>
      <c r="JZH21" s="559"/>
      <c r="JZI21" s="559"/>
      <c r="JZJ21" s="559"/>
      <c r="JZK21" s="559"/>
      <c r="JZL21" s="559"/>
      <c r="JZM21" s="559"/>
      <c r="JZN21" s="559"/>
      <c r="JZO21" s="559"/>
      <c r="JZP21" s="559"/>
      <c r="JZQ21" s="559"/>
      <c r="JZR21" s="559"/>
      <c r="JZS21" s="559"/>
      <c r="JZT21" s="559"/>
      <c r="JZU21" s="559"/>
      <c r="JZV21" s="559"/>
      <c r="JZW21" s="559"/>
      <c r="JZX21" s="559"/>
      <c r="JZY21" s="559"/>
      <c r="JZZ21" s="559"/>
      <c r="KAA21" s="559"/>
      <c r="KAB21" s="559"/>
      <c r="KAC21" s="559"/>
      <c r="KAD21" s="559"/>
      <c r="KAE21" s="559"/>
      <c r="KAF21" s="559"/>
      <c r="KAG21" s="559"/>
      <c r="KAH21" s="559"/>
      <c r="KAI21" s="559"/>
      <c r="KAJ21" s="559"/>
      <c r="KAK21" s="559"/>
      <c r="KAL21" s="559"/>
      <c r="KAM21" s="559"/>
      <c r="KAN21" s="559"/>
      <c r="KAO21" s="559"/>
      <c r="KAP21" s="559"/>
      <c r="KAQ21" s="559"/>
      <c r="KAR21" s="559"/>
      <c r="KAS21" s="559"/>
      <c r="KAT21" s="559"/>
      <c r="KAU21" s="559"/>
      <c r="KAV21" s="559"/>
      <c r="KAW21" s="559"/>
      <c r="KAX21" s="559"/>
      <c r="KAY21" s="559"/>
      <c r="KAZ21" s="559"/>
      <c r="KBA21" s="559"/>
      <c r="KBB21" s="559"/>
      <c r="KBC21" s="559"/>
      <c r="KBD21" s="559"/>
      <c r="KBE21" s="559"/>
      <c r="KBF21" s="559"/>
      <c r="KBG21" s="559"/>
      <c r="KBH21" s="559"/>
      <c r="KBI21" s="559"/>
      <c r="KBJ21" s="559"/>
      <c r="KBK21" s="559"/>
      <c r="KBL21" s="559"/>
      <c r="KBM21" s="559"/>
      <c r="KBN21" s="559"/>
      <c r="KBO21" s="559"/>
      <c r="KBP21" s="559"/>
      <c r="KBQ21" s="559"/>
      <c r="KBR21" s="559"/>
      <c r="KBS21" s="559"/>
      <c r="KBT21" s="559"/>
      <c r="KBU21" s="559"/>
      <c r="KBV21" s="559"/>
      <c r="KBW21" s="559"/>
      <c r="KBX21" s="559"/>
      <c r="KBY21" s="559"/>
      <c r="KBZ21" s="559"/>
      <c r="KCA21" s="559"/>
      <c r="KCB21" s="559"/>
      <c r="KCC21" s="559"/>
      <c r="KCD21" s="559"/>
      <c r="KCE21" s="559"/>
      <c r="KCF21" s="559"/>
      <c r="KCG21" s="559"/>
      <c r="KCH21" s="559"/>
      <c r="KCI21" s="559"/>
      <c r="KCJ21" s="559"/>
      <c r="KCK21" s="559"/>
      <c r="KCL21" s="559"/>
      <c r="KCM21" s="559"/>
      <c r="KCN21" s="559"/>
      <c r="KCO21" s="559"/>
      <c r="KCP21" s="559"/>
      <c r="KCQ21" s="559"/>
      <c r="KCR21" s="559"/>
      <c r="KCS21" s="559"/>
      <c r="KCT21" s="559"/>
      <c r="KCU21" s="559"/>
      <c r="KCV21" s="559"/>
      <c r="KCW21" s="559"/>
      <c r="KCX21" s="559"/>
      <c r="KCY21" s="559"/>
      <c r="KCZ21" s="559"/>
      <c r="KDA21" s="559"/>
      <c r="KDB21" s="559"/>
      <c r="KDC21" s="559"/>
      <c r="KDD21" s="559"/>
      <c r="KDE21" s="559"/>
      <c r="KDF21" s="559"/>
      <c r="KDG21" s="559"/>
      <c r="KDH21" s="559"/>
      <c r="KDI21" s="559"/>
      <c r="KDJ21" s="559"/>
      <c r="KDK21" s="559"/>
      <c r="KDL21" s="559"/>
      <c r="KDM21" s="559"/>
      <c r="KDN21" s="559"/>
      <c r="KDO21" s="559"/>
      <c r="KDP21" s="559"/>
      <c r="KDQ21" s="559"/>
      <c r="KDR21" s="559"/>
      <c r="KDS21" s="559"/>
      <c r="KDT21" s="559"/>
      <c r="KDU21" s="559"/>
      <c r="KDV21" s="559"/>
      <c r="KDW21" s="559"/>
      <c r="KDX21" s="559"/>
      <c r="KDY21" s="559"/>
      <c r="KDZ21" s="559"/>
      <c r="KEA21" s="559"/>
      <c r="KEB21" s="559"/>
      <c r="KEC21" s="559"/>
      <c r="KED21" s="559"/>
      <c r="KEE21" s="559"/>
      <c r="KEF21" s="559"/>
      <c r="KEG21" s="559"/>
      <c r="KEH21" s="559"/>
      <c r="KEI21" s="559"/>
      <c r="KEJ21" s="559"/>
      <c r="KEK21" s="559"/>
      <c r="KEL21" s="559"/>
      <c r="KEM21" s="559"/>
      <c r="KEN21" s="559"/>
      <c r="KEO21" s="559"/>
      <c r="KEP21" s="559"/>
      <c r="KEQ21" s="559"/>
      <c r="KER21" s="559"/>
      <c r="KES21" s="559"/>
      <c r="KET21" s="559"/>
      <c r="KEU21" s="559"/>
      <c r="KEV21" s="559"/>
      <c r="KEW21" s="559"/>
      <c r="KEX21" s="559"/>
      <c r="KEY21" s="559"/>
      <c r="KEZ21" s="559"/>
      <c r="KFA21" s="559"/>
      <c r="KFB21" s="559"/>
      <c r="KFC21" s="559"/>
      <c r="KFD21" s="559"/>
      <c r="KFE21" s="559"/>
      <c r="KFF21" s="559"/>
      <c r="KFG21" s="559"/>
      <c r="KFH21" s="559"/>
      <c r="KFI21" s="559"/>
      <c r="KFJ21" s="559"/>
      <c r="KFK21" s="559"/>
      <c r="KFL21" s="559"/>
      <c r="KFM21" s="559"/>
      <c r="KFN21" s="559"/>
      <c r="KFO21" s="559"/>
      <c r="KFP21" s="559"/>
      <c r="KFQ21" s="559"/>
      <c r="KFR21" s="559"/>
      <c r="KFS21" s="559"/>
      <c r="KFT21" s="559"/>
      <c r="KFU21" s="559"/>
      <c r="KFV21" s="559"/>
      <c r="KFW21" s="559"/>
      <c r="KFX21" s="559"/>
      <c r="KFY21" s="559"/>
      <c r="KFZ21" s="559"/>
      <c r="KGA21" s="559"/>
      <c r="KGB21" s="559"/>
      <c r="KGC21" s="559"/>
      <c r="KGD21" s="559"/>
      <c r="KGE21" s="559"/>
      <c r="KGF21" s="559"/>
      <c r="KGG21" s="559"/>
      <c r="KGH21" s="559"/>
      <c r="KGI21" s="559"/>
      <c r="KGJ21" s="559"/>
      <c r="KGK21" s="559"/>
      <c r="KGL21" s="559"/>
      <c r="KGM21" s="559"/>
      <c r="KGN21" s="559"/>
      <c r="KGO21" s="559"/>
      <c r="KGP21" s="559"/>
      <c r="KGQ21" s="559"/>
      <c r="KGR21" s="559"/>
      <c r="KGS21" s="559"/>
      <c r="KGT21" s="559"/>
      <c r="KGU21" s="559"/>
      <c r="KGV21" s="559"/>
      <c r="KGW21" s="559"/>
      <c r="KGX21" s="559"/>
      <c r="KGY21" s="559"/>
      <c r="KGZ21" s="559"/>
      <c r="KHA21" s="559"/>
      <c r="KHB21" s="559"/>
      <c r="KHC21" s="559"/>
      <c r="KHD21" s="559"/>
      <c r="KHE21" s="559"/>
      <c r="KHF21" s="559"/>
      <c r="KHG21" s="559"/>
      <c r="KHH21" s="559"/>
      <c r="KHI21" s="559"/>
      <c r="KHJ21" s="559"/>
      <c r="KHK21" s="559"/>
      <c r="KHL21" s="559"/>
      <c r="KHM21" s="559"/>
      <c r="KHN21" s="559"/>
      <c r="KHO21" s="559"/>
      <c r="KHP21" s="559"/>
      <c r="KHQ21" s="559"/>
      <c r="KHR21" s="559"/>
      <c r="KHS21" s="559"/>
      <c r="KHT21" s="559"/>
      <c r="KHU21" s="559"/>
      <c r="KHV21" s="559"/>
      <c r="KHW21" s="559"/>
      <c r="KHX21" s="559"/>
      <c r="KHY21" s="559"/>
      <c r="KHZ21" s="559"/>
      <c r="KIA21" s="559"/>
      <c r="KIB21" s="559"/>
      <c r="KIC21" s="559"/>
      <c r="KID21" s="559"/>
      <c r="KIE21" s="559"/>
      <c r="KIF21" s="559"/>
      <c r="KIG21" s="559"/>
      <c r="KIH21" s="559"/>
      <c r="KII21" s="559"/>
      <c r="KIJ21" s="559"/>
      <c r="KIK21" s="559"/>
      <c r="KIL21" s="559"/>
      <c r="KIM21" s="559"/>
      <c r="KIN21" s="559"/>
      <c r="KIO21" s="559"/>
      <c r="KIP21" s="559"/>
      <c r="KIQ21" s="559"/>
      <c r="KIR21" s="559"/>
      <c r="KIS21" s="559"/>
      <c r="KIT21" s="559"/>
      <c r="KIU21" s="559"/>
      <c r="KIV21" s="559"/>
      <c r="KIW21" s="559"/>
      <c r="KIX21" s="559"/>
      <c r="KIY21" s="559"/>
      <c r="KIZ21" s="559"/>
      <c r="KJA21" s="559"/>
      <c r="KJB21" s="559"/>
      <c r="KJC21" s="559"/>
      <c r="KJD21" s="559"/>
      <c r="KJE21" s="559"/>
      <c r="KJF21" s="559"/>
      <c r="KJG21" s="559"/>
      <c r="KJH21" s="559"/>
      <c r="KJI21" s="559"/>
      <c r="KJJ21" s="559"/>
      <c r="KJK21" s="559"/>
      <c r="KJL21" s="559"/>
      <c r="KJM21" s="559"/>
      <c r="KJN21" s="559"/>
      <c r="KJO21" s="559"/>
      <c r="KJP21" s="559"/>
      <c r="KJQ21" s="559"/>
      <c r="KJR21" s="559"/>
      <c r="KJS21" s="559"/>
      <c r="KJT21" s="559"/>
      <c r="KJU21" s="559"/>
      <c r="KJV21" s="559"/>
      <c r="KJW21" s="559"/>
      <c r="KJX21" s="559"/>
      <c r="KJY21" s="559"/>
      <c r="KJZ21" s="559"/>
      <c r="KKA21" s="559"/>
      <c r="KKB21" s="559"/>
      <c r="KKC21" s="559"/>
      <c r="KKD21" s="559"/>
      <c r="KKE21" s="559"/>
      <c r="KKF21" s="559"/>
      <c r="KKG21" s="559"/>
      <c r="KKH21" s="559"/>
      <c r="KKI21" s="559"/>
      <c r="KKJ21" s="559"/>
      <c r="KKK21" s="559"/>
      <c r="KKL21" s="559"/>
      <c r="KKM21" s="559"/>
      <c r="KKN21" s="559"/>
      <c r="KKO21" s="559"/>
      <c r="KKP21" s="559"/>
      <c r="KKQ21" s="559"/>
      <c r="KKR21" s="559"/>
      <c r="KKS21" s="559"/>
      <c r="KKT21" s="559"/>
      <c r="KKU21" s="559"/>
      <c r="KKV21" s="559"/>
      <c r="KKW21" s="559"/>
      <c r="KKX21" s="559"/>
      <c r="KKY21" s="559"/>
      <c r="KKZ21" s="559"/>
      <c r="KLA21" s="559"/>
      <c r="KLB21" s="559"/>
      <c r="KLC21" s="559"/>
      <c r="KLD21" s="559"/>
      <c r="KLE21" s="559"/>
      <c r="KLF21" s="559"/>
      <c r="KLG21" s="559"/>
      <c r="KLH21" s="559"/>
      <c r="KLI21" s="559"/>
      <c r="KLJ21" s="559"/>
      <c r="KLK21" s="559"/>
      <c r="KLL21" s="559"/>
      <c r="KLM21" s="559"/>
      <c r="KLN21" s="559"/>
      <c r="KLO21" s="559"/>
      <c r="KLP21" s="559"/>
      <c r="KLQ21" s="559"/>
      <c r="KLR21" s="559"/>
      <c r="KLS21" s="559"/>
      <c r="KLT21" s="559"/>
      <c r="KLU21" s="559"/>
      <c r="KLV21" s="559"/>
      <c r="KLW21" s="559"/>
      <c r="KLX21" s="559"/>
      <c r="KLY21" s="559"/>
      <c r="KLZ21" s="559"/>
      <c r="KMA21" s="559"/>
      <c r="KMB21" s="559"/>
      <c r="KMC21" s="559"/>
      <c r="KMD21" s="559"/>
      <c r="KME21" s="559"/>
      <c r="KMF21" s="559"/>
      <c r="KMG21" s="559"/>
      <c r="KMH21" s="559"/>
      <c r="KMI21" s="559"/>
      <c r="KMJ21" s="559"/>
      <c r="KMK21" s="559"/>
      <c r="KML21" s="559"/>
      <c r="KMM21" s="559"/>
      <c r="KMN21" s="559"/>
      <c r="KMO21" s="559"/>
      <c r="KMP21" s="559"/>
      <c r="KMQ21" s="559"/>
      <c r="KMR21" s="559"/>
      <c r="KMS21" s="559"/>
      <c r="KMT21" s="559"/>
      <c r="KMU21" s="559"/>
      <c r="KMV21" s="559"/>
      <c r="KMW21" s="559"/>
      <c r="KMX21" s="559"/>
      <c r="KMY21" s="559"/>
      <c r="KMZ21" s="559"/>
      <c r="KNA21" s="559"/>
      <c r="KNB21" s="559"/>
      <c r="KNC21" s="559"/>
      <c r="KND21" s="559"/>
      <c r="KNE21" s="559"/>
      <c r="KNF21" s="559"/>
      <c r="KNG21" s="559"/>
      <c r="KNH21" s="559"/>
      <c r="KNI21" s="559"/>
      <c r="KNJ21" s="559"/>
      <c r="KNK21" s="559"/>
      <c r="KNL21" s="559"/>
      <c r="KNM21" s="559"/>
      <c r="KNN21" s="559"/>
      <c r="KNO21" s="559"/>
      <c r="KNP21" s="559"/>
      <c r="KNQ21" s="559"/>
      <c r="KNR21" s="559"/>
      <c r="KNS21" s="559"/>
      <c r="KNT21" s="559"/>
      <c r="KNU21" s="559"/>
      <c r="KNV21" s="559"/>
      <c r="KNW21" s="559"/>
      <c r="KNX21" s="559"/>
      <c r="KNY21" s="559"/>
      <c r="KNZ21" s="559"/>
      <c r="KOA21" s="559"/>
      <c r="KOB21" s="559"/>
      <c r="KOC21" s="559"/>
      <c r="KOD21" s="559"/>
      <c r="KOE21" s="559"/>
      <c r="KOF21" s="559"/>
      <c r="KOG21" s="559"/>
      <c r="KOH21" s="559"/>
      <c r="KOI21" s="559"/>
      <c r="KOJ21" s="559"/>
      <c r="KOK21" s="559"/>
      <c r="KOL21" s="559"/>
      <c r="KOM21" s="559"/>
      <c r="KON21" s="559"/>
      <c r="KOO21" s="559"/>
      <c r="KOP21" s="559"/>
      <c r="KOQ21" s="559"/>
      <c r="KOR21" s="559"/>
      <c r="KOS21" s="559"/>
      <c r="KOT21" s="559"/>
      <c r="KOU21" s="559"/>
      <c r="KOV21" s="559"/>
      <c r="KOW21" s="559"/>
      <c r="KOX21" s="559"/>
      <c r="KOY21" s="559"/>
      <c r="KOZ21" s="559"/>
      <c r="KPA21" s="559"/>
      <c r="KPB21" s="559"/>
      <c r="KPC21" s="559"/>
      <c r="KPD21" s="559"/>
      <c r="KPE21" s="559"/>
      <c r="KPF21" s="559"/>
      <c r="KPG21" s="559"/>
      <c r="KPH21" s="559"/>
      <c r="KPI21" s="559"/>
      <c r="KPJ21" s="559"/>
      <c r="KPK21" s="559"/>
      <c r="KPL21" s="559"/>
      <c r="KPM21" s="559"/>
      <c r="KPN21" s="559"/>
      <c r="KPO21" s="559"/>
      <c r="KPP21" s="559"/>
      <c r="KPQ21" s="559"/>
      <c r="KPR21" s="559"/>
      <c r="KPS21" s="559"/>
      <c r="KPT21" s="559"/>
      <c r="KPU21" s="559"/>
      <c r="KPV21" s="559"/>
      <c r="KPW21" s="559"/>
      <c r="KPX21" s="559"/>
      <c r="KPY21" s="559"/>
      <c r="KPZ21" s="559"/>
      <c r="KQA21" s="559"/>
      <c r="KQB21" s="559"/>
      <c r="KQC21" s="559"/>
      <c r="KQD21" s="559"/>
      <c r="KQE21" s="559"/>
      <c r="KQF21" s="559"/>
      <c r="KQG21" s="559"/>
      <c r="KQH21" s="559"/>
      <c r="KQI21" s="559"/>
      <c r="KQJ21" s="559"/>
      <c r="KQK21" s="559"/>
      <c r="KQL21" s="559"/>
      <c r="KQM21" s="559"/>
      <c r="KQN21" s="559"/>
      <c r="KQO21" s="559"/>
      <c r="KQP21" s="559"/>
      <c r="KQQ21" s="559"/>
      <c r="KQR21" s="559"/>
      <c r="KQS21" s="559"/>
      <c r="KQT21" s="559"/>
      <c r="KQU21" s="559"/>
      <c r="KQV21" s="559"/>
      <c r="KQW21" s="559"/>
      <c r="KQX21" s="559"/>
      <c r="KQY21" s="559"/>
      <c r="KQZ21" s="559"/>
      <c r="KRA21" s="559"/>
      <c r="KRB21" s="559"/>
      <c r="KRC21" s="559"/>
      <c r="KRD21" s="559"/>
      <c r="KRE21" s="559"/>
      <c r="KRF21" s="559"/>
      <c r="KRG21" s="559"/>
      <c r="KRH21" s="559"/>
      <c r="KRI21" s="559"/>
      <c r="KRJ21" s="559"/>
      <c r="KRK21" s="559"/>
      <c r="KRL21" s="559"/>
      <c r="KRM21" s="559"/>
      <c r="KRN21" s="559"/>
      <c r="KRO21" s="559"/>
      <c r="KRP21" s="559"/>
      <c r="KRQ21" s="559"/>
      <c r="KRR21" s="559"/>
      <c r="KRS21" s="559"/>
      <c r="KRT21" s="559"/>
      <c r="KRU21" s="559"/>
      <c r="KRV21" s="559"/>
      <c r="KRW21" s="559"/>
      <c r="KRX21" s="559"/>
      <c r="KRY21" s="559"/>
      <c r="KRZ21" s="559"/>
      <c r="KSA21" s="559"/>
      <c r="KSB21" s="559"/>
      <c r="KSC21" s="559"/>
      <c r="KSD21" s="559"/>
      <c r="KSE21" s="559"/>
      <c r="KSF21" s="559"/>
      <c r="KSG21" s="559"/>
      <c r="KSH21" s="559"/>
      <c r="KSI21" s="559"/>
      <c r="KSJ21" s="559"/>
      <c r="KSK21" s="559"/>
      <c r="KSL21" s="559"/>
      <c r="KSM21" s="559"/>
      <c r="KSN21" s="559"/>
      <c r="KSO21" s="559"/>
      <c r="KSP21" s="559"/>
      <c r="KSQ21" s="559"/>
      <c r="KSR21" s="559"/>
      <c r="KSS21" s="559"/>
      <c r="KST21" s="559"/>
      <c r="KSU21" s="559"/>
      <c r="KSV21" s="559"/>
      <c r="KSW21" s="559"/>
      <c r="KSX21" s="559"/>
      <c r="KSY21" s="559"/>
      <c r="KSZ21" s="559"/>
      <c r="KTA21" s="559"/>
      <c r="KTB21" s="559"/>
      <c r="KTC21" s="559"/>
      <c r="KTD21" s="559"/>
      <c r="KTE21" s="559"/>
      <c r="KTF21" s="559"/>
      <c r="KTG21" s="559"/>
      <c r="KTH21" s="559"/>
      <c r="KTI21" s="559"/>
      <c r="KTJ21" s="559"/>
      <c r="KTK21" s="559"/>
      <c r="KTL21" s="559"/>
      <c r="KTM21" s="559"/>
      <c r="KTN21" s="559"/>
      <c r="KTO21" s="559"/>
      <c r="KTP21" s="559"/>
      <c r="KTQ21" s="559"/>
      <c r="KTR21" s="559"/>
      <c r="KTS21" s="559"/>
      <c r="KTT21" s="559"/>
      <c r="KTU21" s="559"/>
      <c r="KTV21" s="559"/>
      <c r="KTW21" s="559"/>
      <c r="KTX21" s="559"/>
      <c r="KTY21" s="559"/>
      <c r="KTZ21" s="559"/>
      <c r="KUA21" s="559"/>
      <c r="KUB21" s="559"/>
      <c r="KUC21" s="559"/>
      <c r="KUD21" s="559"/>
      <c r="KUE21" s="559"/>
      <c r="KUF21" s="559"/>
      <c r="KUG21" s="559"/>
      <c r="KUH21" s="559"/>
      <c r="KUI21" s="559"/>
      <c r="KUJ21" s="559"/>
      <c r="KUK21" s="559"/>
      <c r="KUL21" s="559"/>
      <c r="KUM21" s="559"/>
      <c r="KUN21" s="559"/>
      <c r="KUO21" s="559"/>
      <c r="KUP21" s="559"/>
      <c r="KUQ21" s="559"/>
      <c r="KUR21" s="559"/>
      <c r="KUS21" s="559"/>
      <c r="KUT21" s="559"/>
      <c r="KUU21" s="559"/>
      <c r="KUV21" s="559"/>
      <c r="KUW21" s="559"/>
      <c r="KUX21" s="559"/>
      <c r="KUY21" s="559"/>
      <c r="KUZ21" s="559"/>
      <c r="KVA21" s="559"/>
      <c r="KVB21" s="559"/>
      <c r="KVC21" s="559"/>
      <c r="KVD21" s="559"/>
      <c r="KVE21" s="559"/>
      <c r="KVF21" s="559"/>
      <c r="KVG21" s="559"/>
      <c r="KVH21" s="559"/>
      <c r="KVI21" s="559"/>
      <c r="KVJ21" s="559"/>
      <c r="KVK21" s="559"/>
      <c r="KVL21" s="559"/>
      <c r="KVM21" s="559"/>
      <c r="KVN21" s="559"/>
      <c r="KVO21" s="559"/>
      <c r="KVP21" s="559"/>
      <c r="KVQ21" s="559"/>
      <c r="KVR21" s="559"/>
      <c r="KVS21" s="559"/>
      <c r="KVT21" s="559"/>
      <c r="KVU21" s="559"/>
      <c r="KVV21" s="559"/>
      <c r="KVW21" s="559"/>
      <c r="KVX21" s="559"/>
      <c r="KVY21" s="559"/>
      <c r="KVZ21" s="559"/>
      <c r="KWA21" s="559"/>
      <c r="KWB21" s="559"/>
      <c r="KWC21" s="559"/>
      <c r="KWD21" s="559"/>
      <c r="KWE21" s="559"/>
      <c r="KWF21" s="559"/>
      <c r="KWG21" s="559"/>
      <c r="KWH21" s="559"/>
      <c r="KWI21" s="559"/>
      <c r="KWJ21" s="559"/>
      <c r="KWK21" s="559"/>
      <c r="KWL21" s="559"/>
      <c r="KWM21" s="559"/>
      <c r="KWN21" s="559"/>
      <c r="KWO21" s="559"/>
      <c r="KWP21" s="559"/>
      <c r="KWQ21" s="559"/>
      <c r="KWR21" s="559"/>
      <c r="KWS21" s="559"/>
      <c r="KWT21" s="559"/>
      <c r="KWU21" s="559"/>
      <c r="KWV21" s="559"/>
      <c r="KWW21" s="559"/>
      <c r="KWX21" s="559"/>
      <c r="KWY21" s="559"/>
      <c r="KWZ21" s="559"/>
      <c r="KXA21" s="559"/>
      <c r="KXB21" s="559"/>
      <c r="KXC21" s="559"/>
      <c r="KXD21" s="559"/>
      <c r="KXE21" s="559"/>
      <c r="KXF21" s="559"/>
      <c r="KXG21" s="559"/>
      <c r="KXH21" s="559"/>
      <c r="KXI21" s="559"/>
      <c r="KXJ21" s="559"/>
      <c r="KXK21" s="559"/>
      <c r="KXL21" s="559"/>
      <c r="KXM21" s="559"/>
      <c r="KXN21" s="559"/>
      <c r="KXO21" s="559"/>
      <c r="KXP21" s="559"/>
      <c r="KXQ21" s="559"/>
      <c r="KXR21" s="559"/>
      <c r="KXS21" s="559"/>
      <c r="KXT21" s="559"/>
      <c r="KXU21" s="559"/>
      <c r="KXV21" s="559"/>
      <c r="KXW21" s="559"/>
      <c r="KXX21" s="559"/>
      <c r="KXY21" s="559"/>
      <c r="KXZ21" s="559"/>
      <c r="KYA21" s="559"/>
      <c r="KYB21" s="559"/>
      <c r="KYC21" s="559"/>
      <c r="KYD21" s="559"/>
      <c r="KYE21" s="559"/>
      <c r="KYF21" s="559"/>
      <c r="KYG21" s="559"/>
      <c r="KYH21" s="559"/>
      <c r="KYI21" s="559"/>
      <c r="KYJ21" s="559"/>
      <c r="KYK21" s="559"/>
      <c r="KYL21" s="559"/>
      <c r="KYM21" s="559"/>
      <c r="KYN21" s="559"/>
      <c r="KYO21" s="559"/>
      <c r="KYP21" s="559"/>
      <c r="KYQ21" s="559"/>
      <c r="KYR21" s="559"/>
      <c r="KYS21" s="559"/>
      <c r="KYT21" s="559"/>
      <c r="KYU21" s="559"/>
      <c r="KYV21" s="559"/>
      <c r="KYW21" s="559"/>
      <c r="KYX21" s="559"/>
      <c r="KYY21" s="559"/>
      <c r="KYZ21" s="559"/>
      <c r="KZA21" s="559"/>
      <c r="KZB21" s="559"/>
      <c r="KZC21" s="559"/>
      <c r="KZD21" s="559"/>
      <c r="KZE21" s="559"/>
      <c r="KZF21" s="559"/>
      <c r="KZG21" s="559"/>
      <c r="KZH21" s="559"/>
      <c r="KZI21" s="559"/>
      <c r="KZJ21" s="559"/>
      <c r="KZK21" s="559"/>
      <c r="KZL21" s="559"/>
      <c r="KZM21" s="559"/>
      <c r="KZN21" s="559"/>
      <c r="KZO21" s="559"/>
      <c r="KZP21" s="559"/>
      <c r="KZQ21" s="559"/>
      <c r="KZR21" s="559"/>
      <c r="KZS21" s="559"/>
      <c r="KZT21" s="559"/>
      <c r="KZU21" s="559"/>
      <c r="KZV21" s="559"/>
      <c r="KZW21" s="559"/>
      <c r="KZX21" s="559"/>
      <c r="KZY21" s="559"/>
      <c r="KZZ21" s="559"/>
      <c r="LAA21" s="559"/>
      <c r="LAB21" s="559"/>
      <c r="LAC21" s="559"/>
      <c r="LAD21" s="559"/>
      <c r="LAE21" s="559"/>
      <c r="LAF21" s="559"/>
      <c r="LAG21" s="559"/>
      <c r="LAH21" s="559"/>
      <c r="LAI21" s="559"/>
      <c r="LAJ21" s="559"/>
      <c r="LAK21" s="559"/>
      <c r="LAL21" s="559"/>
      <c r="LAM21" s="559"/>
      <c r="LAN21" s="559"/>
      <c r="LAO21" s="559"/>
      <c r="LAP21" s="559"/>
      <c r="LAQ21" s="559"/>
      <c r="LAR21" s="559"/>
      <c r="LAS21" s="559"/>
      <c r="LAT21" s="559"/>
      <c r="LAU21" s="559"/>
      <c r="LAV21" s="559"/>
      <c r="LAW21" s="559"/>
      <c r="LAX21" s="559"/>
      <c r="LAY21" s="559"/>
      <c r="LAZ21" s="559"/>
      <c r="LBA21" s="559"/>
      <c r="LBB21" s="559"/>
      <c r="LBC21" s="559"/>
      <c r="LBD21" s="559"/>
      <c r="LBE21" s="559"/>
      <c r="LBF21" s="559"/>
      <c r="LBG21" s="559"/>
      <c r="LBH21" s="559"/>
      <c r="LBI21" s="559"/>
      <c r="LBJ21" s="559"/>
      <c r="LBK21" s="559"/>
      <c r="LBL21" s="559"/>
      <c r="LBM21" s="559"/>
      <c r="LBN21" s="559"/>
      <c r="LBO21" s="559"/>
      <c r="LBP21" s="559"/>
      <c r="LBQ21" s="559"/>
      <c r="LBR21" s="559"/>
      <c r="LBS21" s="559"/>
      <c r="LBT21" s="559"/>
      <c r="LBU21" s="559"/>
      <c r="LBV21" s="559"/>
      <c r="LBW21" s="559"/>
      <c r="LBX21" s="559"/>
      <c r="LBY21" s="559"/>
      <c r="LBZ21" s="559"/>
      <c r="LCA21" s="559"/>
      <c r="LCB21" s="559"/>
      <c r="LCC21" s="559"/>
      <c r="LCD21" s="559"/>
      <c r="LCE21" s="559"/>
      <c r="LCF21" s="559"/>
      <c r="LCG21" s="559"/>
      <c r="LCH21" s="559"/>
      <c r="LCI21" s="559"/>
      <c r="LCJ21" s="559"/>
      <c r="LCK21" s="559"/>
      <c r="LCL21" s="559"/>
      <c r="LCM21" s="559"/>
      <c r="LCN21" s="559"/>
      <c r="LCO21" s="559"/>
      <c r="LCP21" s="559"/>
      <c r="LCQ21" s="559"/>
      <c r="LCR21" s="559"/>
      <c r="LCS21" s="559"/>
      <c r="LCT21" s="559"/>
      <c r="LCU21" s="559"/>
      <c r="LCV21" s="559"/>
      <c r="LCW21" s="559"/>
      <c r="LCX21" s="559"/>
      <c r="LCY21" s="559"/>
      <c r="LCZ21" s="559"/>
      <c r="LDA21" s="559"/>
      <c r="LDB21" s="559"/>
      <c r="LDC21" s="559"/>
      <c r="LDD21" s="559"/>
      <c r="LDE21" s="559"/>
      <c r="LDF21" s="559"/>
      <c r="LDG21" s="559"/>
      <c r="LDH21" s="559"/>
      <c r="LDI21" s="559"/>
      <c r="LDJ21" s="559"/>
      <c r="LDK21" s="559"/>
      <c r="LDL21" s="559"/>
      <c r="LDM21" s="559"/>
      <c r="LDN21" s="559"/>
      <c r="LDO21" s="559"/>
      <c r="LDP21" s="559"/>
      <c r="LDQ21" s="559"/>
      <c r="LDR21" s="559"/>
      <c r="LDS21" s="559"/>
      <c r="LDT21" s="559"/>
      <c r="LDU21" s="559"/>
      <c r="LDV21" s="559"/>
      <c r="LDW21" s="559"/>
      <c r="LDX21" s="559"/>
      <c r="LDY21" s="559"/>
      <c r="LDZ21" s="559"/>
      <c r="LEA21" s="559"/>
      <c r="LEB21" s="559"/>
      <c r="LEC21" s="559"/>
      <c r="LED21" s="559"/>
      <c r="LEE21" s="559"/>
      <c r="LEF21" s="559"/>
      <c r="LEG21" s="559"/>
      <c r="LEH21" s="559"/>
      <c r="LEI21" s="559"/>
      <c r="LEJ21" s="559"/>
      <c r="LEK21" s="559"/>
      <c r="LEL21" s="559"/>
      <c r="LEM21" s="559"/>
      <c r="LEN21" s="559"/>
      <c r="LEO21" s="559"/>
      <c r="LEP21" s="559"/>
      <c r="LEQ21" s="559"/>
      <c r="LER21" s="559"/>
      <c r="LES21" s="559"/>
      <c r="LET21" s="559"/>
      <c r="LEU21" s="559"/>
      <c r="LEV21" s="559"/>
      <c r="LEW21" s="559"/>
      <c r="LEX21" s="559"/>
      <c r="LEY21" s="559"/>
      <c r="LEZ21" s="559"/>
      <c r="LFA21" s="559"/>
      <c r="LFB21" s="559"/>
      <c r="LFC21" s="559"/>
      <c r="LFD21" s="559"/>
      <c r="LFE21" s="559"/>
      <c r="LFF21" s="559"/>
      <c r="LFG21" s="559"/>
      <c r="LFH21" s="559"/>
      <c r="LFI21" s="559"/>
      <c r="LFJ21" s="559"/>
      <c r="LFK21" s="559"/>
      <c r="LFL21" s="559"/>
      <c r="LFM21" s="559"/>
      <c r="LFN21" s="559"/>
      <c r="LFO21" s="559"/>
      <c r="LFP21" s="559"/>
      <c r="LFQ21" s="559"/>
      <c r="LFR21" s="559"/>
      <c r="LFS21" s="559"/>
      <c r="LFT21" s="559"/>
      <c r="LFU21" s="559"/>
      <c r="LFV21" s="559"/>
      <c r="LFW21" s="559"/>
      <c r="LFX21" s="559"/>
      <c r="LFY21" s="559"/>
      <c r="LFZ21" s="559"/>
      <c r="LGA21" s="559"/>
      <c r="LGB21" s="559"/>
      <c r="LGC21" s="559"/>
      <c r="LGD21" s="559"/>
      <c r="LGE21" s="559"/>
      <c r="LGF21" s="559"/>
      <c r="LGG21" s="559"/>
      <c r="LGH21" s="559"/>
      <c r="LGI21" s="559"/>
      <c r="LGJ21" s="559"/>
      <c r="LGK21" s="559"/>
      <c r="LGL21" s="559"/>
      <c r="LGM21" s="559"/>
      <c r="LGN21" s="559"/>
      <c r="LGO21" s="559"/>
      <c r="LGP21" s="559"/>
      <c r="LGQ21" s="559"/>
      <c r="LGR21" s="559"/>
      <c r="LGS21" s="559"/>
      <c r="LGT21" s="559"/>
      <c r="LGU21" s="559"/>
      <c r="LGV21" s="559"/>
      <c r="LGW21" s="559"/>
      <c r="LGX21" s="559"/>
      <c r="LGY21" s="559"/>
      <c r="LGZ21" s="559"/>
      <c r="LHA21" s="559"/>
      <c r="LHB21" s="559"/>
      <c r="LHC21" s="559"/>
      <c r="LHD21" s="559"/>
      <c r="LHE21" s="559"/>
      <c r="LHF21" s="559"/>
      <c r="LHG21" s="559"/>
      <c r="LHH21" s="559"/>
      <c r="LHI21" s="559"/>
      <c r="LHJ21" s="559"/>
      <c r="LHK21" s="559"/>
      <c r="LHL21" s="559"/>
      <c r="LHM21" s="559"/>
      <c r="LHN21" s="559"/>
      <c r="LHO21" s="559"/>
      <c r="LHP21" s="559"/>
      <c r="LHQ21" s="559"/>
      <c r="LHR21" s="559"/>
      <c r="LHS21" s="559"/>
      <c r="LHT21" s="559"/>
      <c r="LHU21" s="559"/>
      <c r="LHV21" s="559"/>
      <c r="LHW21" s="559"/>
      <c r="LHX21" s="559"/>
      <c r="LHY21" s="559"/>
      <c r="LHZ21" s="559"/>
      <c r="LIA21" s="559"/>
      <c r="LIB21" s="559"/>
      <c r="LIC21" s="559"/>
      <c r="LID21" s="559"/>
      <c r="LIE21" s="559"/>
      <c r="LIF21" s="559"/>
      <c r="LIG21" s="559"/>
      <c r="LIH21" s="559"/>
      <c r="LII21" s="559"/>
      <c r="LIJ21" s="559"/>
      <c r="LIK21" s="559"/>
      <c r="LIL21" s="559"/>
      <c r="LIM21" s="559"/>
      <c r="LIN21" s="559"/>
      <c r="LIO21" s="559"/>
      <c r="LIP21" s="559"/>
      <c r="LIQ21" s="559"/>
      <c r="LIR21" s="559"/>
      <c r="LIS21" s="559"/>
      <c r="LIT21" s="559"/>
      <c r="LIU21" s="559"/>
      <c r="LIV21" s="559"/>
      <c r="LIW21" s="559"/>
      <c r="LIX21" s="559"/>
      <c r="LIY21" s="559"/>
      <c r="LIZ21" s="559"/>
      <c r="LJA21" s="559"/>
      <c r="LJB21" s="559"/>
      <c r="LJC21" s="559"/>
      <c r="LJD21" s="559"/>
      <c r="LJE21" s="559"/>
      <c r="LJF21" s="559"/>
      <c r="LJG21" s="559"/>
      <c r="LJH21" s="559"/>
      <c r="LJI21" s="559"/>
      <c r="LJJ21" s="559"/>
      <c r="LJK21" s="559"/>
      <c r="LJL21" s="559"/>
      <c r="LJM21" s="559"/>
      <c r="LJN21" s="559"/>
      <c r="LJO21" s="559"/>
      <c r="LJP21" s="559"/>
      <c r="LJQ21" s="559"/>
      <c r="LJR21" s="559"/>
      <c r="LJS21" s="559"/>
      <c r="LJT21" s="559"/>
      <c r="LJU21" s="559"/>
      <c r="LJV21" s="559"/>
      <c r="LJW21" s="559"/>
      <c r="LJX21" s="559"/>
      <c r="LJY21" s="559"/>
      <c r="LJZ21" s="559"/>
      <c r="LKA21" s="559"/>
      <c r="LKB21" s="559"/>
      <c r="LKC21" s="559"/>
      <c r="LKD21" s="559"/>
      <c r="LKE21" s="559"/>
      <c r="LKF21" s="559"/>
      <c r="LKG21" s="559"/>
      <c r="LKH21" s="559"/>
      <c r="LKI21" s="559"/>
      <c r="LKJ21" s="559"/>
      <c r="LKK21" s="559"/>
      <c r="LKL21" s="559"/>
      <c r="LKM21" s="559"/>
      <c r="LKN21" s="559"/>
      <c r="LKO21" s="559"/>
      <c r="LKP21" s="559"/>
      <c r="LKQ21" s="559"/>
      <c r="LKR21" s="559"/>
      <c r="LKS21" s="559"/>
      <c r="LKT21" s="559"/>
      <c r="LKU21" s="559"/>
      <c r="LKV21" s="559"/>
      <c r="LKW21" s="559"/>
      <c r="LKX21" s="559"/>
      <c r="LKY21" s="559"/>
      <c r="LKZ21" s="559"/>
      <c r="LLA21" s="559"/>
      <c r="LLB21" s="559"/>
      <c r="LLC21" s="559"/>
      <c r="LLD21" s="559"/>
      <c r="LLE21" s="559"/>
      <c r="LLF21" s="559"/>
      <c r="LLG21" s="559"/>
      <c r="LLH21" s="559"/>
      <c r="LLI21" s="559"/>
      <c r="LLJ21" s="559"/>
      <c r="LLK21" s="559"/>
      <c r="LLL21" s="559"/>
      <c r="LLM21" s="559"/>
      <c r="LLN21" s="559"/>
      <c r="LLO21" s="559"/>
      <c r="LLP21" s="559"/>
      <c r="LLQ21" s="559"/>
      <c r="LLR21" s="559"/>
      <c r="LLS21" s="559"/>
      <c r="LLT21" s="559"/>
      <c r="LLU21" s="559"/>
      <c r="LLV21" s="559"/>
      <c r="LLW21" s="559"/>
      <c r="LLX21" s="559"/>
      <c r="LLY21" s="559"/>
      <c r="LLZ21" s="559"/>
      <c r="LMA21" s="559"/>
      <c r="LMB21" s="559"/>
      <c r="LMC21" s="559"/>
      <c r="LMD21" s="559"/>
      <c r="LME21" s="559"/>
      <c r="LMF21" s="559"/>
      <c r="LMG21" s="559"/>
      <c r="LMH21" s="559"/>
      <c r="LMI21" s="559"/>
      <c r="LMJ21" s="559"/>
      <c r="LMK21" s="559"/>
      <c r="LML21" s="559"/>
      <c r="LMM21" s="559"/>
      <c r="LMN21" s="559"/>
      <c r="LMO21" s="559"/>
      <c r="LMP21" s="559"/>
      <c r="LMQ21" s="559"/>
      <c r="LMR21" s="559"/>
      <c r="LMS21" s="559"/>
      <c r="LMT21" s="559"/>
      <c r="LMU21" s="559"/>
      <c r="LMV21" s="559"/>
      <c r="LMW21" s="559"/>
      <c r="LMX21" s="559"/>
      <c r="LMY21" s="559"/>
      <c r="LMZ21" s="559"/>
      <c r="LNA21" s="559"/>
      <c r="LNB21" s="559"/>
      <c r="LNC21" s="559"/>
      <c r="LND21" s="559"/>
      <c r="LNE21" s="559"/>
      <c r="LNF21" s="559"/>
      <c r="LNG21" s="559"/>
      <c r="LNH21" s="559"/>
      <c r="LNI21" s="559"/>
      <c r="LNJ21" s="559"/>
      <c r="LNK21" s="559"/>
      <c r="LNL21" s="559"/>
      <c r="LNM21" s="559"/>
      <c r="LNN21" s="559"/>
      <c r="LNO21" s="559"/>
      <c r="LNP21" s="559"/>
      <c r="LNQ21" s="559"/>
      <c r="LNR21" s="559"/>
      <c r="LNS21" s="559"/>
      <c r="LNT21" s="559"/>
      <c r="LNU21" s="559"/>
      <c r="LNV21" s="559"/>
      <c r="LNW21" s="559"/>
      <c r="LNX21" s="559"/>
      <c r="LNY21" s="559"/>
      <c r="LNZ21" s="559"/>
      <c r="LOA21" s="559"/>
      <c r="LOB21" s="559"/>
      <c r="LOC21" s="559"/>
      <c r="LOD21" s="559"/>
      <c r="LOE21" s="559"/>
      <c r="LOF21" s="559"/>
      <c r="LOG21" s="559"/>
      <c r="LOH21" s="559"/>
      <c r="LOI21" s="559"/>
      <c r="LOJ21" s="559"/>
      <c r="LOK21" s="559"/>
      <c r="LOL21" s="559"/>
      <c r="LOM21" s="559"/>
      <c r="LON21" s="559"/>
      <c r="LOO21" s="559"/>
      <c r="LOP21" s="559"/>
      <c r="LOQ21" s="559"/>
      <c r="LOR21" s="559"/>
      <c r="LOS21" s="559"/>
      <c r="LOT21" s="559"/>
      <c r="LOU21" s="559"/>
      <c r="LOV21" s="559"/>
      <c r="LOW21" s="559"/>
      <c r="LOX21" s="559"/>
      <c r="LOY21" s="559"/>
      <c r="LOZ21" s="559"/>
      <c r="LPA21" s="559"/>
      <c r="LPB21" s="559"/>
      <c r="LPC21" s="559"/>
      <c r="LPD21" s="559"/>
      <c r="LPE21" s="559"/>
      <c r="LPF21" s="559"/>
      <c r="LPG21" s="559"/>
      <c r="LPH21" s="559"/>
      <c r="LPI21" s="559"/>
      <c r="LPJ21" s="559"/>
      <c r="LPK21" s="559"/>
      <c r="LPL21" s="559"/>
      <c r="LPM21" s="559"/>
      <c r="LPN21" s="559"/>
      <c r="LPO21" s="559"/>
      <c r="LPP21" s="559"/>
      <c r="LPQ21" s="559"/>
      <c r="LPR21" s="559"/>
      <c r="LPS21" s="559"/>
      <c r="LPT21" s="559"/>
      <c r="LPU21" s="559"/>
      <c r="LPV21" s="559"/>
      <c r="LPW21" s="559"/>
      <c r="LPX21" s="559"/>
      <c r="LPY21" s="559"/>
      <c r="LPZ21" s="559"/>
      <c r="LQA21" s="559"/>
      <c r="LQB21" s="559"/>
      <c r="LQC21" s="559"/>
      <c r="LQD21" s="559"/>
      <c r="LQE21" s="559"/>
      <c r="LQF21" s="559"/>
      <c r="LQG21" s="559"/>
      <c r="LQH21" s="559"/>
      <c r="LQI21" s="559"/>
      <c r="LQJ21" s="559"/>
      <c r="LQK21" s="559"/>
      <c r="LQL21" s="559"/>
      <c r="LQM21" s="559"/>
      <c r="LQN21" s="559"/>
      <c r="LQO21" s="559"/>
      <c r="LQP21" s="559"/>
      <c r="LQQ21" s="559"/>
      <c r="LQR21" s="559"/>
      <c r="LQS21" s="559"/>
      <c r="LQT21" s="559"/>
      <c r="LQU21" s="559"/>
      <c r="LQV21" s="559"/>
      <c r="LQW21" s="559"/>
      <c r="LQX21" s="559"/>
      <c r="LQY21" s="559"/>
      <c r="LQZ21" s="559"/>
      <c r="LRA21" s="559"/>
      <c r="LRB21" s="559"/>
      <c r="LRC21" s="559"/>
      <c r="LRD21" s="559"/>
      <c r="LRE21" s="559"/>
      <c r="LRF21" s="559"/>
      <c r="LRG21" s="559"/>
      <c r="LRH21" s="559"/>
      <c r="LRI21" s="559"/>
      <c r="LRJ21" s="559"/>
      <c r="LRK21" s="559"/>
      <c r="LRL21" s="559"/>
      <c r="LRM21" s="559"/>
      <c r="LRN21" s="559"/>
      <c r="LRO21" s="559"/>
      <c r="LRP21" s="559"/>
      <c r="LRQ21" s="559"/>
      <c r="LRR21" s="559"/>
      <c r="LRS21" s="559"/>
      <c r="LRT21" s="559"/>
      <c r="LRU21" s="559"/>
      <c r="LRV21" s="559"/>
      <c r="LRW21" s="559"/>
      <c r="LRX21" s="559"/>
      <c r="LRY21" s="559"/>
      <c r="LRZ21" s="559"/>
      <c r="LSA21" s="559"/>
      <c r="LSB21" s="559"/>
      <c r="LSC21" s="559"/>
      <c r="LSD21" s="559"/>
      <c r="LSE21" s="559"/>
      <c r="LSF21" s="559"/>
      <c r="LSG21" s="559"/>
      <c r="LSH21" s="559"/>
      <c r="LSI21" s="559"/>
      <c r="LSJ21" s="559"/>
      <c r="LSK21" s="559"/>
      <c r="LSL21" s="559"/>
      <c r="LSM21" s="559"/>
      <c r="LSN21" s="559"/>
      <c r="LSO21" s="559"/>
      <c r="LSP21" s="559"/>
      <c r="LSQ21" s="559"/>
      <c r="LSR21" s="559"/>
      <c r="LSS21" s="559"/>
      <c r="LST21" s="559"/>
      <c r="LSU21" s="559"/>
      <c r="LSV21" s="559"/>
      <c r="LSW21" s="559"/>
      <c r="LSX21" s="559"/>
      <c r="LSY21" s="559"/>
      <c r="LSZ21" s="559"/>
      <c r="LTA21" s="559"/>
      <c r="LTB21" s="559"/>
      <c r="LTC21" s="559"/>
      <c r="LTD21" s="559"/>
      <c r="LTE21" s="559"/>
      <c r="LTF21" s="559"/>
      <c r="LTG21" s="559"/>
      <c r="LTH21" s="559"/>
      <c r="LTI21" s="559"/>
      <c r="LTJ21" s="559"/>
      <c r="LTK21" s="559"/>
      <c r="LTL21" s="559"/>
      <c r="LTM21" s="559"/>
      <c r="LTN21" s="559"/>
      <c r="LTO21" s="559"/>
      <c r="LTP21" s="559"/>
      <c r="LTQ21" s="559"/>
      <c r="LTR21" s="559"/>
      <c r="LTS21" s="559"/>
      <c r="LTT21" s="559"/>
      <c r="LTU21" s="559"/>
      <c r="LTV21" s="559"/>
      <c r="LTW21" s="559"/>
      <c r="LTX21" s="559"/>
      <c r="LTY21" s="559"/>
      <c r="LTZ21" s="559"/>
      <c r="LUA21" s="559"/>
      <c r="LUB21" s="559"/>
      <c r="LUC21" s="559"/>
      <c r="LUD21" s="559"/>
      <c r="LUE21" s="559"/>
      <c r="LUF21" s="559"/>
      <c r="LUG21" s="559"/>
      <c r="LUH21" s="559"/>
      <c r="LUI21" s="559"/>
      <c r="LUJ21" s="559"/>
      <c r="LUK21" s="559"/>
      <c r="LUL21" s="559"/>
      <c r="LUM21" s="559"/>
      <c r="LUN21" s="559"/>
      <c r="LUO21" s="559"/>
      <c r="LUP21" s="559"/>
      <c r="LUQ21" s="559"/>
      <c r="LUR21" s="559"/>
      <c r="LUS21" s="559"/>
      <c r="LUT21" s="559"/>
      <c r="LUU21" s="559"/>
      <c r="LUV21" s="559"/>
      <c r="LUW21" s="559"/>
      <c r="LUX21" s="559"/>
      <c r="LUY21" s="559"/>
      <c r="LUZ21" s="559"/>
      <c r="LVA21" s="559"/>
      <c r="LVB21" s="559"/>
      <c r="LVC21" s="559"/>
      <c r="LVD21" s="559"/>
      <c r="LVE21" s="559"/>
      <c r="LVF21" s="559"/>
      <c r="LVG21" s="559"/>
      <c r="LVH21" s="559"/>
      <c r="LVI21" s="559"/>
      <c r="LVJ21" s="559"/>
      <c r="LVK21" s="559"/>
      <c r="LVL21" s="559"/>
      <c r="LVM21" s="559"/>
      <c r="LVN21" s="559"/>
      <c r="LVO21" s="559"/>
      <c r="LVP21" s="559"/>
      <c r="LVQ21" s="559"/>
      <c r="LVR21" s="559"/>
      <c r="LVS21" s="559"/>
      <c r="LVT21" s="559"/>
      <c r="LVU21" s="559"/>
      <c r="LVV21" s="559"/>
      <c r="LVW21" s="559"/>
      <c r="LVX21" s="559"/>
      <c r="LVY21" s="559"/>
      <c r="LVZ21" s="559"/>
      <c r="LWA21" s="559"/>
      <c r="LWB21" s="559"/>
      <c r="LWC21" s="559"/>
      <c r="LWD21" s="559"/>
      <c r="LWE21" s="559"/>
      <c r="LWF21" s="559"/>
      <c r="LWG21" s="559"/>
      <c r="LWH21" s="559"/>
      <c r="LWI21" s="559"/>
      <c r="LWJ21" s="559"/>
      <c r="LWK21" s="559"/>
      <c r="LWL21" s="559"/>
      <c r="LWM21" s="559"/>
      <c r="LWN21" s="559"/>
      <c r="LWO21" s="559"/>
      <c r="LWP21" s="559"/>
      <c r="LWQ21" s="559"/>
      <c r="LWR21" s="559"/>
      <c r="LWS21" s="559"/>
      <c r="LWT21" s="559"/>
      <c r="LWU21" s="559"/>
      <c r="LWV21" s="559"/>
      <c r="LWW21" s="559"/>
      <c r="LWX21" s="559"/>
      <c r="LWY21" s="559"/>
      <c r="LWZ21" s="559"/>
      <c r="LXA21" s="559"/>
      <c r="LXB21" s="559"/>
      <c r="LXC21" s="559"/>
      <c r="LXD21" s="559"/>
      <c r="LXE21" s="559"/>
      <c r="LXF21" s="559"/>
      <c r="LXG21" s="559"/>
      <c r="LXH21" s="559"/>
      <c r="LXI21" s="559"/>
      <c r="LXJ21" s="559"/>
      <c r="LXK21" s="559"/>
      <c r="LXL21" s="559"/>
      <c r="LXM21" s="559"/>
      <c r="LXN21" s="559"/>
      <c r="LXO21" s="559"/>
      <c r="LXP21" s="559"/>
      <c r="LXQ21" s="559"/>
      <c r="LXR21" s="559"/>
      <c r="LXS21" s="559"/>
      <c r="LXT21" s="559"/>
      <c r="LXU21" s="559"/>
      <c r="LXV21" s="559"/>
      <c r="LXW21" s="559"/>
      <c r="LXX21" s="559"/>
      <c r="LXY21" s="559"/>
      <c r="LXZ21" s="559"/>
      <c r="LYA21" s="559"/>
      <c r="LYB21" s="559"/>
      <c r="LYC21" s="559"/>
      <c r="LYD21" s="559"/>
      <c r="LYE21" s="559"/>
      <c r="LYF21" s="559"/>
      <c r="LYG21" s="559"/>
      <c r="LYH21" s="559"/>
      <c r="LYI21" s="559"/>
      <c r="LYJ21" s="559"/>
      <c r="LYK21" s="559"/>
      <c r="LYL21" s="559"/>
      <c r="LYM21" s="559"/>
      <c r="LYN21" s="559"/>
      <c r="LYO21" s="559"/>
      <c r="LYP21" s="559"/>
      <c r="LYQ21" s="559"/>
      <c r="LYR21" s="559"/>
      <c r="LYS21" s="559"/>
      <c r="LYT21" s="559"/>
      <c r="LYU21" s="559"/>
      <c r="LYV21" s="559"/>
      <c r="LYW21" s="559"/>
      <c r="LYX21" s="559"/>
      <c r="LYY21" s="559"/>
      <c r="LYZ21" s="559"/>
      <c r="LZA21" s="559"/>
      <c r="LZB21" s="559"/>
      <c r="LZC21" s="559"/>
      <c r="LZD21" s="559"/>
      <c r="LZE21" s="559"/>
      <c r="LZF21" s="559"/>
      <c r="LZG21" s="559"/>
      <c r="LZH21" s="559"/>
      <c r="LZI21" s="559"/>
      <c r="LZJ21" s="559"/>
      <c r="LZK21" s="559"/>
      <c r="LZL21" s="559"/>
      <c r="LZM21" s="559"/>
      <c r="LZN21" s="559"/>
      <c r="LZO21" s="559"/>
      <c r="LZP21" s="559"/>
      <c r="LZQ21" s="559"/>
      <c r="LZR21" s="559"/>
      <c r="LZS21" s="559"/>
      <c r="LZT21" s="559"/>
      <c r="LZU21" s="559"/>
      <c r="LZV21" s="559"/>
      <c r="LZW21" s="559"/>
      <c r="LZX21" s="559"/>
      <c r="LZY21" s="559"/>
      <c r="LZZ21" s="559"/>
      <c r="MAA21" s="559"/>
      <c r="MAB21" s="559"/>
      <c r="MAC21" s="559"/>
      <c r="MAD21" s="559"/>
      <c r="MAE21" s="559"/>
      <c r="MAF21" s="559"/>
      <c r="MAG21" s="559"/>
      <c r="MAH21" s="559"/>
      <c r="MAI21" s="559"/>
      <c r="MAJ21" s="559"/>
      <c r="MAK21" s="559"/>
      <c r="MAL21" s="559"/>
      <c r="MAM21" s="559"/>
      <c r="MAN21" s="559"/>
      <c r="MAO21" s="559"/>
      <c r="MAP21" s="559"/>
      <c r="MAQ21" s="559"/>
      <c r="MAR21" s="559"/>
      <c r="MAS21" s="559"/>
      <c r="MAT21" s="559"/>
      <c r="MAU21" s="559"/>
      <c r="MAV21" s="559"/>
      <c r="MAW21" s="559"/>
      <c r="MAX21" s="559"/>
      <c r="MAY21" s="559"/>
      <c r="MAZ21" s="559"/>
      <c r="MBA21" s="559"/>
      <c r="MBB21" s="559"/>
      <c r="MBC21" s="559"/>
      <c r="MBD21" s="559"/>
      <c r="MBE21" s="559"/>
      <c r="MBF21" s="559"/>
      <c r="MBG21" s="559"/>
      <c r="MBH21" s="559"/>
      <c r="MBI21" s="559"/>
      <c r="MBJ21" s="559"/>
      <c r="MBK21" s="559"/>
      <c r="MBL21" s="559"/>
      <c r="MBM21" s="559"/>
      <c r="MBN21" s="559"/>
      <c r="MBO21" s="559"/>
      <c r="MBP21" s="559"/>
      <c r="MBQ21" s="559"/>
      <c r="MBR21" s="559"/>
      <c r="MBS21" s="559"/>
      <c r="MBT21" s="559"/>
      <c r="MBU21" s="559"/>
      <c r="MBV21" s="559"/>
      <c r="MBW21" s="559"/>
      <c r="MBX21" s="559"/>
      <c r="MBY21" s="559"/>
      <c r="MBZ21" s="559"/>
      <c r="MCA21" s="559"/>
      <c r="MCB21" s="559"/>
      <c r="MCC21" s="559"/>
      <c r="MCD21" s="559"/>
      <c r="MCE21" s="559"/>
      <c r="MCF21" s="559"/>
      <c r="MCG21" s="559"/>
      <c r="MCH21" s="559"/>
      <c r="MCI21" s="559"/>
      <c r="MCJ21" s="559"/>
      <c r="MCK21" s="559"/>
      <c r="MCL21" s="559"/>
      <c r="MCM21" s="559"/>
      <c r="MCN21" s="559"/>
      <c r="MCO21" s="559"/>
      <c r="MCP21" s="559"/>
      <c r="MCQ21" s="559"/>
      <c r="MCR21" s="559"/>
      <c r="MCS21" s="559"/>
      <c r="MCT21" s="559"/>
      <c r="MCU21" s="559"/>
      <c r="MCV21" s="559"/>
      <c r="MCW21" s="559"/>
      <c r="MCX21" s="559"/>
      <c r="MCY21" s="559"/>
      <c r="MCZ21" s="559"/>
      <c r="MDA21" s="559"/>
      <c r="MDB21" s="559"/>
      <c r="MDC21" s="559"/>
      <c r="MDD21" s="559"/>
      <c r="MDE21" s="559"/>
      <c r="MDF21" s="559"/>
      <c r="MDG21" s="559"/>
      <c r="MDH21" s="559"/>
      <c r="MDI21" s="559"/>
      <c r="MDJ21" s="559"/>
      <c r="MDK21" s="559"/>
      <c r="MDL21" s="559"/>
      <c r="MDM21" s="559"/>
      <c r="MDN21" s="559"/>
      <c r="MDO21" s="559"/>
      <c r="MDP21" s="559"/>
      <c r="MDQ21" s="559"/>
      <c r="MDR21" s="559"/>
      <c r="MDS21" s="559"/>
      <c r="MDT21" s="559"/>
      <c r="MDU21" s="559"/>
      <c r="MDV21" s="559"/>
      <c r="MDW21" s="559"/>
      <c r="MDX21" s="559"/>
      <c r="MDY21" s="559"/>
      <c r="MDZ21" s="559"/>
      <c r="MEA21" s="559"/>
      <c r="MEB21" s="559"/>
      <c r="MEC21" s="559"/>
      <c r="MED21" s="559"/>
      <c r="MEE21" s="559"/>
      <c r="MEF21" s="559"/>
      <c r="MEG21" s="559"/>
      <c r="MEH21" s="559"/>
      <c r="MEI21" s="559"/>
      <c r="MEJ21" s="559"/>
      <c r="MEK21" s="559"/>
      <c r="MEL21" s="559"/>
      <c r="MEM21" s="559"/>
      <c r="MEN21" s="559"/>
      <c r="MEO21" s="559"/>
      <c r="MEP21" s="559"/>
      <c r="MEQ21" s="559"/>
      <c r="MER21" s="559"/>
      <c r="MES21" s="559"/>
      <c r="MET21" s="559"/>
      <c r="MEU21" s="559"/>
      <c r="MEV21" s="559"/>
      <c r="MEW21" s="559"/>
      <c r="MEX21" s="559"/>
      <c r="MEY21" s="559"/>
      <c r="MEZ21" s="559"/>
      <c r="MFA21" s="559"/>
      <c r="MFB21" s="559"/>
      <c r="MFC21" s="559"/>
      <c r="MFD21" s="559"/>
      <c r="MFE21" s="559"/>
      <c r="MFF21" s="559"/>
      <c r="MFG21" s="559"/>
      <c r="MFH21" s="559"/>
      <c r="MFI21" s="559"/>
      <c r="MFJ21" s="559"/>
      <c r="MFK21" s="559"/>
      <c r="MFL21" s="559"/>
      <c r="MFM21" s="559"/>
      <c r="MFN21" s="559"/>
      <c r="MFO21" s="559"/>
      <c r="MFP21" s="559"/>
      <c r="MFQ21" s="559"/>
      <c r="MFR21" s="559"/>
      <c r="MFS21" s="559"/>
      <c r="MFT21" s="559"/>
      <c r="MFU21" s="559"/>
      <c r="MFV21" s="559"/>
      <c r="MFW21" s="559"/>
      <c r="MFX21" s="559"/>
      <c r="MFY21" s="559"/>
      <c r="MFZ21" s="559"/>
      <c r="MGA21" s="559"/>
      <c r="MGB21" s="559"/>
      <c r="MGC21" s="559"/>
      <c r="MGD21" s="559"/>
      <c r="MGE21" s="559"/>
      <c r="MGF21" s="559"/>
      <c r="MGG21" s="559"/>
      <c r="MGH21" s="559"/>
      <c r="MGI21" s="559"/>
      <c r="MGJ21" s="559"/>
      <c r="MGK21" s="559"/>
      <c r="MGL21" s="559"/>
      <c r="MGM21" s="559"/>
      <c r="MGN21" s="559"/>
      <c r="MGO21" s="559"/>
      <c r="MGP21" s="559"/>
      <c r="MGQ21" s="559"/>
      <c r="MGR21" s="559"/>
      <c r="MGS21" s="559"/>
      <c r="MGT21" s="559"/>
      <c r="MGU21" s="559"/>
      <c r="MGV21" s="559"/>
      <c r="MGW21" s="559"/>
      <c r="MGX21" s="559"/>
      <c r="MGY21" s="559"/>
      <c r="MGZ21" s="559"/>
      <c r="MHA21" s="559"/>
      <c r="MHB21" s="559"/>
      <c r="MHC21" s="559"/>
      <c r="MHD21" s="559"/>
      <c r="MHE21" s="559"/>
      <c r="MHF21" s="559"/>
      <c r="MHG21" s="559"/>
      <c r="MHH21" s="559"/>
      <c r="MHI21" s="559"/>
      <c r="MHJ21" s="559"/>
      <c r="MHK21" s="559"/>
      <c r="MHL21" s="559"/>
      <c r="MHM21" s="559"/>
      <c r="MHN21" s="559"/>
      <c r="MHO21" s="559"/>
      <c r="MHP21" s="559"/>
      <c r="MHQ21" s="559"/>
      <c r="MHR21" s="559"/>
      <c r="MHS21" s="559"/>
      <c r="MHT21" s="559"/>
      <c r="MHU21" s="559"/>
      <c r="MHV21" s="559"/>
      <c r="MHW21" s="559"/>
      <c r="MHX21" s="559"/>
      <c r="MHY21" s="559"/>
      <c r="MHZ21" s="559"/>
      <c r="MIA21" s="559"/>
      <c r="MIB21" s="559"/>
      <c r="MIC21" s="559"/>
      <c r="MID21" s="559"/>
      <c r="MIE21" s="559"/>
      <c r="MIF21" s="559"/>
      <c r="MIG21" s="559"/>
      <c r="MIH21" s="559"/>
      <c r="MII21" s="559"/>
      <c r="MIJ21" s="559"/>
      <c r="MIK21" s="559"/>
      <c r="MIL21" s="559"/>
      <c r="MIM21" s="559"/>
      <c r="MIN21" s="559"/>
      <c r="MIO21" s="559"/>
      <c r="MIP21" s="559"/>
      <c r="MIQ21" s="559"/>
      <c r="MIR21" s="559"/>
      <c r="MIS21" s="559"/>
      <c r="MIT21" s="559"/>
      <c r="MIU21" s="559"/>
      <c r="MIV21" s="559"/>
      <c r="MIW21" s="559"/>
      <c r="MIX21" s="559"/>
      <c r="MIY21" s="559"/>
      <c r="MIZ21" s="559"/>
      <c r="MJA21" s="559"/>
      <c r="MJB21" s="559"/>
      <c r="MJC21" s="559"/>
      <c r="MJD21" s="559"/>
      <c r="MJE21" s="559"/>
      <c r="MJF21" s="559"/>
      <c r="MJG21" s="559"/>
      <c r="MJH21" s="559"/>
      <c r="MJI21" s="559"/>
      <c r="MJJ21" s="559"/>
      <c r="MJK21" s="559"/>
      <c r="MJL21" s="559"/>
      <c r="MJM21" s="559"/>
      <c r="MJN21" s="559"/>
      <c r="MJO21" s="559"/>
      <c r="MJP21" s="559"/>
      <c r="MJQ21" s="559"/>
      <c r="MJR21" s="559"/>
      <c r="MJS21" s="559"/>
      <c r="MJT21" s="559"/>
      <c r="MJU21" s="559"/>
      <c r="MJV21" s="559"/>
      <c r="MJW21" s="559"/>
      <c r="MJX21" s="559"/>
      <c r="MJY21" s="559"/>
      <c r="MJZ21" s="559"/>
      <c r="MKA21" s="559"/>
      <c r="MKB21" s="559"/>
      <c r="MKC21" s="559"/>
      <c r="MKD21" s="559"/>
      <c r="MKE21" s="559"/>
      <c r="MKF21" s="559"/>
      <c r="MKG21" s="559"/>
      <c r="MKH21" s="559"/>
      <c r="MKI21" s="559"/>
      <c r="MKJ21" s="559"/>
      <c r="MKK21" s="559"/>
      <c r="MKL21" s="559"/>
      <c r="MKM21" s="559"/>
      <c r="MKN21" s="559"/>
      <c r="MKO21" s="559"/>
      <c r="MKP21" s="559"/>
      <c r="MKQ21" s="559"/>
      <c r="MKR21" s="559"/>
      <c r="MKS21" s="559"/>
      <c r="MKT21" s="559"/>
      <c r="MKU21" s="559"/>
      <c r="MKV21" s="559"/>
      <c r="MKW21" s="559"/>
      <c r="MKX21" s="559"/>
      <c r="MKY21" s="559"/>
      <c r="MKZ21" s="559"/>
      <c r="MLA21" s="559"/>
      <c r="MLB21" s="559"/>
      <c r="MLC21" s="559"/>
      <c r="MLD21" s="559"/>
      <c r="MLE21" s="559"/>
      <c r="MLF21" s="559"/>
      <c r="MLG21" s="559"/>
      <c r="MLH21" s="559"/>
      <c r="MLI21" s="559"/>
      <c r="MLJ21" s="559"/>
      <c r="MLK21" s="559"/>
      <c r="MLL21" s="559"/>
      <c r="MLM21" s="559"/>
      <c r="MLN21" s="559"/>
      <c r="MLO21" s="559"/>
      <c r="MLP21" s="559"/>
      <c r="MLQ21" s="559"/>
      <c r="MLR21" s="559"/>
      <c r="MLS21" s="559"/>
      <c r="MLT21" s="559"/>
      <c r="MLU21" s="559"/>
      <c r="MLV21" s="559"/>
      <c r="MLW21" s="559"/>
      <c r="MLX21" s="559"/>
      <c r="MLY21" s="559"/>
      <c r="MLZ21" s="559"/>
      <c r="MMA21" s="559"/>
      <c r="MMB21" s="559"/>
      <c r="MMC21" s="559"/>
      <c r="MMD21" s="559"/>
      <c r="MME21" s="559"/>
      <c r="MMF21" s="559"/>
      <c r="MMG21" s="559"/>
      <c r="MMH21" s="559"/>
      <c r="MMI21" s="559"/>
      <c r="MMJ21" s="559"/>
      <c r="MMK21" s="559"/>
      <c r="MML21" s="559"/>
      <c r="MMM21" s="559"/>
      <c r="MMN21" s="559"/>
      <c r="MMO21" s="559"/>
      <c r="MMP21" s="559"/>
      <c r="MMQ21" s="559"/>
      <c r="MMR21" s="559"/>
      <c r="MMS21" s="559"/>
      <c r="MMT21" s="559"/>
      <c r="MMU21" s="559"/>
      <c r="MMV21" s="559"/>
      <c r="MMW21" s="559"/>
      <c r="MMX21" s="559"/>
      <c r="MMY21" s="559"/>
      <c r="MMZ21" s="559"/>
      <c r="MNA21" s="559"/>
      <c r="MNB21" s="559"/>
      <c r="MNC21" s="559"/>
      <c r="MND21" s="559"/>
      <c r="MNE21" s="559"/>
      <c r="MNF21" s="559"/>
      <c r="MNG21" s="559"/>
      <c r="MNH21" s="559"/>
      <c r="MNI21" s="559"/>
      <c r="MNJ21" s="559"/>
      <c r="MNK21" s="559"/>
      <c r="MNL21" s="559"/>
      <c r="MNM21" s="559"/>
      <c r="MNN21" s="559"/>
      <c r="MNO21" s="559"/>
      <c r="MNP21" s="559"/>
      <c r="MNQ21" s="559"/>
      <c r="MNR21" s="559"/>
      <c r="MNS21" s="559"/>
      <c r="MNT21" s="559"/>
      <c r="MNU21" s="559"/>
      <c r="MNV21" s="559"/>
      <c r="MNW21" s="559"/>
      <c r="MNX21" s="559"/>
      <c r="MNY21" s="559"/>
      <c r="MNZ21" s="559"/>
      <c r="MOA21" s="559"/>
      <c r="MOB21" s="559"/>
      <c r="MOC21" s="559"/>
      <c r="MOD21" s="559"/>
      <c r="MOE21" s="559"/>
      <c r="MOF21" s="559"/>
      <c r="MOG21" s="559"/>
      <c r="MOH21" s="559"/>
      <c r="MOI21" s="559"/>
      <c r="MOJ21" s="559"/>
      <c r="MOK21" s="559"/>
      <c r="MOL21" s="559"/>
      <c r="MOM21" s="559"/>
      <c r="MON21" s="559"/>
      <c r="MOO21" s="559"/>
      <c r="MOP21" s="559"/>
      <c r="MOQ21" s="559"/>
      <c r="MOR21" s="559"/>
      <c r="MOS21" s="559"/>
      <c r="MOT21" s="559"/>
      <c r="MOU21" s="559"/>
      <c r="MOV21" s="559"/>
      <c r="MOW21" s="559"/>
      <c r="MOX21" s="559"/>
      <c r="MOY21" s="559"/>
      <c r="MOZ21" s="559"/>
      <c r="MPA21" s="559"/>
      <c r="MPB21" s="559"/>
      <c r="MPC21" s="559"/>
      <c r="MPD21" s="559"/>
      <c r="MPE21" s="559"/>
      <c r="MPF21" s="559"/>
      <c r="MPG21" s="559"/>
      <c r="MPH21" s="559"/>
      <c r="MPI21" s="559"/>
      <c r="MPJ21" s="559"/>
      <c r="MPK21" s="559"/>
      <c r="MPL21" s="559"/>
      <c r="MPM21" s="559"/>
      <c r="MPN21" s="559"/>
      <c r="MPO21" s="559"/>
      <c r="MPP21" s="559"/>
      <c r="MPQ21" s="559"/>
      <c r="MPR21" s="559"/>
      <c r="MPS21" s="559"/>
      <c r="MPT21" s="559"/>
      <c r="MPU21" s="559"/>
      <c r="MPV21" s="559"/>
      <c r="MPW21" s="559"/>
      <c r="MPX21" s="559"/>
      <c r="MPY21" s="559"/>
      <c r="MPZ21" s="559"/>
      <c r="MQA21" s="559"/>
      <c r="MQB21" s="559"/>
      <c r="MQC21" s="559"/>
      <c r="MQD21" s="559"/>
      <c r="MQE21" s="559"/>
      <c r="MQF21" s="559"/>
      <c r="MQG21" s="559"/>
      <c r="MQH21" s="559"/>
      <c r="MQI21" s="559"/>
      <c r="MQJ21" s="559"/>
      <c r="MQK21" s="559"/>
      <c r="MQL21" s="559"/>
      <c r="MQM21" s="559"/>
      <c r="MQN21" s="559"/>
      <c r="MQO21" s="559"/>
      <c r="MQP21" s="559"/>
      <c r="MQQ21" s="559"/>
      <c r="MQR21" s="559"/>
      <c r="MQS21" s="559"/>
      <c r="MQT21" s="559"/>
      <c r="MQU21" s="559"/>
      <c r="MQV21" s="559"/>
      <c r="MQW21" s="559"/>
      <c r="MQX21" s="559"/>
      <c r="MQY21" s="559"/>
      <c r="MQZ21" s="559"/>
      <c r="MRA21" s="559"/>
      <c r="MRB21" s="559"/>
      <c r="MRC21" s="559"/>
      <c r="MRD21" s="559"/>
      <c r="MRE21" s="559"/>
      <c r="MRF21" s="559"/>
      <c r="MRG21" s="559"/>
      <c r="MRH21" s="559"/>
      <c r="MRI21" s="559"/>
      <c r="MRJ21" s="559"/>
      <c r="MRK21" s="559"/>
      <c r="MRL21" s="559"/>
      <c r="MRM21" s="559"/>
      <c r="MRN21" s="559"/>
      <c r="MRO21" s="559"/>
      <c r="MRP21" s="559"/>
      <c r="MRQ21" s="559"/>
      <c r="MRR21" s="559"/>
      <c r="MRS21" s="559"/>
      <c r="MRT21" s="559"/>
      <c r="MRU21" s="559"/>
      <c r="MRV21" s="559"/>
      <c r="MRW21" s="559"/>
      <c r="MRX21" s="559"/>
      <c r="MRY21" s="559"/>
      <c r="MRZ21" s="559"/>
      <c r="MSA21" s="559"/>
      <c r="MSB21" s="559"/>
      <c r="MSC21" s="559"/>
      <c r="MSD21" s="559"/>
      <c r="MSE21" s="559"/>
      <c r="MSF21" s="559"/>
      <c r="MSG21" s="559"/>
      <c r="MSH21" s="559"/>
      <c r="MSI21" s="559"/>
      <c r="MSJ21" s="559"/>
      <c r="MSK21" s="559"/>
      <c r="MSL21" s="559"/>
      <c r="MSM21" s="559"/>
      <c r="MSN21" s="559"/>
      <c r="MSO21" s="559"/>
      <c r="MSP21" s="559"/>
      <c r="MSQ21" s="559"/>
      <c r="MSR21" s="559"/>
      <c r="MSS21" s="559"/>
      <c r="MST21" s="559"/>
      <c r="MSU21" s="559"/>
      <c r="MSV21" s="559"/>
      <c r="MSW21" s="559"/>
      <c r="MSX21" s="559"/>
      <c r="MSY21" s="559"/>
      <c r="MSZ21" s="559"/>
      <c r="MTA21" s="559"/>
      <c r="MTB21" s="559"/>
      <c r="MTC21" s="559"/>
      <c r="MTD21" s="559"/>
      <c r="MTE21" s="559"/>
      <c r="MTF21" s="559"/>
      <c r="MTG21" s="559"/>
      <c r="MTH21" s="559"/>
      <c r="MTI21" s="559"/>
      <c r="MTJ21" s="559"/>
      <c r="MTK21" s="559"/>
      <c r="MTL21" s="559"/>
      <c r="MTM21" s="559"/>
      <c r="MTN21" s="559"/>
      <c r="MTO21" s="559"/>
      <c r="MTP21" s="559"/>
      <c r="MTQ21" s="559"/>
      <c r="MTR21" s="559"/>
      <c r="MTS21" s="559"/>
      <c r="MTT21" s="559"/>
      <c r="MTU21" s="559"/>
      <c r="MTV21" s="559"/>
      <c r="MTW21" s="559"/>
      <c r="MTX21" s="559"/>
      <c r="MTY21" s="559"/>
      <c r="MTZ21" s="559"/>
      <c r="MUA21" s="559"/>
      <c r="MUB21" s="559"/>
      <c r="MUC21" s="559"/>
      <c r="MUD21" s="559"/>
      <c r="MUE21" s="559"/>
      <c r="MUF21" s="559"/>
      <c r="MUG21" s="559"/>
      <c r="MUH21" s="559"/>
      <c r="MUI21" s="559"/>
      <c r="MUJ21" s="559"/>
      <c r="MUK21" s="559"/>
      <c r="MUL21" s="559"/>
      <c r="MUM21" s="559"/>
      <c r="MUN21" s="559"/>
      <c r="MUO21" s="559"/>
      <c r="MUP21" s="559"/>
      <c r="MUQ21" s="559"/>
      <c r="MUR21" s="559"/>
      <c r="MUS21" s="559"/>
      <c r="MUT21" s="559"/>
      <c r="MUU21" s="559"/>
      <c r="MUV21" s="559"/>
      <c r="MUW21" s="559"/>
      <c r="MUX21" s="559"/>
      <c r="MUY21" s="559"/>
      <c r="MUZ21" s="559"/>
      <c r="MVA21" s="559"/>
      <c r="MVB21" s="559"/>
      <c r="MVC21" s="559"/>
      <c r="MVD21" s="559"/>
      <c r="MVE21" s="559"/>
      <c r="MVF21" s="559"/>
      <c r="MVG21" s="559"/>
      <c r="MVH21" s="559"/>
      <c r="MVI21" s="559"/>
      <c r="MVJ21" s="559"/>
      <c r="MVK21" s="559"/>
      <c r="MVL21" s="559"/>
      <c r="MVM21" s="559"/>
      <c r="MVN21" s="559"/>
      <c r="MVO21" s="559"/>
      <c r="MVP21" s="559"/>
      <c r="MVQ21" s="559"/>
      <c r="MVR21" s="559"/>
      <c r="MVS21" s="559"/>
      <c r="MVT21" s="559"/>
      <c r="MVU21" s="559"/>
      <c r="MVV21" s="559"/>
      <c r="MVW21" s="559"/>
      <c r="MVX21" s="559"/>
      <c r="MVY21" s="559"/>
      <c r="MVZ21" s="559"/>
      <c r="MWA21" s="559"/>
      <c r="MWB21" s="559"/>
      <c r="MWC21" s="559"/>
      <c r="MWD21" s="559"/>
      <c r="MWE21" s="559"/>
      <c r="MWF21" s="559"/>
      <c r="MWG21" s="559"/>
      <c r="MWH21" s="559"/>
      <c r="MWI21" s="559"/>
      <c r="MWJ21" s="559"/>
      <c r="MWK21" s="559"/>
      <c r="MWL21" s="559"/>
      <c r="MWM21" s="559"/>
      <c r="MWN21" s="559"/>
      <c r="MWO21" s="559"/>
      <c r="MWP21" s="559"/>
      <c r="MWQ21" s="559"/>
      <c r="MWR21" s="559"/>
      <c r="MWS21" s="559"/>
      <c r="MWT21" s="559"/>
      <c r="MWU21" s="559"/>
      <c r="MWV21" s="559"/>
      <c r="MWW21" s="559"/>
      <c r="MWX21" s="559"/>
      <c r="MWY21" s="559"/>
      <c r="MWZ21" s="559"/>
      <c r="MXA21" s="559"/>
      <c r="MXB21" s="559"/>
      <c r="MXC21" s="559"/>
      <c r="MXD21" s="559"/>
      <c r="MXE21" s="559"/>
      <c r="MXF21" s="559"/>
      <c r="MXG21" s="559"/>
      <c r="MXH21" s="559"/>
      <c r="MXI21" s="559"/>
      <c r="MXJ21" s="559"/>
      <c r="MXK21" s="559"/>
      <c r="MXL21" s="559"/>
      <c r="MXM21" s="559"/>
      <c r="MXN21" s="559"/>
      <c r="MXO21" s="559"/>
      <c r="MXP21" s="559"/>
      <c r="MXQ21" s="559"/>
      <c r="MXR21" s="559"/>
      <c r="MXS21" s="559"/>
      <c r="MXT21" s="559"/>
      <c r="MXU21" s="559"/>
      <c r="MXV21" s="559"/>
      <c r="MXW21" s="559"/>
      <c r="MXX21" s="559"/>
      <c r="MXY21" s="559"/>
      <c r="MXZ21" s="559"/>
      <c r="MYA21" s="559"/>
      <c r="MYB21" s="559"/>
      <c r="MYC21" s="559"/>
      <c r="MYD21" s="559"/>
      <c r="MYE21" s="559"/>
      <c r="MYF21" s="559"/>
      <c r="MYG21" s="559"/>
      <c r="MYH21" s="559"/>
      <c r="MYI21" s="559"/>
      <c r="MYJ21" s="559"/>
      <c r="MYK21" s="559"/>
      <c r="MYL21" s="559"/>
      <c r="MYM21" s="559"/>
      <c r="MYN21" s="559"/>
      <c r="MYO21" s="559"/>
      <c r="MYP21" s="559"/>
      <c r="MYQ21" s="559"/>
      <c r="MYR21" s="559"/>
      <c r="MYS21" s="559"/>
      <c r="MYT21" s="559"/>
      <c r="MYU21" s="559"/>
      <c r="MYV21" s="559"/>
      <c r="MYW21" s="559"/>
      <c r="MYX21" s="559"/>
      <c r="MYY21" s="559"/>
      <c r="MYZ21" s="559"/>
      <c r="MZA21" s="559"/>
      <c r="MZB21" s="559"/>
      <c r="MZC21" s="559"/>
      <c r="MZD21" s="559"/>
      <c r="MZE21" s="559"/>
      <c r="MZF21" s="559"/>
      <c r="MZG21" s="559"/>
      <c r="MZH21" s="559"/>
      <c r="MZI21" s="559"/>
      <c r="MZJ21" s="559"/>
      <c r="MZK21" s="559"/>
      <c r="MZL21" s="559"/>
      <c r="MZM21" s="559"/>
      <c r="MZN21" s="559"/>
      <c r="MZO21" s="559"/>
      <c r="MZP21" s="559"/>
      <c r="MZQ21" s="559"/>
      <c r="MZR21" s="559"/>
      <c r="MZS21" s="559"/>
      <c r="MZT21" s="559"/>
      <c r="MZU21" s="559"/>
      <c r="MZV21" s="559"/>
      <c r="MZW21" s="559"/>
      <c r="MZX21" s="559"/>
      <c r="MZY21" s="559"/>
      <c r="MZZ21" s="559"/>
      <c r="NAA21" s="559"/>
      <c r="NAB21" s="559"/>
      <c r="NAC21" s="559"/>
      <c r="NAD21" s="559"/>
      <c r="NAE21" s="559"/>
      <c r="NAF21" s="559"/>
      <c r="NAG21" s="559"/>
      <c r="NAH21" s="559"/>
      <c r="NAI21" s="559"/>
      <c r="NAJ21" s="559"/>
      <c r="NAK21" s="559"/>
      <c r="NAL21" s="559"/>
      <c r="NAM21" s="559"/>
      <c r="NAN21" s="559"/>
      <c r="NAO21" s="559"/>
      <c r="NAP21" s="559"/>
      <c r="NAQ21" s="559"/>
      <c r="NAR21" s="559"/>
      <c r="NAS21" s="559"/>
      <c r="NAT21" s="559"/>
      <c r="NAU21" s="559"/>
      <c r="NAV21" s="559"/>
      <c r="NAW21" s="559"/>
      <c r="NAX21" s="559"/>
      <c r="NAY21" s="559"/>
      <c r="NAZ21" s="559"/>
      <c r="NBA21" s="559"/>
      <c r="NBB21" s="559"/>
      <c r="NBC21" s="559"/>
      <c r="NBD21" s="559"/>
      <c r="NBE21" s="559"/>
      <c r="NBF21" s="559"/>
      <c r="NBG21" s="559"/>
      <c r="NBH21" s="559"/>
      <c r="NBI21" s="559"/>
      <c r="NBJ21" s="559"/>
      <c r="NBK21" s="559"/>
      <c r="NBL21" s="559"/>
      <c r="NBM21" s="559"/>
      <c r="NBN21" s="559"/>
      <c r="NBO21" s="559"/>
      <c r="NBP21" s="559"/>
      <c r="NBQ21" s="559"/>
      <c r="NBR21" s="559"/>
      <c r="NBS21" s="559"/>
      <c r="NBT21" s="559"/>
      <c r="NBU21" s="559"/>
      <c r="NBV21" s="559"/>
      <c r="NBW21" s="559"/>
      <c r="NBX21" s="559"/>
      <c r="NBY21" s="559"/>
      <c r="NBZ21" s="559"/>
      <c r="NCA21" s="559"/>
      <c r="NCB21" s="559"/>
      <c r="NCC21" s="559"/>
      <c r="NCD21" s="559"/>
      <c r="NCE21" s="559"/>
      <c r="NCF21" s="559"/>
      <c r="NCG21" s="559"/>
      <c r="NCH21" s="559"/>
      <c r="NCI21" s="559"/>
      <c r="NCJ21" s="559"/>
      <c r="NCK21" s="559"/>
      <c r="NCL21" s="559"/>
      <c r="NCM21" s="559"/>
      <c r="NCN21" s="559"/>
      <c r="NCO21" s="559"/>
      <c r="NCP21" s="559"/>
      <c r="NCQ21" s="559"/>
      <c r="NCR21" s="559"/>
      <c r="NCS21" s="559"/>
      <c r="NCT21" s="559"/>
      <c r="NCU21" s="559"/>
      <c r="NCV21" s="559"/>
      <c r="NCW21" s="559"/>
      <c r="NCX21" s="559"/>
      <c r="NCY21" s="559"/>
      <c r="NCZ21" s="559"/>
      <c r="NDA21" s="559"/>
      <c r="NDB21" s="559"/>
      <c r="NDC21" s="559"/>
      <c r="NDD21" s="559"/>
      <c r="NDE21" s="559"/>
      <c r="NDF21" s="559"/>
      <c r="NDG21" s="559"/>
      <c r="NDH21" s="559"/>
      <c r="NDI21" s="559"/>
      <c r="NDJ21" s="559"/>
      <c r="NDK21" s="559"/>
      <c r="NDL21" s="559"/>
      <c r="NDM21" s="559"/>
      <c r="NDN21" s="559"/>
      <c r="NDO21" s="559"/>
      <c r="NDP21" s="559"/>
      <c r="NDQ21" s="559"/>
      <c r="NDR21" s="559"/>
      <c r="NDS21" s="559"/>
      <c r="NDT21" s="559"/>
      <c r="NDU21" s="559"/>
      <c r="NDV21" s="559"/>
      <c r="NDW21" s="559"/>
      <c r="NDX21" s="559"/>
      <c r="NDY21" s="559"/>
      <c r="NDZ21" s="559"/>
      <c r="NEA21" s="559"/>
      <c r="NEB21" s="559"/>
      <c r="NEC21" s="559"/>
      <c r="NED21" s="559"/>
      <c r="NEE21" s="559"/>
      <c r="NEF21" s="559"/>
      <c r="NEG21" s="559"/>
      <c r="NEH21" s="559"/>
      <c r="NEI21" s="559"/>
      <c r="NEJ21" s="559"/>
      <c r="NEK21" s="559"/>
      <c r="NEL21" s="559"/>
      <c r="NEM21" s="559"/>
      <c r="NEN21" s="559"/>
      <c r="NEO21" s="559"/>
      <c r="NEP21" s="559"/>
      <c r="NEQ21" s="559"/>
      <c r="NER21" s="559"/>
      <c r="NES21" s="559"/>
      <c r="NET21" s="559"/>
      <c r="NEU21" s="559"/>
      <c r="NEV21" s="559"/>
      <c r="NEW21" s="559"/>
      <c r="NEX21" s="559"/>
      <c r="NEY21" s="559"/>
      <c r="NEZ21" s="559"/>
      <c r="NFA21" s="559"/>
      <c r="NFB21" s="559"/>
      <c r="NFC21" s="559"/>
      <c r="NFD21" s="559"/>
      <c r="NFE21" s="559"/>
      <c r="NFF21" s="559"/>
      <c r="NFG21" s="559"/>
      <c r="NFH21" s="559"/>
      <c r="NFI21" s="559"/>
      <c r="NFJ21" s="559"/>
      <c r="NFK21" s="559"/>
      <c r="NFL21" s="559"/>
      <c r="NFM21" s="559"/>
      <c r="NFN21" s="559"/>
      <c r="NFO21" s="559"/>
      <c r="NFP21" s="559"/>
      <c r="NFQ21" s="559"/>
      <c r="NFR21" s="559"/>
      <c r="NFS21" s="559"/>
      <c r="NFT21" s="559"/>
      <c r="NFU21" s="559"/>
      <c r="NFV21" s="559"/>
      <c r="NFW21" s="559"/>
      <c r="NFX21" s="559"/>
      <c r="NFY21" s="559"/>
      <c r="NFZ21" s="559"/>
      <c r="NGA21" s="559"/>
      <c r="NGB21" s="559"/>
      <c r="NGC21" s="559"/>
      <c r="NGD21" s="559"/>
      <c r="NGE21" s="559"/>
      <c r="NGF21" s="559"/>
      <c r="NGG21" s="559"/>
      <c r="NGH21" s="559"/>
      <c r="NGI21" s="559"/>
      <c r="NGJ21" s="559"/>
      <c r="NGK21" s="559"/>
      <c r="NGL21" s="559"/>
      <c r="NGM21" s="559"/>
      <c r="NGN21" s="559"/>
      <c r="NGO21" s="559"/>
      <c r="NGP21" s="559"/>
      <c r="NGQ21" s="559"/>
      <c r="NGR21" s="559"/>
      <c r="NGS21" s="559"/>
      <c r="NGT21" s="559"/>
      <c r="NGU21" s="559"/>
      <c r="NGV21" s="559"/>
      <c r="NGW21" s="559"/>
      <c r="NGX21" s="559"/>
      <c r="NGY21" s="559"/>
      <c r="NGZ21" s="559"/>
      <c r="NHA21" s="559"/>
      <c r="NHB21" s="559"/>
      <c r="NHC21" s="559"/>
      <c r="NHD21" s="559"/>
      <c r="NHE21" s="559"/>
      <c r="NHF21" s="559"/>
      <c r="NHG21" s="559"/>
      <c r="NHH21" s="559"/>
      <c r="NHI21" s="559"/>
      <c r="NHJ21" s="559"/>
      <c r="NHK21" s="559"/>
      <c r="NHL21" s="559"/>
      <c r="NHM21" s="559"/>
      <c r="NHN21" s="559"/>
      <c r="NHO21" s="559"/>
      <c r="NHP21" s="559"/>
      <c r="NHQ21" s="559"/>
      <c r="NHR21" s="559"/>
      <c r="NHS21" s="559"/>
      <c r="NHT21" s="559"/>
      <c r="NHU21" s="559"/>
      <c r="NHV21" s="559"/>
      <c r="NHW21" s="559"/>
      <c r="NHX21" s="559"/>
      <c r="NHY21" s="559"/>
      <c r="NHZ21" s="559"/>
      <c r="NIA21" s="559"/>
      <c r="NIB21" s="559"/>
      <c r="NIC21" s="559"/>
      <c r="NID21" s="559"/>
      <c r="NIE21" s="559"/>
      <c r="NIF21" s="559"/>
      <c r="NIG21" s="559"/>
      <c r="NIH21" s="559"/>
      <c r="NII21" s="559"/>
      <c r="NIJ21" s="559"/>
      <c r="NIK21" s="559"/>
      <c r="NIL21" s="559"/>
      <c r="NIM21" s="559"/>
      <c r="NIN21" s="559"/>
      <c r="NIO21" s="559"/>
      <c r="NIP21" s="559"/>
      <c r="NIQ21" s="559"/>
      <c r="NIR21" s="559"/>
      <c r="NIS21" s="559"/>
      <c r="NIT21" s="559"/>
      <c r="NIU21" s="559"/>
      <c r="NIV21" s="559"/>
      <c r="NIW21" s="559"/>
      <c r="NIX21" s="559"/>
      <c r="NIY21" s="559"/>
      <c r="NIZ21" s="559"/>
      <c r="NJA21" s="559"/>
      <c r="NJB21" s="559"/>
      <c r="NJC21" s="559"/>
      <c r="NJD21" s="559"/>
      <c r="NJE21" s="559"/>
      <c r="NJF21" s="559"/>
      <c r="NJG21" s="559"/>
      <c r="NJH21" s="559"/>
      <c r="NJI21" s="559"/>
      <c r="NJJ21" s="559"/>
      <c r="NJK21" s="559"/>
      <c r="NJL21" s="559"/>
      <c r="NJM21" s="559"/>
      <c r="NJN21" s="559"/>
      <c r="NJO21" s="559"/>
      <c r="NJP21" s="559"/>
      <c r="NJQ21" s="559"/>
      <c r="NJR21" s="559"/>
      <c r="NJS21" s="559"/>
      <c r="NJT21" s="559"/>
      <c r="NJU21" s="559"/>
      <c r="NJV21" s="559"/>
      <c r="NJW21" s="559"/>
      <c r="NJX21" s="559"/>
      <c r="NJY21" s="559"/>
      <c r="NJZ21" s="559"/>
      <c r="NKA21" s="559"/>
      <c r="NKB21" s="559"/>
      <c r="NKC21" s="559"/>
      <c r="NKD21" s="559"/>
      <c r="NKE21" s="559"/>
      <c r="NKF21" s="559"/>
      <c r="NKG21" s="559"/>
      <c r="NKH21" s="559"/>
      <c r="NKI21" s="559"/>
      <c r="NKJ21" s="559"/>
      <c r="NKK21" s="559"/>
      <c r="NKL21" s="559"/>
      <c r="NKM21" s="559"/>
      <c r="NKN21" s="559"/>
      <c r="NKO21" s="559"/>
      <c r="NKP21" s="559"/>
      <c r="NKQ21" s="559"/>
      <c r="NKR21" s="559"/>
      <c r="NKS21" s="559"/>
      <c r="NKT21" s="559"/>
      <c r="NKU21" s="559"/>
      <c r="NKV21" s="559"/>
      <c r="NKW21" s="559"/>
      <c r="NKX21" s="559"/>
      <c r="NKY21" s="559"/>
      <c r="NKZ21" s="559"/>
      <c r="NLA21" s="559"/>
      <c r="NLB21" s="559"/>
      <c r="NLC21" s="559"/>
      <c r="NLD21" s="559"/>
      <c r="NLE21" s="559"/>
      <c r="NLF21" s="559"/>
      <c r="NLG21" s="559"/>
      <c r="NLH21" s="559"/>
      <c r="NLI21" s="559"/>
      <c r="NLJ21" s="559"/>
      <c r="NLK21" s="559"/>
      <c r="NLL21" s="559"/>
      <c r="NLM21" s="559"/>
      <c r="NLN21" s="559"/>
      <c r="NLO21" s="559"/>
      <c r="NLP21" s="559"/>
      <c r="NLQ21" s="559"/>
      <c r="NLR21" s="559"/>
      <c r="NLS21" s="559"/>
      <c r="NLT21" s="559"/>
      <c r="NLU21" s="559"/>
      <c r="NLV21" s="559"/>
      <c r="NLW21" s="559"/>
      <c r="NLX21" s="559"/>
      <c r="NLY21" s="559"/>
      <c r="NLZ21" s="559"/>
      <c r="NMA21" s="559"/>
      <c r="NMB21" s="559"/>
      <c r="NMC21" s="559"/>
      <c r="NMD21" s="559"/>
      <c r="NME21" s="559"/>
      <c r="NMF21" s="559"/>
      <c r="NMG21" s="559"/>
      <c r="NMH21" s="559"/>
      <c r="NMI21" s="559"/>
      <c r="NMJ21" s="559"/>
      <c r="NMK21" s="559"/>
      <c r="NML21" s="559"/>
      <c r="NMM21" s="559"/>
      <c r="NMN21" s="559"/>
      <c r="NMO21" s="559"/>
      <c r="NMP21" s="559"/>
      <c r="NMQ21" s="559"/>
      <c r="NMR21" s="559"/>
      <c r="NMS21" s="559"/>
      <c r="NMT21" s="559"/>
      <c r="NMU21" s="559"/>
      <c r="NMV21" s="559"/>
      <c r="NMW21" s="559"/>
      <c r="NMX21" s="559"/>
      <c r="NMY21" s="559"/>
      <c r="NMZ21" s="559"/>
      <c r="NNA21" s="559"/>
      <c r="NNB21" s="559"/>
      <c r="NNC21" s="559"/>
      <c r="NND21" s="559"/>
      <c r="NNE21" s="559"/>
      <c r="NNF21" s="559"/>
      <c r="NNG21" s="559"/>
      <c r="NNH21" s="559"/>
      <c r="NNI21" s="559"/>
      <c r="NNJ21" s="559"/>
      <c r="NNK21" s="559"/>
      <c r="NNL21" s="559"/>
      <c r="NNM21" s="559"/>
      <c r="NNN21" s="559"/>
      <c r="NNO21" s="559"/>
      <c r="NNP21" s="559"/>
      <c r="NNQ21" s="559"/>
      <c r="NNR21" s="559"/>
      <c r="NNS21" s="559"/>
      <c r="NNT21" s="559"/>
      <c r="NNU21" s="559"/>
      <c r="NNV21" s="559"/>
      <c r="NNW21" s="559"/>
      <c r="NNX21" s="559"/>
      <c r="NNY21" s="559"/>
      <c r="NNZ21" s="559"/>
      <c r="NOA21" s="559"/>
      <c r="NOB21" s="559"/>
      <c r="NOC21" s="559"/>
      <c r="NOD21" s="559"/>
      <c r="NOE21" s="559"/>
      <c r="NOF21" s="559"/>
      <c r="NOG21" s="559"/>
      <c r="NOH21" s="559"/>
      <c r="NOI21" s="559"/>
      <c r="NOJ21" s="559"/>
      <c r="NOK21" s="559"/>
      <c r="NOL21" s="559"/>
      <c r="NOM21" s="559"/>
      <c r="NON21" s="559"/>
      <c r="NOO21" s="559"/>
      <c r="NOP21" s="559"/>
      <c r="NOQ21" s="559"/>
      <c r="NOR21" s="559"/>
      <c r="NOS21" s="559"/>
      <c r="NOT21" s="559"/>
      <c r="NOU21" s="559"/>
      <c r="NOV21" s="559"/>
      <c r="NOW21" s="559"/>
      <c r="NOX21" s="559"/>
      <c r="NOY21" s="559"/>
      <c r="NOZ21" s="559"/>
      <c r="NPA21" s="559"/>
      <c r="NPB21" s="559"/>
      <c r="NPC21" s="559"/>
      <c r="NPD21" s="559"/>
      <c r="NPE21" s="559"/>
      <c r="NPF21" s="559"/>
      <c r="NPG21" s="559"/>
      <c r="NPH21" s="559"/>
      <c r="NPI21" s="559"/>
      <c r="NPJ21" s="559"/>
      <c r="NPK21" s="559"/>
      <c r="NPL21" s="559"/>
      <c r="NPM21" s="559"/>
      <c r="NPN21" s="559"/>
      <c r="NPO21" s="559"/>
      <c r="NPP21" s="559"/>
      <c r="NPQ21" s="559"/>
      <c r="NPR21" s="559"/>
      <c r="NPS21" s="559"/>
      <c r="NPT21" s="559"/>
      <c r="NPU21" s="559"/>
      <c r="NPV21" s="559"/>
      <c r="NPW21" s="559"/>
      <c r="NPX21" s="559"/>
      <c r="NPY21" s="559"/>
      <c r="NPZ21" s="559"/>
      <c r="NQA21" s="559"/>
      <c r="NQB21" s="559"/>
      <c r="NQC21" s="559"/>
      <c r="NQD21" s="559"/>
      <c r="NQE21" s="559"/>
      <c r="NQF21" s="559"/>
      <c r="NQG21" s="559"/>
      <c r="NQH21" s="559"/>
      <c r="NQI21" s="559"/>
      <c r="NQJ21" s="559"/>
      <c r="NQK21" s="559"/>
      <c r="NQL21" s="559"/>
      <c r="NQM21" s="559"/>
      <c r="NQN21" s="559"/>
      <c r="NQO21" s="559"/>
      <c r="NQP21" s="559"/>
      <c r="NQQ21" s="559"/>
      <c r="NQR21" s="559"/>
      <c r="NQS21" s="559"/>
      <c r="NQT21" s="559"/>
      <c r="NQU21" s="559"/>
      <c r="NQV21" s="559"/>
      <c r="NQW21" s="559"/>
      <c r="NQX21" s="559"/>
      <c r="NQY21" s="559"/>
      <c r="NQZ21" s="559"/>
      <c r="NRA21" s="559"/>
      <c r="NRB21" s="559"/>
      <c r="NRC21" s="559"/>
      <c r="NRD21" s="559"/>
      <c r="NRE21" s="559"/>
      <c r="NRF21" s="559"/>
      <c r="NRG21" s="559"/>
      <c r="NRH21" s="559"/>
      <c r="NRI21" s="559"/>
      <c r="NRJ21" s="559"/>
      <c r="NRK21" s="559"/>
      <c r="NRL21" s="559"/>
      <c r="NRM21" s="559"/>
      <c r="NRN21" s="559"/>
      <c r="NRO21" s="559"/>
      <c r="NRP21" s="559"/>
      <c r="NRQ21" s="559"/>
      <c r="NRR21" s="559"/>
      <c r="NRS21" s="559"/>
      <c r="NRT21" s="559"/>
      <c r="NRU21" s="559"/>
      <c r="NRV21" s="559"/>
      <c r="NRW21" s="559"/>
      <c r="NRX21" s="559"/>
      <c r="NRY21" s="559"/>
      <c r="NRZ21" s="559"/>
      <c r="NSA21" s="559"/>
      <c r="NSB21" s="559"/>
      <c r="NSC21" s="559"/>
      <c r="NSD21" s="559"/>
      <c r="NSE21" s="559"/>
      <c r="NSF21" s="559"/>
      <c r="NSG21" s="559"/>
      <c r="NSH21" s="559"/>
      <c r="NSI21" s="559"/>
      <c r="NSJ21" s="559"/>
      <c r="NSK21" s="559"/>
      <c r="NSL21" s="559"/>
      <c r="NSM21" s="559"/>
      <c r="NSN21" s="559"/>
      <c r="NSO21" s="559"/>
      <c r="NSP21" s="559"/>
      <c r="NSQ21" s="559"/>
      <c r="NSR21" s="559"/>
      <c r="NSS21" s="559"/>
      <c r="NST21" s="559"/>
      <c r="NSU21" s="559"/>
      <c r="NSV21" s="559"/>
      <c r="NSW21" s="559"/>
      <c r="NSX21" s="559"/>
      <c r="NSY21" s="559"/>
      <c r="NSZ21" s="559"/>
      <c r="NTA21" s="559"/>
      <c r="NTB21" s="559"/>
      <c r="NTC21" s="559"/>
      <c r="NTD21" s="559"/>
      <c r="NTE21" s="559"/>
      <c r="NTF21" s="559"/>
      <c r="NTG21" s="559"/>
      <c r="NTH21" s="559"/>
      <c r="NTI21" s="559"/>
      <c r="NTJ21" s="559"/>
      <c r="NTK21" s="559"/>
      <c r="NTL21" s="559"/>
      <c r="NTM21" s="559"/>
      <c r="NTN21" s="559"/>
      <c r="NTO21" s="559"/>
      <c r="NTP21" s="559"/>
      <c r="NTQ21" s="559"/>
      <c r="NTR21" s="559"/>
      <c r="NTS21" s="559"/>
      <c r="NTT21" s="559"/>
      <c r="NTU21" s="559"/>
      <c r="NTV21" s="559"/>
      <c r="NTW21" s="559"/>
      <c r="NTX21" s="559"/>
      <c r="NTY21" s="559"/>
      <c r="NTZ21" s="559"/>
      <c r="NUA21" s="559"/>
      <c r="NUB21" s="559"/>
      <c r="NUC21" s="559"/>
      <c r="NUD21" s="559"/>
      <c r="NUE21" s="559"/>
      <c r="NUF21" s="559"/>
      <c r="NUG21" s="559"/>
      <c r="NUH21" s="559"/>
      <c r="NUI21" s="559"/>
      <c r="NUJ21" s="559"/>
      <c r="NUK21" s="559"/>
      <c r="NUL21" s="559"/>
      <c r="NUM21" s="559"/>
      <c r="NUN21" s="559"/>
      <c r="NUO21" s="559"/>
      <c r="NUP21" s="559"/>
      <c r="NUQ21" s="559"/>
      <c r="NUR21" s="559"/>
      <c r="NUS21" s="559"/>
      <c r="NUT21" s="559"/>
      <c r="NUU21" s="559"/>
      <c r="NUV21" s="559"/>
      <c r="NUW21" s="559"/>
      <c r="NUX21" s="559"/>
      <c r="NUY21" s="559"/>
      <c r="NUZ21" s="559"/>
      <c r="NVA21" s="559"/>
      <c r="NVB21" s="559"/>
      <c r="NVC21" s="559"/>
      <c r="NVD21" s="559"/>
      <c r="NVE21" s="559"/>
      <c r="NVF21" s="559"/>
      <c r="NVG21" s="559"/>
      <c r="NVH21" s="559"/>
      <c r="NVI21" s="559"/>
      <c r="NVJ21" s="559"/>
      <c r="NVK21" s="559"/>
      <c r="NVL21" s="559"/>
      <c r="NVM21" s="559"/>
      <c r="NVN21" s="559"/>
      <c r="NVO21" s="559"/>
      <c r="NVP21" s="559"/>
      <c r="NVQ21" s="559"/>
      <c r="NVR21" s="559"/>
      <c r="NVS21" s="559"/>
      <c r="NVT21" s="559"/>
      <c r="NVU21" s="559"/>
      <c r="NVV21" s="559"/>
      <c r="NVW21" s="559"/>
      <c r="NVX21" s="559"/>
      <c r="NVY21" s="559"/>
      <c r="NVZ21" s="559"/>
      <c r="NWA21" s="559"/>
      <c r="NWB21" s="559"/>
      <c r="NWC21" s="559"/>
      <c r="NWD21" s="559"/>
      <c r="NWE21" s="559"/>
      <c r="NWF21" s="559"/>
      <c r="NWG21" s="559"/>
      <c r="NWH21" s="559"/>
      <c r="NWI21" s="559"/>
      <c r="NWJ21" s="559"/>
      <c r="NWK21" s="559"/>
      <c r="NWL21" s="559"/>
      <c r="NWM21" s="559"/>
      <c r="NWN21" s="559"/>
      <c r="NWO21" s="559"/>
      <c r="NWP21" s="559"/>
      <c r="NWQ21" s="559"/>
      <c r="NWR21" s="559"/>
      <c r="NWS21" s="559"/>
      <c r="NWT21" s="559"/>
      <c r="NWU21" s="559"/>
      <c r="NWV21" s="559"/>
      <c r="NWW21" s="559"/>
      <c r="NWX21" s="559"/>
      <c r="NWY21" s="559"/>
      <c r="NWZ21" s="559"/>
      <c r="NXA21" s="559"/>
      <c r="NXB21" s="559"/>
      <c r="NXC21" s="559"/>
      <c r="NXD21" s="559"/>
      <c r="NXE21" s="559"/>
      <c r="NXF21" s="559"/>
      <c r="NXG21" s="559"/>
      <c r="NXH21" s="559"/>
      <c r="NXI21" s="559"/>
      <c r="NXJ21" s="559"/>
      <c r="NXK21" s="559"/>
      <c r="NXL21" s="559"/>
      <c r="NXM21" s="559"/>
      <c r="NXN21" s="559"/>
      <c r="NXO21" s="559"/>
      <c r="NXP21" s="559"/>
      <c r="NXQ21" s="559"/>
      <c r="NXR21" s="559"/>
      <c r="NXS21" s="559"/>
      <c r="NXT21" s="559"/>
      <c r="NXU21" s="559"/>
      <c r="NXV21" s="559"/>
      <c r="NXW21" s="559"/>
      <c r="NXX21" s="559"/>
      <c r="NXY21" s="559"/>
      <c r="NXZ21" s="559"/>
      <c r="NYA21" s="559"/>
      <c r="NYB21" s="559"/>
      <c r="NYC21" s="559"/>
      <c r="NYD21" s="559"/>
      <c r="NYE21" s="559"/>
      <c r="NYF21" s="559"/>
      <c r="NYG21" s="559"/>
      <c r="NYH21" s="559"/>
      <c r="NYI21" s="559"/>
      <c r="NYJ21" s="559"/>
      <c r="NYK21" s="559"/>
      <c r="NYL21" s="559"/>
      <c r="NYM21" s="559"/>
      <c r="NYN21" s="559"/>
      <c r="NYO21" s="559"/>
      <c r="NYP21" s="559"/>
      <c r="NYQ21" s="559"/>
      <c r="NYR21" s="559"/>
      <c r="NYS21" s="559"/>
      <c r="NYT21" s="559"/>
      <c r="NYU21" s="559"/>
      <c r="NYV21" s="559"/>
      <c r="NYW21" s="559"/>
      <c r="NYX21" s="559"/>
      <c r="NYY21" s="559"/>
      <c r="NYZ21" s="559"/>
      <c r="NZA21" s="559"/>
      <c r="NZB21" s="559"/>
      <c r="NZC21" s="559"/>
      <c r="NZD21" s="559"/>
      <c r="NZE21" s="559"/>
      <c r="NZF21" s="559"/>
      <c r="NZG21" s="559"/>
      <c r="NZH21" s="559"/>
      <c r="NZI21" s="559"/>
      <c r="NZJ21" s="559"/>
      <c r="NZK21" s="559"/>
      <c r="NZL21" s="559"/>
      <c r="NZM21" s="559"/>
      <c r="NZN21" s="559"/>
      <c r="NZO21" s="559"/>
      <c r="NZP21" s="559"/>
      <c r="NZQ21" s="559"/>
      <c r="NZR21" s="559"/>
      <c r="NZS21" s="559"/>
      <c r="NZT21" s="559"/>
      <c r="NZU21" s="559"/>
      <c r="NZV21" s="559"/>
      <c r="NZW21" s="559"/>
      <c r="NZX21" s="559"/>
      <c r="NZY21" s="559"/>
      <c r="NZZ21" s="559"/>
      <c r="OAA21" s="559"/>
      <c r="OAB21" s="559"/>
      <c r="OAC21" s="559"/>
      <c r="OAD21" s="559"/>
      <c r="OAE21" s="559"/>
      <c r="OAF21" s="559"/>
      <c r="OAG21" s="559"/>
      <c r="OAH21" s="559"/>
      <c r="OAI21" s="559"/>
      <c r="OAJ21" s="559"/>
      <c r="OAK21" s="559"/>
      <c r="OAL21" s="559"/>
      <c r="OAM21" s="559"/>
      <c r="OAN21" s="559"/>
      <c r="OAO21" s="559"/>
      <c r="OAP21" s="559"/>
      <c r="OAQ21" s="559"/>
      <c r="OAR21" s="559"/>
      <c r="OAS21" s="559"/>
      <c r="OAT21" s="559"/>
      <c r="OAU21" s="559"/>
      <c r="OAV21" s="559"/>
      <c r="OAW21" s="559"/>
      <c r="OAX21" s="559"/>
      <c r="OAY21" s="559"/>
      <c r="OAZ21" s="559"/>
      <c r="OBA21" s="559"/>
      <c r="OBB21" s="559"/>
      <c r="OBC21" s="559"/>
      <c r="OBD21" s="559"/>
      <c r="OBE21" s="559"/>
      <c r="OBF21" s="559"/>
      <c r="OBG21" s="559"/>
      <c r="OBH21" s="559"/>
      <c r="OBI21" s="559"/>
      <c r="OBJ21" s="559"/>
      <c r="OBK21" s="559"/>
      <c r="OBL21" s="559"/>
      <c r="OBM21" s="559"/>
      <c r="OBN21" s="559"/>
      <c r="OBO21" s="559"/>
      <c r="OBP21" s="559"/>
      <c r="OBQ21" s="559"/>
      <c r="OBR21" s="559"/>
      <c r="OBS21" s="559"/>
      <c r="OBT21" s="559"/>
      <c r="OBU21" s="559"/>
      <c r="OBV21" s="559"/>
      <c r="OBW21" s="559"/>
      <c r="OBX21" s="559"/>
      <c r="OBY21" s="559"/>
      <c r="OBZ21" s="559"/>
      <c r="OCA21" s="559"/>
      <c r="OCB21" s="559"/>
      <c r="OCC21" s="559"/>
      <c r="OCD21" s="559"/>
      <c r="OCE21" s="559"/>
      <c r="OCF21" s="559"/>
      <c r="OCG21" s="559"/>
      <c r="OCH21" s="559"/>
      <c r="OCI21" s="559"/>
      <c r="OCJ21" s="559"/>
      <c r="OCK21" s="559"/>
      <c r="OCL21" s="559"/>
      <c r="OCM21" s="559"/>
      <c r="OCN21" s="559"/>
      <c r="OCO21" s="559"/>
      <c r="OCP21" s="559"/>
      <c r="OCQ21" s="559"/>
      <c r="OCR21" s="559"/>
      <c r="OCS21" s="559"/>
      <c r="OCT21" s="559"/>
      <c r="OCU21" s="559"/>
      <c r="OCV21" s="559"/>
      <c r="OCW21" s="559"/>
      <c r="OCX21" s="559"/>
      <c r="OCY21" s="559"/>
      <c r="OCZ21" s="559"/>
      <c r="ODA21" s="559"/>
      <c r="ODB21" s="559"/>
      <c r="ODC21" s="559"/>
      <c r="ODD21" s="559"/>
      <c r="ODE21" s="559"/>
      <c r="ODF21" s="559"/>
      <c r="ODG21" s="559"/>
      <c r="ODH21" s="559"/>
      <c r="ODI21" s="559"/>
      <c r="ODJ21" s="559"/>
      <c r="ODK21" s="559"/>
      <c r="ODL21" s="559"/>
      <c r="ODM21" s="559"/>
      <c r="ODN21" s="559"/>
      <c r="ODO21" s="559"/>
      <c r="ODP21" s="559"/>
      <c r="ODQ21" s="559"/>
      <c r="ODR21" s="559"/>
      <c r="ODS21" s="559"/>
      <c r="ODT21" s="559"/>
      <c r="ODU21" s="559"/>
      <c r="ODV21" s="559"/>
      <c r="ODW21" s="559"/>
      <c r="ODX21" s="559"/>
      <c r="ODY21" s="559"/>
      <c r="ODZ21" s="559"/>
      <c r="OEA21" s="559"/>
      <c r="OEB21" s="559"/>
      <c r="OEC21" s="559"/>
      <c r="OED21" s="559"/>
      <c r="OEE21" s="559"/>
      <c r="OEF21" s="559"/>
      <c r="OEG21" s="559"/>
      <c r="OEH21" s="559"/>
      <c r="OEI21" s="559"/>
      <c r="OEJ21" s="559"/>
      <c r="OEK21" s="559"/>
      <c r="OEL21" s="559"/>
      <c r="OEM21" s="559"/>
      <c r="OEN21" s="559"/>
      <c r="OEO21" s="559"/>
      <c r="OEP21" s="559"/>
      <c r="OEQ21" s="559"/>
      <c r="OER21" s="559"/>
      <c r="OES21" s="559"/>
      <c r="OET21" s="559"/>
      <c r="OEU21" s="559"/>
      <c r="OEV21" s="559"/>
      <c r="OEW21" s="559"/>
      <c r="OEX21" s="559"/>
      <c r="OEY21" s="559"/>
      <c r="OEZ21" s="559"/>
      <c r="OFA21" s="559"/>
      <c r="OFB21" s="559"/>
      <c r="OFC21" s="559"/>
      <c r="OFD21" s="559"/>
      <c r="OFE21" s="559"/>
      <c r="OFF21" s="559"/>
      <c r="OFG21" s="559"/>
      <c r="OFH21" s="559"/>
      <c r="OFI21" s="559"/>
      <c r="OFJ21" s="559"/>
      <c r="OFK21" s="559"/>
      <c r="OFL21" s="559"/>
      <c r="OFM21" s="559"/>
      <c r="OFN21" s="559"/>
      <c r="OFO21" s="559"/>
      <c r="OFP21" s="559"/>
      <c r="OFQ21" s="559"/>
      <c r="OFR21" s="559"/>
      <c r="OFS21" s="559"/>
      <c r="OFT21" s="559"/>
      <c r="OFU21" s="559"/>
      <c r="OFV21" s="559"/>
      <c r="OFW21" s="559"/>
      <c r="OFX21" s="559"/>
      <c r="OFY21" s="559"/>
      <c r="OFZ21" s="559"/>
      <c r="OGA21" s="559"/>
      <c r="OGB21" s="559"/>
      <c r="OGC21" s="559"/>
      <c r="OGD21" s="559"/>
      <c r="OGE21" s="559"/>
      <c r="OGF21" s="559"/>
      <c r="OGG21" s="559"/>
      <c r="OGH21" s="559"/>
      <c r="OGI21" s="559"/>
      <c r="OGJ21" s="559"/>
      <c r="OGK21" s="559"/>
      <c r="OGL21" s="559"/>
      <c r="OGM21" s="559"/>
      <c r="OGN21" s="559"/>
      <c r="OGO21" s="559"/>
      <c r="OGP21" s="559"/>
      <c r="OGQ21" s="559"/>
      <c r="OGR21" s="559"/>
      <c r="OGS21" s="559"/>
      <c r="OGT21" s="559"/>
      <c r="OGU21" s="559"/>
      <c r="OGV21" s="559"/>
      <c r="OGW21" s="559"/>
      <c r="OGX21" s="559"/>
      <c r="OGY21" s="559"/>
      <c r="OGZ21" s="559"/>
      <c r="OHA21" s="559"/>
      <c r="OHB21" s="559"/>
      <c r="OHC21" s="559"/>
      <c r="OHD21" s="559"/>
      <c r="OHE21" s="559"/>
      <c r="OHF21" s="559"/>
      <c r="OHG21" s="559"/>
      <c r="OHH21" s="559"/>
      <c r="OHI21" s="559"/>
      <c r="OHJ21" s="559"/>
      <c r="OHK21" s="559"/>
      <c r="OHL21" s="559"/>
      <c r="OHM21" s="559"/>
      <c r="OHN21" s="559"/>
      <c r="OHO21" s="559"/>
      <c r="OHP21" s="559"/>
      <c r="OHQ21" s="559"/>
      <c r="OHR21" s="559"/>
      <c r="OHS21" s="559"/>
      <c r="OHT21" s="559"/>
      <c r="OHU21" s="559"/>
      <c r="OHV21" s="559"/>
      <c r="OHW21" s="559"/>
      <c r="OHX21" s="559"/>
      <c r="OHY21" s="559"/>
      <c r="OHZ21" s="559"/>
      <c r="OIA21" s="559"/>
      <c r="OIB21" s="559"/>
      <c r="OIC21" s="559"/>
      <c r="OID21" s="559"/>
      <c r="OIE21" s="559"/>
      <c r="OIF21" s="559"/>
      <c r="OIG21" s="559"/>
      <c r="OIH21" s="559"/>
      <c r="OII21" s="559"/>
      <c r="OIJ21" s="559"/>
      <c r="OIK21" s="559"/>
      <c r="OIL21" s="559"/>
      <c r="OIM21" s="559"/>
      <c r="OIN21" s="559"/>
      <c r="OIO21" s="559"/>
      <c r="OIP21" s="559"/>
      <c r="OIQ21" s="559"/>
      <c r="OIR21" s="559"/>
      <c r="OIS21" s="559"/>
      <c r="OIT21" s="559"/>
      <c r="OIU21" s="559"/>
      <c r="OIV21" s="559"/>
      <c r="OIW21" s="559"/>
      <c r="OIX21" s="559"/>
      <c r="OIY21" s="559"/>
      <c r="OIZ21" s="559"/>
      <c r="OJA21" s="559"/>
      <c r="OJB21" s="559"/>
      <c r="OJC21" s="559"/>
      <c r="OJD21" s="559"/>
      <c r="OJE21" s="559"/>
      <c r="OJF21" s="559"/>
      <c r="OJG21" s="559"/>
      <c r="OJH21" s="559"/>
      <c r="OJI21" s="559"/>
      <c r="OJJ21" s="559"/>
      <c r="OJK21" s="559"/>
      <c r="OJL21" s="559"/>
      <c r="OJM21" s="559"/>
      <c r="OJN21" s="559"/>
      <c r="OJO21" s="559"/>
      <c r="OJP21" s="559"/>
      <c r="OJQ21" s="559"/>
      <c r="OJR21" s="559"/>
      <c r="OJS21" s="559"/>
      <c r="OJT21" s="559"/>
      <c r="OJU21" s="559"/>
      <c r="OJV21" s="559"/>
      <c r="OJW21" s="559"/>
      <c r="OJX21" s="559"/>
      <c r="OJY21" s="559"/>
      <c r="OJZ21" s="559"/>
      <c r="OKA21" s="559"/>
      <c r="OKB21" s="559"/>
      <c r="OKC21" s="559"/>
      <c r="OKD21" s="559"/>
      <c r="OKE21" s="559"/>
      <c r="OKF21" s="559"/>
      <c r="OKG21" s="559"/>
      <c r="OKH21" s="559"/>
      <c r="OKI21" s="559"/>
      <c r="OKJ21" s="559"/>
      <c r="OKK21" s="559"/>
      <c r="OKL21" s="559"/>
      <c r="OKM21" s="559"/>
      <c r="OKN21" s="559"/>
      <c r="OKO21" s="559"/>
      <c r="OKP21" s="559"/>
      <c r="OKQ21" s="559"/>
      <c r="OKR21" s="559"/>
      <c r="OKS21" s="559"/>
      <c r="OKT21" s="559"/>
      <c r="OKU21" s="559"/>
      <c r="OKV21" s="559"/>
      <c r="OKW21" s="559"/>
      <c r="OKX21" s="559"/>
      <c r="OKY21" s="559"/>
      <c r="OKZ21" s="559"/>
      <c r="OLA21" s="559"/>
      <c r="OLB21" s="559"/>
      <c r="OLC21" s="559"/>
      <c r="OLD21" s="559"/>
      <c r="OLE21" s="559"/>
      <c r="OLF21" s="559"/>
      <c r="OLG21" s="559"/>
      <c r="OLH21" s="559"/>
      <c r="OLI21" s="559"/>
      <c r="OLJ21" s="559"/>
      <c r="OLK21" s="559"/>
      <c r="OLL21" s="559"/>
      <c r="OLM21" s="559"/>
      <c r="OLN21" s="559"/>
      <c r="OLO21" s="559"/>
      <c r="OLP21" s="559"/>
      <c r="OLQ21" s="559"/>
      <c r="OLR21" s="559"/>
      <c r="OLS21" s="559"/>
      <c r="OLT21" s="559"/>
      <c r="OLU21" s="559"/>
      <c r="OLV21" s="559"/>
      <c r="OLW21" s="559"/>
      <c r="OLX21" s="559"/>
      <c r="OLY21" s="559"/>
      <c r="OLZ21" s="559"/>
      <c r="OMA21" s="559"/>
      <c r="OMB21" s="559"/>
      <c r="OMC21" s="559"/>
      <c r="OMD21" s="559"/>
      <c r="OME21" s="559"/>
      <c r="OMF21" s="559"/>
      <c r="OMG21" s="559"/>
      <c r="OMH21" s="559"/>
      <c r="OMI21" s="559"/>
      <c r="OMJ21" s="559"/>
      <c r="OMK21" s="559"/>
      <c r="OML21" s="559"/>
      <c r="OMM21" s="559"/>
      <c r="OMN21" s="559"/>
      <c r="OMO21" s="559"/>
      <c r="OMP21" s="559"/>
      <c r="OMQ21" s="559"/>
      <c r="OMR21" s="559"/>
      <c r="OMS21" s="559"/>
      <c r="OMT21" s="559"/>
      <c r="OMU21" s="559"/>
      <c r="OMV21" s="559"/>
      <c r="OMW21" s="559"/>
      <c r="OMX21" s="559"/>
      <c r="OMY21" s="559"/>
      <c r="OMZ21" s="559"/>
      <c r="ONA21" s="559"/>
      <c r="ONB21" s="559"/>
      <c r="ONC21" s="559"/>
      <c r="OND21" s="559"/>
      <c r="ONE21" s="559"/>
      <c r="ONF21" s="559"/>
      <c r="ONG21" s="559"/>
      <c r="ONH21" s="559"/>
      <c r="ONI21" s="559"/>
      <c r="ONJ21" s="559"/>
      <c r="ONK21" s="559"/>
      <c r="ONL21" s="559"/>
      <c r="ONM21" s="559"/>
      <c r="ONN21" s="559"/>
      <c r="ONO21" s="559"/>
      <c r="ONP21" s="559"/>
      <c r="ONQ21" s="559"/>
      <c r="ONR21" s="559"/>
      <c r="ONS21" s="559"/>
      <c r="ONT21" s="559"/>
      <c r="ONU21" s="559"/>
      <c r="ONV21" s="559"/>
      <c r="ONW21" s="559"/>
      <c r="ONX21" s="559"/>
      <c r="ONY21" s="559"/>
      <c r="ONZ21" s="559"/>
      <c r="OOA21" s="559"/>
      <c r="OOB21" s="559"/>
      <c r="OOC21" s="559"/>
      <c r="OOD21" s="559"/>
      <c r="OOE21" s="559"/>
      <c r="OOF21" s="559"/>
      <c r="OOG21" s="559"/>
      <c r="OOH21" s="559"/>
      <c r="OOI21" s="559"/>
      <c r="OOJ21" s="559"/>
      <c r="OOK21" s="559"/>
      <c r="OOL21" s="559"/>
      <c r="OOM21" s="559"/>
      <c r="OON21" s="559"/>
      <c r="OOO21" s="559"/>
      <c r="OOP21" s="559"/>
      <c r="OOQ21" s="559"/>
      <c r="OOR21" s="559"/>
      <c r="OOS21" s="559"/>
      <c r="OOT21" s="559"/>
      <c r="OOU21" s="559"/>
      <c r="OOV21" s="559"/>
      <c r="OOW21" s="559"/>
      <c r="OOX21" s="559"/>
      <c r="OOY21" s="559"/>
      <c r="OOZ21" s="559"/>
      <c r="OPA21" s="559"/>
      <c r="OPB21" s="559"/>
      <c r="OPC21" s="559"/>
      <c r="OPD21" s="559"/>
      <c r="OPE21" s="559"/>
      <c r="OPF21" s="559"/>
      <c r="OPG21" s="559"/>
      <c r="OPH21" s="559"/>
      <c r="OPI21" s="559"/>
      <c r="OPJ21" s="559"/>
      <c r="OPK21" s="559"/>
      <c r="OPL21" s="559"/>
      <c r="OPM21" s="559"/>
      <c r="OPN21" s="559"/>
      <c r="OPO21" s="559"/>
      <c r="OPP21" s="559"/>
      <c r="OPQ21" s="559"/>
      <c r="OPR21" s="559"/>
      <c r="OPS21" s="559"/>
      <c r="OPT21" s="559"/>
      <c r="OPU21" s="559"/>
      <c r="OPV21" s="559"/>
      <c r="OPW21" s="559"/>
      <c r="OPX21" s="559"/>
      <c r="OPY21" s="559"/>
      <c r="OPZ21" s="559"/>
      <c r="OQA21" s="559"/>
      <c r="OQB21" s="559"/>
      <c r="OQC21" s="559"/>
      <c r="OQD21" s="559"/>
      <c r="OQE21" s="559"/>
      <c r="OQF21" s="559"/>
      <c r="OQG21" s="559"/>
      <c r="OQH21" s="559"/>
      <c r="OQI21" s="559"/>
      <c r="OQJ21" s="559"/>
      <c r="OQK21" s="559"/>
      <c r="OQL21" s="559"/>
      <c r="OQM21" s="559"/>
      <c r="OQN21" s="559"/>
      <c r="OQO21" s="559"/>
      <c r="OQP21" s="559"/>
      <c r="OQQ21" s="559"/>
      <c r="OQR21" s="559"/>
      <c r="OQS21" s="559"/>
      <c r="OQT21" s="559"/>
      <c r="OQU21" s="559"/>
      <c r="OQV21" s="559"/>
      <c r="OQW21" s="559"/>
      <c r="OQX21" s="559"/>
      <c r="OQY21" s="559"/>
      <c r="OQZ21" s="559"/>
      <c r="ORA21" s="559"/>
      <c r="ORB21" s="559"/>
      <c r="ORC21" s="559"/>
      <c r="ORD21" s="559"/>
      <c r="ORE21" s="559"/>
      <c r="ORF21" s="559"/>
      <c r="ORG21" s="559"/>
      <c r="ORH21" s="559"/>
      <c r="ORI21" s="559"/>
      <c r="ORJ21" s="559"/>
      <c r="ORK21" s="559"/>
      <c r="ORL21" s="559"/>
      <c r="ORM21" s="559"/>
      <c r="ORN21" s="559"/>
      <c r="ORO21" s="559"/>
      <c r="ORP21" s="559"/>
      <c r="ORQ21" s="559"/>
      <c r="ORR21" s="559"/>
      <c r="ORS21" s="559"/>
      <c r="ORT21" s="559"/>
      <c r="ORU21" s="559"/>
      <c r="ORV21" s="559"/>
      <c r="ORW21" s="559"/>
      <c r="ORX21" s="559"/>
      <c r="ORY21" s="559"/>
      <c r="ORZ21" s="559"/>
      <c r="OSA21" s="559"/>
      <c r="OSB21" s="559"/>
      <c r="OSC21" s="559"/>
      <c r="OSD21" s="559"/>
      <c r="OSE21" s="559"/>
      <c r="OSF21" s="559"/>
      <c r="OSG21" s="559"/>
      <c r="OSH21" s="559"/>
      <c r="OSI21" s="559"/>
      <c r="OSJ21" s="559"/>
      <c r="OSK21" s="559"/>
      <c r="OSL21" s="559"/>
      <c r="OSM21" s="559"/>
      <c r="OSN21" s="559"/>
      <c r="OSO21" s="559"/>
      <c r="OSP21" s="559"/>
      <c r="OSQ21" s="559"/>
      <c r="OSR21" s="559"/>
      <c r="OSS21" s="559"/>
      <c r="OST21" s="559"/>
      <c r="OSU21" s="559"/>
      <c r="OSV21" s="559"/>
      <c r="OSW21" s="559"/>
      <c r="OSX21" s="559"/>
      <c r="OSY21" s="559"/>
      <c r="OSZ21" s="559"/>
      <c r="OTA21" s="559"/>
      <c r="OTB21" s="559"/>
      <c r="OTC21" s="559"/>
      <c r="OTD21" s="559"/>
      <c r="OTE21" s="559"/>
      <c r="OTF21" s="559"/>
      <c r="OTG21" s="559"/>
      <c r="OTH21" s="559"/>
      <c r="OTI21" s="559"/>
      <c r="OTJ21" s="559"/>
      <c r="OTK21" s="559"/>
      <c r="OTL21" s="559"/>
      <c r="OTM21" s="559"/>
      <c r="OTN21" s="559"/>
      <c r="OTO21" s="559"/>
      <c r="OTP21" s="559"/>
      <c r="OTQ21" s="559"/>
      <c r="OTR21" s="559"/>
      <c r="OTS21" s="559"/>
      <c r="OTT21" s="559"/>
      <c r="OTU21" s="559"/>
      <c r="OTV21" s="559"/>
      <c r="OTW21" s="559"/>
      <c r="OTX21" s="559"/>
      <c r="OTY21" s="559"/>
      <c r="OTZ21" s="559"/>
      <c r="OUA21" s="559"/>
      <c r="OUB21" s="559"/>
      <c r="OUC21" s="559"/>
      <c r="OUD21" s="559"/>
      <c r="OUE21" s="559"/>
      <c r="OUF21" s="559"/>
      <c r="OUG21" s="559"/>
      <c r="OUH21" s="559"/>
      <c r="OUI21" s="559"/>
      <c r="OUJ21" s="559"/>
      <c r="OUK21" s="559"/>
      <c r="OUL21" s="559"/>
      <c r="OUM21" s="559"/>
      <c r="OUN21" s="559"/>
      <c r="OUO21" s="559"/>
      <c r="OUP21" s="559"/>
      <c r="OUQ21" s="559"/>
      <c r="OUR21" s="559"/>
      <c r="OUS21" s="559"/>
      <c r="OUT21" s="559"/>
      <c r="OUU21" s="559"/>
      <c r="OUV21" s="559"/>
      <c r="OUW21" s="559"/>
      <c r="OUX21" s="559"/>
      <c r="OUY21" s="559"/>
      <c r="OUZ21" s="559"/>
      <c r="OVA21" s="559"/>
      <c r="OVB21" s="559"/>
      <c r="OVC21" s="559"/>
      <c r="OVD21" s="559"/>
      <c r="OVE21" s="559"/>
      <c r="OVF21" s="559"/>
      <c r="OVG21" s="559"/>
      <c r="OVH21" s="559"/>
      <c r="OVI21" s="559"/>
      <c r="OVJ21" s="559"/>
      <c r="OVK21" s="559"/>
      <c r="OVL21" s="559"/>
      <c r="OVM21" s="559"/>
      <c r="OVN21" s="559"/>
      <c r="OVO21" s="559"/>
      <c r="OVP21" s="559"/>
      <c r="OVQ21" s="559"/>
      <c r="OVR21" s="559"/>
      <c r="OVS21" s="559"/>
      <c r="OVT21" s="559"/>
      <c r="OVU21" s="559"/>
      <c r="OVV21" s="559"/>
      <c r="OVW21" s="559"/>
      <c r="OVX21" s="559"/>
      <c r="OVY21" s="559"/>
      <c r="OVZ21" s="559"/>
      <c r="OWA21" s="559"/>
      <c r="OWB21" s="559"/>
      <c r="OWC21" s="559"/>
      <c r="OWD21" s="559"/>
      <c r="OWE21" s="559"/>
      <c r="OWF21" s="559"/>
      <c r="OWG21" s="559"/>
      <c r="OWH21" s="559"/>
      <c r="OWI21" s="559"/>
      <c r="OWJ21" s="559"/>
      <c r="OWK21" s="559"/>
      <c r="OWL21" s="559"/>
      <c r="OWM21" s="559"/>
      <c r="OWN21" s="559"/>
      <c r="OWO21" s="559"/>
      <c r="OWP21" s="559"/>
      <c r="OWQ21" s="559"/>
      <c r="OWR21" s="559"/>
      <c r="OWS21" s="559"/>
      <c r="OWT21" s="559"/>
      <c r="OWU21" s="559"/>
      <c r="OWV21" s="559"/>
      <c r="OWW21" s="559"/>
      <c r="OWX21" s="559"/>
      <c r="OWY21" s="559"/>
      <c r="OWZ21" s="559"/>
      <c r="OXA21" s="559"/>
      <c r="OXB21" s="559"/>
      <c r="OXC21" s="559"/>
      <c r="OXD21" s="559"/>
      <c r="OXE21" s="559"/>
      <c r="OXF21" s="559"/>
      <c r="OXG21" s="559"/>
      <c r="OXH21" s="559"/>
      <c r="OXI21" s="559"/>
      <c r="OXJ21" s="559"/>
      <c r="OXK21" s="559"/>
      <c r="OXL21" s="559"/>
      <c r="OXM21" s="559"/>
      <c r="OXN21" s="559"/>
      <c r="OXO21" s="559"/>
      <c r="OXP21" s="559"/>
      <c r="OXQ21" s="559"/>
      <c r="OXR21" s="559"/>
      <c r="OXS21" s="559"/>
      <c r="OXT21" s="559"/>
      <c r="OXU21" s="559"/>
      <c r="OXV21" s="559"/>
      <c r="OXW21" s="559"/>
      <c r="OXX21" s="559"/>
      <c r="OXY21" s="559"/>
      <c r="OXZ21" s="559"/>
      <c r="OYA21" s="559"/>
      <c r="OYB21" s="559"/>
      <c r="OYC21" s="559"/>
      <c r="OYD21" s="559"/>
      <c r="OYE21" s="559"/>
      <c r="OYF21" s="559"/>
      <c r="OYG21" s="559"/>
      <c r="OYH21" s="559"/>
      <c r="OYI21" s="559"/>
      <c r="OYJ21" s="559"/>
      <c r="OYK21" s="559"/>
      <c r="OYL21" s="559"/>
      <c r="OYM21" s="559"/>
      <c r="OYN21" s="559"/>
      <c r="OYO21" s="559"/>
      <c r="OYP21" s="559"/>
      <c r="OYQ21" s="559"/>
      <c r="OYR21" s="559"/>
      <c r="OYS21" s="559"/>
      <c r="OYT21" s="559"/>
      <c r="OYU21" s="559"/>
      <c r="OYV21" s="559"/>
      <c r="OYW21" s="559"/>
      <c r="OYX21" s="559"/>
      <c r="OYY21" s="559"/>
      <c r="OYZ21" s="559"/>
      <c r="OZA21" s="559"/>
      <c r="OZB21" s="559"/>
      <c r="OZC21" s="559"/>
      <c r="OZD21" s="559"/>
      <c r="OZE21" s="559"/>
      <c r="OZF21" s="559"/>
      <c r="OZG21" s="559"/>
      <c r="OZH21" s="559"/>
      <c r="OZI21" s="559"/>
      <c r="OZJ21" s="559"/>
      <c r="OZK21" s="559"/>
      <c r="OZL21" s="559"/>
      <c r="OZM21" s="559"/>
      <c r="OZN21" s="559"/>
      <c r="OZO21" s="559"/>
      <c r="OZP21" s="559"/>
      <c r="OZQ21" s="559"/>
      <c r="OZR21" s="559"/>
      <c r="OZS21" s="559"/>
      <c r="OZT21" s="559"/>
      <c r="OZU21" s="559"/>
      <c r="OZV21" s="559"/>
      <c r="OZW21" s="559"/>
      <c r="OZX21" s="559"/>
      <c r="OZY21" s="559"/>
      <c r="OZZ21" s="559"/>
      <c r="PAA21" s="559"/>
      <c r="PAB21" s="559"/>
      <c r="PAC21" s="559"/>
      <c r="PAD21" s="559"/>
      <c r="PAE21" s="559"/>
      <c r="PAF21" s="559"/>
      <c r="PAG21" s="559"/>
      <c r="PAH21" s="559"/>
      <c r="PAI21" s="559"/>
      <c r="PAJ21" s="559"/>
      <c r="PAK21" s="559"/>
      <c r="PAL21" s="559"/>
      <c r="PAM21" s="559"/>
      <c r="PAN21" s="559"/>
      <c r="PAO21" s="559"/>
      <c r="PAP21" s="559"/>
      <c r="PAQ21" s="559"/>
      <c r="PAR21" s="559"/>
      <c r="PAS21" s="559"/>
      <c r="PAT21" s="559"/>
      <c r="PAU21" s="559"/>
      <c r="PAV21" s="559"/>
      <c r="PAW21" s="559"/>
      <c r="PAX21" s="559"/>
      <c r="PAY21" s="559"/>
      <c r="PAZ21" s="559"/>
      <c r="PBA21" s="559"/>
      <c r="PBB21" s="559"/>
      <c r="PBC21" s="559"/>
      <c r="PBD21" s="559"/>
      <c r="PBE21" s="559"/>
      <c r="PBF21" s="559"/>
      <c r="PBG21" s="559"/>
      <c r="PBH21" s="559"/>
      <c r="PBI21" s="559"/>
      <c r="PBJ21" s="559"/>
      <c r="PBK21" s="559"/>
      <c r="PBL21" s="559"/>
      <c r="PBM21" s="559"/>
      <c r="PBN21" s="559"/>
      <c r="PBO21" s="559"/>
      <c r="PBP21" s="559"/>
      <c r="PBQ21" s="559"/>
      <c r="PBR21" s="559"/>
      <c r="PBS21" s="559"/>
      <c r="PBT21" s="559"/>
      <c r="PBU21" s="559"/>
      <c r="PBV21" s="559"/>
      <c r="PBW21" s="559"/>
      <c r="PBX21" s="559"/>
      <c r="PBY21" s="559"/>
      <c r="PBZ21" s="559"/>
      <c r="PCA21" s="559"/>
      <c r="PCB21" s="559"/>
      <c r="PCC21" s="559"/>
      <c r="PCD21" s="559"/>
      <c r="PCE21" s="559"/>
      <c r="PCF21" s="559"/>
      <c r="PCG21" s="559"/>
      <c r="PCH21" s="559"/>
      <c r="PCI21" s="559"/>
      <c r="PCJ21" s="559"/>
      <c r="PCK21" s="559"/>
      <c r="PCL21" s="559"/>
      <c r="PCM21" s="559"/>
      <c r="PCN21" s="559"/>
      <c r="PCO21" s="559"/>
      <c r="PCP21" s="559"/>
      <c r="PCQ21" s="559"/>
      <c r="PCR21" s="559"/>
      <c r="PCS21" s="559"/>
      <c r="PCT21" s="559"/>
      <c r="PCU21" s="559"/>
      <c r="PCV21" s="559"/>
      <c r="PCW21" s="559"/>
      <c r="PCX21" s="559"/>
      <c r="PCY21" s="559"/>
      <c r="PCZ21" s="559"/>
      <c r="PDA21" s="559"/>
      <c r="PDB21" s="559"/>
      <c r="PDC21" s="559"/>
      <c r="PDD21" s="559"/>
      <c r="PDE21" s="559"/>
      <c r="PDF21" s="559"/>
      <c r="PDG21" s="559"/>
      <c r="PDH21" s="559"/>
      <c r="PDI21" s="559"/>
      <c r="PDJ21" s="559"/>
      <c r="PDK21" s="559"/>
      <c r="PDL21" s="559"/>
      <c r="PDM21" s="559"/>
      <c r="PDN21" s="559"/>
      <c r="PDO21" s="559"/>
      <c r="PDP21" s="559"/>
      <c r="PDQ21" s="559"/>
      <c r="PDR21" s="559"/>
      <c r="PDS21" s="559"/>
      <c r="PDT21" s="559"/>
      <c r="PDU21" s="559"/>
      <c r="PDV21" s="559"/>
      <c r="PDW21" s="559"/>
      <c r="PDX21" s="559"/>
      <c r="PDY21" s="559"/>
      <c r="PDZ21" s="559"/>
      <c r="PEA21" s="559"/>
      <c r="PEB21" s="559"/>
      <c r="PEC21" s="559"/>
      <c r="PED21" s="559"/>
      <c r="PEE21" s="559"/>
      <c r="PEF21" s="559"/>
      <c r="PEG21" s="559"/>
      <c r="PEH21" s="559"/>
      <c r="PEI21" s="559"/>
      <c r="PEJ21" s="559"/>
      <c r="PEK21" s="559"/>
      <c r="PEL21" s="559"/>
      <c r="PEM21" s="559"/>
      <c r="PEN21" s="559"/>
      <c r="PEO21" s="559"/>
      <c r="PEP21" s="559"/>
      <c r="PEQ21" s="559"/>
      <c r="PER21" s="559"/>
      <c r="PES21" s="559"/>
      <c r="PET21" s="559"/>
      <c r="PEU21" s="559"/>
      <c r="PEV21" s="559"/>
      <c r="PEW21" s="559"/>
      <c r="PEX21" s="559"/>
      <c r="PEY21" s="559"/>
      <c r="PEZ21" s="559"/>
      <c r="PFA21" s="559"/>
      <c r="PFB21" s="559"/>
      <c r="PFC21" s="559"/>
      <c r="PFD21" s="559"/>
      <c r="PFE21" s="559"/>
      <c r="PFF21" s="559"/>
      <c r="PFG21" s="559"/>
      <c r="PFH21" s="559"/>
      <c r="PFI21" s="559"/>
      <c r="PFJ21" s="559"/>
      <c r="PFK21" s="559"/>
      <c r="PFL21" s="559"/>
      <c r="PFM21" s="559"/>
      <c r="PFN21" s="559"/>
      <c r="PFO21" s="559"/>
      <c r="PFP21" s="559"/>
      <c r="PFQ21" s="559"/>
      <c r="PFR21" s="559"/>
      <c r="PFS21" s="559"/>
      <c r="PFT21" s="559"/>
      <c r="PFU21" s="559"/>
      <c r="PFV21" s="559"/>
      <c r="PFW21" s="559"/>
      <c r="PFX21" s="559"/>
      <c r="PFY21" s="559"/>
      <c r="PFZ21" s="559"/>
      <c r="PGA21" s="559"/>
      <c r="PGB21" s="559"/>
      <c r="PGC21" s="559"/>
      <c r="PGD21" s="559"/>
      <c r="PGE21" s="559"/>
      <c r="PGF21" s="559"/>
      <c r="PGG21" s="559"/>
      <c r="PGH21" s="559"/>
      <c r="PGI21" s="559"/>
      <c r="PGJ21" s="559"/>
      <c r="PGK21" s="559"/>
      <c r="PGL21" s="559"/>
      <c r="PGM21" s="559"/>
      <c r="PGN21" s="559"/>
      <c r="PGO21" s="559"/>
      <c r="PGP21" s="559"/>
      <c r="PGQ21" s="559"/>
      <c r="PGR21" s="559"/>
      <c r="PGS21" s="559"/>
      <c r="PGT21" s="559"/>
      <c r="PGU21" s="559"/>
      <c r="PGV21" s="559"/>
      <c r="PGW21" s="559"/>
      <c r="PGX21" s="559"/>
      <c r="PGY21" s="559"/>
      <c r="PGZ21" s="559"/>
      <c r="PHA21" s="559"/>
      <c r="PHB21" s="559"/>
      <c r="PHC21" s="559"/>
      <c r="PHD21" s="559"/>
      <c r="PHE21" s="559"/>
      <c r="PHF21" s="559"/>
      <c r="PHG21" s="559"/>
      <c r="PHH21" s="559"/>
      <c r="PHI21" s="559"/>
      <c r="PHJ21" s="559"/>
      <c r="PHK21" s="559"/>
      <c r="PHL21" s="559"/>
      <c r="PHM21" s="559"/>
      <c r="PHN21" s="559"/>
      <c r="PHO21" s="559"/>
      <c r="PHP21" s="559"/>
      <c r="PHQ21" s="559"/>
      <c r="PHR21" s="559"/>
      <c r="PHS21" s="559"/>
      <c r="PHT21" s="559"/>
      <c r="PHU21" s="559"/>
      <c r="PHV21" s="559"/>
      <c r="PHW21" s="559"/>
      <c r="PHX21" s="559"/>
      <c r="PHY21" s="559"/>
      <c r="PHZ21" s="559"/>
      <c r="PIA21" s="559"/>
      <c r="PIB21" s="559"/>
      <c r="PIC21" s="559"/>
      <c r="PID21" s="559"/>
      <c r="PIE21" s="559"/>
      <c r="PIF21" s="559"/>
      <c r="PIG21" s="559"/>
      <c r="PIH21" s="559"/>
      <c r="PII21" s="559"/>
      <c r="PIJ21" s="559"/>
      <c r="PIK21" s="559"/>
      <c r="PIL21" s="559"/>
      <c r="PIM21" s="559"/>
      <c r="PIN21" s="559"/>
      <c r="PIO21" s="559"/>
      <c r="PIP21" s="559"/>
      <c r="PIQ21" s="559"/>
      <c r="PIR21" s="559"/>
      <c r="PIS21" s="559"/>
      <c r="PIT21" s="559"/>
      <c r="PIU21" s="559"/>
      <c r="PIV21" s="559"/>
      <c r="PIW21" s="559"/>
      <c r="PIX21" s="559"/>
      <c r="PIY21" s="559"/>
      <c r="PIZ21" s="559"/>
      <c r="PJA21" s="559"/>
      <c r="PJB21" s="559"/>
      <c r="PJC21" s="559"/>
      <c r="PJD21" s="559"/>
      <c r="PJE21" s="559"/>
      <c r="PJF21" s="559"/>
      <c r="PJG21" s="559"/>
      <c r="PJH21" s="559"/>
      <c r="PJI21" s="559"/>
      <c r="PJJ21" s="559"/>
      <c r="PJK21" s="559"/>
      <c r="PJL21" s="559"/>
      <c r="PJM21" s="559"/>
      <c r="PJN21" s="559"/>
      <c r="PJO21" s="559"/>
      <c r="PJP21" s="559"/>
      <c r="PJQ21" s="559"/>
      <c r="PJR21" s="559"/>
      <c r="PJS21" s="559"/>
      <c r="PJT21" s="559"/>
      <c r="PJU21" s="559"/>
      <c r="PJV21" s="559"/>
      <c r="PJW21" s="559"/>
      <c r="PJX21" s="559"/>
      <c r="PJY21" s="559"/>
      <c r="PJZ21" s="559"/>
      <c r="PKA21" s="559"/>
      <c r="PKB21" s="559"/>
      <c r="PKC21" s="559"/>
      <c r="PKD21" s="559"/>
      <c r="PKE21" s="559"/>
      <c r="PKF21" s="559"/>
      <c r="PKG21" s="559"/>
      <c r="PKH21" s="559"/>
      <c r="PKI21" s="559"/>
      <c r="PKJ21" s="559"/>
      <c r="PKK21" s="559"/>
      <c r="PKL21" s="559"/>
      <c r="PKM21" s="559"/>
      <c r="PKN21" s="559"/>
      <c r="PKO21" s="559"/>
      <c r="PKP21" s="559"/>
      <c r="PKQ21" s="559"/>
      <c r="PKR21" s="559"/>
      <c r="PKS21" s="559"/>
      <c r="PKT21" s="559"/>
      <c r="PKU21" s="559"/>
      <c r="PKV21" s="559"/>
      <c r="PKW21" s="559"/>
      <c r="PKX21" s="559"/>
      <c r="PKY21" s="559"/>
      <c r="PKZ21" s="559"/>
      <c r="PLA21" s="559"/>
      <c r="PLB21" s="559"/>
      <c r="PLC21" s="559"/>
      <c r="PLD21" s="559"/>
      <c r="PLE21" s="559"/>
      <c r="PLF21" s="559"/>
      <c r="PLG21" s="559"/>
      <c r="PLH21" s="559"/>
      <c r="PLI21" s="559"/>
      <c r="PLJ21" s="559"/>
      <c r="PLK21" s="559"/>
      <c r="PLL21" s="559"/>
      <c r="PLM21" s="559"/>
      <c r="PLN21" s="559"/>
      <c r="PLO21" s="559"/>
      <c r="PLP21" s="559"/>
      <c r="PLQ21" s="559"/>
      <c r="PLR21" s="559"/>
      <c r="PLS21" s="559"/>
      <c r="PLT21" s="559"/>
      <c r="PLU21" s="559"/>
      <c r="PLV21" s="559"/>
      <c r="PLW21" s="559"/>
      <c r="PLX21" s="559"/>
      <c r="PLY21" s="559"/>
      <c r="PLZ21" s="559"/>
      <c r="PMA21" s="559"/>
      <c r="PMB21" s="559"/>
      <c r="PMC21" s="559"/>
      <c r="PMD21" s="559"/>
      <c r="PME21" s="559"/>
      <c r="PMF21" s="559"/>
      <c r="PMG21" s="559"/>
      <c r="PMH21" s="559"/>
      <c r="PMI21" s="559"/>
      <c r="PMJ21" s="559"/>
      <c r="PMK21" s="559"/>
      <c r="PML21" s="559"/>
      <c r="PMM21" s="559"/>
      <c r="PMN21" s="559"/>
      <c r="PMO21" s="559"/>
      <c r="PMP21" s="559"/>
      <c r="PMQ21" s="559"/>
      <c r="PMR21" s="559"/>
      <c r="PMS21" s="559"/>
      <c r="PMT21" s="559"/>
      <c r="PMU21" s="559"/>
      <c r="PMV21" s="559"/>
      <c r="PMW21" s="559"/>
      <c r="PMX21" s="559"/>
      <c r="PMY21" s="559"/>
      <c r="PMZ21" s="559"/>
      <c r="PNA21" s="559"/>
      <c r="PNB21" s="559"/>
      <c r="PNC21" s="559"/>
      <c r="PND21" s="559"/>
      <c r="PNE21" s="559"/>
      <c r="PNF21" s="559"/>
      <c r="PNG21" s="559"/>
      <c r="PNH21" s="559"/>
      <c r="PNI21" s="559"/>
      <c r="PNJ21" s="559"/>
      <c r="PNK21" s="559"/>
      <c r="PNL21" s="559"/>
      <c r="PNM21" s="559"/>
      <c r="PNN21" s="559"/>
      <c r="PNO21" s="559"/>
      <c r="PNP21" s="559"/>
      <c r="PNQ21" s="559"/>
      <c r="PNR21" s="559"/>
      <c r="PNS21" s="559"/>
      <c r="PNT21" s="559"/>
      <c r="PNU21" s="559"/>
      <c r="PNV21" s="559"/>
      <c r="PNW21" s="559"/>
      <c r="PNX21" s="559"/>
      <c r="PNY21" s="559"/>
      <c r="PNZ21" s="559"/>
      <c r="POA21" s="559"/>
      <c r="POB21" s="559"/>
      <c r="POC21" s="559"/>
      <c r="POD21" s="559"/>
      <c r="POE21" s="559"/>
      <c r="POF21" s="559"/>
      <c r="POG21" s="559"/>
      <c r="POH21" s="559"/>
      <c r="POI21" s="559"/>
      <c r="POJ21" s="559"/>
      <c r="POK21" s="559"/>
      <c r="POL21" s="559"/>
      <c r="POM21" s="559"/>
      <c r="PON21" s="559"/>
      <c r="POO21" s="559"/>
      <c r="POP21" s="559"/>
      <c r="POQ21" s="559"/>
      <c r="POR21" s="559"/>
      <c r="POS21" s="559"/>
      <c r="POT21" s="559"/>
      <c r="POU21" s="559"/>
      <c r="POV21" s="559"/>
      <c r="POW21" s="559"/>
      <c r="POX21" s="559"/>
      <c r="POY21" s="559"/>
      <c r="POZ21" s="559"/>
      <c r="PPA21" s="559"/>
      <c r="PPB21" s="559"/>
      <c r="PPC21" s="559"/>
      <c r="PPD21" s="559"/>
      <c r="PPE21" s="559"/>
      <c r="PPF21" s="559"/>
      <c r="PPG21" s="559"/>
      <c r="PPH21" s="559"/>
      <c r="PPI21" s="559"/>
      <c r="PPJ21" s="559"/>
      <c r="PPK21" s="559"/>
      <c r="PPL21" s="559"/>
      <c r="PPM21" s="559"/>
      <c r="PPN21" s="559"/>
      <c r="PPO21" s="559"/>
      <c r="PPP21" s="559"/>
      <c r="PPQ21" s="559"/>
      <c r="PPR21" s="559"/>
      <c r="PPS21" s="559"/>
      <c r="PPT21" s="559"/>
      <c r="PPU21" s="559"/>
      <c r="PPV21" s="559"/>
      <c r="PPW21" s="559"/>
      <c r="PPX21" s="559"/>
      <c r="PPY21" s="559"/>
      <c r="PPZ21" s="559"/>
      <c r="PQA21" s="559"/>
      <c r="PQB21" s="559"/>
      <c r="PQC21" s="559"/>
      <c r="PQD21" s="559"/>
      <c r="PQE21" s="559"/>
      <c r="PQF21" s="559"/>
      <c r="PQG21" s="559"/>
      <c r="PQH21" s="559"/>
      <c r="PQI21" s="559"/>
      <c r="PQJ21" s="559"/>
      <c r="PQK21" s="559"/>
      <c r="PQL21" s="559"/>
      <c r="PQM21" s="559"/>
      <c r="PQN21" s="559"/>
      <c r="PQO21" s="559"/>
      <c r="PQP21" s="559"/>
      <c r="PQQ21" s="559"/>
      <c r="PQR21" s="559"/>
      <c r="PQS21" s="559"/>
      <c r="PQT21" s="559"/>
      <c r="PQU21" s="559"/>
      <c r="PQV21" s="559"/>
      <c r="PQW21" s="559"/>
      <c r="PQX21" s="559"/>
      <c r="PQY21" s="559"/>
      <c r="PQZ21" s="559"/>
      <c r="PRA21" s="559"/>
      <c r="PRB21" s="559"/>
      <c r="PRC21" s="559"/>
      <c r="PRD21" s="559"/>
      <c r="PRE21" s="559"/>
      <c r="PRF21" s="559"/>
      <c r="PRG21" s="559"/>
      <c r="PRH21" s="559"/>
      <c r="PRI21" s="559"/>
      <c r="PRJ21" s="559"/>
      <c r="PRK21" s="559"/>
      <c r="PRL21" s="559"/>
      <c r="PRM21" s="559"/>
      <c r="PRN21" s="559"/>
      <c r="PRO21" s="559"/>
      <c r="PRP21" s="559"/>
      <c r="PRQ21" s="559"/>
      <c r="PRR21" s="559"/>
      <c r="PRS21" s="559"/>
      <c r="PRT21" s="559"/>
      <c r="PRU21" s="559"/>
      <c r="PRV21" s="559"/>
      <c r="PRW21" s="559"/>
      <c r="PRX21" s="559"/>
      <c r="PRY21" s="559"/>
      <c r="PRZ21" s="559"/>
      <c r="PSA21" s="559"/>
      <c r="PSB21" s="559"/>
      <c r="PSC21" s="559"/>
      <c r="PSD21" s="559"/>
      <c r="PSE21" s="559"/>
      <c r="PSF21" s="559"/>
      <c r="PSG21" s="559"/>
      <c r="PSH21" s="559"/>
      <c r="PSI21" s="559"/>
      <c r="PSJ21" s="559"/>
      <c r="PSK21" s="559"/>
      <c r="PSL21" s="559"/>
      <c r="PSM21" s="559"/>
      <c r="PSN21" s="559"/>
      <c r="PSO21" s="559"/>
      <c r="PSP21" s="559"/>
      <c r="PSQ21" s="559"/>
      <c r="PSR21" s="559"/>
      <c r="PSS21" s="559"/>
      <c r="PST21" s="559"/>
      <c r="PSU21" s="559"/>
      <c r="PSV21" s="559"/>
      <c r="PSW21" s="559"/>
      <c r="PSX21" s="559"/>
      <c r="PSY21" s="559"/>
      <c r="PSZ21" s="559"/>
      <c r="PTA21" s="559"/>
      <c r="PTB21" s="559"/>
      <c r="PTC21" s="559"/>
      <c r="PTD21" s="559"/>
      <c r="PTE21" s="559"/>
      <c r="PTF21" s="559"/>
      <c r="PTG21" s="559"/>
      <c r="PTH21" s="559"/>
      <c r="PTI21" s="559"/>
      <c r="PTJ21" s="559"/>
      <c r="PTK21" s="559"/>
      <c r="PTL21" s="559"/>
      <c r="PTM21" s="559"/>
      <c r="PTN21" s="559"/>
      <c r="PTO21" s="559"/>
      <c r="PTP21" s="559"/>
      <c r="PTQ21" s="559"/>
      <c r="PTR21" s="559"/>
      <c r="PTS21" s="559"/>
      <c r="PTT21" s="559"/>
      <c r="PTU21" s="559"/>
      <c r="PTV21" s="559"/>
      <c r="PTW21" s="559"/>
      <c r="PTX21" s="559"/>
      <c r="PTY21" s="559"/>
      <c r="PTZ21" s="559"/>
      <c r="PUA21" s="559"/>
      <c r="PUB21" s="559"/>
      <c r="PUC21" s="559"/>
      <c r="PUD21" s="559"/>
      <c r="PUE21" s="559"/>
      <c r="PUF21" s="559"/>
      <c r="PUG21" s="559"/>
      <c r="PUH21" s="559"/>
      <c r="PUI21" s="559"/>
      <c r="PUJ21" s="559"/>
      <c r="PUK21" s="559"/>
      <c r="PUL21" s="559"/>
      <c r="PUM21" s="559"/>
      <c r="PUN21" s="559"/>
      <c r="PUO21" s="559"/>
      <c r="PUP21" s="559"/>
      <c r="PUQ21" s="559"/>
      <c r="PUR21" s="559"/>
      <c r="PUS21" s="559"/>
      <c r="PUT21" s="559"/>
      <c r="PUU21" s="559"/>
      <c r="PUV21" s="559"/>
      <c r="PUW21" s="559"/>
      <c r="PUX21" s="559"/>
      <c r="PUY21" s="559"/>
      <c r="PUZ21" s="559"/>
      <c r="PVA21" s="559"/>
      <c r="PVB21" s="559"/>
      <c r="PVC21" s="559"/>
      <c r="PVD21" s="559"/>
      <c r="PVE21" s="559"/>
      <c r="PVF21" s="559"/>
      <c r="PVG21" s="559"/>
      <c r="PVH21" s="559"/>
      <c r="PVI21" s="559"/>
      <c r="PVJ21" s="559"/>
      <c r="PVK21" s="559"/>
      <c r="PVL21" s="559"/>
      <c r="PVM21" s="559"/>
      <c r="PVN21" s="559"/>
      <c r="PVO21" s="559"/>
      <c r="PVP21" s="559"/>
      <c r="PVQ21" s="559"/>
      <c r="PVR21" s="559"/>
      <c r="PVS21" s="559"/>
      <c r="PVT21" s="559"/>
      <c r="PVU21" s="559"/>
      <c r="PVV21" s="559"/>
      <c r="PVW21" s="559"/>
      <c r="PVX21" s="559"/>
      <c r="PVY21" s="559"/>
      <c r="PVZ21" s="559"/>
      <c r="PWA21" s="559"/>
      <c r="PWB21" s="559"/>
      <c r="PWC21" s="559"/>
      <c r="PWD21" s="559"/>
      <c r="PWE21" s="559"/>
      <c r="PWF21" s="559"/>
      <c r="PWG21" s="559"/>
      <c r="PWH21" s="559"/>
      <c r="PWI21" s="559"/>
      <c r="PWJ21" s="559"/>
      <c r="PWK21" s="559"/>
      <c r="PWL21" s="559"/>
      <c r="PWM21" s="559"/>
      <c r="PWN21" s="559"/>
      <c r="PWO21" s="559"/>
      <c r="PWP21" s="559"/>
      <c r="PWQ21" s="559"/>
      <c r="PWR21" s="559"/>
      <c r="PWS21" s="559"/>
      <c r="PWT21" s="559"/>
      <c r="PWU21" s="559"/>
      <c r="PWV21" s="559"/>
      <c r="PWW21" s="559"/>
      <c r="PWX21" s="559"/>
      <c r="PWY21" s="559"/>
      <c r="PWZ21" s="559"/>
      <c r="PXA21" s="559"/>
      <c r="PXB21" s="559"/>
      <c r="PXC21" s="559"/>
      <c r="PXD21" s="559"/>
      <c r="PXE21" s="559"/>
      <c r="PXF21" s="559"/>
      <c r="PXG21" s="559"/>
      <c r="PXH21" s="559"/>
      <c r="PXI21" s="559"/>
      <c r="PXJ21" s="559"/>
      <c r="PXK21" s="559"/>
      <c r="PXL21" s="559"/>
      <c r="PXM21" s="559"/>
      <c r="PXN21" s="559"/>
      <c r="PXO21" s="559"/>
      <c r="PXP21" s="559"/>
      <c r="PXQ21" s="559"/>
      <c r="PXR21" s="559"/>
      <c r="PXS21" s="559"/>
      <c r="PXT21" s="559"/>
      <c r="PXU21" s="559"/>
      <c r="PXV21" s="559"/>
      <c r="PXW21" s="559"/>
      <c r="PXX21" s="559"/>
      <c r="PXY21" s="559"/>
      <c r="PXZ21" s="559"/>
      <c r="PYA21" s="559"/>
      <c r="PYB21" s="559"/>
      <c r="PYC21" s="559"/>
      <c r="PYD21" s="559"/>
      <c r="PYE21" s="559"/>
      <c r="PYF21" s="559"/>
      <c r="PYG21" s="559"/>
      <c r="PYH21" s="559"/>
      <c r="PYI21" s="559"/>
      <c r="PYJ21" s="559"/>
      <c r="PYK21" s="559"/>
      <c r="PYL21" s="559"/>
      <c r="PYM21" s="559"/>
      <c r="PYN21" s="559"/>
      <c r="PYO21" s="559"/>
      <c r="PYP21" s="559"/>
      <c r="PYQ21" s="559"/>
      <c r="PYR21" s="559"/>
      <c r="PYS21" s="559"/>
      <c r="PYT21" s="559"/>
      <c r="PYU21" s="559"/>
      <c r="PYV21" s="559"/>
      <c r="PYW21" s="559"/>
      <c r="PYX21" s="559"/>
      <c r="PYY21" s="559"/>
      <c r="PYZ21" s="559"/>
      <c r="PZA21" s="559"/>
      <c r="PZB21" s="559"/>
      <c r="PZC21" s="559"/>
      <c r="PZD21" s="559"/>
      <c r="PZE21" s="559"/>
      <c r="PZF21" s="559"/>
      <c r="PZG21" s="559"/>
      <c r="PZH21" s="559"/>
      <c r="PZI21" s="559"/>
      <c r="PZJ21" s="559"/>
      <c r="PZK21" s="559"/>
      <c r="PZL21" s="559"/>
      <c r="PZM21" s="559"/>
      <c r="PZN21" s="559"/>
      <c r="PZO21" s="559"/>
      <c r="PZP21" s="559"/>
      <c r="PZQ21" s="559"/>
      <c r="PZR21" s="559"/>
      <c r="PZS21" s="559"/>
      <c r="PZT21" s="559"/>
      <c r="PZU21" s="559"/>
      <c r="PZV21" s="559"/>
      <c r="PZW21" s="559"/>
      <c r="PZX21" s="559"/>
      <c r="PZY21" s="559"/>
      <c r="PZZ21" s="559"/>
      <c r="QAA21" s="559"/>
      <c r="QAB21" s="559"/>
      <c r="QAC21" s="559"/>
      <c r="QAD21" s="559"/>
      <c r="QAE21" s="559"/>
      <c r="QAF21" s="559"/>
      <c r="QAG21" s="559"/>
      <c r="QAH21" s="559"/>
      <c r="QAI21" s="559"/>
      <c r="QAJ21" s="559"/>
      <c r="QAK21" s="559"/>
      <c r="QAL21" s="559"/>
      <c r="QAM21" s="559"/>
      <c r="QAN21" s="559"/>
      <c r="QAO21" s="559"/>
      <c r="QAP21" s="559"/>
      <c r="QAQ21" s="559"/>
      <c r="QAR21" s="559"/>
      <c r="QAS21" s="559"/>
      <c r="QAT21" s="559"/>
      <c r="QAU21" s="559"/>
      <c r="QAV21" s="559"/>
      <c r="QAW21" s="559"/>
      <c r="QAX21" s="559"/>
      <c r="QAY21" s="559"/>
      <c r="QAZ21" s="559"/>
      <c r="QBA21" s="559"/>
      <c r="QBB21" s="559"/>
      <c r="QBC21" s="559"/>
      <c r="QBD21" s="559"/>
      <c r="QBE21" s="559"/>
      <c r="QBF21" s="559"/>
      <c r="QBG21" s="559"/>
      <c r="QBH21" s="559"/>
      <c r="QBI21" s="559"/>
      <c r="QBJ21" s="559"/>
      <c r="QBK21" s="559"/>
      <c r="QBL21" s="559"/>
      <c r="QBM21" s="559"/>
      <c r="QBN21" s="559"/>
      <c r="QBO21" s="559"/>
      <c r="QBP21" s="559"/>
      <c r="QBQ21" s="559"/>
      <c r="QBR21" s="559"/>
      <c r="QBS21" s="559"/>
      <c r="QBT21" s="559"/>
      <c r="QBU21" s="559"/>
      <c r="QBV21" s="559"/>
      <c r="QBW21" s="559"/>
      <c r="QBX21" s="559"/>
      <c r="QBY21" s="559"/>
      <c r="QBZ21" s="559"/>
      <c r="QCA21" s="559"/>
      <c r="QCB21" s="559"/>
      <c r="QCC21" s="559"/>
      <c r="QCD21" s="559"/>
      <c r="QCE21" s="559"/>
      <c r="QCF21" s="559"/>
      <c r="QCG21" s="559"/>
      <c r="QCH21" s="559"/>
      <c r="QCI21" s="559"/>
      <c r="QCJ21" s="559"/>
      <c r="QCK21" s="559"/>
      <c r="QCL21" s="559"/>
      <c r="QCM21" s="559"/>
      <c r="QCN21" s="559"/>
      <c r="QCO21" s="559"/>
      <c r="QCP21" s="559"/>
      <c r="QCQ21" s="559"/>
      <c r="QCR21" s="559"/>
      <c r="QCS21" s="559"/>
      <c r="QCT21" s="559"/>
      <c r="QCU21" s="559"/>
      <c r="QCV21" s="559"/>
      <c r="QCW21" s="559"/>
      <c r="QCX21" s="559"/>
      <c r="QCY21" s="559"/>
      <c r="QCZ21" s="559"/>
      <c r="QDA21" s="559"/>
      <c r="QDB21" s="559"/>
      <c r="QDC21" s="559"/>
      <c r="QDD21" s="559"/>
      <c r="QDE21" s="559"/>
      <c r="QDF21" s="559"/>
      <c r="QDG21" s="559"/>
      <c r="QDH21" s="559"/>
      <c r="QDI21" s="559"/>
      <c r="QDJ21" s="559"/>
      <c r="QDK21" s="559"/>
      <c r="QDL21" s="559"/>
      <c r="QDM21" s="559"/>
      <c r="QDN21" s="559"/>
      <c r="QDO21" s="559"/>
      <c r="QDP21" s="559"/>
      <c r="QDQ21" s="559"/>
      <c r="QDR21" s="559"/>
      <c r="QDS21" s="559"/>
      <c r="QDT21" s="559"/>
      <c r="QDU21" s="559"/>
      <c r="QDV21" s="559"/>
      <c r="QDW21" s="559"/>
      <c r="QDX21" s="559"/>
      <c r="QDY21" s="559"/>
      <c r="QDZ21" s="559"/>
      <c r="QEA21" s="559"/>
      <c r="QEB21" s="559"/>
      <c r="QEC21" s="559"/>
      <c r="QED21" s="559"/>
      <c r="QEE21" s="559"/>
      <c r="QEF21" s="559"/>
      <c r="QEG21" s="559"/>
      <c r="QEH21" s="559"/>
      <c r="QEI21" s="559"/>
      <c r="QEJ21" s="559"/>
      <c r="QEK21" s="559"/>
      <c r="QEL21" s="559"/>
      <c r="QEM21" s="559"/>
      <c r="QEN21" s="559"/>
      <c r="QEO21" s="559"/>
      <c r="QEP21" s="559"/>
      <c r="QEQ21" s="559"/>
      <c r="QER21" s="559"/>
      <c r="QES21" s="559"/>
      <c r="QET21" s="559"/>
      <c r="QEU21" s="559"/>
      <c r="QEV21" s="559"/>
      <c r="QEW21" s="559"/>
      <c r="QEX21" s="559"/>
      <c r="QEY21" s="559"/>
      <c r="QEZ21" s="559"/>
      <c r="QFA21" s="559"/>
      <c r="QFB21" s="559"/>
      <c r="QFC21" s="559"/>
      <c r="QFD21" s="559"/>
      <c r="QFE21" s="559"/>
      <c r="QFF21" s="559"/>
      <c r="QFG21" s="559"/>
      <c r="QFH21" s="559"/>
      <c r="QFI21" s="559"/>
      <c r="QFJ21" s="559"/>
      <c r="QFK21" s="559"/>
      <c r="QFL21" s="559"/>
      <c r="QFM21" s="559"/>
      <c r="QFN21" s="559"/>
      <c r="QFO21" s="559"/>
      <c r="QFP21" s="559"/>
      <c r="QFQ21" s="559"/>
      <c r="QFR21" s="559"/>
      <c r="QFS21" s="559"/>
      <c r="QFT21" s="559"/>
      <c r="QFU21" s="559"/>
      <c r="QFV21" s="559"/>
      <c r="QFW21" s="559"/>
      <c r="QFX21" s="559"/>
      <c r="QFY21" s="559"/>
      <c r="QFZ21" s="559"/>
      <c r="QGA21" s="559"/>
      <c r="QGB21" s="559"/>
      <c r="QGC21" s="559"/>
      <c r="QGD21" s="559"/>
      <c r="QGE21" s="559"/>
      <c r="QGF21" s="559"/>
      <c r="QGG21" s="559"/>
      <c r="QGH21" s="559"/>
      <c r="QGI21" s="559"/>
      <c r="QGJ21" s="559"/>
      <c r="QGK21" s="559"/>
      <c r="QGL21" s="559"/>
      <c r="QGM21" s="559"/>
      <c r="QGN21" s="559"/>
      <c r="QGO21" s="559"/>
      <c r="QGP21" s="559"/>
      <c r="QGQ21" s="559"/>
      <c r="QGR21" s="559"/>
      <c r="QGS21" s="559"/>
      <c r="QGT21" s="559"/>
      <c r="QGU21" s="559"/>
      <c r="QGV21" s="559"/>
      <c r="QGW21" s="559"/>
      <c r="QGX21" s="559"/>
      <c r="QGY21" s="559"/>
      <c r="QGZ21" s="559"/>
      <c r="QHA21" s="559"/>
      <c r="QHB21" s="559"/>
      <c r="QHC21" s="559"/>
      <c r="QHD21" s="559"/>
      <c r="QHE21" s="559"/>
      <c r="QHF21" s="559"/>
      <c r="QHG21" s="559"/>
      <c r="QHH21" s="559"/>
      <c r="QHI21" s="559"/>
      <c r="QHJ21" s="559"/>
      <c r="QHK21" s="559"/>
      <c r="QHL21" s="559"/>
      <c r="QHM21" s="559"/>
      <c r="QHN21" s="559"/>
      <c r="QHO21" s="559"/>
      <c r="QHP21" s="559"/>
      <c r="QHQ21" s="559"/>
      <c r="QHR21" s="559"/>
      <c r="QHS21" s="559"/>
      <c r="QHT21" s="559"/>
      <c r="QHU21" s="559"/>
      <c r="QHV21" s="559"/>
      <c r="QHW21" s="559"/>
      <c r="QHX21" s="559"/>
      <c r="QHY21" s="559"/>
      <c r="QHZ21" s="559"/>
      <c r="QIA21" s="559"/>
      <c r="QIB21" s="559"/>
      <c r="QIC21" s="559"/>
      <c r="QID21" s="559"/>
      <c r="QIE21" s="559"/>
      <c r="QIF21" s="559"/>
      <c r="QIG21" s="559"/>
      <c r="QIH21" s="559"/>
      <c r="QII21" s="559"/>
      <c r="QIJ21" s="559"/>
      <c r="QIK21" s="559"/>
      <c r="QIL21" s="559"/>
      <c r="QIM21" s="559"/>
      <c r="QIN21" s="559"/>
      <c r="QIO21" s="559"/>
      <c r="QIP21" s="559"/>
      <c r="QIQ21" s="559"/>
      <c r="QIR21" s="559"/>
      <c r="QIS21" s="559"/>
      <c r="QIT21" s="559"/>
      <c r="QIU21" s="559"/>
      <c r="QIV21" s="559"/>
      <c r="QIW21" s="559"/>
      <c r="QIX21" s="559"/>
      <c r="QIY21" s="559"/>
      <c r="QIZ21" s="559"/>
      <c r="QJA21" s="559"/>
      <c r="QJB21" s="559"/>
      <c r="QJC21" s="559"/>
      <c r="QJD21" s="559"/>
      <c r="QJE21" s="559"/>
      <c r="QJF21" s="559"/>
      <c r="QJG21" s="559"/>
      <c r="QJH21" s="559"/>
      <c r="QJI21" s="559"/>
      <c r="QJJ21" s="559"/>
      <c r="QJK21" s="559"/>
      <c r="QJL21" s="559"/>
      <c r="QJM21" s="559"/>
      <c r="QJN21" s="559"/>
      <c r="QJO21" s="559"/>
      <c r="QJP21" s="559"/>
      <c r="QJQ21" s="559"/>
      <c r="QJR21" s="559"/>
      <c r="QJS21" s="559"/>
      <c r="QJT21" s="559"/>
      <c r="QJU21" s="559"/>
      <c r="QJV21" s="559"/>
      <c r="QJW21" s="559"/>
      <c r="QJX21" s="559"/>
      <c r="QJY21" s="559"/>
      <c r="QJZ21" s="559"/>
      <c r="QKA21" s="559"/>
      <c r="QKB21" s="559"/>
      <c r="QKC21" s="559"/>
      <c r="QKD21" s="559"/>
      <c r="QKE21" s="559"/>
      <c r="QKF21" s="559"/>
      <c r="QKG21" s="559"/>
      <c r="QKH21" s="559"/>
      <c r="QKI21" s="559"/>
      <c r="QKJ21" s="559"/>
      <c r="QKK21" s="559"/>
      <c r="QKL21" s="559"/>
      <c r="QKM21" s="559"/>
      <c r="QKN21" s="559"/>
      <c r="QKO21" s="559"/>
      <c r="QKP21" s="559"/>
      <c r="QKQ21" s="559"/>
      <c r="QKR21" s="559"/>
      <c r="QKS21" s="559"/>
      <c r="QKT21" s="559"/>
      <c r="QKU21" s="559"/>
      <c r="QKV21" s="559"/>
      <c r="QKW21" s="559"/>
      <c r="QKX21" s="559"/>
      <c r="QKY21" s="559"/>
      <c r="QKZ21" s="559"/>
      <c r="QLA21" s="559"/>
      <c r="QLB21" s="559"/>
      <c r="QLC21" s="559"/>
      <c r="QLD21" s="559"/>
      <c r="QLE21" s="559"/>
      <c r="QLF21" s="559"/>
      <c r="QLG21" s="559"/>
      <c r="QLH21" s="559"/>
      <c r="QLI21" s="559"/>
      <c r="QLJ21" s="559"/>
      <c r="QLK21" s="559"/>
      <c r="QLL21" s="559"/>
      <c r="QLM21" s="559"/>
      <c r="QLN21" s="559"/>
      <c r="QLO21" s="559"/>
      <c r="QLP21" s="559"/>
      <c r="QLQ21" s="559"/>
      <c r="QLR21" s="559"/>
      <c r="QLS21" s="559"/>
      <c r="QLT21" s="559"/>
      <c r="QLU21" s="559"/>
      <c r="QLV21" s="559"/>
      <c r="QLW21" s="559"/>
      <c r="QLX21" s="559"/>
      <c r="QLY21" s="559"/>
      <c r="QLZ21" s="559"/>
      <c r="QMA21" s="559"/>
      <c r="QMB21" s="559"/>
      <c r="QMC21" s="559"/>
      <c r="QMD21" s="559"/>
      <c r="QME21" s="559"/>
      <c r="QMF21" s="559"/>
      <c r="QMG21" s="559"/>
      <c r="QMH21" s="559"/>
      <c r="QMI21" s="559"/>
      <c r="QMJ21" s="559"/>
      <c r="QMK21" s="559"/>
      <c r="QML21" s="559"/>
      <c r="QMM21" s="559"/>
      <c r="QMN21" s="559"/>
      <c r="QMO21" s="559"/>
      <c r="QMP21" s="559"/>
      <c r="QMQ21" s="559"/>
      <c r="QMR21" s="559"/>
      <c r="QMS21" s="559"/>
      <c r="QMT21" s="559"/>
      <c r="QMU21" s="559"/>
      <c r="QMV21" s="559"/>
      <c r="QMW21" s="559"/>
      <c r="QMX21" s="559"/>
      <c r="QMY21" s="559"/>
      <c r="QMZ21" s="559"/>
      <c r="QNA21" s="559"/>
      <c r="QNB21" s="559"/>
      <c r="QNC21" s="559"/>
      <c r="QND21" s="559"/>
      <c r="QNE21" s="559"/>
      <c r="QNF21" s="559"/>
      <c r="QNG21" s="559"/>
      <c r="QNH21" s="559"/>
      <c r="QNI21" s="559"/>
      <c r="QNJ21" s="559"/>
      <c r="QNK21" s="559"/>
      <c r="QNL21" s="559"/>
      <c r="QNM21" s="559"/>
      <c r="QNN21" s="559"/>
      <c r="QNO21" s="559"/>
      <c r="QNP21" s="559"/>
      <c r="QNQ21" s="559"/>
      <c r="QNR21" s="559"/>
      <c r="QNS21" s="559"/>
      <c r="QNT21" s="559"/>
      <c r="QNU21" s="559"/>
      <c r="QNV21" s="559"/>
      <c r="QNW21" s="559"/>
      <c r="QNX21" s="559"/>
      <c r="QNY21" s="559"/>
      <c r="QNZ21" s="559"/>
      <c r="QOA21" s="559"/>
      <c r="QOB21" s="559"/>
      <c r="QOC21" s="559"/>
      <c r="QOD21" s="559"/>
      <c r="QOE21" s="559"/>
      <c r="QOF21" s="559"/>
      <c r="QOG21" s="559"/>
      <c r="QOH21" s="559"/>
      <c r="QOI21" s="559"/>
      <c r="QOJ21" s="559"/>
      <c r="QOK21" s="559"/>
      <c r="QOL21" s="559"/>
      <c r="QOM21" s="559"/>
      <c r="QON21" s="559"/>
      <c r="QOO21" s="559"/>
      <c r="QOP21" s="559"/>
      <c r="QOQ21" s="559"/>
      <c r="QOR21" s="559"/>
      <c r="QOS21" s="559"/>
      <c r="QOT21" s="559"/>
      <c r="QOU21" s="559"/>
      <c r="QOV21" s="559"/>
      <c r="QOW21" s="559"/>
      <c r="QOX21" s="559"/>
      <c r="QOY21" s="559"/>
      <c r="QOZ21" s="559"/>
      <c r="QPA21" s="559"/>
      <c r="QPB21" s="559"/>
      <c r="QPC21" s="559"/>
      <c r="QPD21" s="559"/>
      <c r="QPE21" s="559"/>
      <c r="QPF21" s="559"/>
      <c r="QPG21" s="559"/>
      <c r="QPH21" s="559"/>
      <c r="QPI21" s="559"/>
      <c r="QPJ21" s="559"/>
      <c r="QPK21" s="559"/>
      <c r="QPL21" s="559"/>
      <c r="QPM21" s="559"/>
      <c r="QPN21" s="559"/>
      <c r="QPO21" s="559"/>
      <c r="QPP21" s="559"/>
      <c r="QPQ21" s="559"/>
      <c r="QPR21" s="559"/>
      <c r="QPS21" s="559"/>
      <c r="QPT21" s="559"/>
      <c r="QPU21" s="559"/>
      <c r="QPV21" s="559"/>
      <c r="QPW21" s="559"/>
      <c r="QPX21" s="559"/>
      <c r="QPY21" s="559"/>
      <c r="QPZ21" s="559"/>
      <c r="QQA21" s="559"/>
      <c r="QQB21" s="559"/>
      <c r="QQC21" s="559"/>
      <c r="QQD21" s="559"/>
      <c r="QQE21" s="559"/>
      <c r="QQF21" s="559"/>
      <c r="QQG21" s="559"/>
      <c r="QQH21" s="559"/>
      <c r="QQI21" s="559"/>
      <c r="QQJ21" s="559"/>
      <c r="QQK21" s="559"/>
      <c r="QQL21" s="559"/>
      <c r="QQM21" s="559"/>
      <c r="QQN21" s="559"/>
      <c r="QQO21" s="559"/>
      <c r="QQP21" s="559"/>
      <c r="QQQ21" s="559"/>
      <c r="QQR21" s="559"/>
      <c r="QQS21" s="559"/>
      <c r="QQT21" s="559"/>
      <c r="QQU21" s="559"/>
      <c r="QQV21" s="559"/>
      <c r="QQW21" s="559"/>
      <c r="QQX21" s="559"/>
      <c r="QQY21" s="559"/>
      <c r="QQZ21" s="559"/>
      <c r="QRA21" s="559"/>
      <c r="QRB21" s="559"/>
      <c r="QRC21" s="559"/>
      <c r="QRD21" s="559"/>
      <c r="QRE21" s="559"/>
      <c r="QRF21" s="559"/>
      <c r="QRG21" s="559"/>
      <c r="QRH21" s="559"/>
      <c r="QRI21" s="559"/>
      <c r="QRJ21" s="559"/>
      <c r="QRK21" s="559"/>
      <c r="QRL21" s="559"/>
      <c r="QRM21" s="559"/>
      <c r="QRN21" s="559"/>
      <c r="QRO21" s="559"/>
      <c r="QRP21" s="559"/>
      <c r="QRQ21" s="559"/>
      <c r="QRR21" s="559"/>
      <c r="QRS21" s="559"/>
      <c r="QRT21" s="559"/>
      <c r="QRU21" s="559"/>
      <c r="QRV21" s="559"/>
      <c r="QRW21" s="559"/>
      <c r="QRX21" s="559"/>
      <c r="QRY21" s="559"/>
      <c r="QRZ21" s="559"/>
      <c r="QSA21" s="559"/>
      <c r="QSB21" s="559"/>
      <c r="QSC21" s="559"/>
      <c r="QSD21" s="559"/>
      <c r="QSE21" s="559"/>
      <c r="QSF21" s="559"/>
      <c r="QSG21" s="559"/>
      <c r="QSH21" s="559"/>
      <c r="QSI21" s="559"/>
      <c r="QSJ21" s="559"/>
      <c r="QSK21" s="559"/>
      <c r="QSL21" s="559"/>
      <c r="QSM21" s="559"/>
      <c r="QSN21" s="559"/>
      <c r="QSO21" s="559"/>
      <c r="QSP21" s="559"/>
      <c r="QSQ21" s="559"/>
      <c r="QSR21" s="559"/>
      <c r="QSS21" s="559"/>
      <c r="QST21" s="559"/>
      <c r="QSU21" s="559"/>
      <c r="QSV21" s="559"/>
      <c r="QSW21" s="559"/>
      <c r="QSX21" s="559"/>
      <c r="QSY21" s="559"/>
      <c r="QSZ21" s="559"/>
      <c r="QTA21" s="559"/>
      <c r="QTB21" s="559"/>
      <c r="QTC21" s="559"/>
      <c r="QTD21" s="559"/>
      <c r="QTE21" s="559"/>
      <c r="QTF21" s="559"/>
      <c r="QTG21" s="559"/>
      <c r="QTH21" s="559"/>
      <c r="QTI21" s="559"/>
      <c r="QTJ21" s="559"/>
      <c r="QTK21" s="559"/>
      <c r="QTL21" s="559"/>
      <c r="QTM21" s="559"/>
      <c r="QTN21" s="559"/>
      <c r="QTO21" s="559"/>
      <c r="QTP21" s="559"/>
      <c r="QTQ21" s="559"/>
      <c r="QTR21" s="559"/>
      <c r="QTS21" s="559"/>
      <c r="QTT21" s="559"/>
      <c r="QTU21" s="559"/>
      <c r="QTV21" s="559"/>
      <c r="QTW21" s="559"/>
      <c r="QTX21" s="559"/>
      <c r="QTY21" s="559"/>
      <c r="QTZ21" s="559"/>
      <c r="QUA21" s="559"/>
      <c r="QUB21" s="559"/>
      <c r="QUC21" s="559"/>
      <c r="QUD21" s="559"/>
      <c r="QUE21" s="559"/>
      <c r="QUF21" s="559"/>
      <c r="QUG21" s="559"/>
      <c r="QUH21" s="559"/>
      <c r="QUI21" s="559"/>
      <c r="QUJ21" s="559"/>
      <c r="QUK21" s="559"/>
      <c r="QUL21" s="559"/>
      <c r="QUM21" s="559"/>
      <c r="QUN21" s="559"/>
      <c r="QUO21" s="559"/>
      <c r="QUP21" s="559"/>
      <c r="QUQ21" s="559"/>
      <c r="QUR21" s="559"/>
      <c r="QUS21" s="559"/>
      <c r="QUT21" s="559"/>
      <c r="QUU21" s="559"/>
      <c r="QUV21" s="559"/>
      <c r="QUW21" s="559"/>
      <c r="QUX21" s="559"/>
      <c r="QUY21" s="559"/>
      <c r="QUZ21" s="559"/>
      <c r="QVA21" s="559"/>
      <c r="QVB21" s="559"/>
      <c r="QVC21" s="559"/>
      <c r="QVD21" s="559"/>
      <c r="QVE21" s="559"/>
      <c r="QVF21" s="559"/>
      <c r="QVG21" s="559"/>
      <c r="QVH21" s="559"/>
      <c r="QVI21" s="559"/>
      <c r="QVJ21" s="559"/>
      <c r="QVK21" s="559"/>
      <c r="QVL21" s="559"/>
      <c r="QVM21" s="559"/>
      <c r="QVN21" s="559"/>
      <c r="QVO21" s="559"/>
      <c r="QVP21" s="559"/>
      <c r="QVQ21" s="559"/>
      <c r="QVR21" s="559"/>
      <c r="QVS21" s="559"/>
      <c r="QVT21" s="559"/>
      <c r="QVU21" s="559"/>
      <c r="QVV21" s="559"/>
      <c r="QVW21" s="559"/>
      <c r="QVX21" s="559"/>
      <c r="QVY21" s="559"/>
      <c r="QVZ21" s="559"/>
      <c r="QWA21" s="559"/>
      <c r="QWB21" s="559"/>
      <c r="QWC21" s="559"/>
      <c r="QWD21" s="559"/>
      <c r="QWE21" s="559"/>
      <c r="QWF21" s="559"/>
      <c r="QWG21" s="559"/>
      <c r="QWH21" s="559"/>
      <c r="QWI21" s="559"/>
      <c r="QWJ21" s="559"/>
      <c r="QWK21" s="559"/>
      <c r="QWL21" s="559"/>
      <c r="QWM21" s="559"/>
      <c r="QWN21" s="559"/>
      <c r="QWO21" s="559"/>
      <c r="QWP21" s="559"/>
      <c r="QWQ21" s="559"/>
      <c r="QWR21" s="559"/>
      <c r="QWS21" s="559"/>
      <c r="QWT21" s="559"/>
      <c r="QWU21" s="559"/>
      <c r="QWV21" s="559"/>
      <c r="QWW21" s="559"/>
      <c r="QWX21" s="559"/>
      <c r="QWY21" s="559"/>
      <c r="QWZ21" s="559"/>
      <c r="QXA21" s="559"/>
      <c r="QXB21" s="559"/>
      <c r="QXC21" s="559"/>
      <c r="QXD21" s="559"/>
      <c r="QXE21" s="559"/>
      <c r="QXF21" s="559"/>
      <c r="QXG21" s="559"/>
      <c r="QXH21" s="559"/>
      <c r="QXI21" s="559"/>
      <c r="QXJ21" s="559"/>
      <c r="QXK21" s="559"/>
      <c r="QXL21" s="559"/>
      <c r="QXM21" s="559"/>
      <c r="QXN21" s="559"/>
      <c r="QXO21" s="559"/>
      <c r="QXP21" s="559"/>
      <c r="QXQ21" s="559"/>
      <c r="QXR21" s="559"/>
      <c r="QXS21" s="559"/>
      <c r="QXT21" s="559"/>
      <c r="QXU21" s="559"/>
      <c r="QXV21" s="559"/>
      <c r="QXW21" s="559"/>
      <c r="QXX21" s="559"/>
      <c r="QXY21" s="559"/>
      <c r="QXZ21" s="559"/>
      <c r="QYA21" s="559"/>
      <c r="QYB21" s="559"/>
      <c r="QYC21" s="559"/>
      <c r="QYD21" s="559"/>
      <c r="QYE21" s="559"/>
      <c r="QYF21" s="559"/>
      <c r="QYG21" s="559"/>
      <c r="QYH21" s="559"/>
      <c r="QYI21" s="559"/>
      <c r="QYJ21" s="559"/>
      <c r="QYK21" s="559"/>
      <c r="QYL21" s="559"/>
      <c r="QYM21" s="559"/>
      <c r="QYN21" s="559"/>
      <c r="QYO21" s="559"/>
      <c r="QYP21" s="559"/>
      <c r="QYQ21" s="559"/>
      <c r="QYR21" s="559"/>
      <c r="QYS21" s="559"/>
      <c r="QYT21" s="559"/>
      <c r="QYU21" s="559"/>
      <c r="QYV21" s="559"/>
      <c r="QYW21" s="559"/>
      <c r="QYX21" s="559"/>
      <c r="QYY21" s="559"/>
      <c r="QYZ21" s="559"/>
      <c r="QZA21" s="559"/>
      <c r="QZB21" s="559"/>
      <c r="QZC21" s="559"/>
      <c r="QZD21" s="559"/>
      <c r="QZE21" s="559"/>
      <c r="QZF21" s="559"/>
      <c r="QZG21" s="559"/>
      <c r="QZH21" s="559"/>
      <c r="QZI21" s="559"/>
      <c r="QZJ21" s="559"/>
      <c r="QZK21" s="559"/>
      <c r="QZL21" s="559"/>
      <c r="QZM21" s="559"/>
      <c r="QZN21" s="559"/>
      <c r="QZO21" s="559"/>
      <c r="QZP21" s="559"/>
      <c r="QZQ21" s="559"/>
      <c r="QZR21" s="559"/>
      <c r="QZS21" s="559"/>
      <c r="QZT21" s="559"/>
      <c r="QZU21" s="559"/>
      <c r="QZV21" s="559"/>
      <c r="QZW21" s="559"/>
      <c r="QZX21" s="559"/>
      <c r="QZY21" s="559"/>
      <c r="QZZ21" s="559"/>
      <c r="RAA21" s="559"/>
      <c r="RAB21" s="559"/>
      <c r="RAC21" s="559"/>
      <c r="RAD21" s="559"/>
      <c r="RAE21" s="559"/>
      <c r="RAF21" s="559"/>
      <c r="RAG21" s="559"/>
      <c r="RAH21" s="559"/>
      <c r="RAI21" s="559"/>
      <c r="RAJ21" s="559"/>
      <c r="RAK21" s="559"/>
      <c r="RAL21" s="559"/>
      <c r="RAM21" s="559"/>
      <c r="RAN21" s="559"/>
      <c r="RAO21" s="559"/>
      <c r="RAP21" s="559"/>
      <c r="RAQ21" s="559"/>
      <c r="RAR21" s="559"/>
      <c r="RAS21" s="559"/>
      <c r="RAT21" s="559"/>
      <c r="RAU21" s="559"/>
      <c r="RAV21" s="559"/>
      <c r="RAW21" s="559"/>
      <c r="RAX21" s="559"/>
      <c r="RAY21" s="559"/>
      <c r="RAZ21" s="559"/>
      <c r="RBA21" s="559"/>
      <c r="RBB21" s="559"/>
      <c r="RBC21" s="559"/>
      <c r="RBD21" s="559"/>
      <c r="RBE21" s="559"/>
      <c r="RBF21" s="559"/>
      <c r="RBG21" s="559"/>
      <c r="RBH21" s="559"/>
      <c r="RBI21" s="559"/>
      <c r="RBJ21" s="559"/>
      <c r="RBK21" s="559"/>
      <c r="RBL21" s="559"/>
      <c r="RBM21" s="559"/>
      <c r="RBN21" s="559"/>
      <c r="RBO21" s="559"/>
      <c r="RBP21" s="559"/>
      <c r="RBQ21" s="559"/>
      <c r="RBR21" s="559"/>
      <c r="RBS21" s="559"/>
      <c r="RBT21" s="559"/>
      <c r="RBU21" s="559"/>
      <c r="RBV21" s="559"/>
      <c r="RBW21" s="559"/>
      <c r="RBX21" s="559"/>
      <c r="RBY21" s="559"/>
      <c r="RBZ21" s="559"/>
      <c r="RCA21" s="559"/>
      <c r="RCB21" s="559"/>
      <c r="RCC21" s="559"/>
      <c r="RCD21" s="559"/>
      <c r="RCE21" s="559"/>
      <c r="RCF21" s="559"/>
      <c r="RCG21" s="559"/>
      <c r="RCH21" s="559"/>
      <c r="RCI21" s="559"/>
      <c r="RCJ21" s="559"/>
      <c r="RCK21" s="559"/>
      <c r="RCL21" s="559"/>
      <c r="RCM21" s="559"/>
      <c r="RCN21" s="559"/>
      <c r="RCO21" s="559"/>
      <c r="RCP21" s="559"/>
      <c r="RCQ21" s="559"/>
      <c r="RCR21" s="559"/>
      <c r="RCS21" s="559"/>
      <c r="RCT21" s="559"/>
      <c r="RCU21" s="559"/>
      <c r="RCV21" s="559"/>
      <c r="RCW21" s="559"/>
      <c r="RCX21" s="559"/>
      <c r="RCY21" s="559"/>
      <c r="RCZ21" s="559"/>
      <c r="RDA21" s="559"/>
      <c r="RDB21" s="559"/>
      <c r="RDC21" s="559"/>
      <c r="RDD21" s="559"/>
      <c r="RDE21" s="559"/>
      <c r="RDF21" s="559"/>
      <c r="RDG21" s="559"/>
      <c r="RDH21" s="559"/>
      <c r="RDI21" s="559"/>
      <c r="RDJ21" s="559"/>
      <c r="RDK21" s="559"/>
      <c r="RDL21" s="559"/>
      <c r="RDM21" s="559"/>
      <c r="RDN21" s="559"/>
      <c r="RDO21" s="559"/>
      <c r="RDP21" s="559"/>
      <c r="RDQ21" s="559"/>
      <c r="RDR21" s="559"/>
      <c r="RDS21" s="559"/>
      <c r="RDT21" s="559"/>
      <c r="RDU21" s="559"/>
      <c r="RDV21" s="559"/>
      <c r="RDW21" s="559"/>
      <c r="RDX21" s="559"/>
      <c r="RDY21" s="559"/>
      <c r="RDZ21" s="559"/>
      <c r="REA21" s="559"/>
      <c r="REB21" s="559"/>
      <c r="REC21" s="559"/>
      <c r="RED21" s="559"/>
      <c r="REE21" s="559"/>
      <c r="REF21" s="559"/>
      <c r="REG21" s="559"/>
      <c r="REH21" s="559"/>
      <c r="REI21" s="559"/>
      <c r="REJ21" s="559"/>
      <c r="REK21" s="559"/>
      <c r="REL21" s="559"/>
      <c r="REM21" s="559"/>
      <c r="REN21" s="559"/>
      <c r="REO21" s="559"/>
      <c r="REP21" s="559"/>
      <c r="REQ21" s="559"/>
      <c r="RER21" s="559"/>
      <c r="RES21" s="559"/>
      <c r="RET21" s="559"/>
      <c r="REU21" s="559"/>
      <c r="REV21" s="559"/>
      <c r="REW21" s="559"/>
      <c r="REX21" s="559"/>
      <c r="REY21" s="559"/>
      <c r="REZ21" s="559"/>
      <c r="RFA21" s="559"/>
      <c r="RFB21" s="559"/>
      <c r="RFC21" s="559"/>
      <c r="RFD21" s="559"/>
      <c r="RFE21" s="559"/>
      <c r="RFF21" s="559"/>
      <c r="RFG21" s="559"/>
      <c r="RFH21" s="559"/>
      <c r="RFI21" s="559"/>
      <c r="RFJ21" s="559"/>
      <c r="RFK21" s="559"/>
      <c r="RFL21" s="559"/>
      <c r="RFM21" s="559"/>
      <c r="RFN21" s="559"/>
      <c r="RFO21" s="559"/>
      <c r="RFP21" s="559"/>
      <c r="RFQ21" s="559"/>
      <c r="RFR21" s="559"/>
      <c r="RFS21" s="559"/>
      <c r="RFT21" s="559"/>
      <c r="RFU21" s="559"/>
      <c r="RFV21" s="559"/>
      <c r="RFW21" s="559"/>
      <c r="RFX21" s="559"/>
      <c r="RFY21" s="559"/>
      <c r="RFZ21" s="559"/>
      <c r="RGA21" s="559"/>
      <c r="RGB21" s="559"/>
      <c r="RGC21" s="559"/>
      <c r="RGD21" s="559"/>
      <c r="RGE21" s="559"/>
      <c r="RGF21" s="559"/>
      <c r="RGG21" s="559"/>
      <c r="RGH21" s="559"/>
      <c r="RGI21" s="559"/>
      <c r="RGJ21" s="559"/>
      <c r="RGK21" s="559"/>
      <c r="RGL21" s="559"/>
      <c r="RGM21" s="559"/>
      <c r="RGN21" s="559"/>
      <c r="RGO21" s="559"/>
      <c r="RGP21" s="559"/>
      <c r="RGQ21" s="559"/>
      <c r="RGR21" s="559"/>
      <c r="RGS21" s="559"/>
      <c r="RGT21" s="559"/>
      <c r="RGU21" s="559"/>
      <c r="RGV21" s="559"/>
      <c r="RGW21" s="559"/>
      <c r="RGX21" s="559"/>
      <c r="RGY21" s="559"/>
      <c r="RGZ21" s="559"/>
      <c r="RHA21" s="559"/>
      <c r="RHB21" s="559"/>
      <c r="RHC21" s="559"/>
      <c r="RHD21" s="559"/>
      <c r="RHE21" s="559"/>
      <c r="RHF21" s="559"/>
      <c r="RHG21" s="559"/>
      <c r="RHH21" s="559"/>
      <c r="RHI21" s="559"/>
      <c r="RHJ21" s="559"/>
      <c r="RHK21" s="559"/>
      <c r="RHL21" s="559"/>
      <c r="RHM21" s="559"/>
      <c r="RHN21" s="559"/>
      <c r="RHO21" s="559"/>
      <c r="RHP21" s="559"/>
      <c r="RHQ21" s="559"/>
      <c r="RHR21" s="559"/>
      <c r="RHS21" s="559"/>
      <c r="RHT21" s="559"/>
      <c r="RHU21" s="559"/>
      <c r="RHV21" s="559"/>
      <c r="RHW21" s="559"/>
      <c r="RHX21" s="559"/>
      <c r="RHY21" s="559"/>
      <c r="RHZ21" s="559"/>
      <c r="RIA21" s="559"/>
      <c r="RIB21" s="559"/>
      <c r="RIC21" s="559"/>
      <c r="RID21" s="559"/>
      <c r="RIE21" s="559"/>
      <c r="RIF21" s="559"/>
      <c r="RIG21" s="559"/>
      <c r="RIH21" s="559"/>
      <c r="RII21" s="559"/>
      <c r="RIJ21" s="559"/>
      <c r="RIK21" s="559"/>
      <c r="RIL21" s="559"/>
      <c r="RIM21" s="559"/>
      <c r="RIN21" s="559"/>
      <c r="RIO21" s="559"/>
      <c r="RIP21" s="559"/>
      <c r="RIQ21" s="559"/>
      <c r="RIR21" s="559"/>
      <c r="RIS21" s="559"/>
      <c r="RIT21" s="559"/>
      <c r="RIU21" s="559"/>
      <c r="RIV21" s="559"/>
      <c r="RIW21" s="559"/>
      <c r="RIX21" s="559"/>
      <c r="RIY21" s="559"/>
      <c r="RIZ21" s="559"/>
      <c r="RJA21" s="559"/>
      <c r="RJB21" s="559"/>
      <c r="RJC21" s="559"/>
      <c r="RJD21" s="559"/>
      <c r="RJE21" s="559"/>
      <c r="RJF21" s="559"/>
      <c r="RJG21" s="559"/>
      <c r="RJH21" s="559"/>
      <c r="RJI21" s="559"/>
      <c r="RJJ21" s="559"/>
      <c r="RJK21" s="559"/>
      <c r="RJL21" s="559"/>
      <c r="RJM21" s="559"/>
      <c r="RJN21" s="559"/>
      <c r="RJO21" s="559"/>
      <c r="RJP21" s="559"/>
      <c r="RJQ21" s="559"/>
      <c r="RJR21" s="559"/>
      <c r="RJS21" s="559"/>
      <c r="RJT21" s="559"/>
      <c r="RJU21" s="559"/>
      <c r="RJV21" s="559"/>
      <c r="RJW21" s="559"/>
      <c r="RJX21" s="559"/>
      <c r="RJY21" s="559"/>
      <c r="RJZ21" s="559"/>
      <c r="RKA21" s="559"/>
      <c r="RKB21" s="559"/>
      <c r="RKC21" s="559"/>
      <c r="RKD21" s="559"/>
      <c r="RKE21" s="559"/>
      <c r="RKF21" s="559"/>
      <c r="RKG21" s="559"/>
      <c r="RKH21" s="559"/>
      <c r="RKI21" s="559"/>
      <c r="RKJ21" s="559"/>
      <c r="RKK21" s="559"/>
      <c r="RKL21" s="559"/>
      <c r="RKM21" s="559"/>
      <c r="RKN21" s="559"/>
      <c r="RKO21" s="559"/>
      <c r="RKP21" s="559"/>
      <c r="RKQ21" s="559"/>
      <c r="RKR21" s="559"/>
      <c r="RKS21" s="559"/>
      <c r="RKT21" s="559"/>
      <c r="RKU21" s="559"/>
      <c r="RKV21" s="559"/>
      <c r="RKW21" s="559"/>
      <c r="RKX21" s="559"/>
      <c r="RKY21" s="559"/>
      <c r="RKZ21" s="559"/>
      <c r="RLA21" s="559"/>
      <c r="RLB21" s="559"/>
      <c r="RLC21" s="559"/>
      <c r="RLD21" s="559"/>
      <c r="RLE21" s="559"/>
      <c r="RLF21" s="559"/>
      <c r="RLG21" s="559"/>
      <c r="RLH21" s="559"/>
      <c r="RLI21" s="559"/>
      <c r="RLJ21" s="559"/>
      <c r="RLK21" s="559"/>
      <c r="RLL21" s="559"/>
      <c r="RLM21" s="559"/>
      <c r="RLN21" s="559"/>
      <c r="RLO21" s="559"/>
      <c r="RLP21" s="559"/>
      <c r="RLQ21" s="559"/>
      <c r="RLR21" s="559"/>
      <c r="RLS21" s="559"/>
      <c r="RLT21" s="559"/>
      <c r="RLU21" s="559"/>
      <c r="RLV21" s="559"/>
      <c r="RLW21" s="559"/>
      <c r="RLX21" s="559"/>
      <c r="RLY21" s="559"/>
      <c r="RLZ21" s="559"/>
      <c r="RMA21" s="559"/>
      <c r="RMB21" s="559"/>
      <c r="RMC21" s="559"/>
      <c r="RMD21" s="559"/>
      <c r="RME21" s="559"/>
      <c r="RMF21" s="559"/>
      <c r="RMG21" s="559"/>
      <c r="RMH21" s="559"/>
      <c r="RMI21" s="559"/>
      <c r="RMJ21" s="559"/>
      <c r="RMK21" s="559"/>
      <c r="RML21" s="559"/>
      <c r="RMM21" s="559"/>
      <c r="RMN21" s="559"/>
      <c r="RMO21" s="559"/>
      <c r="RMP21" s="559"/>
      <c r="RMQ21" s="559"/>
      <c r="RMR21" s="559"/>
      <c r="RMS21" s="559"/>
      <c r="RMT21" s="559"/>
      <c r="RMU21" s="559"/>
      <c r="RMV21" s="559"/>
      <c r="RMW21" s="559"/>
      <c r="RMX21" s="559"/>
      <c r="RMY21" s="559"/>
      <c r="RMZ21" s="559"/>
      <c r="RNA21" s="559"/>
      <c r="RNB21" s="559"/>
      <c r="RNC21" s="559"/>
      <c r="RND21" s="559"/>
      <c r="RNE21" s="559"/>
      <c r="RNF21" s="559"/>
      <c r="RNG21" s="559"/>
      <c r="RNH21" s="559"/>
      <c r="RNI21" s="559"/>
      <c r="RNJ21" s="559"/>
      <c r="RNK21" s="559"/>
      <c r="RNL21" s="559"/>
      <c r="RNM21" s="559"/>
      <c r="RNN21" s="559"/>
      <c r="RNO21" s="559"/>
      <c r="RNP21" s="559"/>
      <c r="RNQ21" s="559"/>
      <c r="RNR21" s="559"/>
      <c r="RNS21" s="559"/>
      <c r="RNT21" s="559"/>
      <c r="RNU21" s="559"/>
      <c r="RNV21" s="559"/>
      <c r="RNW21" s="559"/>
      <c r="RNX21" s="559"/>
      <c r="RNY21" s="559"/>
      <c r="RNZ21" s="559"/>
      <c r="ROA21" s="559"/>
      <c r="ROB21" s="559"/>
      <c r="ROC21" s="559"/>
      <c r="ROD21" s="559"/>
      <c r="ROE21" s="559"/>
      <c r="ROF21" s="559"/>
      <c r="ROG21" s="559"/>
      <c r="ROH21" s="559"/>
      <c r="ROI21" s="559"/>
      <c r="ROJ21" s="559"/>
      <c r="ROK21" s="559"/>
      <c r="ROL21" s="559"/>
      <c r="ROM21" s="559"/>
      <c r="RON21" s="559"/>
      <c r="ROO21" s="559"/>
      <c r="ROP21" s="559"/>
      <c r="ROQ21" s="559"/>
      <c r="ROR21" s="559"/>
      <c r="ROS21" s="559"/>
      <c r="ROT21" s="559"/>
      <c r="ROU21" s="559"/>
      <c r="ROV21" s="559"/>
      <c r="ROW21" s="559"/>
      <c r="ROX21" s="559"/>
      <c r="ROY21" s="559"/>
      <c r="ROZ21" s="559"/>
      <c r="RPA21" s="559"/>
      <c r="RPB21" s="559"/>
      <c r="RPC21" s="559"/>
      <c r="RPD21" s="559"/>
      <c r="RPE21" s="559"/>
      <c r="RPF21" s="559"/>
      <c r="RPG21" s="559"/>
      <c r="RPH21" s="559"/>
      <c r="RPI21" s="559"/>
      <c r="RPJ21" s="559"/>
      <c r="RPK21" s="559"/>
      <c r="RPL21" s="559"/>
      <c r="RPM21" s="559"/>
      <c r="RPN21" s="559"/>
      <c r="RPO21" s="559"/>
      <c r="RPP21" s="559"/>
      <c r="RPQ21" s="559"/>
      <c r="RPR21" s="559"/>
      <c r="RPS21" s="559"/>
      <c r="RPT21" s="559"/>
      <c r="RPU21" s="559"/>
      <c r="RPV21" s="559"/>
      <c r="RPW21" s="559"/>
      <c r="RPX21" s="559"/>
      <c r="RPY21" s="559"/>
      <c r="RPZ21" s="559"/>
      <c r="RQA21" s="559"/>
      <c r="RQB21" s="559"/>
      <c r="RQC21" s="559"/>
      <c r="RQD21" s="559"/>
      <c r="RQE21" s="559"/>
      <c r="RQF21" s="559"/>
      <c r="RQG21" s="559"/>
      <c r="RQH21" s="559"/>
      <c r="RQI21" s="559"/>
      <c r="RQJ21" s="559"/>
      <c r="RQK21" s="559"/>
      <c r="RQL21" s="559"/>
      <c r="RQM21" s="559"/>
      <c r="RQN21" s="559"/>
      <c r="RQO21" s="559"/>
      <c r="RQP21" s="559"/>
      <c r="RQQ21" s="559"/>
      <c r="RQR21" s="559"/>
      <c r="RQS21" s="559"/>
      <c r="RQT21" s="559"/>
      <c r="RQU21" s="559"/>
      <c r="RQV21" s="559"/>
      <c r="RQW21" s="559"/>
      <c r="RQX21" s="559"/>
      <c r="RQY21" s="559"/>
      <c r="RQZ21" s="559"/>
      <c r="RRA21" s="559"/>
      <c r="RRB21" s="559"/>
      <c r="RRC21" s="559"/>
      <c r="RRD21" s="559"/>
      <c r="RRE21" s="559"/>
      <c r="RRF21" s="559"/>
      <c r="RRG21" s="559"/>
      <c r="RRH21" s="559"/>
      <c r="RRI21" s="559"/>
      <c r="RRJ21" s="559"/>
      <c r="RRK21" s="559"/>
      <c r="RRL21" s="559"/>
      <c r="RRM21" s="559"/>
      <c r="RRN21" s="559"/>
      <c r="RRO21" s="559"/>
      <c r="RRP21" s="559"/>
      <c r="RRQ21" s="559"/>
      <c r="RRR21" s="559"/>
      <c r="RRS21" s="559"/>
      <c r="RRT21" s="559"/>
      <c r="RRU21" s="559"/>
      <c r="RRV21" s="559"/>
      <c r="RRW21" s="559"/>
      <c r="RRX21" s="559"/>
      <c r="RRY21" s="559"/>
      <c r="RRZ21" s="559"/>
      <c r="RSA21" s="559"/>
      <c r="RSB21" s="559"/>
      <c r="RSC21" s="559"/>
      <c r="RSD21" s="559"/>
      <c r="RSE21" s="559"/>
      <c r="RSF21" s="559"/>
      <c r="RSG21" s="559"/>
      <c r="RSH21" s="559"/>
      <c r="RSI21" s="559"/>
      <c r="RSJ21" s="559"/>
      <c r="RSK21" s="559"/>
      <c r="RSL21" s="559"/>
      <c r="RSM21" s="559"/>
      <c r="RSN21" s="559"/>
      <c r="RSO21" s="559"/>
      <c r="RSP21" s="559"/>
      <c r="RSQ21" s="559"/>
      <c r="RSR21" s="559"/>
      <c r="RSS21" s="559"/>
      <c r="RST21" s="559"/>
      <c r="RSU21" s="559"/>
      <c r="RSV21" s="559"/>
      <c r="RSW21" s="559"/>
      <c r="RSX21" s="559"/>
      <c r="RSY21" s="559"/>
      <c r="RSZ21" s="559"/>
      <c r="RTA21" s="559"/>
      <c r="RTB21" s="559"/>
      <c r="RTC21" s="559"/>
      <c r="RTD21" s="559"/>
      <c r="RTE21" s="559"/>
      <c r="RTF21" s="559"/>
      <c r="RTG21" s="559"/>
      <c r="RTH21" s="559"/>
      <c r="RTI21" s="559"/>
      <c r="RTJ21" s="559"/>
      <c r="RTK21" s="559"/>
      <c r="RTL21" s="559"/>
      <c r="RTM21" s="559"/>
      <c r="RTN21" s="559"/>
      <c r="RTO21" s="559"/>
      <c r="RTP21" s="559"/>
      <c r="RTQ21" s="559"/>
      <c r="RTR21" s="559"/>
      <c r="RTS21" s="559"/>
      <c r="RTT21" s="559"/>
      <c r="RTU21" s="559"/>
      <c r="RTV21" s="559"/>
      <c r="RTW21" s="559"/>
      <c r="RTX21" s="559"/>
      <c r="RTY21" s="559"/>
      <c r="RTZ21" s="559"/>
      <c r="RUA21" s="559"/>
      <c r="RUB21" s="559"/>
      <c r="RUC21" s="559"/>
      <c r="RUD21" s="559"/>
      <c r="RUE21" s="559"/>
      <c r="RUF21" s="559"/>
      <c r="RUG21" s="559"/>
      <c r="RUH21" s="559"/>
      <c r="RUI21" s="559"/>
      <c r="RUJ21" s="559"/>
      <c r="RUK21" s="559"/>
      <c r="RUL21" s="559"/>
      <c r="RUM21" s="559"/>
      <c r="RUN21" s="559"/>
      <c r="RUO21" s="559"/>
      <c r="RUP21" s="559"/>
      <c r="RUQ21" s="559"/>
      <c r="RUR21" s="559"/>
      <c r="RUS21" s="559"/>
      <c r="RUT21" s="559"/>
      <c r="RUU21" s="559"/>
      <c r="RUV21" s="559"/>
      <c r="RUW21" s="559"/>
      <c r="RUX21" s="559"/>
      <c r="RUY21" s="559"/>
      <c r="RUZ21" s="559"/>
      <c r="RVA21" s="559"/>
      <c r="RVB21" s="559"/>
      <c r="RVC21" s="559"/>
      <c r="RVD21" s="559"/>
      <c r="RVE21" s="559"/>
      <c r="RVF21" s="559"/>
      <c r="RVG21" s="559"/>
      <c r="RVH21" s="559"/>
      <c r="RVI21" s="559"/>
      <c r="RVJ21" s="559"/>
      <c r="RVK21" s="559"/>
      <c r="RVL21" s="559"/>
      <c r="RVM21" s="559"/>
      <c r="RVN21" s="559"/>
      <c r="RVO21" s="559"/>
      <c r="RVP21" s="559"/>
      <c r="RVQ21" s="559"/>
      <c r="RVR21" s="559"/>
      <c r="RVS21" s="559"/>
      <c r="RVT21" s="559"/>
      <c r="RVU21" s="559"/>
      <c r="RVV21" s="559"/>
      <c r="RVW21" s="559"/>
      <c r="RVX21" s="559"/>
      <c r="RVY21" s="559"/>
      <c r="RVZ21" s="559"/>
      <c r="RWA21" s="559"/>
      <c r="RWB21" s="559"/>
      <c r="RWC21" s="559"/>
      <c r="RWD21" s="559"/>
      <c r="RWE21" s="559"/>
      <c r="RWF21" s="559"/>
      <c r="RWG21" s="559"/>
      <c r="RWH21" s="559"/>
      <c r="RWI21" s="559"/>
      <c r="RWJ21" s="559"/>
      <c r="RWK21" s="559"/>
      <c r="RWL21" s="559"/>
      <c r="RWM21" s="559"/>
      <c r="RWN21" s="559"/>
      <c r="RWO21" s="559"/>
      <c r="RWP21" s="559"/>
      <c r="RWQ21" s="559"/>
      <c r="RWR21" s="559"/>
      <c r="RWS21" s="559"/>
      <c r="RWT21" s="559"/>
      <c r="RWU21" s="559"/>
      <c r="RWV21" s="559"/>
      <c r="RWW21" s="559"/>
      <c r="RWX21" s="559"/>
      <c r="RWY21" s="559"/>
      <c r="RWZ21" s="559"/>
      <c r="RXA21" s="559"/>
      <c r="RXB21" s="559"/>
      <c r="RXC21" s="559"/>
      <c r="RXD21" s="559"/>
      <c r="RXE21" s="559"/>
      <c r="RXF21" s="559"/>
      <c r="RXG21" s="559"/>
      <c r="RXH21" s="559"/>
      <c r="RXI21" s="559"/>
      <c r="RXJ21" s="559"/>
      <c r="RXK21" s="559"/>
      <c r="RXL21" s="559"/>
      <c r="RXM21" s="559"/>
      <c r="RXN21" s="559"/>
      <c r="RXO21" s="559"/>
      <c r="RXP21" s="559"/>
      <c r="RXQ21" s="559"/>
      <c r="RXR21" s="559"/>
      <c r="RXS21" s="559"/>
      <c r="RXT21" s="559"/>
      <c r="RXU21" s="559"/>
      <c r="RXV21" s="559"/>
      <c r="RXW21" s="559"/>
      <c r="RXX21" s="559"/>
      <c r="RXY21" s="559"/>
      <c r="RXZ21" s="559"/>
      <c r="RYA21" s="559"/>
      <c r="RYB21" s="559"/>
      <c r="RYC21" s="559"/>
      <c r="RYD21" s="559"/>
      <c r="RYE21" s="559"/>
      <c r="RYF21" s="559"/>
      <c r="RYG21" s="559"/>
      <c r="RYH21" s="559"/>
      <c r="RYI21" s="559"/>
      <c r="RYJ21" s="559"/>
      <c r="RYK21" s="559"/>
      <c r="RYL21" s="559"/>
      <c r="RYM21" s="559"/>
      <c r="RYN21" s="559"/>
      <c r="RYO21" s="559"/>
      <c r="RYP21" s="559"/>
      <c r="RYQ21" s="559"/>
      <c r="RYR21" s="559"/>
      <c r="RYS21" s="559"/>
      <c r="RYT21" s="559"/>
      <c r="RYU21" s="559"/>
      <c r="RYV21" s="559"/>
      <c r="RYW21" s="559"/>
      <c r="RYX21" s="559"/>
      <c r="RYY21" s="559"/>
      <c r="RYZ21" s="559"/>
      <c r="RZA21" s="559"/>
      <c r="RZB21" s="559"/>
      <c r="RZC21" s="559"/>
      <c r="RZD21" s="559"/>
      <c r="RZE21" s="559"/>
      <c r="RZF21" s="559"/>
      <c r="RZG21" s="559"/>
      <c r="RZH21" s="559"/>
      <c r="RZI21" s="559"/>
      <c r="RZJ21" s="559"/>
      <c r="RZK21" s="559"/>
      <c r="RZL21" s="559"/>
      <c r="RZM21" s="559"/>
      <c r="RZN21" s="559"/>
      <c r="RZO21" s="559"/>
      <c r="RZP21" s="559"/>
      <c r="RZQ21" s="559"/>
      <c r="RZR21" s="559"/>
      <c r="RZS21" s="559"/>
      <c r="RZT21" s="559"/>
      <c r="RZU21" s="559"/>
      <c r="RZV21" s="559"/>
      <c r="RZW21" s="559"/>
      <c r="RZX21" s="559"/>
      <c r="RZY21" s="559"/>
      <c r="RZZ21" s="559"/>
      <c r="SAA21" s="559"/>
      <c r="SAB21" s="559"/>
      <c r="SAC21" s="559"/>
      <c r="SAD21" s="559"/>
      <c r="SAE21" s="559"/>
      <c r="SAF21" s="559"/>
      <c r="SAG21" s="559"/>
      <c r="SAH21" s="559"/>
      <c r="SAI21" s="559"/>
      <c r="SAJ21" s="559"/>
      <c r="SAK21" s="559"/>
      <c r="SAL21" s="559"/>
      <c r="SAM21" s="559"/>
      <c r="SAN21" s="559"/>
      <c r="SAO21" s="559"/>
      <c r="SAP21" s="559"/>
      <c r="SAQ21" s="559"/>
      <c r="SAR21" s="559"/>
      <c r="SAS21" s="559"/>
      <c r="SAT21" s="559"/>
      <c r="SAU21" s="559"/>
      <c r="SAV21" s="559"/>
      <c r="SAW21" s="559"/>
      <c r="SAX21" s="559"/>
      <c r="SAY21" s="559"/>
      <c r="SAZ21" s="559"/>
      <c r="SBA21" s="559"/>
      <c r="SBB21" s="559"/>
      <c r="SBC21" s="559"/>
      <c r="SBD21" s="559"/>
      <c r="SBE21" s="559"/>
      <c r="SBF21" s="559"/>
      <c r="SBG21" s="559"/>
      <c r="SBH21" s="559"/>
      <c r="SBI21" s="559"/>
      <c r="SBJ21" s="559"/>
      <c r="SBK21" s="559"/>
      <c r="SBL21" s="559"/>
      <c r="SBM21" s="559"/>
      <c r="SBN21" s="559"/>
      <c r="SBO21" s="559"/>
      <c r="SBP21" s="559"/>
      <c r="SBQ21" s="559"/>
      <c r="SBR21" s="559"/>
      <c r="SBS21" s="559"/>
      <c r="SBT21" s="559"/>
      <c r="SBU21" s="559"/>
      <c r="SBV21" s="559"/>
      <c r="SBW21" s="559"/>
      <c r="SBX21" s="559"/>
      <c r="SBY21" s="559"/>
      <c r="SBZ21" s="559"/>
      <c r="SCA21" s="559"/>
      <c r="SCB21" s="559"/>
      <c r="SCC21" s="559"/>
      <c r="SCD21" s="559"/>
      <c r="SCE21" s="559"/>
      <c r="SCF21" s="559"/>
      <c r="SCG21" s="559"/>
      <c r="SCH21" s="559"/>
      <c r="SCI21" s="559"/>
      <c r="SCJ21" s="559"/>
      <c r="SCK21" s="559"/>
      <c r="SCL21" s="559"/>
      <c r="SCM21" s="559"/>
      <c r="SCN21" s="559"/>
      <c r="SCO21" s="559"/>
      <c r="SCP21" s="559"/>
      <c r="SCQ21" s="559"/>
      <c r="SCR21" s="559"/>
      <c r="SCS21" s="559"/>
      <c r="SCT21" s="559"/>
      <c r="SCU21" s="559"/>
      <c r="SCV21" s="559"/>
      <c r="SCW21" s="559"/>
      <c r="SCX21" s="559"/>
      <c r="SCY21" s="559"/>
      <c r="SCZ21" s="559"/>
      <c r="SDA21" s="559"/>
      <c r="SDB21" s="559"/>
      <c r="SDC21" s="559"/>
      <c r="SDD21" s="559"/>
      <c r="SDE21" s="559"/>
      <c r="SDF21" s="559"/>
      <c r="SDG21" s="559"/>
      <c r="SDH21" s="559"/>
      <c r="SDI21" s="559"/>
      <c r="SDJ21" s="559"/>
      <c r="SDK21" s="559"/>
      <c r="SDL21" s="559"/>
      <c r="SDM21" s="559"/>
      <c r="SDN21" s="559"/>
      <c r="SDO21" s="559"/>
      <c r="SDP21" s="559"/>
      <c r="SDQ21" s="559"/>
      <c r="SDR21" s="559"/>
      <c r="SDS21" s="559"/>
      <c r="SDT21" s="559"/>
      <c r="SDU21" s="559"/>
      <c r="SDV21" s="559"/>
      <c r="SDW21" s="559"/>
      <c r="SDX21" s="559"/>
      <c r="SDY21" s="559"/>
      <c r="SDZ21" s="559"/>
      <c r="SEA21" s="559"/>
      <c r="SEB21" s="559"/>
      <c r="SEC21" s="559"/>
      <c r="SED21" s="559"/>
      <c r="SEE21" s="559"/>
      <c r="SEF21" s="559"/>
      <c r="SEG21" s="559"/>
      <c r="SEH21" s="559"/>
      <c r="SEI21" s="559"/>
      <c r="SEJ21" s="559"/>
      <c r="SEK21" s="559"/>
      <c r="SEL21" s="559"/>
      <c r="SEM21" s="559"/>
      <c r="SEN21" s="559"/>
      <c r="SEO21" s="559"/>
      <c r="SEP21" s="559"/>
      <c r="SEQ21" s="559"/>
      <c r="SER21" s="559"/>
      <c r="SES21" s="559"/>
      <c r="SET21" s="559"/>
      <c r="SEU21" s="559"/>
      <c r="SEV21" s="559"/>
      <c r="SEW21" s="559"/>
      <c r="SEX21" s="559"/>
      <c r="SEY21" s="559"/>
      <c r="SEZ21" s="559"/>
      <c r="SFA21" s="559"/>
      <c r="SFB21" s="559"/>
      <c r="SFC21" s="559"/>
      <c r="SFD21" s="559"/>
      <c r="SFE21" s="559"/>
      <c r="SFF21" s="559"/>
      <c r="SFG21" s="559"/>
      <c r="SFH21" s="559"/>
      <c r="SFI21" s="559"/>
      <c r="SFJ21" s="559"/>
      <c r="SFK21" s="559"/>
      <c r="SFL21" s="559"/>
      <c r="SFM21" s="559"/>
      <c r="SFN21" s="559"/>
      <c r="SFO21" s="559"/>
      <c r="SFP21" s="559"/>
      <c r="SFQ21" s="559"/>
      <c r="SFR21" s="559"/>
      <c r="SFS21" s="559"/>
      <c r="SFT21" s="559"/>
      <c r="SFU21" s="559"/>
      <c r="SFV21" s="559"/>
      <c r="SFW21" s="559"/>
      <c r="SFX21" s="559"/>
      <c r="SFY21" s="559"/>
      <c r="SFZ21" s="559"/>
      <c r="SGA21" s="559"/>
      <c r="SGB21" s="559"/>
      <c r="SGC21" s="559"/>
      <c r="SGD21" s="559"/>
      <c r="SGE21" s="559"/>
      <c r="SGF21" s="559"/>
      <c r="SGG21" s="559"/>
      <c r="SGH21" s="559"/>
      <c r="SGI21" s="559"/>
      <c r="SGJ21" s="559"/>
      <c r="SGK21" s="559"/>
      <c r="SGL21" s="559"/>
      <c r="SGM21" s="559"/>
      <c r="SGN21" s="559"/>
      <c r="SGO21" s="559"/>
      <c r="SGP21" s="559"/>
      <c r="SGQ21" s="559"/>
      <c r="SGR21" s="559"/>
      <c r="SGS21" s="559"/>
      <c r="SGT21" s="559"/>
      <c r="SGU21" s="559"/>
      <c r="SGV21" s="559"/>
      <c r="SGW21" s="559"/>
      <c r="SGX21" s="559"/>
      <c r="SGY21" s="559"/>
      <c r="SGZ21" s="559"/>
      <c r="SHA21" s="559"/>
      <c r="SHB21" s="559"/>
      <c r="SHC21" s="559"/>
      <c r="SHD21" s="559"/>
      <c r="SHE21" s="559"/>
      <c r="SHF21" s="559"/>
      <c r="SHG21" s="559"/>
      <c r="SHH21" s="559"/>
      <c r="SHI21" s="559"/>
      <c r="SHJ21" s="559"/>
      <c r="SHK21" s="559"/>
      <c r="SHL21" s="559"/>
      <c r="SHM21" s="559"/>
      <c r="SHN21" s="559"/>
      <c r="SHO21" s="559"/>
      <c r="SHP21" s="559"/>
      <c r="SHQ21" s="559"/>
      <c r="SHR21" s="559"/>
      <c r="SHS21" s="559"/>
      <c r="SHT21" s="559"/>
      <c r="SHU21" s="559"/>
      <c r="SHV21" s="559"/>
      <c r="SHW21" s="559"/>
      <c r="SHX21" s="559"/>
      <c r="SHY21" s="559"/>
      <c r="SHZ21" s="559"/>
      <c r="SIA21" s="559"/>
      <c r="SIB21" s="559"/>
      <c r="SIC21" s="559"/>
      <c r="SID21" s="559"/>
      <c r="SIE21" s="559"/>
      <c r="SIF21" s="559"/>
      <c r="SIG21" s="559"/>
      <c r="SIH21" s="559"/>
      <c r="SII21" s="559"/>
      <c r="SIJ21" s="559"/>
      <c r="SIK21" s="559"/>
      <c r="SIL21" s="559"/>
      <c r="SIM21" s="559"/>
      <c r="SIN21" s="559"/>
      <c r="SIO21" s="559"/>
      <c r="SIP21" s="559"/>
      <c r="SIQ21" s="559"/>
      <c r="SIR21" s="559"/>
      <c r="SIS21" s="559"/>
      <c r="SIT21" s="559"/>
      <c r="SIU21" s="559"/>
      <c r="SIV21" s="559"/>
      <c r="SIW21" s="559"/>
      <c r="SIX21" s="559"/>
      <c r="SIY21" s="559"/>
      <c r="SIZ21" s="559"/>
      <c r="SJA21" s="559"/>
      <c r="SJB21" s="559"/>
      <c r="SJC21" s="559"/>
      <c r="SJD21" s="559"/>
      <c r="SJE21" s="559"/>
      <c r="SJF21" s="559"/>
      <c r="SJG21" s="559"/>
      <c r="SJH21" s="559"/>
      <c r="SJI21" s="559"/>
      <c r="SJJ21" s="559"/>
      <c r="SJK21" s="559"/>
      <c r="SJL21" s="559"/>
      <c r="SJM21" s="559"/>
      <c r="SJN21" s="559"/>
      <c r="SJO21" s="559"/>
      <c r="SJP21" s="559"/>
      <c r="SJQ21" s="559"/>
      <c r="SJR21" s="559"/>
      <c r="SJS21" s="559"/>
      <c r="SJT21" s="559"/>
      <c r="SJU21" s="559"/>
      <c r="SJV21" s="559"/>
      <c r="SJW21" s="559"/>
      <c r="SJX21" s="559"/>
      <c r="SJY21" s="559"/>
      <c r="SJZ21" s="559"/>
      <c r="SKA21" s="559"/>
      <c r="SKB21" s="559"/>
      <c r="SKC21" s="559"/>
      <c r="SKD21" s="559"/>
      <c r="SKE21" s="559"/>
      <c r="SKF21" s="559"/>
      <c r="SKG21" s="559"/>
      <c r="SKH21" s="559"/>
      <c r="SKI21" s="559"/>
      <c r="SKJ21" s="559"/>
      <c r="SKK21" s="559"/>
      <c r="SKL21" s="559"/>
      <c r="SKM21" s="559"/>
      <c r="SKN21" s="559"/>
      <c r="SKO21" s="559"/>
      <c r="SKP21" s="559"/>
      <c r="SKQ21" s="559"/>
      <c r="SKR21" s="559"/>
      <c r="SKS21" s="559"/>
      <c r="SKT21" s="559"/>
      <c r="SKU21" s="559"/>
      <c r="SKV21" s="559"/>
      <c r="SKW21" s="559"/>
      <c r="SKX21" s="559"/>
      <c r="SKY21" s="559"/>
      <c r="SKZ21" s="559"/>
      <c r="SLA21" s="559"/>
      <c r="SLB21" s="559"/>
      <c r="SLC21" s="559"/>
      <c r="SLD21" s="559"/>
      <c r="SLE21" s="559"/>
      <c r="SLF21" s="559"/>
      <c r="SLG21" s="559"/>
      <c r="SLH21" s="559"/>
      <c r="SLI21" s="559"/>
      <c r="SLJ21" s="559"/>
      <c r="SLK21" s="559"/>
      <c r="SLL21" s="559"/>
      <c r="SLM21" s="559"/>
      <c r="SLN21" s="559"/>
      <c r="SLO21" s="559"/>
      <c r="SLP21" s="559"/>
      <c r="SLQ21" s="559"/>
      <c r="SLR21" s="559"/>
      <c r="SLS21" s="559"/>
      <c r="SLT21" s="559"/>
      <c r="SLU21" s="559"/>
      <c r="SLV21" s="559"/>
      <c r="SLW21" s="559"/>
      <c r="SLX21" s="559"/>
      <c r="SLY21" s="559"/>
      <c r="SLZ21" s="559"/>
      <c r="SMA21" s="559"/>
      <c r="SMB21" s="559"/>
      <c r="SMC21" s="559"/>
      <c r="SMD21" s="559"/>
      <c r="SME21" s="559"/>
      <c r="SMF21" s="559"/>
      <c r="SMG21" s="559"/>
      <c r="SMH21" s="559"/>
      <c r="SMI21" s="559"/>
      <c r="SMJ21" s="559"/>
      <c r="SMK21" s="559"/>
      <c r="SML21" s="559"/>
      <c r="SMM21" s="559"/>
      <c r="SMN21" s="559"/>
      <c r="SMO21" s="559"/>
      <c r="SMP21" s="559"/>
      <c r="SMQ21" s="559"/>
      <c r="SMR21" s="559"/>
      <c r="SMS21" s="559"/>
      <c r="SMT21" s="559"/>
      <c r="SMU21" s="559"/>
      <c r="SMV21" s="559"/>
      <c r="SMW21" s="559"/>
      <c r="SMX21" s="559"/>
      <c r="SMY21" s="559"/>
      <c r="SMZ21" s="559"/>
      <c r="SNA21" s="559"/>
      <c r="SNB21" s="559"/>
      <c r="SNC21" s="559"/>
      <c r="SND21" s="559"/>
      <c r="SNE21" s="559"/>
      <c r="SNF21" s="559"/>
      <c r="SNG21" s="559"/>
      <c r="SNH21" s="559"/>
      <c r="SNI21" s="559"/>
      <c r="SNJ21" s="559"/>
      <c r="SNK21" s="559"/>
      <c r="SNL21" s="559"/>
      <c r="SNM21" s="559"/>
      <c r="SNN21" s="559"/>
      <c r="SNO21" s="559"/>
      <c r="SNP21" s="559"/>
      <c r="SNQ21" s="559"/>
      <c r="SNR21" s="559"/>
      <c r="SNS21" s="559"/>
      <c r="SNT21" s="559"/>
      <c r="SNU21" s="559"/>
      <c r="SNV21" s="559"/>
      <c r="SNW21" s="559"/>
      <c r="SNX21" s="559"/>
      <c r="SNY21" s="559"/>
      <c r="SNZ21" s="559"/>
      <c r="SOA21" s="559"/>
      <c r="SOB21" s="559"/>
      <c r="SOC21" s="559"/>
      <c r="SOD21" s="559"/>
      <c r="SOE21" s="559"/>
      <c r="SOF21" s="559"/>
      <c r="SOG21" s="559"/>
      <c r="SOH21" s="559"/>
      <c r="SOI21" s="559"/>
      <c r="SOJ21" s="559"/>
      <c r="SOK21" s="559"/>
      <c r="SOL21" s="559"/>
      <c r="SOM21" s="559"/>
      <c r="SON21" s="559"/>
      <c r="SOO21" s="559"/>
      <c r="SOP21" s="559"/>
      <c r="SOQ21" s="559"/>
      <c r="SOR21" s="559"/>
      <c r="SOS21" s="559"/>
      <c r="SOT21" s="559"/>
      <c r="SOU21" s="559"/>
      <c r="SOV21" s="559"/>
      <c r="SOW21" s="559"/>
      <c r="SOX21" s="559"/>
      <c r="SOY21" s="559"/>
      <c r="SOZ21" s="559"/>
      <c r="SPA21" s="559"/>
      <c r="SPB21" s="559"/>
      <c r="SPC21" s="559"/>
      <c r="SPD21" s="559"/>
      <c r="SPE21" s="559"/>
      <c r="SPF21" s="559"/>
      <c r="SPG21" s="559"/>
      <c r="SPH21" s="559"/>
      <c r="SPI21" s="559"/>
      <c r="SPJ21" s="559"/>
      <c r="SPK21" s="559"/>
      <c r="SPL21" s="559"/>
      <c r="SPM21" s="559"/>
      <c r="SPN21" s="559"/>
      <c r="SPO21" s="559"/>
      <c r="SPP21" s="559"/>
      <c r="SPQ21" s="559"/>
      <c r="SPR21" s="559"/>
      <c r="SPS21" s="559"/>
      <c r="SPT21" s="559"/>
      <c r="SPU21" s="559"/>
      <c r="SPV21" s="559"/>
      <c r="SPW21" s="559"/>
      <c r="SPX21" s="559"/>
      <c r="SPY21" s="559"/>
      <c r="SPZ21" s="559"/>
      <c r="SQA21" s="559"/>
      <c r="SQB21" s="559"/>
      <c r="SQC21" s="559"/>
      <c r="SQD21" s="559"/>
      <c r="SQE21" s="559"/>
      <c r="SQF21" s="559"/>
      <c r="SQG21" s="559"/>
      <c r="SQH21" s="559"/>
      <c r="SQI21" s="559"/>
      <c r="SQJ21" s="559"/>
      <c r="SQK21" s="559"/>
      <c r="SQL21" s="559"/>
      <c r="SQM21" s="559"/>
      <c r="SQN21" s="559"/>
      <c r="SQO21" s="559"/>
      <c r="SQP21" s="559"/>
      <c r="SQQ21" s="559"/>
      <c r="SQR21" s="559"/>
      <c r="SQS21" s="559"/>
      <c r="SQT21" s="559"/>
      <c r="SQU21" s="559"/>
      <c r="SQV21" s="559"/>
      <c r="SQW21" s="559"/>
      <c r="SQX21" s="559"/>
      <c r="SQY21" s="559"/>
      <c r="SQZ21" s="559"/>
      <c r="SRA21" s="559"/>
      <c r="SRB21" s="559"/>
      <c r="SRC21" s="559"/>
      <c r="SRD21" s="559"/>
      <c r="SRE21" s="559"/>
      <c r="SRF21" s="559"/>
      <c r="SRG21" s="559"/>
      <c r="SRH21" s="559"/>
      <c r="SRI21" s="559"/>
      <c r="SRJ21" s="559"/>
      <c r="SRK21" s="559"/>
      <c r="SRL21" s="559"/>
      <c r="SRM21" s="559"/>
      <c r="SRN21" s="559"/>
      <c r="SRO21" s="559"/>
      <c r="SRP21" s="559"/>
      <c r="SRQ21" s="559"/>
      <c r="SRR21" s="559"/>
      <c r="SRS21" s="559"/>
      <c r="SRT21" s="559"/>
      <c r="SRU21" s="559"/>
      <c r="SRV21" s="559"/>
      <c r="SRW21" s="559"/>
      <c r="SRX21" s="559"/>
      <c r="SRY21" s="559"/>
      <c r="SRZ21" s="559"/>
      <c r="SSA21" s="559"/>
      <c r="SSB21" s="559"/>
      <c r="SSC21" s="559"/>
      <c r="SSD21" s="559"/>
      <c r="SSE21" s="559"/>
      <c r="SSF21" s="559"/>
      <c r="SSG21" s="559"/>
      <c r="SSH21" s="559"/>
      <c r="SSI21" s="559"/>
      <c r="SSJ21" s="559"/>
      <c r="SSK21" s="559"/>
      <c r="SSL21" s="559"/>
      <c r="SSM21" s="559"/>
      <c r="SSN21" s="559"/>
      <c r="SSO21" s="559"/>
      <c r="SSP21" s="559"/>
      <c r="SSQ21" s="559"/>
      <c r="SSR21" s="559"/>
      <c r="SSS21" s="559"/>
      <c r="SST21" s="559"/>
      <c r="SSU21" s="559"/>
      <c r="SSV21" s="559"/>
      <c r="SSW21" s="559"/>
      <c r="SSX21" s="559"/>
      <c r="SSY21" s="559"/>
      <c r="SSZ21" s="559"/>
      <c r="STA21" s="559"/>
      <c r="STB21" s="559"/>
      <c r="STC21" s="559"/>
      <c r="STD21" s="559"/>
      <c r="STE21" s="559"/>
      <c r="STF21" s="559"/>
      <c r="STG21" s="559"/>
      <c r="STH21" s="559"/>
      <c r="STI21" s="559"/>
      <c r="STJ21" s="559"/>
      <c r="STK21" s="559"/>
      <c r="STL21" s="559"/>
      <c r="STM21" s="559"/>
      <c r="STN21" s="559"/>
      <c r="STO21" s="559"/>
      <c r="STP21" s="559"/>
      <c r="STQ21" s="559"/>
      <c r="STR21" s="559"/>
      <c r="STS21" s="559"/>
      <c r="STT21" s="559"/>
      <c r="STU21" s="559"/>
      <c r="STV21" s="559"/>
      <c r="STW21" s="559"/>
      <c r="STX21" s="559"/>
      <c r="STY21" s="559"/>
      <c r="STZ21" s="559"/>
      <c r="SUA21" s="559"/>
      <c r="SUB21" s="559"/>
      <c r="SUC21" s="559"/>
      <c r="SUD21" s="559"/>
      <c r="SUE21" s="559"/>
      <c r="SUF21" s="559"/>
      <c r="SUG21" s="559"/>
      <c r="SUH21" s="559"/>
      <c r="SUI21" s="559"/>
      <c r="SUJ21" s="559"/>
      <c r="SUK21" s="559"/>
      <c r="SUL21" s="559"/>
      <c r="SUM21" s="559"/>
      <c r="SUN21" s="559"/>
      <c r="SUO21" s="559"/>
      <c r="SUP21" s="559"/>
      <c r="SUQ21" s="559"/>
      <c r="SUR21" s="559"/>
      <c r="SUS21" s="559"/>
      <c r="SUT21" s="559"/>
      <c r="SUU21" s="559"/>
      <c r="SUV21" s="559"/>
      <c r="SUW21" s="559"/>
      <c r="SUX21" s="559"/>
      <c r="SUY21" s="559"/>
      <c r="SUZ21" s="559"/>
      <c r="SVA21" s="559"/>
      <c r="SVB21" s="559"/>
      <c r="SVC21" s="559"/>
      <c r="SVD21" s="559"/>
      <c r="SVE21" s="559"/>
      <c r="SVF21" s="559"/>
      <c r="SVG21" s="559"/>
      <c r="SVH21" s="559"/>
      <c r="SVI21" s="559"/>
      <c r="SVJ21" s="559"/>
      <c r="SVK21" s="559"/>
      <c r="SVL21" s="559"/>
      <c r="SVM21" s="559"/>
      <c r="SVN21" s="559"/>
      <c r="SVO21" s="559"/>
      <c r="SVP21" s="559"/>
      <c r="SVQ21" s="559"/>
      <c r="SVR21" s="559"/>
      <c r="SVS21" s="559"/>
      <c r="SVT21" s="559"/>
      <c r="SVU21" s="559"/>
      <c r="SVV21" s="559"/>
      <c r="SVW21" s="559"/>
      <c r="SVX21" s="559"/>
      <c r="SVY21" s="559"/>
      <c r="SVZ21" s="559"/>
      <c r="SWA21" s="559"/>
      <c r="SWB21" s="559"/>
      <c r="SWC21" s="559"/>
      <c r="SWD21" s="559"/>
      <c r="SWE21" s="559"/>
      <c r="SWF21" s="559"/>
      <c r="SWG21" s="559"/>
      <c r="SWH21" s="559"/>
      <c r="SWI21" s="559"/>
      <c r="SWJ21" s="559"/>
      <c r="SWK21" s="559"/>
      <c r="SWL21" s="559"/>
      <c r="SWM21" s="559"/>
      <c r="SWN21" s="559"/>
      <c r="SWO21" s="559"/>
      <c r="SWP21" s="559"/>
      <c r="SWQ21" s="559"/>
      <c r="SWR21" s="559"/>
      <c r="SWS21" s="559"/>
      <c r="SWT21" s="559"/>
      <c r="SWU21" s="559"/>
      <c r="SWV21" s="559"/>
      <c r="SWW21" s="559"/>
      <c r="SWX21" s="559"/>
      <c r="SWY21" s="559"/>
      <c r="SWZ21" s="559"/>
      <c r="SXA21" s="559"/>
      <c r="SXB21" s="559"/>
      <c r="SXC21" s="559"/>
      <c r="SXD21" s="559"/>
      <c r="SXE21" s="559"/>
      <c r="SXF21" s="559"/>
      <c r="SXG21" s="559"/>
      <c r="SXH21" s="559"/>
      <c r="SXI21" s="559"/>
      <c r="SXJ21" s="559"/>
      <c r="SXK21" s="559"/>
      <c r="SXL21" s="559"/>
      <c r="SXM21" s="559"/>
      <c r="SXN21" s="559"/>
      <c r="SXO21" s="559"/>
      <c r="SXP21" s="559"/>
      <c r="SXQ21" s="559"/>
      <c r="SXR21" s="559"/>
      <c r="SXS21" s="559"/>
      <c r="SXT21" s="559"/>
      <c r="SXU21" s="559"/>
      <c r="SXV21" s="559"/>
      <c r="SXW21" s="559"/>
      <c r="SXX21" s="559"/>
      <c r="SXY21" s="559"/>
      <c r="SXZ21" s="559"/>
      <c r="SYA21" s="559"/>
      <c r="SYB21" s="559"/>
      <c r="SYC21" s="559"/>
      <c r="SYD21" s="559"/>
      <c r="SYE21" s="559"/>
      <c r="SYF21" s="559"/>
      <c r="SYG21" s="559"/>
      <c r="SYH21" s="559"/>
      <c r="SYI21" s="559"/>
      <c r="SYJ21" s="559"/>
      <c r="SYK21" s="559"/>
      <c r="SYL21" s="559"/>
      <c r="SYM21" s="559"/>
      <c r="SYN21" s="559"/>
      <c r="SYO21" s="559"/>
      <c r="SYP21" s="559"/>
      <c r="SYQ21" s="559"/>
      <c r="SYR21" s="559"/>
      <c r="SYS21" s="559"/>
      <c r="SYT21" s="559"/>
      <c r="SYU21" s="559"/>
      <c r="SYV21" s="559"/>
      <c r="SYW21" s="559"/>
      <c r="SYX21" s="559"/>
      <c r="SYY21" s="559"/>
      <c r="SYZ21" s="559"/>
      <c r="SZA21" s="559"/>
      <c r="SZB21" s="559"/>
      <c r="SZC21" s="559"/>
      <c r="SZD21" s="559"/>
      <c r="SZE21" s="559"/>
      <c r="SZF21" s="559"/>
      <c r="SZG21" s="559"/>
      <c r="SZH21" s="559"/>
      <c r="SZI21" s="559"/>
      <c r="SZJ21" s="559"/>
      <c r="SZK21" s="559"/>
      <c r="SZL21" s="559"/>
      <c r="SZM21" s="559"/>
      <c r="SZN21" s="559"/>
      <c r="SZO21" s="559"/>
      <c r="SZP21" s="559"/>
      <c r="SZQ21" s="559"/>
      <c r="SZR21" s="559"/>
      <c r="SZS21" s="559"/>
      <c r="SZT21" s="559"/>
      <c r="SZU21" s="559"/>
      <c r="SZV21" s="559"/>
      <c r="SZW21" s="559"/>
      <c r="SZX21" s="559"/>
      <c r="SZY21" s="559"/>
      <c r="SZZ21" s="559"/>
      <c r="TAA21" s="559"/>
      <c r="TAB21" s="559"/>
      <c r="TAC21" s="559"/>
      <c r="TAD21" s="559"/>
      <c r="TAE21" s="559"/>
      <c r="TAF21" s="559"/>
      <c r="TAG21" s="559"/>
      <c r="TAH21" s="559"/>
      <c r="TAI21" s="559"/>
      <c r="TAJ21" s="559"/>
      <c r="TAK21" s="559"/>
      <c r="TAL21" s="559"/>
      <c r="TAM21" s="559"/>
      <c r="TAN21" s="559"/>
      <c r="TAO21" s="559"/>
      <c r="TAP21" s="559"/>
      <c r="TAQ21" s="559"/>
      <c r="TAR21" s="559"/>
      <c r="TAS21" s="559"/>
      <c r="TAT21" s="559"/>
      <c r="TAU21" s="559"/>
      <c r="TAV21" s="559"/>
      <c r="TAW21" s="559"/>
      <c r="TAX21" s="559"/>
      <c r="TAY21" s="559"/>
      <c r="TAZ21" s="559"/>
      <c r="TBA21" s="559"/>
      <c r="TBB21" s="559"/>
      <c r="TBC21" s="559"/>
      <c r="TBD21" s="559"/>
      <c r="TBE21" s="559"/>
      <c r="TBF21" s="559"/>
      <c r="TBG21" s="559"/>
      <c r="TBH21" s="559"/>
      <c r="TBI21" s="559"/>
      <c r="TBJ21" s="559"/>
      <c r="TBK21" s="559"/>
      <c r="TBL21" s="559"/>
      <c r="TBM21" s="559"/>
      <c r="TBN21" s="559"/>
      <c r="TBO21" s="559"/>
      <c r="TBP21" s="559"/>
      <c r="TBQ21" s="559"/>
      <c r="TBR21" s="559"/>
      <c r="TBS21" s="559"/>
      <c r="TBT21" s="559"/>
      <c r="TBU21" s="559"/>
      <c r="TBV21" s="559"/>
      <c r="TBW21" s="559"/>
      <c r="TBX21" s="559"/>
      <c r="TBY21" s="559"/>
      <c r="TBZ21" s="559"/>
      <c r="TCA21" s="559"/>
      <c r="TCB21" s="559"/>
      <c r="TCC21" s="559"/>
      <c r="TCD21" s="559"/>
      <c r="TCE21" s="559"/>
      <c r="TCF21" s="559"/>
      <c r="TCG21" s="559"/>
      <c r="TCH21" s="559"/>
      <c r="TCI21" s="559"/>
      <c r="TCJ21" s="559"/>
      <c r="TCK21" s="559"/>
      <c r="TCL21" s="559"/>
      <c r="TCM21" s="559"/>
      <c r="TCN21" s="559"/>
      <c r="TCO21" s="559"/>
      <c r="TCP21" s="559"/>
      <c r="TCQ21" s="559"/>
      <c r="TCR21" s="559"/>
      <c r="TCS21" s="559"/>
      <c r="TCT21" s="559"/>
      <c r="TCU21" s="559"/>
      <c r="TCV21" s="559"/>
      <c r="TCW21" s="559"/>
      <c r="TCX21" s="559"/>
      <c r="TCY21" s="559"/>
      <c r="TCZ21" s="559"/>
      <c r="TDA21" s="559"/>
      <c r="TDB21" s="559"/>
      <c r="TDC21" s="559"/>
      <c r="TDD21" s="559"/>
      <c r="TDE21" s="559"/>
      <c r="TDF21" s="559"/>
      <c r="TDG21" s="559"/>
      <c r="TDH21" s="559"/>
      <c r="TDI21" s="559"/>
      <c r="TDJ21" s="559"/>
      <c r="TDK21" s="559"/>
      <c r="TDL21" s="559"/>
      <c r="TDM21" s="559"/>
      <c r="TDN21" s="559"/>
      <c r="TDO21" s="559"/>
      <c r="TDP21" s="559"/>
      <c r="TDQ21" s="559"/>
      <c r="TDR21" s="559"/>
      <c r="TDS21" s="559"/>
      <c r="TDT21" s="559"/>
      <c r="TDU21" s="559"/>
      <c r="TDV21" s="559"/>
      <c r="TDW21" s="559"/>
      <c r="TDX21" s="559"/>
      <c r="TDY21" s="559"/>
      <c r="TDZ21" s="559"/>
      <c r="TEA21" s="559"/>
      <c r="TEB21" s="559"/>
      <c r="TEC21" s="559"/>
      <c r="TED21" s="559"/>
      <c r="TEE21" s="559"/>
      <c r="TEF21" s="559"/>
      <c r="TEG21" s="559"/>
      <c r="TEH21" s="559"/>
      <c r="TEI21" s="559"/>
      <c r="TEJ21" s="559"/>
      <c r="TEK21" s="559"/>
      <c r="TEL21" s="559"/>
      <c r="TEM21" s="559"/>
      <c r="TEN21" s="559"/>
      <c r="TEO21" s="559"/>
      <c r="TEP21" s="559"/>
      <c r="TEQ21" s="559"/>
      <c r="TER21" s="559"/>
      <c r="TES21" s="559"/>
      <c r="TET21" s="559"/>
      <c r="TEU21" s="559"/>
      <c r="TEV21" s="559"/>
      <c r="TEW21" s="559"/>
      <c r="TEX21" s="559"/>
      <c r="TEY21" s="559"/>
      <c r="TEZ21" s="559"/>
      <c r="TFA21" s="559"/>
      <c r="TFB21" s="559"/>
      <c r="TFC21" s="559"/>
      <c r="TFD21" s="559"/>
      <c r="TFE21" s="559"/>
      <c r="TFF21" s="559"/>
      <c r="TFG21" s="559"/>
      <c r="TFH21" s="559"/>
      <c r="TFI21" s="559"/>
      <c r="TFJ21" s="559"/>
      <c r="TFK21" s="559"/>
      <c r="TFL21" s="559"/>
      <c r="TFM21" s="559"/>
      <c r="TFN21" s="559"/>
      <c r="TFO21" s="559"/>
      <c r="TFP21" s="559"/>
      <c r="TFQ21" s="559"/>
      <c r="TFR21" s="559"/>
      <c r="TFS21" s="559"/>
      <c r="TFT21" s="559"/>
      <c r="TFU21" s="559"/>
      <c r="TFV21" s="559"/>
      <c r="TFW21" s="559"/>
      <c r="TFX21" s="559"/>
      <c r="TFY21" s="559"/>
      <c r="TFZ21" s="559"/>
      <c r="TGA21" s="559"/>
      <c r="TGB21" s="559"/>
      <c r="TGC21" s="559"/>
      <c r="TGD21" s="559"/>
      <c r="TGE21" s="559"/>
      <c r="TGF21" s="559"/>
      <c r="TGG21" s="559"/>
      <c r="TGH21" s="559"/>
      <c r="TGI21" s="559"/>
      <c r="TGJ21" s="559"/>
      <c r="TGK21" s="559"/>
      <c r="TGL21" s="559"/>
      <c r="TGM21" s="559"/>
      <c r="TGN21" s="559"/>
      <c r="TGO21" s="559"/>
      <c r="TGP21" s="559"/>
      <c r="TGQ21" s="559"/>
      <c r="TGR21" s="559"/>
      <c r="TGS21" s="559"/>
      <c r="TGT21" s="559"/>
      <c r="TGU21" s="559"/>
      <c r="TGV21" s="559"/>
      <c r="TGW21" s="559"/>
      <c r="TGX21" s="559"/>
      <c r="TGY21" s="559"/>
      <c r="TGZ21" s="559"/>
      <c r="THA21" s="559"/>
      <c r="THB21" s="559"/>
      <c r="THC21" s="559"/>
      <c r="THD21" s="559"/>
      <c r="THE21" s="559"/>
      <c r="THF21" s="559"/>
      <c r="THG21" s="559"/>
      <c r="THH21" s="559"/>
      <c r="THI21" s="559"/>
      <c r="THJ21" s="559"/>
      <c r="THK21" s="559"/>
      <c r="THL21" s="559"/>
      <c r="THM21" s="559"/>
      <c r="THN21" s="559"/>
      <c r="THO21" s="559"/>
      <c r="THP21" s="559"/>
      <c r="THQ21" s="559"/>
      <c r="THR21" s="559"/>
      <c r="THS21" s="559"/>
      <c r="THT21" s="559"/>
      <c r="THU21" s="559"/>
      <c r="THV21" s="559"/>
      <c r="THW21" s="559"/>
      <c r="THX21" s="559"/>
      <c r="THY21" s="559"/>
      <c r="THZ21" s="559"/>
      <c r="TIA21" s="559"/>
      <c r="TIB21" s="559"/>
      <c r="TIC21" s="559"/>
      <c r="TID21" s="559"/>
      <c r="TIE21" s="559"/>
      <c r="TIF21" s="559"/>
      <c r="TIG21" s="559"/>
      <c r="TIH21" s="559"/>
      <c r="TII21" s="559"/>
      <c r="TIJ21" s="559"/>
      <c r="TIK21" s="559"/>
      <c r="TIL21" s="559"/>
      <c r="TIM21" s="559"/>
      <c r="TIN21" s="559"/>
      <c r="TIO21" s="559"/>
      <c r="TIP21" s="559"/>
      <c r="TIQ21" s="559"/>
      <c r="TIR21" s="559"/>
      <c r="TIS21" s="559"/>
      <c r="TIT21" s="559"/>
      <c r="TIU21" s="559"/>
      <c r="TIV21" s="559"/>
      <c r="TIW21" s="559"/>
      <c r="TIX21" s="559"/>
      <c r="TIY21" s="559"/>
      <c r="TIZ21" s="559"/>
      <c r="TJA21" s="559"/>
      <c r="TJB21" s="559"/>
      <c r="TJC21" s="559"/>
      <c r="TJD21" s="559"/>
      <c r="TJE21" s="559"/>
      <c r="TJF21" s="559"/>
      <c r="TJG21" s="559"/>
      <c r="TJH21" s="559"/>
      <c r="TJI21" s="559"/>
      <c r="TJJ21" s="559"/>
      <c r="TJK21" s="559"/>
      <c r="TJL21" s="559"/>
      <c r="TJM21" s="559"/>
      <c r="TJN21" s="559"/>
      <c r="TJO21" s="559"/>
      <c r="TJP21" s="559"/>
      <c r="TJQ21" s="559"/>
      <c r="TJR21" s="559"/>
      <c r="TJS21" s="559"/>
      <c r="TJT21" s="559"/>
      <c r="TJU21" s="559"/>
      <c r="TJV21" s="559"/>
      <c r="TJW21" s="559"/>
      <c r="TJX21" s="559"/>
      <c r="TJY21" s="559"/>
      <c r="TJZ21" s="559"/>
      <c r="TKA21" s="559"/>
      <c r="TKB21" s="559"/>
      <c r="TKC21" s="559"/>
      <c r="TKD21" s="559"/>
      <c r="TKE21" s="559"/>
      <c r="TKF21" s="559"/>
      <c r="TKG21" s="559"/>
      <c r="TKH21" s="559"/>
      <c r="TKI21" s="559"/>
      <c r="TKJ21" s="559"/>
      <c r="TKK21" s="559"/>
      <c r="TKL21" s="559"/>
      <c r="TKM21" s="559"/>
      <c r="TKN21" s="559"/>
      <c r="TKO21" s="559"/>
      <c r="TKP21" s="559"/>
      <c r="TKQ21" s="559"/>
      <c r="TKR21" s="559"/>
      <c r="TKS21" s="559"/>
      <c r="TKT21" s="559"/>
      <c r="TKU21" s="559"/>
      <c r="TKV21" s="559"/>
      <c r="TKW21" s="559"/>
      <c r="TKX21" s="559"/>
      <c r="TKY21" s="559"/>
      <c r="TKZ21" s="559"/>
      <c r="TLA21" s="559"/>
      <c r="TLB21" s="559"/>
      <c r="TLC21" s="559"/>
      <c r="TLD21" s="559"/>
      <c r="TLE21" s="559"/>
      <c r="TLF21" s="559"/>
      <c r="TLG21" s="559"/>
      <c r="TLH21" s="559"/>
      <c r="TLI21" s="559"/>
      <c r="TLJ21" s="559"/>
      <c r="TLK21" s="559"/>
      <c r="TLL21" s="559"/>
      <c r="TLM21" s="559"/>
      <c r="TLN21" s="559"/>
      <c r="TLO21" s="559"/>
      <c r="TLP21" s="559"/>
      <c r="TLQ21" s="559"/>
      <c r="TLR21" s="559"/>
      <c r="TLS21" s="559"/>
      <c r="TLT21" s="559"/>
      <c r="TLU21" s="559"/>
      <c r="TLV21" s="559"/>
      <c r="TLW21" s="559"/>
      <c r="TLX21" s="559"/>
      <c r="TLY21" s="559"/>
      <c r="TLZ21" s="559"/>
      <c r="TMA21" s="559"/>
      <c r="TMB21" s="559"/>
      <c r="TMC21" s="559"/>
      <c r="TMD21" s="559"/>
      <c r="TME21" s="559"/>
      <c r="TMF21" s="559"/>
      <c r="TMG21" s="559"/>
      <c r="TMH21" s="559"/>
      <c r="TMI21" s="559"/>
      <c r="TMJ21" s="559"/>
      <c r="TMK21" s="559"/>
      <c r="TML21" s="559"/>
      <c r="TMM21" s="559"/>
      <c r="TMN21" s="559"/>
      <c r="TMO21" s="559"/>
      <c r="TMP21" s="559"/>
      <c r="TMQ21" s="559"/>
      <c r="TMR21" s="559"/>
      <c r="TMS21" s="559"/>
      <c r="TMT21" s="559"/>
      <c r="TMU21" s="559"/>
      <c r="TMV21" s="559"/>
      <c r="TMW21" s="559"/>
      <c r="TMX21" s="559"/>
      <c r="TMY21" s="559"/>
      <c r="TMZ21" s="559"/>
      <c r="TNA21" s="559"/>
      <c r="TNB21" s="559"/>
      <c r="TNC21" s="559"/>
      <c r="TND21" s="559"/>
      <c r="TNE21" s="559"/>
      <c r="TNF21" s="559"/>
      <c r="TNG21" s="559"/>
      <c r="TNH21" s="559"/>
      <c r="TNI21" s="559"/>
      <c r="TNJ21" s="559"/>
      <c r="TNK21" s="559"/>
      <c r="TNL21" s="559"/>
      <c r="TNM21" s="559"/>
      <c r="TNN21" s="559"/>
      <c r="TNO21" s="559"/>
      <c r="TNP21" s="559"/>
      <c r="TNQ21" s="559"/>
      <c r="TNR21" s="559"/>
      <c r="TNS21" s="559"/>
      <c r="TNT21" s="559"/>
      <c r="TNU21" s="559"/>
      <c r="TNV21" s="559"/>
      <c r="TNW21" s="559"/>
      <c r="TNX21" s="559"/>
      <c r="TNY21" s="559"/>
      <c r="TNZ21" s="559"/>
      <c r="TOA21" s="559"/>
      <c r="TOB21" s="559"/>
      <c r="TOC21" s="559"/>
      <c r="TOD21" s="559"/>
      <c r="TOE21" s="559"/>
      <c r="TOF21" s="559"/>
      <c r="TOG21" s="559"/>
      <c r="TOH21" s="559"/>
      <c r="TOI21" s="559"/>
      <c r="TOJ21" s="559"/>
      <c r="TOK21" s="559"/>
      <c r="TOL21" s="559"/>
      <c r="TOM21" s="559"/>
      <c r="TON21" s="559"/>
      <c r="TOO21" s="559"/>
      <c r="TOP21" s="559"/>
      <c r="TOQ21" s="559"/>
      <c r="TOR21" s="559"/>
      <c r="TOS21" s="559"/>
      <c r="TOT21" s="559"/>
      <c r="TOU21" s="559"/>
      <c r="TOV21" s="559"/>
      <c r="TOW21" s="559"/>
      <c r="TOX21" s="559"/>
      <c r="TOY21" s="559"/>
      <c r="TOZ21" s="559"/>
      <c r="TPA21" s="559"/>
      <c r="TPB21" s="559"/>
      <c r="TPC21" s="559"/>
      <c r="TPD21" s="559"/>
      <c r="TPE21" s="559"/>
      <c r="TPF21" s="559"/>
      <c r="TPG21" s="559"/>
      <c r="TPH21" s="559"/>
      <c r="TPI21" s="559"/>
      <c r="TPJ21" s="559"/>
      <c r="TPK21" s="559"/>
      <c r="TPL21" s="559"/>
      <c r="TPM21" s="559"/>
      <c r="TPN21" s="559"/>
      <c r="TPO21" s="559"/>
      <c r="TPP21" s="559"/>
      <c r="TPQ21" s="559"/>
      <c r="TPR21" s="559"/>
      <c r="TPS21" s="559"/>
      <c r="TPT21" s="559"/>
      <c r="TPU21" s="559"/>
      <c r="TPV21" s="559"/>
      <c r="TPW21" s="559"/>
      <c r="TPX21" s="559"/>
      <c r="TPY21" s="559"/>
      <c r="TPZ21" s="559"/>
      <c r="TQA21" s="559"/>
      <c r="TQB21" s="559"/>
      <c r="TQC21" s="559"/>
      <c r="TQD21" s="559"/>
      <c r="TQE21" s="559"/>
      <c r="TQF21" s="559"/>
      <c r="TQG21" s="559"/>
      <c r="TQH21" s="559"/>
      <c r="TQI21" s="559"/>
      <c r="TQJ21" s="559"/>
      <c r="TQK21" s="559"/>
      <c r="TQL21" s="559"/>
      <c r="TQM21" s="559"/>
      <c r="TQN21" s="559"/>
      <c r="TQO21" s="559"/>
      <c r="TQP21" s="559"/>
      <c r="TQQ21" s="559"/>
      <c r="TQR21" s="559"/>
      <c r="TQS21" s="559"/>
      <c r="TQT21" s="559"/>
      <c r="TQU21" s="559"/>
      <c r="TQV21" s="559"/>
      <c r="TQW21" s="559"/>
      <c r="TQX21" s="559"/>
      <c r="TQY21" s="559"/>
      <c r="TQZ21" s="559"/>
      <c r="TRA21" s="559"/>
      <c r="TRB21" s="559"/>
      <c r="TRC21" s="559"/>
      <c r="TRD21" s="559"/>
      <c r="TRE21" s="559"/>
      <c r="TRF21" s="559"/>
      <c r="TRG21" s="559"/>
      <c r="TRH21" s="559"/>
      <c r="TRI21" s="559"/>
      <c r="TRJ21" s="559"/>
      <c r="TRK21" s="559"/>
      <c r="TRL21" s="559"/>
      <c r="TRM21" s="559"/>
      <c r="TRN21" s="559"/>
      <c r="TRO21" s="559"/>
      <c r="TRP21" s="559"/>
      <c r="TRQ21" s="559"/>
      <c r="TRR21" s="559"/>
      <c r="TRS21" s="559"/>
      <c r="TRT21" s="559"/>
      <c r="TRU21" s="559"/>
      <c r="TRV21" s="559"/>
      <c r="TRW21" s="559"/>
      <c r="TRX21" s="559"/>
      <c r="TRY21" s="559"/>
      <c r="TRZ21" s="559"/>
      <c r="TSA21" s="559"/>
      <c r="TSB21" s="559"/>
      <c r="TSC21" s="559"/>
      <c r="TSD21" s="559"/>
      <c r="TSE21" s="559"/>
      <c r="TSF21" s="559"/>
      <c r="TSG21" s="559"/>
      <c r="TSH21" s="559"/>
      <c r="TSI21" s="559"/>
      <c r="TSJ21" s="559"/>
      <c r="TSK21" s="559"/>
      <c r="TSL21" s="559"/>
      <c r="TSM21" s="559"/>
      <c r="TSN21" s="559"/>
      <c r="TSO21" s="559"/>
      <c r="TSP21" s="559"/>
      <c r="TSQ21" s="559"/>
      <c r="TSR21" s="559"/>
      <c r="TSS21" s="559"/>
      <c r="TST21" s="559"/>
      <c r="TSU21" s="559"/>
      <c r="TSV21" s="559"/>
      <c r="TSW21" s="559"/>
      <c r="TSX21" s="559"/>
      <c r="TSY21" s="559"/>
      <c r="TSZ21" s="559"/>
      <c r="TTA21" s="559"/>
      <c r="TTB21" s="559"/>
      <c r="TTC21" s="559"/>
      <c r="TTD21" s="559"/>
      <c r="TTE21" s="559"/>
      <c r="TTF21" s="559"/>
      <c r="TTG21" s="559"/>
      <c r="TTH21" s="559"/>
      <c r="TTI21" s="559"/>
      <c r="TTJ21" s="559"/>
      <c r="TTK21" s="559"/>
      <c r="TTL21" s="559"/>
      <c r="TTM21" s="559"/>
      <c r="TTN21" s="559"/>
      <c r="TTO21" s="559"/>
      <c r="TTP21" s="559"/>
      <c r="TTQ21" s="559"/>
      <c r="TTR21" s="559"/>
      <c r="TTS21" s="559"/>
      <c r="TTT21" s="559"/>
      <c r="TTU21" s="559"/>
      <c r="TTV21" s="559"/>
      <c r="TTW21" s="559"/>
      <c r="TTX21" s="559"/>
      <c r="TTY21" s="559"/>
      <c r="TTZ21" s="559"/>
      <c r="TUA21" s="559"/>
      <c r="TUB21" s="559"/>
      <c r="TUC21" s="559"/>
      <c r="TUD21" s="559"/>
      <c r="TUE21" s="559"/>
      <c r="TUF21" s="559"/>
      <c r="TUG21" s="559"/>
      <c r="TUH21" s="559"/>
      <c r="TUI21" s="559"/>
      <c r="TUJ21" s="559"/>
      <c r="TUK21" s="559"/>
      <c r="TUL21" s="559"/>
      <c r="TUM21" s="559"/>
      <c r="TUN21" s="559"/>
      <c r="TUO21" s="559"/>
      <c r="TUP21" s="559"/>
      <c r="TUQ21" s="559"/>
      <c r="TUR21" s="559"/>
      <c r="TUS21" s="559"/>
      <c r="TUT21" s="559"/>
      <c r="TUU21" s="559"/>
      <c r="TUV21" s="559"/>
      <c r="TUW21" s="559"/>
      <c r="TUX21" s="559"/>
      <c r="TUY21" s="559"/>
      <c r="TUZ21" s="559"/>
      <c r="TVA21" s="559"/>
      <c r="TVB21" s="559"/>
      <c r="TVC21" s="559"/>
      <c r="TVD21" s="559"/>
      <c r="TVE21" s="559"/>
      <c r="TVF21" s="559"/>
      <c r="TVG21" s="559"/>
      <c r="TVH21" s="559"/>
      <c r="TVI21" s="559"/>
      <c r="TVJ21" s="559"/>
      <c r="TVK21" s="559"/>
      <c r="TVL21" s="559"/>
      <c r="TVM21" s="559"/>
      <c r="TVN21" s="559"/>
      <c r="TVO21" s="559"/>
      <c r="TVP21" s="559"/>
      <c r="TVQ21" s="559"/>
      <c r="TVR21" s="559"/>
      <c r="TVS21" s="559"/>
      <c r="TVT21" s="559"/>
      <c r="TVU21" s="559"/>
      <c r="TVV21" s="559"/>
      <c r="TVW21" s="559"/>
      <c r="TVX21" s="559"/>
      <c r="TVY21" s="559"/>
      <c r="TVZ21" s="559"/>
      <c r="TWA21" s="559"/>
      <c r="TWB21" s="559"/>
      <c r="TWC21" s="559"/>
      <c r="TWD21" s="559"/>
      <c r="TWE21" s="559"/>
      <c r="TWF21" s="559"/>
      <c r="TWG21" s="559"/>
      <c r="TWH21" s="559"/>
      <c r="TWI21" s="559"/>
      <c r="TWJ21" s="559"/>
      <c r="TWK21" s="559"/>
      <c r="TWL21" s="559"/>
      <c r="TWM21" s="559"/>
      <c r="TWN21" s="559"/>
      <c r="TWO21" s="559"/>
      <c r="TWP21" s="559"/>
      <c r="TWQ21" s="559"/>
      <c r="TWR21" s="559"/>
      <c r="TWS21" s="559"/>
      <c r="TWT21" s="559"/>
      <c r="TWU21" s="559"/>
      <c r="TWV21" s="559"/>
      <c r="TWW21" s="559"/>
      <c r="TWX21" s="559"/>
      <c r="TWY21" s="559"/>
      <c r="TWZ21" s="559"/>
      <c r="TXA21" s="559"/>
      <c r="TXB21" s="559"/>
      <c r="TXC21" s="559"/>
      <c r="TXD21" s="559"/>
      <c r="TXE21" s="559"/>
      <c r="TXF21" s="559"/>
      <c r="TXG21" s="559"/>
      <c r="TXH21" s="559"/>
      <c r="TXI21" s="559"/>
      <c r="TXJ21" s="559"/>
      <c r="TXK21" s="559"/>
      <c r="TXL21" s="559"/>
      <c r="TXM21" s="559"/>
      <c r="TXN21" s="559"/>
      <c r="TXO21" s="559"/>
      <c r="TXP21" s="559"/>
      <c r="TXQ21" s="559"/>
      <c r="TXR21" s="559"/>
      <c r="TXS21" s="559"/>
      <c r="TXT21" s="559"/>
      <c r="TXU21" s="559"/>
      <c r="TXV21" s="559"/>
      <c r="TXW21" s="559"/>
      <c r="TXX21" s="559"/>
      <c r="TXY21" s="559"/>
      <c r="TXZ21" s="559"/>
      <c r="TYA21" s="559"/>
      <c r="TYB21" s="559"/>
      <c r="TYC21" s="559"/>
      <c r="TYD21" s="559"/>
      <c r="TYE21" s="559"/>
      <c r="TYF21" s="559"/>
      <c r="TYG21" s="559"/>
      <c r="TYH21" s="559"/>
      <c r="TYI21" s="559"/>
      <c r="TYJ21" s="559"/>
      <c r="TYK21" s="559"/>
      <c r="TYL21" s="559"/>
      <c r="TYM21" s="559"/>
      <c r="TYN21" s="559"/>
      <c r="TYO21" s="559"/>
      <c r="TYP21" s="559"/>
      <c r="TYQ21" s="559"/>
      <c r="TYR21" s="559"/>
      <c r="TYS21" s="559"/>
      <c r="TYT21" s="559"/>
      <c r="TYU21" s="559"/>
      <c r="TYV21" s="559"/>
      <c r="TYW21" s="559"/>
      <c r="TYX21" s="559"/>
      <c r="TYY21" s="559"/>
      <c r="TYZ21" s="559"/>
      <c r="TZA21" s="559"/>
      <c r="TZB21" s="559"/>
      <c r="TZC21" s="559"/>
      <c r="TZD21" s="559"/>
      <c r="TZE21" s="559"/>
      <c r="TZF21" s="559"/>
      <c r="TZG21" s="559"/>
      <c r="TZH21" s="559"/>
      <c r="TZI21" s="559"/>
      <c r="TZJ21" s="559"/>
      <c r="TZK21" s="559"/>
      <c r="TZL21" s="559"/>
      <c r="TZM21" s="559"/>
      <c r="TZN21" s="559"/>
      <c r="TZO21" s="559"/>
      <c r="TZP21" s="559"/>
      <c r="TZQ21" s="559"/>
      <c r="TZR21" s="559"/>
      <c r="TZS21" s="559"/>
      <c r="TZT21" s="559"/>
      <c r="TZU21" s="559"/>
      <c r="TZV21" s="559"/>
      <c r="TZW21" s="559"/>
      <c r="TZX21" s="559"/>
      <c r="TZY21" s="559"/>
      <c r="TZZ21" s="559"/>
      <c r="UAA21" s="559"/>
      <c r="UAB21" s="559"/>
      <c r="UAC21" s="559"/>
      <c r="UAD21" s="559"/>
      <c r="UAE21" s="559"/>
      <c r="UAF21" s="559"/>
      <c r="UAG21" s="559"/>
      <c r="UAH21" s="559"/>
      <c r="UAI21" s="559"/>
      <c r="UAJ21" s="559"/>
      <c r="UAK21" s="559"/>
      <c r="UAL21" s="559"/>
      <c r="UAM21" s="559"/>
      <c r="UAN21" s="559"/>
      <c r="UAO21" s="559"/>
      <c r="UAP21" s="559"/>
      <c r="UAQ21" s="559"/>
      <c r="UAR21" s="559"/>
      <c r="UAS21" s="559"/>
      <c r="UAT21" s="559"/>
      <c r="UAU21" s="559"/>
      <c r="UAV21" s="559"/>
      <c r="UAW21" s="559"/>
      <c r="UAX21" s="559"/>
      <c r="UAY21" s="559"/>
      <c r="UAZ21" s="559"/>
      <c r="UBA21" s="559"/>
      <c r="UBB21" s="559"/>
      <c r="UBC21" s="559"/>
      <c r="UBD21" s="559"/>
      <c r="UBE21" s="559"/>
      <c r="UBF21" s="559"/>
      <c r="UBG21" s="559"/>
      <c r="UBH21" s="559"/>
      <c r="UBI21" s="559"/>
      <c r="UBJ21" s="559"/>
      <c r="UBK21" s="559"/>
      <c r="UBL21" s="559"/>
      <c r="UBM21" s="559"/>
      <c r="UBN21" s="559"/>
      <c r="UBO21" s="559"/>
      <c r="UBP21" s="559"/>
      <c r="UBQ21" s="559"/>
      <c r="UBR21" s="559"/>
      <c r="UBS21" s="559"/>
      <c r="UBT21" s="559"/>
      <c r="UBU21" s="559"/>
      <c r="UBV21" s="559"/>
      <c r="UBW21" s="559"/>
      <c r="UBX21" s="559"/>
      <c r="UBY21" s="559"/>
      <c r="UBZ21" s="559"/>
      <c r="UCA21" s="559"/>
      <c r="UCB21" s="559"/>
      <c r="UCC21" s="559"/>
      <c r="UCD21" s="559"/>
      <c r="UCE21" s="559"/>
      <c r="UCF21" s="559"/>
      <c r="UCG21" s="559"/>
      <c r="UCH21" s="559"/>
      <c r="UCI21" s="559"/>
      <c r="UCJ21" s="559"/>
      <c r="UCK21" s="559"/>
      <c r="UCL21" s="559"/>
      <c r="UCM21" s="559"/>
      <c r="UCN21" s="559"/>
      <c r="UCO21" s="559"/>
      <c r="UCP21" s="559"/>
      <c r="UCQ21" s="559"/>
      <c r="UCR21" s="559"/>
      <c r="UCS21" s="559"/>
      <c r="UCT21" s="559"/>
      <c r="UCU21" s="559"/>
      <c r="UCV21" s="559"/>
      <c r="UCW21" s="559"/>
      <c r="UCX21" s="559"/>
      <c r="UCY21" s="559"/>
      <c r="UCZ21" s="559"/>
      <c r="UDA21" s="559"/>
      <c r="UDB21" s="559"/>
      <c r="UDC21" s="559"/>
      <c r="UDD21" s="559"/>
      <c r="UDE21" s="559"/>
      <c r="UDF21" s="559"/>
      <c r="UDG21" s="559"/>
      <c r="UDH21" s="559"/>
      <c r="UDI21" s="559"/>
      <c r="UDJ21" s="559"/>
      <c r="UDK21" s="559"/>
      <c r="UDL21" s="559"/>
      <c r="UDM21" s="559"/>
      <c r="UDN21" s="559"/>
      <c r="UDO21" s="559"/>
      <c r="UDP21" s="559"/>
      <c r="UDQ21" s="559"/>
      <c r="UDR21" s="559"/>
      <c r="UDS21" s="559"/>
      <c r="UDT21" s="559"/>
      <c r="UDU21" s="559"/>
      <c r="UDV21" s="559"/>
      <c r="UDW21" s="559"/>
      <c r="UDX21" s="559"/>
      <c r="UDY21" s="559"/>
      <c r="UDZ21" s="559"/>
      <c r="UEA21" s="559"/>
      <c r="UEB21" s="559"/>
      <c r="UEC21" s="559"/>
      <c r="UED21" s="559"/>
      <c r="UEE21" s="559"/>
      <c r="UEF21" s="559"/>
      <c r="UEG21" s="559"/>
      <c r="UEH21" s="559"/>
      <c r="UEI21" s="559"/>
      <c r="UEJ21" s="559"/>
      <c r="UEK21" s="559"/>
      <c r="UEL21" s="559"/>
      <c r="UEM21" s="559"/>
      <c r="UEN21" s="559"/>
      <c r="UEO21" s="559"/>
      <c r="UEP21" s="559"/>
      <c r="UEQ21" s="559"/>
      <c r="UER21" s="559"/>
      <c r="UES21" s="559"/>
      <c r="UET21" s="559"/>
      <c r="UEU21" s="559"/>
      <c r="UEV21" s="559"/>
      <c r="UEW21" s="559"/>
      <c r="UEX21" s="559"/>
      <c r="UEY21" s="559"/>
      <c r="UEZ21" s="559"/>
      <c r="UFA21" s="559"/>
      <c r="UFB21" s="559"/>
      <c r="UFC21" s="559"/>
      <c r="UFD21" s="559"/>
      <c r="UFE21" s="559"/>
      <c r="UFF21" s="559"/>
      <c r="UFG21" s="559"/>
      <c r="UFH21" s="559"/>
      <c r="UFI21" s="559"/>
      <c r="UFJ21" s="559"/>
      <c r="UFK21" s="559"/>
      <c r="UFL21" s="559"/>
      <c r="UFM21" s="559"/>
      <c r="UFN21" s="559"/>
      <c r="UFO21" s="559"/>
      <c r="UFP21" s="559"/>
      <c r="UFQ21" s="559"/>
      <c r="UFR21" s="559"/>
      <c r="UFS21" s="559"/>
      <c r="UFT21" s="559"/>
      <c r="UFU21" s="559"/>
      <c r="UFV21" s="559"/>
      <c r="UFW21" s="559"/>
      <c r="UFX21" s="559"/>
      <c r="UFY21" s="559"/>
      <c r="UFZ21" s="559"/>
      <c r="UGA21" s="559"/>
      <c r="UGB21" s="559"/>
      <c r="UGC21" s="559"/>
      <c r="UGD21" s="559"/>
      <c r="UGE21" s="559"/>
      <c r="UGF21" s="559"/>
      <c r="UGG21" s="559"/>
      <c r="UGH21" s="559"/>
      <c r="UGI21" s="559"/>
      <c r="UGJ21" s="559"/>
      <c r="UGK21" s="559"/>
      <c r="UGL21" s="559"/>
      <c r="UGM21" s="559"/>
      <c r="UGN21" s="559"/>
      <c r="UGO21" s="559"/>
      <c r="UGP21" s="559"/>
      <c r="UGQ21" s="559"/>
      <c r="UGR21" s="559"/>
      <c r="UGS21" s="559"/>
      <c r="UGT21" s="559"/>
      <c r="UGU21" s="559"/>
      <c r="UGV21" s="559"/>
      <c r="UGW21" s="559"/>
      <c r="UGX21" s="559"/>
      <c r="UGY21" s="559"/>
      <c r="UGZ21" s="559"/>
      <c r="UHA21" s="559"/>
      <c r="UHB21" s="559"/>
      <c r="UHC21" s="559"/>
      <c r="UHD21" s="559"/>
      <c r="UHE21" s="559"/>
      <c r="UHF21" s="559"/>
      <c r="UHG21" s="559"/>
      <c r="UHH21" s="559"/>
      <c r="UHI21" s="559"/>
      <c r="UHJ21" s="559"/>
      <c r="UHK21" s="559"/>
      <c r="UHL21" s="559"/>
      <c r="UHM21" s="559"/>
      <c r="UHN21" s="559"/>
      <c r="UHO21" s="559"/>
      <c r="UHP21" s="559"/>
      <c r="UHQ21" s="559"/>
      <c r="UHR21" s="559"/>
      <c r="UHS21" s="559"/>
      <c r="UHT21" s="559"/>
      <c r="UHU21" s="559"/>
      <c r="UHV21" s="559"/>
      <c r="UHW21" s="559"/>
      <c r="UHX21" s="559"/>
      <c r="UHY21" s="559"/>
      <c r="UHZ21" s="559"/>
      <c r="UIA21" s="559"/>
      <c r="UIB21" s="559"/>
      <c r="UIC21" s="559"/>
      <c r="UID21" s="559"/>
      <c r="UIE21" s="559"/>
      <c r="UIF21" s="559"/>
      <c r="UIG21" s="559"/>
      <c r="UIH21" s="559"/>
      <c r="UII21" s="559"/>
      <c r="UIJ21" s="559"/>
      <c r="UIK21" s="559"/>
      <c r="UIL21" s="559"/>
      <c r="UIM21" s="559"/>
      <c r="UIN21" s="559"/>
      <c r="UIO21" s="559"/>
      <c r="UIP21" s="559"/>
      <c r="UIQ21" s="559"/>
      <c r="UIR21" s="559"/>
      <c r="UIS21" s="559"/>
      <c r="UIT21" s="559"/>
      <c r="UIU21" s="559"/>
      <c r="UIV21" s="559"/>
      <c r="UIW21" s="559"/>
      <c r="UIX21" s="559"/>
      <c r="UIY21" s="559"/>
      <c r="UIZ21" s="559"/>
      <c r="UJA21" s="559"/>
      <c r="UJB21" s="559"/>
      <c r="UJC21" s="559"/>
      <c r="UJD21" s="559"/>
      <c r="UJE21" s="559"/>
      <c r="UJF21" s="559"/>
      <c r="UJG21" s="559"/>
      <c r="UJH21" s="559"/>
      <c r="UJI21" s="559"/>
      <c r="UJJ21" s="559"/>
      <c r="UJK21" s="559"/>
      <c r="UJL21" s="559"/>
      <c r="UJM21" s="559"/>
      <c r="UJN21" s="559"/>
      <c r="UJO21" s="559"/>
      <c r="UJP21" s="559"/>
      <c r="UJQ21" s="559"/>
      <c r="UJR21" s="559"/>
      <c r="UJS21" s="559"/>
      <c r="UJT21" s="559"/>
      <c r="UJU21" s="559"/>
      <c r="UJV21" s="559"/>
      <c r="UJW21" s="559"/>
      <c r="UJX21" s="559"/>
      <c r="UJY21" s="559"/>
      <c r="UJZ21" s="559"/>
      <c r="UKA21" s="559"/>
      <c r="UKB21" s="559"/>
      <c r="UKC21" s="559"/>
      <c r="UKD21" s="559"/>
      <c r="UKE21" s="559"/>
      <c r="UKF21" s="559"/>
      <c r="UKG21" s="559"/>
      <c r="UKH21" s="559"/>
      <c r="UKI21" s="559"/>
      <c r="UKJ21" s="559"/>
      <c r="UKK21" s="559"/>
      <c r="UKL21" s="559"/>
      <c r="UKM21" s="559"/>
      <c r="UKN21" s="559"/>
      <c r="UKO21" s="559"/>
      <c r="UKP21" s="559"/>
      <c r="UKQ21" s="559"/>
      <c r="UKR21" s="559"/>
      <c r="UKS21" s="559"/>
      <c r="UKT21" s="559"/>
      <c r="UKU21" s="559"/>
      <c r="UKV21" s="559"/>
      <c r="UKW21" s="559"/>
      <c r="UKX21" s="559"/>
      <c r="UKY21" s="559"/>
      <c r="UKZ21" s="559"/>
      <c r="ULA21" s="559"/>
      <c r="ULB21" s="559"/>
      <c r="ULC21" s="559"/>
      <c r="ULD21" s="559"/>
      <c r="ULE21" s="559"/>
      <c r="ULF21" s="559"/>
      <c r="ULG21" s="559"/>
      <c r="ULH21" s="559"/>
      <c r="ULI21" s="559"/>
      <c r="ULJ21" s="559"/>
      <c r="ULK21" s="559"/>
      <c r="ULL21" s="559"/>
      <c r="ULM21" s="559"/>
      <c r="ULN21" s="559"/>
      <c r="ULO21" s="559"/>
      <c r="ULP21" s="559"/>
      <c r="ULQ21" s="559"/>
      <c r="ULR21" s="559"/>
      <c r="ULS21" s="559"/>
      <c r="ULT21" s="559"/>
      <c r="ULU21" s="559"/>
      <c r="ULV21" s="559"/>
      <c r="ULW21" s="559"/>
      <c r="ULX21" s="559"/>
      <c r="ULY21" s="559"/>
      <c r="ULZ21" s="559"/>
      <c r="UMA21" s="559"/>
      <c r="UMB21" s="559"/>
      <c r="UMC21" s="559"/>
      <c r="UMD21" s="559"/>
      <c r="UME21" s="559"/>
      <c r="UMF21" s="559"/>
      <c r="UMG21" s="559"/>
      <c r="UMH21" s="559"/>
      <c r="UMI21" s="559"/>
      <c r="UMJ21" s="559"/>
      <c r="UMK21" s="559"/>
      <c r="UML21" s="559"/>
      <c r="UMM21" s="559"/>
      <c r="UMN21" s="559"/>
      <c r="UMO21" s="559"/>
      <c r="UMP21" s="559"/>
      <c r="UMQ21" s="559"/>
      <c r="UMR21" s="559"/>
      <c r="UMS21" s="559"/>
      <c r="UMT21" s="559"/>
      <c r="UMU21" s="559"/>
      <c r="UMV21" s="559"/>
      <c r="UMW21" s="559"/>
      <c r="UMX21" s="559"/>
      <c r="UMY21" s="559"/>
      <c r="UMZ21" s="559"/>
      <c r="UNA21" s="559"/>
      <c r="UNB21" s="559"/>
      <c r="UNC21" s="559"/>
      <c r="UND21" s="559"/>
      <c r="UNE21" s="559"/>
      <c r="UNF21" s="559"/>
      <c r="UNG21" s="559"/>
      <c r="UNH21" s="559"/>
      <c r="UNI21" s="559"/>
      <c r="UNJ21" s="559"/>
      <c r="UNK21" s="559"/>
      <c r="UNL21" s="559"/>
      <c r="UNM21" s="559"/>
      <c r="UNN21" s="559"/>
      <c r="UNO21" s="559"/>
      <c r="UNP21" s="559"/>
      <c r="UNQ21" s="559"/>
      <c r="UNR21" s="559"/>
      <c r="UNS21" s="559"/>
      <c r="UNT21" s="559"/>
      <c r="UNU21" s="559"/>
      <c r="UNV21" s="559"/>
      <c r="UNW21" s="559"/>
      <c r="UNX21" s="559"/>
      <c r="UNY21" s="559"/>
      <c r="UNZ21" s="559"/>
      <c r="UOA21" s="559"/>
      <c r="UOB21" s="559"/>
      <c r="UOC21" s="559"/>
      <c r="UOD21" s="559"/>
      <c r="UOE21" s="559"/>
      <c r="UOF21" s="559"/>
      <c r="UOG21" s="559"/>
      <c r="UOH21" s="559"/>
      <c r="UOI21" s="559"/>
      <c r="UOJ21" s="559"/>
      <c r="UOK21" s="559"/>
      <c r="UOL21" s="559"/>
      <c r="UOM21" s="559"/>
      <c r="UON21" s="559"/>
      <c r="UOO21" s="559"/>
      <c r="UOP21" s="559"/>
      <c r="UOQ21" s="559"/>
      <c r="UOR21" s="559"/>
      <c r="UOS21" s="559"/>
      <c r="UOT21" s="559"/>
      <c r="UOU21" s="559"/>
      <c r="UOV21" s="559"/>
      <c r="UOW21" s="559"/>
      <c r="UOX21" s="559"/>
      <c r="UOY21" s="559"/>
      <c r="UOZ21" s="559"/>
      <c r="UPA21" s="559"/>
      <c r="UPB21" s="559"/>
      <c r="UPC21" s="559"/>
      <c r="UPD21" s="559"/>
      <c r="UPE21" s="559"/>
      <c r="UPF21" s="559"/>
      <c r="UPG21" s="559"/>
      <c r="UPH21" s="559"/>
      <c r="UPI21" s="559"/>
      <c r="UPJ21" s="559"/>
      <c r="UPK21" s="559"/>
      <c r="UPL21" s="559"/>
      <c r="UPM21" s="559"/>
      <c r="UPN21" s="559"/>
      <c r="UPO21" s="559"/>
      <c r="UPP21" s="559"/>
      <c r="UPQ21" s="559"/>
      <c r="UPR21" s="559"/>
      <c r="UPS21" s="559"/>
      <c r="UPT21" s="559"/>
      <c r="UPU21" s="559"/>
      <c r="UPV21" s="559"/>
      <c r="UPW21" s="559"/>
      <c r="UPX21" s="559"/>
      <c r="UPY21" s="559"/>
      <c r="UPZ21" s="559"/>
      <c r="UQA21" s="559"/>
      <c r="UQB21" s="559"/>
      <c r="UQC21" s="559"/>
      <c r="UQD21" s="559"/>
      <c r="UQE21" s="559"/>
      <c r="UQF21" s="559"/>
      <c r="UQG21" s="559"/>
      <c r="UQH21" s="559"/>
      <c r="UQI21" s="559"/>
      <c r="UQJ21" s="559"/>
      <c r="UQK21" s="559"/>
      <c r="UQL21" s="559"/>
      <c r="UQM21" s="559"/>
      <c r="UQN21" s="559"/>
      <c r="UQO21" s="559"/>
      <c r="UQP21" s="559"/>
      <c r="UQQ21" s="559"/>
      <c r="UQR21" s="559"/>
      <c r="UQS21" s="559"/>
      <c r="UQT21" s="559"/>
      <c r="UQU21" s="559"/>
      <c r="UQV21" s="559"/>
      <c r="UQW21" s="559"/>
      <c r="UQX21" s="559"/>
      <c r="UQY21" s="559"/>
      <c r="UQZ21" s="559"/>
      <c r="URA21" s="559"/>
      <c r="URB21" s="559"/>
      <c r="URC21" s="559"/>
      <c r="URD21" s="559"/>
      <c r="URE21" s="559"/>
      <c r="URF21" s="559"/>
      <c r="URG21" s="559"/>
      <c r="URH21" s="559"/>
      <c r="URI21" s="559"/>
      <c r="URJ21" s="559"/>
      <c r="URK21" s="559"/>
      <c r="URL21" s="559"/>
      <c r="URM21" s="559"/>
      <c r="URN21" s="559"/>
      <c r="URO21" s="559"/>
      <c r="URP21" s="559"/>
      <c r="URQ21" s="559"/>
      <c r="URR21" s="559"/>
      <c r="URS21" s="559"/>
      <c r="URT21" s="559"/>
      <c r="URU21" s="559"/>
      <c r="URV21" s="559"/>
      <c r="URW21" s="559"/>
      <c r="URX21" s="559"/>
      <c r="URY21" s="559"/>
      <c r="URZ21" s="559"/>
      <c r="USA21" s="559"/>
      <c r="USB21" s="559"/>
      <c r="USC21" s="559"/>
      <c r="USD21" s="559"/>
      <c r="USE21" s="559"/>
      <c r="USF21" s="559"/>
      <c r="USG21" s="559"/>
      <c r="USH21" s="559"/>
      <c r="USI21" s="559"/>
      <c r="USJ21" s="559"/>
      <c r="USK21" s="559"/>
      <c r="USL21" s="559"/>
      <c r="USM21" s="559"/>
      <c r="USN21" s="559"/>
      <c r="USO21" s="559"/>
      <c r="USP21" s="559"/>
      <c r="USQ21" s="559"/>
      <c r="USR21" s="559"/>
      <c r="USS21" s="559"/>
      <c r="UST21" s="559"/>
      <c r="USU21" s="559"/>
      <c r="USV21" s="559"/>
      <c r="USW21" s="559"/>
      <c r="USX21" s="559"/>
      <c r="USY21" s="559"/>
      <c r="USZ21" s="559"/>
      <c r="UTA21" s="559"/>
      <c r="UTB21" s="559"/>
      <c r="UTC21" s="559"/>
      <c r="UTD21" s="559"/>
      <c r="UTE21" s="559"/>
      <c r="UTF21" s="559"/>
      <c r="UTG21" s="559"/>
      <c r="UTH21" s="559"/>
      <c r="UTI21" s="559"/>
      <c r="UTJ21" s="559"/>
      <c r="UTK21" s="559"/>
      <c r="UTL21" s="559"/>
      <c r="UTM21" s="559"/>
      <c r="UTN21" s="559"/>
      <c r="UTO21" s="559"/>
      <c r="UTP21" s="559"/>
      <c r="UTQ21" s="559"/>
      <c r="UTR21" s="559"/>
      <c r="UTS21" s="559"/>
      <c r="UTT21" s="559"/>
      <c r="UTU21" s="559"/>
      <c r="UTV21" s="559"/>
      <c r="UTW21" s="559"/>
      <c r="UTX21" s="559"/>
      <c r="UTY21" s="559"/>
      <c r="UTZ21" s="559"/>
      <c r="UUA21" s="559"/>
      <c r="UUB21" s="559"/>
      <c r="UUC21" s="559"/>
      <c r="UUD21" s="559"/>
      <c r="UUE21" s="559"/>
      <c r="UUF21" s="559"/>
      <c r="UUG21" s="559"/>
      <c r="UUH21" s="559"/>
      <c r="UUI21" s="559"/>
      <c r="UUJ21" s="559"/>
      <c r="UUK21" s="559"/>
      <c r="UUL21" s="559"/>
      <c r="UUM21" s="559"/>
      <c r="UUN21" s="559"/>
      <c r="UUO21" s="559"/>
      <c r="UUP21" s="559"/>
      <c r="UUQ21" s="559"/>
      <c r="UUR21" s="559"/>
      <c r="UUS21" s="559"/>
      <c r="UUT21" s="559"/>
      <c r="UUU21" s="559"/>
      <c r="UUV21" s="559"/>
      <c r="UUW21" s="559"/>
      <c r="UUX21" s="559"/>
      <c r="UUY21" s="559"/>
      <c r="UUZ21" s="559"/>
      <c r="UVA21" s="559"/>
      <c r="UVB21" s="559"/>
      <c r="UVC21" s="559"/>
      <c r="UVD21" s="559"/>
      <c r="UVE21" s="559"/>
      <c r="UVF21" s="559"/>
      <c r="UVG21" s="559"/>
      <c r="UVH21" s="559"/>
      <c r="UVI21" s="559"/>
      <c r="UVJ21" s="559"/>
      <c r="UVK21" s="559"/>
      <c r="UVL21" s="559"/>
      <c r="UVM21" s="559"/>
      <c r="UVN21" s="559"/>
      <c r="UVO21" s="559"/>
      <c r="UVP21" s="559"/>
      <c r="UVQ21" s="559"/>
      <c r="UVR21" s="559"/>
      <c r="UVS21" s="559"/>
      <c r="UVT21" s="559"/>
      <c r="UVU21" s="559"/>
      <c r="UVV21" s="559"/>
      <c r="UVW21" s="559"/>
      <c r="UVX21" s="559"/>
      <c r="UVY21" s="559"/>
      <c r="UVZ21" s="559"/>
      <c r="UWA21" s="559"/>
      <c r="UWB21" s="559"/>
      <c r="UWC21" s="559"/>
      <c r="UWD21" s="559"/>
      <c r="UWE21" s="559"/>
      <c r="UWF21" s="559"/>
      <c r="UWG21" s="559"/>
      <c r="UWH21" s="559"/>
      <c r="UWI21" s="559"/>
      <c r="UWJ21" s="559"/>
      <c r="UWK21" s="559"/>
      <c r="UWL21" s="559"/>
      <c r="UWM21" s="559"/>
      <c r="UWN21" s="559"/>
      <c r="UWO21" s="559"/>
      <c r="UWP21" s="559"/>
      <c r="UWQ21" s="559"/>
      <c r="UWR21" s="559"/>
      <c r="UWS21" s="559"/>
      <c r="UWT21" s="559"/>
      <c r="UWU21" s="559"/>
      <c r="UWV21" s="559"/>
      <c r="UWW21" s="559"/>
      <c r="UWX21" s="559"/>
      <c r="UWY21" s="559"/>
      <c r="UWZ21" s="559"/>
      <c r="UXA21" s="559"/>
      <c r="UXB21" s="559"/>
      <c r="UXC21" s="559"/>
      <c r="UXD21" s="559"/>
      <c r="UXE21" s="559"/>
      <c r="UXF21" s="559"/>
      <c r="UXG21" s="559"/>
      <c r="UXH21" s="559"/>
      <c r="UXI21" s="559"/>
      <c r="UXJ21" s="559"/>
      <c r="UXK21" s="559"/>
      <c r="UXL21" s="559"/>
      <c r="UXM21" s="559"/>
      <c r="UXN21" s="559"/>
      <c r="UXO21" s="559"/>
      <c r="UXP21" s="559"/>
      <c r="UXQ21" s="559"/>
      <c r="UXR21" s="559"/>
      <c r="UXS21" s="559"/>
      <c r="UXT21" s="559"/>
      <c r="UXU21" s="559"/>
      <c r="UXV21" s="559"/>
      <c r="UXW21" s="559"/>
      <c r="UXX21" s="559"/>
      <c r="UXY21" s="559"/>
      <c r="UXZ21" s="559"/>
      <c r="UYA21" s="559"/>
      <c r="UYB21" s="559"/>
      <c r="UYC21" s="559"/>
      <c r="UYD21" s="559"/>
      <c r="UYE21" s="559"/>
      <c r="UYF21" s="559"/>
      <c r="UYG21" s="559"/>
      <c r="UYH21" s="559"/>
      <c r="UYI21" s="559"/>
      <c r="UYJ21" s="559"/>
      <c r="UYK21" s="559"/>
      <c r="UYL21" s="559"/>
      <c r="UYM21" s="559"/>
      <c r="UYN21" s="559"/>
      <c r="UYO21" s="559"/>
      <c r="UYP21" s="559"/>
      <c r="UYQ21" s="559"/>
      <c r="UYR21" s="559"/>
      <c r="UYS21" s="559"/>
      <c r="UYT21" s="559"/>
      <c r="UYU21" s="559"/>
      <c r="UYV21" s="559"/>
      <c r="UYW21" s="559"/>
      <c r="UYX21" s="559"/>
      <c r="UYY21" s="559"/>
      <c r="UYZ21" s="559"/>
      <c r="UZA21" s="559"/>
      <c r="UZB21" s="559"/>
      <c r="UZC21" s="559"/>
      <c r="UZD21" s="559"/>
      <c r="UZE21" s="559"/>
      <c r="UZF21" s="559"/>
      <c r="UZG21" s="559"/>
      <c r="UZH21" s="559"/>
      <c r="UZI21" s="559"/>
      <c r="UZJ21" s="559"/>
      <c r="UZK21" s="559"/>
      <c r="UZL21" s="559"/>
      <c r="UZM21" s="559"/>
      <c r="UZN21" s="559"/>
      <c r="UZO21" s="559"/>
      <c r="UZP21" s="559"/>
      <c r="UZQ21" s="559"/>
      <c r="UZR21" s="559"/>
      <c r="UZS21" s="559"/>
      <c r="UZT21" s="559"/>
      <c r="UZU21" s="559"/>
      <c r="UZV21" s="559"/>
      <c r="UZW21" s="559"/>
      <c r="UZX21" s="559"/>
      <c r="UZY21" s="559"/>
      <c r="UZZ21" s="559"/>
      <c r="VAA21" s="559"/>
      <c r="VAB21" s="559"/>
      <c r="VAC21" s="559"/>
      <c r="VAD21" s="559"/>
      <c r="VAE21" s="559"/>
      <c r="VAF21" s="559"/>
      <c r="VAG21" s="559"/>
      <c r="VAH21" s="559"/>
      <c r="VAI21" s="559"/>
      <c r="VAJ21" s="559"/>
      <c r="VAK21" s="559"/>
      <c r="VAL21" s="559"/>
      <c r="VAM21" s="559"/>
      <c r="VAN21" s="559"/>
      <c r="VAO21" s="559"/>
      <c r="VAP21" s="559"/>
      <c r="VAQ21" s="559"/>
      <c r="VAR21" s="559"/>
      <c r="VAS21" s="559"/>
      <c r="VAT21" s="559"/>
      <c r="VAU21" s="559"/>
      <c r="VAV21" s="559"/>
      <c r="VAW21" s="559"/>
      <c r="VAX21" s="559"/>
      <c r="VAY21" s="559"/>
      <c r="VAZ21" s="559"/>
      <c r="VBA21" s="559"/>
      <c r="VBB21" s="559"/>
      <c r="VBC21" s="559"/>
      <c r="VBD21" s="559"/>
      <c r="VBE21" s="559"/>
      <c r="VBF21" s="559"/>
      <c r="VBG21" s="559"/>
      <c r="VBH21" s="559"/>
      <c r="VBI21" s="559"/>
      <c r="VBJ21" s="559"/>
      <c r="VBK21" s="559"/>
      <c r="VBL21" s="559"/>
      <c r="VBM21" s="559"/>
      <c r="VBN21" s="559"/>
      <c r="VBO21" s="559"/>
      <c r="VBP21" s="559"/>
      <c r="VBQ21" s="559"/>
      <c r="VBR21" s="559"/>
      <c r="VBS21" s="559"/>
      <c r="VBT21" s="559"/>
      <c r="VBU21" s="559"/>
      <c r="VBV21" s="559"/>
      <c r="VBW21" s="559"/>
      <c r="VBX21" s="559"/>
      <c r="VBY21" s="559"/>
      <c r="VBZ21" s="559"/>
      <c r="VCA21" s="559"/>
      <c r="VCB21" s="559"/>
      <c r="VCC21" s="559"/>
      <c r="VCD21" s="559"/>
      <c r="VCE21" s="559"/>
      <c r="VCF21" s="559"/>
      <c r="VCG21" s="559"/>
      <c r="VCH21" s="559"/>
      <c r="VCI21" s="559"/>
      <c r="VCJ21" s="559"/>
      <c r="VCK21" s="559"/>
      <c r="VCL21" s="559"/>
      <c r="VCM21" s="559"/>
      <c r="VCN21" s="559"/>
      <c r="VCO21" s="559"/>
      <c r="VCP21" s="559"/>
      <c r="VCQ21" s="559"/>
      <c r="VCR21" s="559"/>
      <c r="VCS21" s="559"/>
      <c r="VCT21" s="559"/>
      <c r="VCU21" s="559"/>
      <c r="VCV21" s="559"/>
      <c r="VCW21" s="559"/>
      <c r="VCX21" s="559"/>
      <c r="VCY21" s="559"/>
      <c r="VCZ21" s="559"/>
      <c r="VDA21" s="559"/>
      <c r="VDB21" s="559"/>
      <c r="VDC21" s="559"/>
      <c r="VDD21" s="559"/>
      <c r="VDE21" s="559"/>
      <c r="VDF21" s="559"/>
      <c r="VDG21" s="559"/>
      <c r="VDH21" s="559"/>
      <c r="VDI21" s="559"/>
      <c r="VDJ21" s="559"/>
      <c r="VDK21" s="559"/>
      <c r="VDL21" s="559"/>
      <c r="VDM21" s="559"/>
      <c r="VDN21" s="559"/>
      <c r="VDO21" s="559"/>
      <c r="VDP21" s="559"/>
      <c r="VDQ21" s="559"/>
      <c r="VDR21" s="559"/>
      <c r="VDS21" s="559"/>
      <c r="VDT21" s="559"/>
      <c r="VDU21" s="559"/>
      <c r="VDV21" s="559"/>
      <c r="VDW21" s="559"/>
      <c r="VDX21" s="559"/>
      <c r="VDY21" s="559"/>
      <c r="VDZ21" s="559"/>
      <c r="VEA21" s="559"/>
      <c r="VEB21" s="559"/>
      <c r="VEC21" s="559"/>
      <c r="VED21" s="559"/>
      <c r="VEE21" s="559"/>
      <c r="VEF21" s="559"/>
      <c r="VEG21" s="559"/>
      <c r="VEH21" s="559"/>
      <c r="VEI21" s="559"/>
      <c r="VEJ21" s="559"/>
      <c r="VEK21" s="559"/>
      <c r="VEL21" s="559"/>
      <c r="VEM21" s="559"/>
      <c r="VEN21" s="559"/>
      <c r="VEO21" s="559"/>
      <c r="VEP21" s="559"/>
      <c r="VEQ21" s="559"/>
      <c r="VER21" s="559"/>
      <c r="VES21" s="559"/>
      <c r="VET21" s="559"/>
      <c r="VEU21" s="559"/>
      <c r="VEV21" s="559"/>
      <c r="VEW21" s="559"/>
      <c r="VEX21" s="559"/>
      <c r="VEY21" s="559"/>
      <c r="VEZ21" s="559"/>
      <c r="VFA21" s="559"/>
      <c r="VFB21" s="559"/>
      <c r="VFC21" s="559"/>
      <c r="VFD21" s="559"/>
      <c r="VFE21" s="559"/>
      <c r="VFF21" s="559"/>
      <c r="VFG21" s="559"/>
      <c r="VFH21" s="559"/>
      <c r="VFI21" s="559"/>
      <c r="VFJ21" s="559"/>
      <c r="VFK21" s="559"/>
      <c r="VFL21" s="559"/>
      <c r="VFM21" s="559"/>
      <c r="VFN21" s="559"/>
      <c r="VFO21" s="559"/>
      <c r="VFP21" s="559"/>
      <c r="VFQ21" s="559"/>
      <c r="VFR21" s="559"/>
      <c r="VFS21" s="559"/>
      <c r="VFT21" s="559"/>
      <c r="VFU21" s="559"/>
      <c r="VFV21" s="559"/>
      <c r="VFW21" s="559"/>
      <c r="VFX21" s="559"/>
      <c r="VFY21" s="559"/>
      <c r="VFZ21" s="559"/>
      <c r="VGA21" s="559"/>
      <c r="VGB21" s="559"/>
      <c r="VGC21" s="559"/>
      <c r="VGD21" s="559"/>
      <c r="VGE21" s="559"/>
      <c r="VGF21" s="559"/>
      <c r="VGG21" s="559"/>
      <c r="VGH21" s="559"/>
      <c r="VGI21" s="559"/>
      <c r="VGJ21" s="559"/>
      <c r="VGK21" s="559"/>
      <c r="VGL21" s="559"/>
      <c r="VGM21" s="559"/>
      <c r="VGN21" s="559"/>
      <c r="VGO21" s="559"/>
      <c r="VGP21" s="559"/>
      <c r="VGQ21" s="559"/>
      <c r="VGR21" s="559"/>
      <c r="VGS21" s="559"/>
      <c r="VGT21" s="559"/>
      <c r="VGU21" s="559"/>
      <c r="VGV21" s="559"/>
      <c r="VGW21" s="559"/>
      <c r="VGX21" s="559"/>
      <c r="VGY21" s="559"/>
      <c r="VGZ21" s="559"/>
      <c r="VHA21" s="559"/>
      <c r="VHB21" s="559"/>
      <c r="VHC21" s="559"/>
      <c r="VHD21" s="559"/>
      <c r="VHE21" s="559"/>
      <c r="VHF21" s="559"/>
      <c r="VHG21" s="559"/>
      <c r="VHH21" s="559"/>
      <c r="VHI21" s="559"/>
      <c r="VHJ21" s="559"/>
      <c r="VHK21" s="559"/>
      <c r="VHL21" s="559"/>
      <c r="VHM21" s="559"/>
      <c r="VHN21" s="559"/>
      <c r="VHO21" s="559"/>
      <c r="VHP21" s="559"/>
      <c r="VHQ21" s="559"/>
      <c r="VHR21" s="559"/>
      <c r="VHS21" s="559"/>
      <c r="VHT21" s="559"/>
      <c r="VHU21" s="559"/>
      <c r="VHV21" s="559"/>
      <c r="VHW21" s="559"/>
      <c r="VHX21" s="559"/>
      <c r="VHY21" s="559"/>
      <c r="VHZ21" s="559"/>
      <c r="VIA21" s="559"/>
      <c r="VIB21" s="559"/>
      <c r="VIC21" s="559"/>
      <c r="VID21" s="559"/>
      <c r="VIE21" s="559"/>
      <c r="VIF21" s="559"/>
      <c r="VIG21" s="559"/>
      <c r="VIH21" s="559"/>
      <c r="VII21" s="559"/>
      <c r="VIJ21" s="559"/>
      <c r="VIK21" s="559"/>
      <c r="VIL21" s="559"/>
      <c r="VIM21" s="559"/>
      <c r="VIN21" s="559"/>
      <c r="VIO21" s="559"/>
      <c r="VIP21" s="559"/>
      <c r="VIQ21" s="559"/>
      <c r="VIR21" s="559"/>
      <c r="VIS21" s="559"/>
      <c r="VIT21" s="559"/>
      <c r="VIU21" s="559"/>
      <c r="VIV21" s="559"/>
      <c r="VIW21" s="559"/>
      <c r="VIX21" s="559"/>
      <c r="VIY21" s="559"/>
      <c r="VIZ21" s="559"/>
      <c r="VJA21" s="559"/>
      <c r="VJB21" s="559"/>
      <c r="VJC21" s="559"/>
      <c r="VJD21" s="559"/>
      <c r="VJE21" s="559"/>
      <c r="VJF21" s="559"/>
      <c r="VJG21" s="559"/>
      <c r="VJH21" s="559"/>
      <c r="VJI21" s="559"/>
      <c r="VJJ21" s="559"/>
      <c r="VJK21" s="559"/>
      <c r="VJL21" s="559"/>
      <c r="VJM21" s="559"/>
      <c r="VJN21" s="559"/>
      <c r="VJO21" s="559"/>
      <c r="VJP21" s="559"/>
      <c r="VJQ21" s="559"/>
      <c r="VJR21" s="559"/>
      <c r="VJS21" s="559"/>
      <c r="VJT21" s="559"/>
      <c r="VJU21" s="559"/>
      <c r="VJV21" s="559"/>
      <c r="VJW21" s="559"/>
      <c r="VJX21" s="559"/>
      <c r="VJY21" s="559"/>
      <c r="VJZ21" s="559"/>
      <c r="VKA21" s="559"/>
      <c r="VKB21" s="559"/>
      <c r="VKC21" s="559"/>
      <c r="VKD21" s="559"/>
      <c r="VKE21" s="559"/>
      <c r="VKF21" s="559"/>
      <c r="VKG21" s="559"/>
      <c r="VKH21" s="559"/>
      <c r="VKI21" s="559"/>
      <c r="VKJ21" s="559"/>
      <c r="VKK21" s="559"/>
      <c r="VKL21" s="559"/>
      <c r="VKM21" s="559"/>
      <c r="VKN21" s="559"/>
      <c r="VKO21" s="559"/>
      <c r="VKP21" s="559"/>
      <c r="VKQ21" s="559"/>
      <c r="VKR21" s="559"/>
      <c r="VKS21" s="559"/>
      <c r="VKT21" s="559"/>
      <c r="VKU21" s="559"/>
      <c r="VKV21" s="559"/>
      <c r="VKW21" s="559"/>
      <c r="VKX21" s="559"/>
      <c r="VKY21" s="559"/>
      <c r="VKZ21" s="559"/>
      <c r="VLA21" s="559"/>
      <c r="VLB21" s="559"/>
      <c r="VLC21" s="559"/>
      <c r="VLD21" s="559"/>
      <c r="VLE21" s="559"/>
      <c r="VLF21" s="559"/>
      <c r="VLG21" s="559"/>
      <c r="VLH21" s="559"/>
      <c r="VLI21" s="559"/>
      <c r="VLJ21" s="559"/>
      <c r="VLK21" s="559"/>
      <c r="VLL21" s="559"/>
      <c r="VLM21" s="559"/>
      <c r="VLN21" s="559"/>
      <c r="VLO21" s="559"/>
      <c r="VLP21" s="559"/>
      <c r="VLQ21" s="559"/>
      <c r="VLR21" s="559"/>
      <c r="VLS21" s="559"/>
      <c r="VLT21" s="559"/>
      <c r="VLU21" s="559"/>
      <c r="VLV21" s="559"/>
      <c r="VLW21" s="559"/>
      <c r="VLX21" s="559"/>
      <c r="VLY21" s="559"/>
      <c r="VLZ21" s="559"/>
      <c r="VMA21" s="559"/>
      <c r="VMB21" s="559"/>
      <c r="VMC21" s="559"/>
      <c r="VMD21" s="559"/>
      <c r="VME21" s="559"/>
      <c r="VMF21" s="559"/>
      <c r="VMG21" s="559"/>
      <c r="VMH21" s="559"/>
      <c r="VMI21" s="559"/>
      <c r="VMJ21" s="559"/>
      <c r="VMK21" s="559"/>
      <c r="VML21" s="559"/>
      <c r="VMM21" s="559"/>
      <c r="VMN21" s="559"/>
      <c r="VMO21" s="559"/>
      <c r="VMP21" s="559"/>
      <c r="VMQ21" s="559"/>
      <c r="VMR21" s="559"/>
      <c r="VMS21" s="559"/>
      <c r="VMT21" s="559"/>
      <c r="VMU21" s="559"/>
      <c r="VMV21" s="559"/>
      <c r="VMW21" s="559"/>
      <c r="VMX21" s="559"/>
      <c r="VMY21" s="559"/>
      <c r="VMZ21" s="559"/>
      <c r="VNA21" s="559"/>
      <c r="VNB21" s="559"/>
      <c r="VNC21" s="559"/>
      <c r="VND21" s="559"/>
      <c r="VNE21" s="559"/>
      <c r="VNF21" s="559"/>
      <c r="VNG21" s="559"/>
      <c r="VNH21" s="559"/>
      <c r="VNI21" s="559"/>
      <c r="VNJ21" s="559"/>
      <c r="VNK21" s="559"/>
      <c r="VNL21" s="559"/>
      <c r="VNM21" s="559"/>
      <c r="VNN21" s="559"/>
      <c r="VNO21" s="559"/>
      <c r="VNP21" s="559"/>
      <c r="VNQ21" s="559"/>
      <c r="VNR21" s="559"/>
      <c r="VNS21" s="559"/>
      <c r="VNT21" s="559"/>
      <c r="VNU21" s="559"/>
      <c r="VNV21" s="559"/>
      <c r="VNW21" s="559"/>
      <c r="VNX21" s="559"/>
      <c r="VNY21" s="559"/>
      <c r="VNZ21" s="559"/>
      <c r="VOA21" s="559"/>
      <c r="VOB21" s="559"/>
      <c r="VOC21" s="559"/>
      <c r="VOD21" s="559"/>
      <c r="VOE21" s="559"/>
      <c r="VOF21" s="559"/>
      <c r="VOG21" s="559"/>
      <c r="VOH21" s="559"/>
      <c r="VOI21" s="559"/>
      <c r="VOJ21" s="559"/>
      <c r="VOK21" s="559"/>
      <c r="VOL21" s="559"/>
      <c r="VOM21" s="559"/>
      <c r="VON21" s="559"/>
      <c r="VOO21" s="559"/>
      <c r="VOP21" s="559"/>
      <c r="VOQ21" s="559"/>
      <c r="VOR21" s="559"/>
      <c r="VOS21" s="559"/>
      <c r="VOT21" s="559"/>
      <c r="VOU21" s="559"/>
      <c r="VOV21" s="559"/>
      <c r="VOW21" s="559"/>
      <c r="VOX21" s="559"/>
      <c r="VOY21" s="559"/>
      <c r="VOZ21" s="559"/>
      <c r="VPA21" s="559"/>
      <c r="VPB21" s="559"/>
      <c r="VPC21" s="559"/>
      <c r="VPD21" s="559"/>
      <c r="VPE21" s="559"/>
      <c r="VPF21" s="559"/>
      <c r="VPG21" s="559"/>
      <c r="VPH21" s="559"/>
      <c r="VPI21" s="559"/>
      <c r="VPJ21" s="559"/>
      <c r="VPK21" s="559"/>
      <c r="VPL21" s="559"/>
      <c r="VPM21" s="559"/>
      <c r="VPN21" s="559"/>
      <c r="VPO21" s="559"/>
      <c r="VPP21" s="559"/>
      <c r="VPQ21" s="559"/>
      <c r="VPR21" s="559"/>
      <c r="VPS21" s="559"/>
      <c r="VPT21" s="559"/>
      <c r="VPU21" s="559"/>
      <c r="VPV21" s="559"/>
      <c r="VPW21" s="559"/>
      <c r="VPX21" s="559"/>
      <c r="VPY21" s="559"/>
      <c r="VPZ21" s="559"/>
      <c r="VQA21" s="559"/>
      <c r="VQB21" s="559"/>
      <c r="VQC21" s="559"/>
      <c r="VQD21" s="559"/>
      <c r="VQE21" s="559"/>
      <c r="VQF21" s="559"/>
      <c r="VQG21" s="559"/>
      <c r="VQH21" s="559"/>
      <c r="VQI21" s="559"/>
      <c r="VQJ21" s="559"/>
      <c r="VQK21" s="559"/>
      <c r="VQL21" s="559"/>
      <c r="VQM21" s="559"/>
      <c r="VQN21" s="559"/>
      <c r="VQO21" s="559"/>
      <c r="VQP21" s="559"/>
      <c r="VQQ21" s="559"/>
      <c r="VQR21" s="559"/>
      <c r="VQS21" s="559"/>
      <c r="VQT21" s="559"/>
      <c r="VQU21" s="559"/>
      <c r="VQV21" s="559"/>
      <c r="VQW21" s="559"/>
      <c r="VQX21" s="559"/>
      <c r="VQY21" s="559"/>
      <c r="VQZ21" s="559"/>
      <c r="VRA21" s="559"/>
      <c r="VRB21" s="559"/>
      <c r="VRC21" s="559"/>
      <c r="VRD21" s="559"/>
      <c r="VRE21" s="559"/>
      <c r="VRF21" s="559"/>
      <c r="VRG21" s="559"/>
      <c r="VRH21" s="559"/>
      <c r="VRI21" s="559"/>
      <c r="VRJ21" s="559"/>
      <c r="VRK21" s="559"/>
      <c r="VRL21" s="559"/>
      <c r="VRM21" s="559"/>
      <c r="VRN21" s="559"/>
      <c r="VRO21" s="559"/>
      <c r="VRP21" s="559"/>
      <c r="VRQ21" s="559"/>
      <c r="VRR21" s="559"/>
      <c r="VRS21" s="559"/>
      <c r="VRT21" s="559"/>
      <c r="VRU21" s="559"/>
      <c r="VRV21" s="559"/>
      <c r="VRW21" s="559"/>
      <c r="VRX21" s="559"/>
      <c r="VRY21" s="559"/>
      <c r="VRZ21" s="559"/>
      <c r="VSA21" s="559"/>
      <c r="VSB21" s="559"/>
      <c r="VSC21" s="559"/>
      <c r="VSD21" s="559"/>
      <c r="VSE21" s="559"/>
      <c r="VSF21" s="559"/>
      <c r="VSG21" s="559"/>
      <c r="VSH21" s="559"/>
      <c r="VSI21" s="559"/>
      <c r="VSJ21" s="559"/>
      <c r="VSK21" s="559"/>
      <c r="VSL21" s="559"/>
      <c r="VSM21" s="559"/>
      <c r="VSN21" s="559"/>
      <c r="VSO21" s="559"/>
      <c r="VSP21" s="559"/>
      <c r="VSQ21" s="559"/>
      <c r="VSR21" s="559"/>
      <c r="VSS21" s="559"/>
      <c r="VST21" s="559"/>
      <c r="VSU21" s="559"/>
      <c r="VSV21" s="559"/>
      <c r="VSW21" s="559"/>
      <c r="VSX21" s="559"/>
      <c r="VSY21" s="559"/>
      <c r="VSZ21" s="559"/>
      <c r="VTA21" s="559"/>
      <c r="VTB21" s="559"/>
      <c r="VTC21" s="559"/>
      <c r="VTD21" s="559"/>
      <c r="VTE21" s="559"/>
      <c r="VTF21" s="559"/>
      <c r="VTG21" s="559"/>
      <c r="VTH21" s="559"/>
      <c r="VTI21" s="559"/>
      <c r="VTJ21" s="559"/>
      <c r="VTK21" s="559"/>
      <c r="VTL21" s="559"/>
      <c r="VTM21" s="559"/>
      <c r="VTN21" s="559"/>
      <c r="VTO21" s="559"/>
      <c r="VTP21" s="559"/>
      <c r="VTQ21" s="559"/>
      <c r="VTR21" s="559"/>
      <c r="VTS21" s="559"/>
      <c r="VTT21" s="559"/>
      <c r="VTU21" s="559"/>
      <c r="VTV21" s="559"/>
      <c r="VTW21" s="559"/>
      <c r="VTX21" s="559"/>
      <c r="VTY21" s="559"/>
      <c r="VTZ21" s="559"/>
      <c r="VUA21" s="559"/>
      <c r="VUB21" s="559"/>
      <c r="VUC21" s="559"/>
      <c r="VUD21" s="559"/>
      <c r="VUE21" s="559"/>
      <c r="VUF21" s="559"/>
      <c r="VUG21" s="559"/>
      <c r="VUH21" s="559"/>
      <c r="VUI21" s="559"/>
      <c r="VUJ21" s="559"/>
      <c r="VUK21" s="559"/>
      <c r="VUL21" s="559"/>
      <c r="VUM21" s="559"/>
      <c r="VUN21" s="559"/>
      <c r="VUO21" s="559"/>
      <c r="VUP21" s="559"/>
      <c r="VUQ21" s="559"/>
      <c r="VUR21" s="559"/>
      <c r="VUS21" s="559"/>
      <c r="VUT21" s="559"/>
      <c r="VUU21" s="559"/>
      <c r="VUV21" s="559"/>
      <c r="VUW21" s="559"/>
      <c r="VUX21" s="559"/>
      <c r="VUY21" s="559"/>
      <c r="VUZ21" s="559"/>
      <c r="VVA21" s="559"/>
      <c r="VVB21" s="559"/>
      <c r="VVC21" s="559"/>
      <c r="VVD21" s="559"/>
      <c r="VVE21" s="559"/>
      <c r="VVF21" s="559"/>
      <c r="VVG21" s="559"/>
      <c r="VVH21" s="559"/>
      <c r="VVI21" s="559"/>
      <c r="VVJ21" s="559"/>
      <c r="VVK21" s="559"/>
      <c r="VVL21" s="559"/>
      <c r="VVM21" s="559"/>
      <c r="VVN21" s="559"/>
      <c r="VVO21" s="559"/>
      <c r="VVP21" s="559"/>
      <c r="VVQ21" s="559"/>
      <c r="VVR21" s="559"/>
      <c r="VVS21" s="559"/>
      <c r="VVT21" s="559"/>
      <c r="VVU21" s="559"/>
      <c r="VVV21" s="559"/>
      <c r="VVW21" s="559"/>
      <c r="VVX21" s="559"/>
      <c r="VVY21" s="559"/>
      <c r="VVZ21" s="559"/>
      <c r="VWA21" s="559"/>
      <c r="VWB21" s="559"/>
      <c r="VWC21" s="559"/>
      <c r="VWD21" s="559"/>
      <c r="VWE21" s="559"/>
      <c r="VWF21" s="559"/>
      <c r="VWG21" s="559"/>
      <c r="VWH21" s="559"/>
      <c r="VWI21" s="559"/>
      <c r="VWJ21" s="559"/>
      <c r="VWK21" s="559"/>
      <c r="VWL21" s="559"/>
      <c r="VWM21" s="559"/>
      <c r="VWN21" s="559"/>
      <c r="VWO21" s="559"/>
      <c r="VWP21" s="559"/>
      <c r="VWQ21" s="559"/>
      <c r="VWR21" s="559"/>
      <c r="VWS21" s="559"/>
      <c r="VWT21" s="559"/>
      <c r="VWU21" s="559"/>
      <c r="VWV21" s="559"/>
      <c r="VWW21" s="559"/>
      <c r="VWX21" s="559"/>
      <c r="VWY21" s="559"/>
      <c r="VWZ21" s="559"/>
      <c r="VXA21" s="559"/>
      <c r="VXB21" s="559"/>
      <c r="VXC21" s="559"/>
      <c r="VXD21" s="559"/>
      <c r="VXE21" s="559"/>
      <c r="VXF21" s="559"/>
      <c r="VXG21" s="559"/>
      <c r="VXH21" s="559"/>
      <c r="VXI21" s="559"/>
      <c r="VXJ21" s="559"/>
      <c r="VXK21" s="559"/>
      <c r="VXL21" s="559"/>
      <c r="VXM21" s="559"/>
      <c r="VXN21" s="559"/>
      <c r="VXO21" s="559"/>
      <c r="VXP21" s="559"/>
      <c r="VXQ21" s="559"/>
      <c r="VXR21" s="559"/>
      <c r="VXS21" s="559"/>
      <c r="VXT21" s="559"/>
      <c r="VXU21" s="559"/>
      <c r="VXV21" s="559"/>
      <c r="VXW21" s="559"/>
      <c r="VXX21" s="559"/>
      <c r="VXY21" s="559"/>
      <c r="VXZ21" s="559"/>
      <c r="VYA21" s="559"/>
      <c r="VYB21" s="559"/>
      <c r="VYC21" s="559"/>
      <c r="VYD21" s="559"/>
      <c r="VYE21" s="559"/>
      <c r="VYF21" s="559"/>
      <c r="VYG21" s="559"/>
      <c r="VYH21" s="559"/>
      <c r="VYI21" s="559"/>
      <c r="VYJ21" s="559"/>
      <c r="VYK21" s="559"/>
      <c r="VYL21" s="559"/>
      <c r="VYM21" s="559"/>
      <c r="VYN21" s="559"/>
      <c r="VYO21" s="559"/>
      <c r="VYP21" s="559"/>
      <c r="VYQ21" s="559"/>
      <c r="VYR21" s="559"/>
      <c r="VYS21" s="559"/>
      <c r="VYT21" s="559"/>
      <c r="VYU21" s="559"/>
      <c r="VYV21" s="559"/>
      <c r="VYW21" s="559"/>
      <c r="VYX21" s="559"/>
      <c r="VYY21" s="559"/>
      <c r="VYZ21" s="559"/>
      <c r="VZA21" s="559"/>
      <c r="VZB21" s="559"/>
      <c r="VZC21" s="559"/>
      <c r="VZD21" s="559"/>
      <c r="VZE21" s="559"/>
      <c r="VZF21" s="559"/>
      <c r="VZG21" s="559"/>
      <c r="VZH21" s="559"/>
      <c r="VZI21" s="559"/>
      <c r="VZJ21" s="559"/>
      <c r="VZK21" s="559"/>
      <c r="VZL21" s="559"/>
      <c r="VZM21" s="559"/>
      <c r="VZN21" s="559"/>
      <c r="VZO21" s="559"/>
      <c r="VZP21" s="559"/>
      <c r="VZQ21" s="559"/>
      <c r="VZR21" s="559"/>
      <c r="VZS21" s="559"/>
      <c r="VZT21" s="559"/>
      <c r="VZU21" s="559"/>
      <c r="VZV21" s="559"/>
      <c r="VZW21" s="559"/>
      <c r="VZX21" s="559"/>
      <c r="VZY21" s="559"/>
      <c r="VZZ21" s="559"/>
      <c r="WAA21" s="559"/>
      <c r="WAB21" s="559"/>
      <c r="WAC21" s="559"/>
      <c r="WAD21" s="559"/>
      <c r="WAE21" s="559"/>
      <c r="WAF21" s="559"/>
      <c r="WAG21" s="559"/>
      <c r="WAH21" s="559"/>
      <c r="WAI21" s="559"/>
      <c r="WAJ21" s="559"/>
      <c r="WAK21" s="559"/>
      <c r="WAL21" s="559"/>
      <c r="WAM21" s="559"/>
      <c r="WAN21" s="559"/>
      <c r="WAO21" s="559"/>
      <c r="WAP21" s="559"/>
      <c r="WAQ21" s="559"/>
      <c r="WAR21" s="559"/>
      <c r="WAS21" s="559"/>
      <c r="WAT21" s="559"/>
      <c r="WAU21" s="559"/>
      <c r="WAV21" s="559"/>
      <c r="WAW21" s="559"/>
      <c r="WAX21" s="559"/>
      <c r="WAY21" s="559"/>
      <c r="WAZ21" s="559"/>
      <c r="WBA21" s="559"/>
      <c r="WBB21" s="559"/>
      <c r="WBC21" s="559"/>
      <c r="WBD21" s="559"/>
      <c r="WBE21" s="559"/>
      <c r="WBF21" s="559"/>
      <c r="WBG21" s="559"/>
      <c r="WBH21" s="559"/>
      <c r="WBI21" s="559"/>
      <c r="WBJ21" s="559"/>
      <c r="WBK21" s="559"/>
      <c r="WBL21" s="559"/>
      <c r="WBM21" s="559"/>
      <c r="WBN21" s="559"/>
      <c r="WBO21" s="559"/>
      <c r="WBP21" s="559"/>
      <c r="WBQ21" s="559"/>
      <c r="WBR21" s="559"/>
      <c r="WBS21" s="559"/>
      <c r="WBT21" s="559"/>
      <c r="WBU21" s="559"/>
      <c r="WBV21" s="559"/>
      <c r="WBW21" s="559"/>
      <c r="WBX21" s="559"/>
      <c r="WBY21" s="559"/>
      <c r="WBZ21" s="559"/>
      <c r="WCA21" s="559"/>
      <c r="WCB21" s="559"/>
      <c r="WCC21" s="559"/>
      <c r="WCD21" s="559"/>
      <c r="WCE21" s="559"/>
      <c r="WCF21" s="559"/>
      <c r="WCG21" s="559"/>
      <c r="WCH21" s="559"/>
      <c r="WCI21" s="559"/>
      <c r="WCJ21" s="559"/>
      <c r="WCK21" s="559"/>
      <c r="WCL21" s="559"/>
      <c r="WCM21" s="559"/>
      <c r="WCN21" s="559"/>
      <c r="WCO21" s="559"/>
      <c r="WCP21" s="559"/>
      <c r="WCQ21" s="559"/>
      <c r="WCR21" s="559"/>
      <c r="WCS21" s="559"/>
      <c r="WCT21" s="559"/>
      <c r="WCU21" s="559"/>
      <c r="WCV21" s="559"/>
      <c r="WCW21" s="559"/>
      <c r="WCX21" s="559"/>
      <c r="WCY21" s="559"/>
      <c r="WCZ21" s="559"/>
      <c r="WDA21" s="559"/>
      <c r="WDB21" s="559"/>
      <c r="WDC21" s="559"/>
      <c r="WDD21" s="559"/>
      <c r="WDE21" s="559"/>
      <c r="WDF21" s="559"/>
      <c r="WDG21" s="559"/>
      <c r="WDH21" s="559"/>
      <c r="WDI21" s="559"/>
      <c r="WDJ21" s="559"/>
      <c r="WDK21" s="559"/>
      <c r="WDL21" s="559"/>
      <c r="WDM21" s="559"/>
      <c r="WDN21" s="559"/>
      <c r="WDO21" s="559"/>
      <c r="WDP21" s="559"/>
      <c r="WDQ21" s="559"/>
      <c r="WDR21" s="559"/>
      <c r="WDS21" s="559"/>
      <c r="WDT21" s="559"/>
      <c r="WDU21" s="559"/>
      <c r="WDV21" s="559"/>
      <c r="WDW21" s="559"/>
      <c r="WDX21" s="559"/>
      <c r="WDY21" s="559"/>
      <c r="WDZ21" s="559"/>
      <c r="WEA21" s="559"/>
      <c r="WEB21" s="559"/>
      <c r="WEC21" s="559"/>
      <c r="WED21" s="559"/>
      <c r="WEE21" s="559"/>
      <c r="WEF21" s="559"/>
      <c r="WEG21" s="559"/>
      <c r="WEH21" s="559"/>
      <c r="WEI21" s="559"/>
      <c r="WEJ21" s="559"/>
      <c r="WEK21" s="559"/>
      <c r="WEL21" s="559"/>
      <c r="WEM21" s="559"/>
      <c r="WEN21" s="559"/>
      <c r="WEO21" s="559"/>
      <c r="WEP21" s="559"/>
      <c r="WEQ21" s="559"/>
      <c r="WER21" s="559"/>
      <c r="WES21" s="559"/>
      <c r="WET21" s="559"/>
      <c r="WEU21" s="559"/>
      <c r="WEV21" s="559"/>
      <c r="WEW21" s="559"/>
      <c r="WEX21" s="559"/>
      <c r="WEY21" s="559"/>
      <c r="WEZ21" s="559"/>
      <c r="WFA21" s="559"/>
      <c r="WFB21" s="559"/>
      <c r="WFC21" s="559"/>
      <c r="WFD21" s="559"/>
      <c r="WFE21" s="559"/>
      <c r="WFF21" s="559"/>
      <c r="WFG21" s="559"/>
      <c r="WFH21" s="559"/>
      <c r="WFI21" s="559"/>
      <c r="WFJ21" s="559"/>
      <c r="WFK21" s="559"/>
      <c r="WFL21" s="559"/>
      <c r="WFM21" s="559"/>
      <c r="WFN21" s="559"/>
      <c r="WFO21" s="559"/>
      <c r="WFP21" s="559"/>
      <c r="WFQ21" s="559"/>
      <c r="WFR21" s="559"/>
      <c r="WFS21" s="559"/>
      <c r="WFT21" s="559"/>
      <c r="WFU21" s="559"/>
      <c r="WFV21" s="559"/>
      <c r="WFW21" s="559"/>
      <c r="WFX21" s="559"/>
      <c r="WFY21" s="559"/>
      <c r="WFZ21" s="559"/>
      <c r="WGA21" s="559"/>
      <c r="WGB21" s="559"/>
      <c r="WGC21" s="559"/>
      <c r="WGD21" s="559"/>
      <c r="WGE21" s="559"/>
      <c r="WGF21" s="559"/>
      <c r="WGG21" s="559"/>
      <c r="WGH21" s="559"/>
      <c r="WGI21" s="559"/>
      <c r="WGJ21" s="559"/>
      <c r="WGK21" s="559"/>
      <c r="WGL21" s="559"/>
      <c r="WGM21" s="559"/>
      <c r="WGN21" s="559"/>
      <c r="WGO21" s="559"/>
      <c r="WGP21" s="559"/>
      <c r="WGQ21" s="559"/>
      <c r="WGR21" s="559"/>
      <c r="WGS21" s="559"/>
      <c r="WGT21" s="559"/>
      <c r="WGU21" s="559"/>
      <c r="WGV21" s="559"/>
      <c r="WGW21" s="559"/>
      <c r="WGX21" s="559"/>
      <c r="WGY21" s="559"/>
      <c r="WGZ21" s="559"/>
      <c r="WHA21" s="559"/>
      <c r="WHB21" s="559"/>
      <c r="WHC21" s="559"/>
      <c r="WHD21" s="559"/>
      <c r="WHE21" s="559"/>
      <c r="WHF21" s="559"/>
      <c r="WHG21" s="559"/>
      <c r="WHH21" s="559"/>
      <c r="WHI21" s="559"/>
      <c r="WHJ21" s="559"/>
      <c r="WHK21" s="559"/>
      <c r="WHL21" s="559"/>
      <c r="WHM21" s="559"/>
      <c r="WHN21" s="559"/>
      <c r="WHO21" s="559"/>
      <c r="WHP21" s="559"/>
      <c r="WHQ21" s="559"/>
      <c r="WHR21" s="559"/>
      <c r="WHS21" s="559"/>
      <c r="WHT21" s="559"/>
      <c r="WHU21" s="559"/>
      <c r="WHV21" s="559"/>
      <c r="WHW21" s="559"/>
      <c r="WHX21" s="559"/>
      <c r="WHY21" s="559"/>
      <c r="WHZ21" s="559"/>
      <c r="WIA21" s="559"/>
      <c r="WIB21" s="559"/>
      <c r="WIC21" s="559"/>
      <c r="WID21" s="559"/>
      <c r="WIE21" s="559"/>
      <c r="WIF21" s="559"/>
      <c r="WIG21" s="559"/>
      <c r="WIH21" s="559"/>
      <c r="WII21" s="559"/>
      <c r="WIJ21" s="559"/>
      <c r="WIK21" s="559"/>
      <c r="WIL21" s="559"/>
      <c r="WIM21" s="559"/>
      <c r="WIN21" s="559"/>
      <c r="WIO21" s="559"/>
      <c r="WIP21" s="559"/>
      <c r="WIQ21" s="559"/>
      <c r="WIR21" s="559"/>
      <c r="WIS21" s="559"/>
      <c r="WIT21" s="559"/>
      <c r="WIU21" s="559"/>
      <c r="WIV21" s="559"/>
      <c r="WIW21" s="559"/>
      <c r="WIX21" s="559"/>
      <c r="WIY21" s="559"/>
      <c r="WIZ21" s="559"/>
      <c r="WJA21" s="559"/>
      <c r="WJB21" s="559"/>
      <c r="WJC21" s="559"/>
      <c r="WJD21" s="559"/>
      <c r="WJE21" s="559"/>
      <c r="WJF21" s="559"/>
      <c r="WJG21" s="559"/>
      <c r="WJH21" s="559"/>
      <c r="WJI21" s="559"/>
      <c r="WJJ21" s="559"/>
      <c r="WJK21" s="559"/>
      <c r="WJL21" s="559"/>
      <c r="WJM21" s="559"/>
      <c r="WJN21" s="559"/>
      <c r="WJO21" s="559"/>
      <c r="WJP21" s="559"/>
      <c r="WJQ21" s="559"/>
      <c r="WJR21" s="559"/>
      <c r="WJS21" s="559"/>
      <c r="WJT21" s="559"/>
      <c r="WJU21" s="559"/>
      <c r="WJV21" s="559"/>
      <c r="WJW21" s="559"/>
      <c r="WJX21" s="559"/>
      <c r="WJY21" s="559"/>
      <c r="WJZ21" s="559"/>
      <c r="WKA21" s="559"/>
      <c r="WKB21" s="559"/>
      <c r="WKC21" s="559"/>
      <c r="WKD21" s="559"/>
      <c r="WKE21" s="559"/>
      <c r="WKF21" s="559"/>
      <c r="WKG21" s="559"/>
      <c r="WKH21" s="559"/>
      <c r="WKI21" s="559"/>
      <c r="WKJ21" s="559"/>
      <c r="WKK21" s="559"/>
      <c r="WKL21" s="559"/>
      <c r="WKM21" s="559"/>
      <c r="WKN21" s="559"/>
      <c r="WKO21" s="559"/>
      <c r="WKP21" s="559"/>
      <c r="WKQ21" s="559"/>
      <c r="WKR21" s="559"/>
      <c r="WKS21" s="559"/>
      <c r="WKT21" s="559"/>
      <c r="WKU21" s="559"/>
      <c r="WKV21" s="559"/>
      <c r="WKW21" s="559"/>
      <c r="WKX21" s="559"/>
      <c r="WKY21" s="559"/>
      <c r="WKZ21" s="559"/>
      <c r="WLA21" s="559"/>
      <c r="WLB21" s="559"/>
      <c r="WLC21" s="559"/>
      <c r="WLD21" s="559"/>
      <c r="WLE21" s="559"/>
      <c r="WLF21" s="559"/>
      <c r="WLG21" s="559"/>
      <c r="WLH21" s="559"/>
      <c r="WLI21" s="559"/>
      <c r="WLJ21" s="559"/>
      <c r="WLK21" s="559"/>
      <c r="WLL21" s="559"/>
      <c r="WLM21" s="559"/>
      <c r="WLN21" s="559"/>
      <c r="WLO21" s="559"/>
      <c r="WLP21" s="559"/>
      <c r="WLQ21" s="559"/>
      <c r="WLR21" s="559"/>
      <c r="WLS21" s="559"/>
      <c r="WLT21" s="559"/>
      <c r="WLU21" s="559"/>
      <c r="WLV21" s="559"/>
      <c r="WLW21" s="559"/>
      <c r="WLX21" s="559"/>
      <c r="WLY21" s="559"/>
      <c r="WLZ21" s="559"/>
      <c r="WMA21" s="559"/>
      <c r="WMB21" s="559"/>
      <c r="WMC21" s="559"/>
      <c r="WMD21" s="559"/>
      <c r="WME21" s="559"/>
      <c r="WMF21" s="559"/>
      <c r="WMG21" s="559"/>
      <c r="WMH21" s="559"/>
      <c r="WMI21" s="559"/>
      <c r="WMJ21" s="559"/>
      <c r="WMK21" s="559"/>
      <c r="WML21" s="559"/>
      <c r="WMM21" s="559"/>
      <c r="WMN21" s="559"/>
      <c r="WMO21" s="559"/>
      <c r="WMP21" s="559"/>
      <c r="WMQ21" s="559"/>
      <c r="WMR21" s="559"/>
      <c r="WMS21" s="559"/>
      <c r="WMT21" s="559"/>
      <c r="WMU21" s="559"/>
      <c r="WMV21" s="559"/>
      <c r="WMW21" s="559"/>
      <c r="WMX21" s="559"/>
      <c r="WMY21" s="559"/>
      <c r="WMZ21" s="559"/>
      <c r="WNA21" s="559"/>
      <c r="WNB21" s="559"/>
      <c r="WNC21" s="559"/>
      <c r="WND21" s="559"/>
      <c r="WNE21" s="559"/>
      <c r="WNF21" s="559"/>
      <c r="WNG21" s="559"/>
      <c r="WNH21" s="559"/>
      <c r="WNI21" s="559"/>
      <c r="WNJ21" s="559"/>
      <c r="WNK21" s="559"/>
      <c r="WNL21" s="559"/>
      <c r="WNM21" s="559"/>
      <c r="WNN21" s="559"/>
      <c r="WNO21" s="559"/>
      <c r="WNP21" s="559"/>
      <c r="WNQ21" s="559"/>
      <c r="WNR21" s="559"/>
      <c r="WNS21" s="559"/>
      <c r="WNT21" s="559"/>
      <c r="WNU21" s="559"/>
      <c r="WNV21" s="559"/>
      <c r="WNW21" s="559"/>
      <c r="WNX21" s="559"/>
      <c r="WNY21" s="559"/>
      <c r="WNZ21" s="559"/>
      <c r="WOA21" s="559"/>
      <c r="WOB21" s="559"/>
      <c r="WOC21" s="559"/>
      <c r="WOD21" s="559"/>
      <c r="WOE21" s="559"/>
      <c r="WOF21" s="559"/>
      <c r="WOG21" s="559"/>
      <c r="WOH21" s="559"/>
      <c r="WOI21" s="559"/>
      <c r="WOJ21" s="559"/>
      <c r="WOK21" s="559"/>
      <c r="WOL21" s="559"/>
      <c r="WOM21" s="559"/>
      <c r="WON21" s="559"/>
      <c r="WOO21" s="559"/>
      <c r="WOP21" s="559"/>
      <c r="WOQ21" s="559"/>
      <c r="WOR21" s="559"/>
      <c r="WOS21" s="559"/>
      <c r="WOT21" s="559"/>
      <c r="WOU21" s="559"/>
      <c r="WOV21" s="559"/>
      <c r="WOW21" s="559"/>
      <c r="WOX21" s="559"/>
      <c r="WOY21" s="559"/>
      <c r="WOZ21" s="559"/>
      <c r="WPA21" s="559"/>
      <c r="WPB21" s="559"/>
      <c r="WPC21" s="559"/>
      <c r="WPD21" s="559"/>
      <c r="WPE21" s="559"/>
      <c r="WPF21" s="559"/>
      <c r="WPG21" s="559"/>
      <c r="WPH21" s="559"/>
      <c r="WPI21" s="559"/>
      <c r="WPJ21" s="559"/>
      <c r="WPK21" s="559"/>
      <c r="WPL21" s="559"/>
      <c r="WPM21" s="559"/>
      <c r="WPN21" s="559"/>
      <c r="WPO21" s="559"/>
      <c r="WPP21" s="559"/>
      <c r="WPQ21" s="559"/>
      <c r="WPR21" s="559"/>
      <c r="WPS21" s="559"/>
      <c r="WPT21" s="559"/>
      <c r="WPU21" s="559"/>
      <c r="WPV21" s="559"/>
      <c r="WPW21" s="559"/>
      <c r="WPX21" s="559"/>
      <c r="WPY21" s="559"/>
      <c r="WPZ21" s="559"/>
      <c r="WQA21" s="559"/>
      <c r="WQB21" s="559"/>
      <c r="WQC21" s="559"/>
      <c r="WQD21" s="559"/>
      <c r="WQE21" s="559"/>
      <c r="WQF21" s="559"/>
      <c r="WQG21" s="559"/>
      <c r="WQH21" s="559"/>
      <c r="WQI21" s="559"/>
      <c r="WQJ21" s="559"/>
      <c r="WQK21" s="559"/>
      <c r="WQL21" s="559"/>
      <c r="WQM21" s="559"/>
      <c r="WQN21" s="559"/>
      <c r="WQO21" s="559"/>
      <c r="WQP21" s="559"/>
      <c r="WQQ21" s="559"/>
      <c r="WQR21" s="559"/>
      <c r="WQS21" s="559"/>
      <c r="WQT21" s="559"/>
      <c r="WQU21" s="559"/>
      <c r="WQV21" s="559"/>
      <c r="WQW21" s="559"/>
      <c r="WQX21" s="559"/>
      <c r="WQY21" s="559"/>
      <c r="WQZ21" s="559"/>
      <c r="WRA21" s="559"/>
      <c r="WRB21" s="559"/>
      <c r="WRC21" s="559"/>
      <c r="WRD21" s="559"/>
      <c r="WRE21" s="559"/>
      <c r="WRF21" s="559"/>
      <c r="WRG21" s="559"/>
      <c r="WRH21" s="559"/>
      <c r="WRI21" s="559"/>
      <c r="WRJ21" s="559"/>
      <c r="WRK21" s="559"/>
      <c r="WRL21" s="559"/>
      <c r="WRM21" s="559"/>
      <c r="WRN21" s="559"/>
      <c r="WRO21" s="559"/>
      <c r="WRP21" s="559"/>
      <c r="WRQ21" s="559"/>
      <c r="WRR21" s="559"/>
      <c r="WRS21" s="559"/>
      <c r="WRT21" s="559"/>
      <c r="WRU21" s="559"/>
      <c r="WRV21" s="559"/>
      <c r="WRW21" s="559"/>
      <c r="WRX21" s="559"/>
      <c r="WRY21" s="559"/>
      <c r="WRZ21" s="559"/>
      <c r="WSA21" s="559"/>
      <c r="WSB21" s="559"/>
      <c r="WSC21" s="559"/>
      <c r="WSD21" s="559"/>
      <c r="WSE21" s="559"/>
      <c r="WSF21" s="559"/>
      <c r="WSG21" s="559"/>
      <c r="WSH21" s="559"/>
      <c r="WSI21" s="559"/>
      <c r="WSJ21" s="559"/>
      <c r="WSK21" s="559"/>
      <c r="WSL21" s="559"/>
      <c r="WSM21" s="559"/>
      <c r="WSN21" s="559"/>
      <c r="WSO21" s="559"/>
      <c r="WSP21" s="559"/>
      <c r="WSQ21" s="559"/>
      <c r="WSR21" s="559"/>
      <c r="WSS21" s="559"/>
      <c r="WST21" s="559"/>
      <c r="WSU21" s="559"/>
      <c r="WSV21" s="559"/>
      <c r="WSW21" s="559"/>
      <c r="WSX21" s="559"/>
      <c r="WSY21" s="559"/>
      <c r="WSZ21" s="559"/>
      <c r="WTA21" s="559"/>
      <c r="WTB21" s="559"/>
      <c r="WTC21" s="559"/>
      <c r="WTD21" s="559"/>
      <c r="WTE21" s="559"/>
      <c r="WTF21" s="559"/>
      <c r="WTG21" s="559"/>
      <c r="WTH21" s="559"/>
      <c r="WTI21" s="559"/>
      <c r="WTJ21" s="559"/>
      <c r="WTK21" s="559"/>
      <c r="WTL21" s="559"/>
      <c r="WTM21" s="559"/>
      <c r="WTN21" s="559"/>
      <c r="WTO21" s="559"/>
      <c r="WTP21" s="559"/>
      <c r="WTQ21" s="559"/>
      <c r="WTR21" s="559"/>
      <c r="WTS21" s="559"/>
      <c r="WTT21" s="559"/>
      <c r="WTU21" s="559"/>
      <c r="WTV21" s="559"/>
      <c r="WTW21" s="559"/>
      <c r="WTX21" s="559"/>
      <c r="WTY21" s="559"/>
      <c r="WTZ21" s="559"/>
      <c r="WUA21" s="559"/>
      <c r="WUB21" s="559"/>
      <c r="WUC21" s="559"/>
      <c r="WUD21" s="559"/>
      <c r="WUE21" s="559"/>
      <c r="WUF21" s="559"/>
      <c r="WUG21" s="559"/>
      <c r="WUH21" s="559"/>
      <c r="WUI21" s="559"/>
      <c r="WUJ21" s="559"/>
      <c r="WUK21" s="559"/>
      <c r="WUL21" s="559"/>
      <c r="WUM21" s="559"/>
      <c r="WUN21" s="559"/>
      <c r="WUO21" s="559"/>
      <c r="WUP21" s="559"/>
      <c r="WUQ21" s="559"/>
      <c r="WUR21" s="559"/>
      <c r="WUS21" s="559"/>
      <c r="WUT21" s="559"/>
      <c r="WUU21" s="559"/>
      <c r="WUV21" s="559"/>
      <c r="WUW21" s="559"/>
      <c r="WUX21" s="559"/>
      <c r="WUY21" s="559"/>
      <c r="WUZ21" s="559"/>
      <c r="WVA21" s="559"/>
      <c r="WVB21" s="559"/>
      <c r="WVC21" s="559"/>
      <c r="WVD21" s="559"/>
      <c r="WVE21" s="559"/>
      <c r="WVF21" s="559"/>
      <c r="WVG21" s="559"/>
      <c r="WVH21" s="559"/>
      <c r="WVI21" s="559"/>
      <c r="WVJ21" s="559"/>
      <c r="WVK21" s="559"/>
      <c r="WVL21" s="559"/>
      <c r="WVM21" s="559"/>
      <c r="WVN21" s="559"/>
      <c r="WVO21" s="559"/>
      <c r="WVP21" s="559"/>
      <c r="WVQ21" s="559"/>
      <c r="WVR21" s="559"/>
      <c r="WVS21" s="559"/>
      <c r="WVT21" s="559"/>
      <c r="WVU21" s="559"/>
      <c r="WVV21" s="559"/>
      <c r="WVW21" s="559"/>
      <c r="WVX21" s="559"/>
      <c r="WVY21" s="559"/>
      <c r="WVZ21" s="559"/>
      <c r="WWA21" s="559"/>
      <c r="WWB21" s="559"/>
      <c r="WWC21" s="559"/>
      <c r="WWD21" s="559"/>
      <c r="WWE21" s="559"/>
      <c r="WWF21" s="559"/>
      <c r="WWG21" s="559"/>
      <c r="WWH21" s="559"/>
      <c r="WWI21" s="559"/>
      <c r="WWJ21" s="559"/>
      <c r="WWK21" s="559"/>
      <c r="WWL21" s="559"/>
      <c r="WWM21" s="559"/>
      <c r="WWN21" s="559"/>
      <c r="WWO21" s="559"/>
      <c r="WWP21" s="559"/>
      <c r="WWQ21" s="559"/>
      <c r="WWR21" s="559"/>
      <c r="WWS21" s="559"/>
      <c r="WWT21" s="559"/>
      <c r="WWU21" s="559"/>
      <c r="WWV21" s="559"/>
      <c r="WWW21" s="559"/>
      <c r="WWX21" s="559"/>
      <c r="WWY21" s="559"/>
      <c r="WWZ21" s="559"/>
      <c r="WXA21" s="559"/>
      <c r="WXB21" s="559"/>
      <c r="WXC21" s="559"/>
      <c r="WXD21" s="559"/>
      <c r="WXE21" s="559"/>
      <c r="WXF21" s="559"/>
      <c r="WXG21" s="559"/>
      <c r="WXH21" s="559"/>
      <c r="WXI21" s="559"/>
      <c r="WXJ21" s="559"/>
      <c r="WXK21" s="559"/>
      <c r="WXL21" s="559"/>
      <c r="WXM21" s="559"/>
      <c r="WXN21" s="559"/>
      <c r="WXO21" s="559"/>
      <c r="WXP21" s="559"/>
      <c r="WXQ21" s="559"/>
      <c r="WXR21" s="559"/>
      <c r="WXS21" s="559"/>
      <c r="WXT21" s="559"/>
      <c r="WXU21" s="559"/>
      <c r="WXV21" s="559"/>
      <c r="WXW21" s="559"/>
      <c r="WXX21" s="559"/>
      <c r="WXY21" s="559"/>
      <c r="WXZ21" s="559"/>
      <c r="WYA21" s="559"/>
      <c r="WYB21" s="559"/>
      <c r="WYC21" s="559"/>
      <c r="WYD21" s="559"/>
      <c r="WYE21" s="559"/>
      <c r="WYF21" s="559"/>
      <c r="WYG21" s="559"/>
      <c r="WYH21" s="559"/>
      <c r="WYI21" s="559"/>
      <c r="WYJ21" s="559"/>
      <c r="WYK21" s="559"/>
      <c r="WYL21" s="559"/>
      <c r="WYM21" s="559"/>
      <c r="WYN21" s="559"/>
      <c r="WYO21" s="559"/>
      <c r="WYP21" s="559"/>
      <c r="WYQ21" s="559"/>
      <c r="WYR21" s="559"/>
      <c r="WYS21" s="559"/>
      <c r="WYT21" s="559"/>
      <c r="WYU21" s="559"/>
      <c r="WYV21" s="559"/>
      <c r="WYW21" s="559"/>
      <c r="WYX21" s="559"/>
      <c r="WYY21" s="559"/>
      <c r="WYZ21" s="559"/>
      <c r="WZA21" s="559"/>
      <c r="WZB21" s="559"/>
      <c r="WZC21" s="559"/>
      <c r="WZD21" s="559"/>
      <c r="WZE21" s="559"/>
      <c r="WZF21" s="559"/>
      <c r="WZG21" s="559"/>
      <c r="WZH21" s="559"/>
      <c r="WZI21" s="559"/>
      <c r="WZJ21" s="559"/>
      <c r="WZK21" s="559"/>
      <c r="WZL21" s="559"/>
      <c r="WZM21" s="559"/>
      <c r="WZN21" s="559"/>
      <c r="WZO21" s="559"/>
      <c r="WZP21" s="559"/>
      <c r="WZQ21" s="559"/>
      <c r="WZR21" s="559"/>
      <c r="WZS21" s="559"/>
      <c r="WZT21" s="559"/>
      <c r="WZU21" s="559"/>
      <c r="WZV21" s="559"/>
      <c r="WZW21" s="559"/>
      <c r="WZX21" s="559"/>
      <c r="WZY21" s="559"/>
      <c r="WZZ21" s="559"/>
      <c r="XAA21" s="559"/>
      <c r="XAB21" s="559"/>
      <c r="XAC21" s="559"/>
      <c r="XAD21" s="559"/>
      <c r="XAE21" s="559"/>
      <c r="XAF21" s="559"/>
      <c r="XAG21" s="559"/>
      <c r="XAH21" s="559"/>
      <c r="XAI21" s="559"/>
      <c r="XAJ21" s="559"/>
      <c r="XAK21" s="559"/>
      <c r="XAL21" s="559"/>
      <c r="XAM21" s="559"/>
      <c r="XAN21" s="559"/>
      <c r="XAO21" s="559"/>
      <c r="XAP21" s="559"/>
      <c r="XAQ21" s="559"/>
      <c r="XAR21" s="559"/>
      <c r="XAS21" s="559"/>
      <c r="XAT21" s="559"/>
      <c r="XAU21" s="559"/>
      <c r="XAV21" s="559"/>
      <c r="XAW21" s="559"/>
      <c r="XAX21" s="559"/>
      <c r="XAY21" s="559"/>
      <c r="XAZ21" s="559"/>
      <c r="XBA21" s="559"/>
      <c r="XBB21" s="559"/>
      <c r="XBC21" s="559"/>
      <c r="XBD21" s="559"/>
      <c r="XBE21" s="559"/>
      <c r="XBF21" s="559"/>
      <c r="XBG21" s="559"/>
      <c r="XBH21" s="559"/>
      <c r="XBI21" s="559"/>
      <c r="XBJ21" s="559"/>
      <c r="XBK21" s="559"/>
      <c r="XBL21" s="559"/>
      <c r="XBM21" s="559"/>
      <c r="XBN21" s="559"/>
      <c r="XBO21" s="559"/>
      <c r="XBP21" s="559"/>
      <c r="XBQ21" s="559"/>
      <c r="XBR21" s="559"/>
      <c r="XBS21" s="559"/>
      <c r="XBT21" s="559"/>
      <c r="XBU21" s="559"/>
      <c r="XBV21" s="559"/>
      <c r="XBW21" s="559"/>
      <c r="XBX21" s="559"/>
      <c r="XBY21" s="559"/>
      <c r="XBZ21" s="559"/>
      <c r="XCA21" s="559"/>
      <c r="XCB21" s="559"/>
      <c r="XCC21" s="559"/>
      <c r="XCD21" s="559"/>
      <c r="XCE21" s="559"/>
      <c r="XCF21" s="559"/>
      <c r="XCG21" s="559"/>
      <c r="XCH21" s="559"/>
      <c r="XCI21" s="559"/>
      <c r="XCJ21" s="559"/>
      <c r="XCK21" s="559"/>
      <c r="XCL21" s="559"/>
      <c r="XCM21" s="559"/>
      <c r="XCN21" s="559"/>
      <c r="XCO21" s="559"/>
      <c r="XCP21" s="559"/>
      <c r="XCQ21" s="559"/>
      <c r="XCR21" s="559"/>
      <c r="XCS21" s="559"/>
      <c r="XCT21" s="559"/>
      <c r="XCU21" s="559"/>
      <c r="XCV21" s="559"/>
      <c r="XCW21" s="559"/>
      <c r="XCX21" s="559"/>
      <c r="XCY21" s="559"/>
      <c r="XCZ21" s="559"/>
      <c r="XDA21" s="559"/>
      <c r="XDB21" s="559"/>
      <c r="XDC21" s="559"/>
      <c r="XDD21" s="559"/>
      <c r="XDE21" s="559"/>
      <c r="XDF21" s="559"/>
      <c r="XDG21" s="559"/>
      <c r="XDH21" s="559"/>
      <c r="XDI21" s="559"/>
      <c r="XDJ21" s="559"/>
      <c r="XDK21" s="559"/>
      <c r="XDL21" s="559"/>
      <c r="XDM21" s="559"/>
      <c r="XDN21" s="559"/>
      <c r="XDO21" s="559"/>
      <c r="XDP21" s="559"/>
      <c r="XDQ21" s="559"/>
      <c r="XDR21" s="559"/>
      <c r="XDS21" s="559"/>
      <c r="XDT21" s="559"/>
      <c r="XDU21" s="559"/>
      <c r="XDV21" s="559"/>
      <c r="XDW21" s="559"/>
      <c r="XDX21" s="559"/>
      <c r="XDY21" s="559"/>
      <c r="XDZ21" s="559"/>
      <c r="XEA21" s="559"/>
      <c r="XEB21" s="559"/>
      <c r="XEC21" s="559"/>
      <c r="XED21" s="559"/>
      <c r="XEE21" s="559"/>
      <c r="XEF21" s="559"/>
      <c r="XEG21" s="559"/>
      <c r="XEH21" s="559"/>
      <c r="XEI21" s="559"/>
      <c r="XEJ21" s="559"/>
      <c r="XEK21" s="559"/>
      <c r="XEL21" s="559"/>
      <c r="XEM21" s="559"/>
      <c r="XEN21" s="559"/>
      <c r="XEO21" s="559"/>
      <c r="XEP21" s="559"/>
      <c r="XEQ21" s="559"/>
      <c r="XER21" s="559"/>
      <c r="XES21" s="559"/>
      <c r="XET21" s="559"/>
      <c r="XEU21" s="559"/>
      <c r="XEV21" s="559"/>
      <c r="XEW21" s="559"/>
      <c r="XEX21" s="559"/>
      <c r="XEY21" s="559"/>
      <c r="XEZ21" s="559"/>
      <c r="XFA21" s="559"/>
      <c r="XFB21" s="559"/>
      <c r="XFC21" s="559"/>
    </row>
    <row r="22" spans="1:16383" s="562" customFormat="1">
      <c r="A22" s="7"/>
      <c r="B22" s="559"/>
      <c r="C22" s="559"/>
      <c r="D22" s="559"/>
      <c r="E22" s="559"/>
      <c r="F22" s="566" t="s">
        <v>394</v>
      </c>
      <c r="G22" s="557">
        <f>YEAR(G23)</f>
        <v>2027</v>
      </c>
      <c r="H22" s="557">
        <f t="shared" ref="H22:BS22" si="0">YEAR(H23)</f>
        <v>2027</v>
      </c>
      <c r="I22" s="557">
        <f t="shared" si="0"/>
        <v>2027</v>
      </c>
      <c r="J22" s="557">
        <f t="shared" si="0"/>
        <v>2027</v>
      </c>
      <c r="K22" s="557">
        <f t="shared" si="0"/>
        <v>2027</v>
      </c>
      <c r="L22" s="557">
        <f t="shared" si="0"/>
        <v>2027</v>
      </c>
      <c r="M22" s="557">
        <f t="shared" si="0"/>
        <v>2027</v>
      </c>
      <c r="N22" s="557">
        <f t="shared" si="0"/>
        <v>2027</v>
      </c>
      <c r="O22" s="557">
        <f t="shared" si="0"/>
        <v>2027</v>
      </c>
      <c r="P22" s="557">
        <f t="shared" si="0"/>
        <v>2027</v>
      </c>
      <c r="Q22" s="557">
        <f t="shared" si="0"/>
        <v>2027</v>
      </c>
      <c r="R22" s="557">
        <f t="shared" si="0"/>
        <v>2027</v>
      </c>
      <c r="S22" s="557">
        <f t="shared" si="0"/>
        <v>2028</v>
      </c>
      <c r="T22" s="557">
        <f t="shared" si="0"/>
        <v>2028</v>
      </c>
      <c r="U22" s="557">
        <f t="shared" si="0"/>
        <v>2028</v>
      </c>
      <c r="V22" s="557">
        <f t="shared" si="0"/>
        <v>2028</v>
      </c>
      <c r="W22" s="557">
        <f t="shared" si="0"/>
        <v>2028</v>
      </c>
      <c r="X22" s="557">
        <f t="shared" si="0"/>
        <v>2028</v>
      </c>
      <c r="Y22" s="557">
        <f t="shared" si="0"/>
        <v>2028</v>
      </c>
      <c r="Z22" s="557">
        <f t="shared" si="0"/>
        <v>2028</v>
      </c>
      <c r="AA22" s="557">
        <f t="shared" si="0"/>
        <v>2028</v>
      </c>
      <c r="AB22" s="557">
        <f t="shared" si="0"/>
        <v>2028</v>
      </c>
      <c r="AC22" s="557">
        <f t="shared" si="0"/>
        <v>2028</v>
      </c>
      <c r="AD22" s="557">
        <f t="shared" si="0"/>
        <v>2028</v>
      </c>
      <c r="AE22" s="557">
        <f t="shared" si="0"/>
        <v>2029</v>
      </c>
      <c r="AF22" s="557">
        <f t="shared" si="0"/>
        <v>2029</v>
      </c>
      <c r="AG22" s="557">
        <f t="shared" si="0"/>
        <v>2029</v>
      </c>
      <c r="AH22" s="557">
        <f t="shared" si="0"/>
        <v>2029</v>
      </c>
      <c r="AI22" s="557">
        <f t="shared" si="0"/>
        <v>2029</v>
      </c>
      <c r="AJ22" s="557">
        <f t="shared" si="0"/>
        <v>2029</v>
      </c>
      <c r="AK22" s="557">
        <f t="shared" si="0"/>
        <v>2029</v>
      </c>
      <c r="AL22" s="557">
        <f t="shared" si="0"/>
        <v>2029</v>
      </c>
      <c r="AM22" s="557">
        <f t="shared" si="0"/>
        <v>2029</v>
      </c>
      <c r="AN22" s="557">
        <f t="shared" si="0"/>
        <v>2029</v>
      </c>
      <c r="AO22" s="557">
        <f t="shared" si="0"/>
        <v>2029</v>
      </c>
      <c r="AP22" s="557">
        <f t="shared" si="0"/>
        <v>2029</v>
      </c>
      <c r="AQ22" s="557">
        <f t="shared" si="0"/>
        <v>2030</v>
      </c>
      <c r="AR22" s="557">
        <f t="shared" si="0"/>
        <v>2030</v>
      </c>
      <c r="AS22" s="557">
        <f t="shared" si="0"/>
        <v>2030</v>
      </c>
      <c r="AT22" s="557">
        <f t="shared" si="0"/>
        <v>2030</v>
      </c>
      <c r="AU22" s="557">
        <f t="shared" si="0"/>
        <v>2030</v>
      </c>
      <c r="AV22" s="557">
        <f t="shared" si="0"/>
        <v>2030</v>
      </c>
      <c r="AW22" s="557">
        <f t="shared" si="0"/>
        <v>2030</v>
      </c>
      <c r="AX22" s="557">
        <f t="shared" si="0"/>
        <v>2030</v>
      </c>
      <c r="AY22" s="557">
        <f t="shared" si="0"/>
        <v>2030</v>
      </c>
      <c r="AZ22" s="557">
        <f t="shared" si="0"/>
        <v>2030</v>
      </c>
      <c r="BA22" s="557">
        <f t="shared" si="0"/>
        <v>2030</v>
      </c>
      <c r="BB22" s="557">
        <f t="shared" si="0"/>
        <v>2030</v>
      </c>
      <c r="BC22" s="557">
        <f t="shared" si="0"/>
        <v>2031</v>
      </c>
      <c r="BD22" s="557">
        <f t="shared" si="0"/>
        <v>2031</v>
      </c>
      <c r="BE22" s="557">
        <f t="shared" si="0"/>
        <v>2031</v>
      </c>
      <c r="BF22" s="557">
        <f t="shared" si="0"/>
        <v>2031</v>
      </c>
      <c r="BG22" s="557">
        <f t="shared" si="0"/>
        <v>2031</v>
      </c>
      <c r="BH22" s="557">
        <f t="shared" si="0"/>
        <v>2031</v>
      </c>
      <c r="BI22" s="557">
        <f t="shared" si="0"/>
        <v>2031</v>
      </c>
      <c r="BJ22" s="557">
        <f t="shared" si="0"/>
        <v>2031</v>
      </c>
      <c r="BK22" s="557">
        <f t="shared" si="0"/>
        <v>2031</v>
      </c>
      <c r="BL22" s="557">
        <f t="shared" si="0"/>
        <v>2031</v>
      </c>
      <c r="BM22" s="557">
        <f t="shared" si="0"/>
        <v>2031</v>
      </c>
      <c r="BN22" s="557">
        <f t="shared" si="0"/>
        <v>2031</v>
      </c>
      <c r="BO22" s="557">
        <f t="shared" si="0"/>
        <v>2032</v>
      </c>
      <c r="BP22" s="557">
        <f t="shared" si="0"/>
        <v>2032</v>
      </c>
      <c r="BQ22" s="557">
        <f t="shared" si="0"/>
        <v>2032</v>
      </c>
      <c r="BR22" s="557">
        <f t="shared" si="0"/>
        <v>2032</v>
      </c>
      <c r="BS22" s="557">
        <f t="shared" si="0"/>
        <v>2032</v>
      </c>
      <c r="BT22" s="557">
        <f t="shared" ref="BT22:EE22" si="1">YEAR(BT23)</f>
        <v>2032</v>
      </c>
      <c r="BU22" s="557">
        <f t="shared" si="1"/>
        <v>2032</v>
      </c>
      <c r="BV22" s="557">
        <f t="shared" si="1"/>
        <v>2032</v>
      </c>
      <c r="BW22" s="557">
        <f t="shared" si="1"/>
        <v>2032</v>
      </c>
      <c r="BX22" s="557">
        <f t="shared" si="1"/>
        <v>2032</v>
      </c>
      <c r="BY22" s="557">
        <f t="shared" si="1"/>
        <v>2032</v>
      </c>
      <c r="BZ22" s="557">
        <f t="shared" si="1"/>
        <v>2032</v>
      </c>
      <c r="CA22" s="557">
        <f t="shared" si="1"/>
        <v>2033</v>
      </c>
      <c r="CB22" s="557">
        <f t="shared" si="1"/>
        <v>2033</v>
      </c>
      <c r="CC22" s="557">
        <f t="shared" si="1"/>
        <v>2033</v>
      </c>
      <c r="CD22" s="557">
        <f t="shared" si="1"/>
        <v>2033</v>
      </c>
      <c r="CE22" s="557">
        <f t="shared" si="1"/>
        <v>2033</v>
      </c>
      <c r="CF22" s="557">
        <f t="shared" si="1"/>
        <v>2033</v>
      </c>
      <c r="CG22" s="557">
        <f t="shared" si="1"/>
        <v>2033</v>
      </c>
      <c r="CH22" s="557">
        <f t="shared" si="1"/>
        <v>2033</v>
      </c>
      <c r="CI22" s="557">
        <f t="shared" si="1"/>
        <v>2033</v>
      </c>
      <c r="CJ22" s="557">
        <f t="shared" si="1"/>
        <v>2033</v>
      </c>
      <c r="CK22" s="557">
        <f t="shared" si="1"/>
        <v>2033</v>
      </c>
      <c r="CL22" s="557">
        <f t="shared" si="1"/>
        <v>2033</v>
      </c>
      <c r="CM22" s="557">
        <f t="shared" si="1"/>
        <v>2034</v>
      </c>
      <c r="CN22" s="557">
        <f t="shared" si="1"/>
        <v>2034</v>
      </c>
      <c r="CO22" s="557">
        <f t="shared" si="1"/>
        <v>2034</v>
      </c>
      <c r="CP22" s="557">
        <f t="shared" si="1"/>
        <v>2034</v>
      </c>
      <c r="CQ22" s="557">
        <f t="shared" si="1"/>
        <v>2034</v>
      </c>
      <c r="CR22" s="557">
        <f t="shared" si="1"/>
        <v>2034</v>
      </c>
      <c r="CS22" s="557">
        <f t="shared" si="1"/>
        <v>2034</v>
      </c>
      <c r="CT22" s="557">
        <f t="shared" si="1"/>
        <v>2034</v>
      </c>
      <c r="CU22" s="557">
        <f t="shared" si="1"/>
        <v>2034</v>
      </c>
      <c r="CV22" s="557">
        <f t="shared" si="1"/>
        <v>2034</v>
      </c>
      <c r="CW22" s="557">
        <f t="shared" si="1"/>
        <v>2034</v>
      </c>
      <c r="CX22" s="557">
        <f t="shared" si="1"/>
        <v>2034</v>
      </c>
      <c r="CY22" s="557">
        <f t="shared" si="1"/>
        <v>2035</v>
      </c>
      <c r="CZ22" s="557">
        <f t="shared" si="1"/>
        <v>2035</v>
      </c>
      <c r="DA22" s="557">
        <f t="shared" si="1"/>
        <v>2035</v>
      </c>
      <c r="DB22" s="557">
        <f t="shared" si="1"/>
        <v>2035</v>
      </c>
      <c r="DC22" s="557">
        <f t="shared" si="1"/>
        <v>2035</v>
      </c>
      <c r="DD22" s="557">
        <f t="shared" si="1"/>
        <v>2035</v>
      </c>
      <c r="DE22" s="557">
        <f t="shared" si="1"/>
        <v>2035</v>
      </c>
      <c r="DF22" s="557">
        <f t="shared" si="1"/>
        <v>2035</v>
      </c>
      <c r="DG22" s="557">
        <f t="shared" si="1"/>
        <v>2035</v>
      </c>
      <c r="DH22" s="557">
        <f t="shared" si="1"/>
        <v>2035</v>
      </c>
      <c r="DI22" s="557">
        <f t="shared" si="1"/>
        <v>2035</v>
      </c>
      <c r="DJ22" s="557">
        <f t="shared" si="1"/>
        <v>2035</v>
      </c>
      <c r="DK22" s="557">
        <f t="shared" si="1"/>
        <v>2036</v>
      </c>
      <c r="DL22" s="557">
        <f t="shared" si="1"/>
        <v>2036</v>
      </c>
      <c r="DM22" s="557">
        <f t="shared" si="1"/>
        <v>2036</v>
      </c>
      <c r="DN22" s="557">
        <f t="shared" si="1"/>
        <v>2036</v>
      </c>
      <c r="DO22" s="557">
        <f t="shared" si="1"/>
        <v>2036</v>
      </c>
      <c r="DP22" s="557">
        <f t="shared" si="1"/>
        <v>2036</v>
      </c>
      <c r="DQ22" s="557">
        <f t="shared" si="1"/>
        <v>2036</v>
      </c>
      <c r="DR22" s="557">
        <f t="shared" si="1"/>
        <v>2036</v>
      </c>
      <c r="DS22" s="557">
        <f t="shared" si="1"/>
        <v>2036</v>
      </c>
      <c r="DT22" s="557">
        <f t="shared" si="1"/>
        <v>2036</v>
      </c>
      <c r="DU22" s="557">
        <f t="shared" si="1"/>
        <v>2036</v>
      </c>
      <c r="DV22" s="557">
        <f t="shared" si="1"/>
        <v>2036</v>
      </c>
      <c r="DW22" s="557">
        <f t="shared" si="1"/>
        <v>2037</v>
      </c>
      <c r="DX22" s="557">
        <f t="shared" si="1"/>
        <v>2037</v>
      </c>
      <c r="DY22" s="557">
        <f t="shared" si="1"/>
        <v>2037</v>
      </c>
      <c r="DZ22" s="557">
        <f t="shared" si="1"/>
        <v>2037</v>
      </c>
      <c r="EA22" s="557">
        <f t="shared" si="1"/>
        <v>2037</v>
      </c>
      <c r="EB22" s="557">
        <f t="shared" si="1"/>
        <v>2037</v>
      </c>
      <c r="EC22" s="557">
        <f t="shared" si="1"/>
        <v>2037</v>
      </c>
      <c r="ED22" s="557">
        <f t="shared" si="1"/>
        <v>2037</v>
      </c>
      <c r="EE22" s="557">
        <f t="shared" si="1"/>
        <v>2037</v>
      </c>
      <c r="EF22" s="557">
        <f t="shared" ref="EF22:GQ22" si="2">YEAR(EF23)</f>
        <v>2037</v>
      </c>
      <c r="EG22" s="557">
        <f t="shared" si="2"/>
        <v>2037</v>
      </c>
      <c r="EH22" s="557">
        <f t="shared" si="2"/>
        <v>2037</v>
      </c>
      <c r="EI22" s="557">
        <f t="shared" si="2"/>
        <v>2038</v>
      </c>
      <c r="EJ22" s="557">
        <f t="shared" si="2"/>
        <v>2038</v>
      </c>
      <c r="EK22" s="557">
        <f t="shared" si="2"/>
        <v>2038</v>
      </c>
      <c r="EL22" s="557">
        <f t="shared" si="2"/>
        <v>2038</v>
      </c>
      <c r="EM22" s="557">
        <f t="shared" si="2"/>
        <v>2038</v>
      </c>
      <c r="EN22" s="557">
        <f t="shared" si="2"/>
        <v>2038</v>
      </c>
      <c r="EO22" s="557">
        <f t="shared" si="2"/>
        <v>2038</v>
      </c>
      <c r="EP22" s="557">
        <f t="shared" si="2"/>
        <v>2038</v>
      </c>
      <c r="EQ22" s="557">
        <f t="shared" si="2"/>
        <v>2038</v>
      </c>
      <c r="ER22" s="557">
        <f t="shared" si="2"/>
        <v>2038</v>
      </c>
      <c r="ES22" s="557">
        <f t="shared" si="2"/>
        <v>2038</v>
      </c>
      <c r="ET22" s="557">
        <f t="shared" si="2"/>
        <v>2038</v>
      </c>
      <c r="EU22" s="557">
        <f t="shared" si="2"/>
        <v>2039</v>
      </c>
      <c r="EV22" s="557">
        <f t="shared" si="2"/>
        <v>2039</v>
      </c>
      <c r="EW22" s="557">
        <f t="shared" si="2"/>
        <v>2039</v>
      </c>
      <c r="EX22" s="557">
        <f t="shared" si="2"/>
        <v>2039</v>
      </c>
      <c r="EY22" s="557">
        <f t="shared" si="2"/>
        <v>2039</v>
      </c>
      <c r="EZ22" s="557">
        <f t="shared" si="2"/>
        <v>2039</v>
      </c>
      <c r="FA22" s="557">
        <f t="shared" si="2"/>
        <v>2039</v>
      </c>
      <c r="FB22" s="557">
        <f t="shared" si="2"/>
        <v>2039</v>
      </c>
      <c r="FC22" s="557">
        <f t="shared" si="2"/>
        <v>2039</v>
      </c>
      <c r="FD22" s="557">
        <f t="shared" si="2"/>
        <v>2039</v>
      </c>
      <c r="FE22" s="557">
        <f t="shared" si="2"/>
        <v>2039</v>
      </c>
      <c r="FF22" s="557">
        <f t="shared" si="2"/>
        <v>2039</v>
      </c>
      <c r="FG22" s="557">
        <f t="shared" si="2"/>
        <v>2040</v>
      </c>
      <c r="FH22" s="557">
        <f t="shared" si="2"/>
        <v>2040</v>
      </c>
      <c r="FI22" s="557">
        <f t="shared" si="2"/>
        <v>2040</v>
      </c>
      <c r="FJ22" s="557">
        <f t="shared" si="2"/>
        <v>2040</v>
      </c>
      <c r="FK22" s="557">
        <f t="shared" si="2"/>
        <v>2040</v>
      </c>
      <c r="FL22" s="557">
        <f t="shared" si="2"/>
        <v>2040</v>
      </c>
      <c r="FM22" s="557">
        <f t="shared" si="2"/>
        <v>2040</v>
      </c>
      <c r="FN22" s="557">
        <f t="shared" si="2"/>
        <v>2040</v>
      </c>
      <c r="FO22" s="557">
        <f t="shared" si="2"/>
        <v>2040</v>
      </c>
      <c r="FP22" s="557">
        <f t="shared" si="2"/>
        <v>2040</v>
      </c>
      <c r="FQ22" s="557">
        <f t="shared" si="2"/>
        <v>2040</v>
      </c>
      <c r="FR22" s="557">
        <f t="shared" si="2"/>
        <v>2040</v>
      </c>
      <c r="FS22" s="557">
        <f t="shared" si="2"/>
        <v>2041</v>
      </c>
      <c r="FT22" s="557">
        <f t="shared" si="2"/>
        <v>2041</v>
      </c>
      <c r="FU22" s="557">
        <f t="shared" si="2"/>
        <v>2041</v>
      </c>
      <c r="FV22" s="557">
        <f t="shared" si="2"/>
        <v>2041</v>
      </c>
      <c r="FW22" s="557">
        <f t="shared" si="2"/>
        <v>2041</v>
      </c>
      <c r="FX22" s="557">
        <f t="shared" si="2"/>
        <v>2041</v>
      </c>
      <c r="FY22" s="557">
        <f t="shared" si="2"/>
        <v>2041</v>
      </c>
      <c r="FZ22" s="557">
        <f t="shared" si="2"/>
        <v>2041</v>
      </c>
      <c r="GA22" s="557">
        <f t="shared" si="2"/>
        <v>2041</v>
      </c>
      <c r="GB22" s="557">
        <f t="shared" si="2"/>
        <v>2041</v>
      </c>
      <c r="GC22" s="557">
        <f t="shared" si="2"/>
        <v>2041</v>
      </c>
      <c r="GD22" s="557">
        <f t="shared" si="2"/>
        <v>2041</v>
      </c>
      <c r="GE22" s="557">
        <f t="shared" si="2"/>
        <v>2042</v>
      </c>
      <c r="GF22" s="557">
        <f t="shared" si="2"/>
        <v>2042</v>
      </c>
      <c r="GG22" s="557">
        <f t="shared" si="2"/>
        <v>2042</v>
      </c>
      <c r="GH22" s="557">
        <f t="shared" si="2"/>
        <v>2042</v>
      </c>
      <c r="GI22" s="557">
        <f t="shared" si="2"/>
        <v>2042</v>
      </c>
      <c r="GJ22" s="557">
        <f t="shared" si="2"/>
        <v>2042</v>
      </c>
      <c r="GK22" s="557">
        <f t="shared" si="2"/>
        <v>2042</v>
      </c>
      <c r="GL22" s="557">
        <f t="shared" si="2"/>
        <v>2042</v>
      </c>
      <c r="GM22" s="557">
        <f t="shared" si="2"/>
        <v>2042</v>
      </c>
      <c r="GN22" s="557">
        <f t="shared" si="2"/>
        <v>2042</v>
      </c>
      <c r="GO22" s="557">
        <f t="shared" si="2"/>
        <v>2042</v>
      </c>
      <c r="GP22" s="557">
        <f t="shared" si="2"/>
        <v>2042</v>
      </c>
      <c r="GQ22" s="557">
        <f t="shared" si="2"/>
        <v>2043</v>
      </c>
      <c r="GR22" s="557">
        <f t="shared" ref="GR22:JC22" si="3">YEAR(GR23)</f>
        <v>2043</v>
      </c>
      <c r="GS22" s="557">
        <f t="shared" si="3"/>
        <v>2043</v>
      </c>
      <c r="GT22" s="557">
        <f t="shared" si="3"/>
        <v>2043</v>
      </c>
      <c r="GU22" s="557">
        <f t="shared" si="3"/>
        <v>2043</v>
      </c>
      <c r="GV22" s="557">
        <f t="shared" si="3"/>
        <v>2043</v>
      </c>
      <c r="GW22" s="557">
        <f t="shared" si="3"/>
        <v>2043</v>
      </c>
      <c r="GX22" s="557">
        <f t="shared" si="3"/>
        <v>2043</v>
      </c>
      <c r="GY22" s="557">
        <f t="shared" si="3"/>
        <v>2043</v>
      </c>
      <c r="GZ22" s="557">
        <f t="shared" si="3"/>
        <v>2043</v>
      </c>
      <c r="HA22" s="557">
        <f t="shared" si="3"/>
        <v>2043</v>
      </c>
      <c r="HB22" s="557">
        <f t="shared" si="3"/>
        <v>2043</v>
      </c>
      <c r="HC22" s="557">
        <f t="shared" si="3"/>
        <v>2044</v>
      </c>
      <c r="HD22" s="557">
        <f t="shared" si="3"/>
        <v>2044</v>
      </c>
      <c r="HE22" s="557">
        <f t="shared" si="3"/>
        <v>2044</v>
      </c>
      <c r="HF22" s="557">
        <f t="shared" si="3"/>
        <v>2044</v>
      </c>
      <c r="HG22" s="557">
        <f t="shared" si="3"/>
        <v>2044</v>
      </c>
      <c r="HH22" s="557">
        <f t="shared" si="3"/>
        <v>2044</v>
      </c>
      <c r="HI22" s="557">
        <f t="shared" si="3"/>
        <v>2044</v>
      </c>
      <c r="HJ22" s="557">
        <f t="shared" si="3"/>
        <v>2044</v>
      </c>
      <c r="HK22" s="557">
        <f t="shared" si="3"/>
        <v>2044</v>
      </c>
      <c r="HL22" s="557">
        <f t="shared" si="3"/>
        <v>2044</v>
      </c>
      <c r="HM22" s="557">
        <f t="shared" si="3"/>
        <v>2044</v>
      </c>
      <c r="HN22" s="557">
        <f t="shared" si="3"/>
        <v>2044</v>
      </c>
      <c r="HO22" s="557">
        <f t="shared" si="3"/>
        <v>2045</v>
      </c>
      <c r="HP22" s="557">
        <f t="shared" si="3"/>
        <v>2045</v>
      </c>
      <c r="HQ22" s="557">
        <f t="shared" si="3"/>
        <v>2045</v>
      </c>
      <c r="HR22" s="557">
        <f t="shared" si="3"/>
        <v>2045</v>
      </c>
      <c r="HS22" s="557">
        <f t="shared" si="3"/>
        <v>2045</v>
      </c>
      <c r="HT22" s="557">
        <f t="shared" si="3"/>
        <v>2045</v>
      </c>
      <c r="HU22" s="557">
        <f t="shared" si="3"/>
        <v>2045</v>
      </c>
      <c r="HV22" s="557">
        <f t="shared" si="3"/>
        <v>2045</v>
      </c>
      <c r="HW22" s="557">
        <f t="shared" si="3"/>
        <v>2045</v>
      </c>
      <c r="HX22" s="557">
        <f t="shared" si="3"/>
        <v>2045</v>
      </c>
      <c r="HY22" s="557">
        <f t="shared" si="3"/>
        <v>2045</v>
      </c>
      <c r="HZ22" s="557">
        <f t="shared" si="3"/>
        <v>2045</v>
      </c>
      <c r="IA22" s="557">
        <f t="shared" si="3"/>
        <v>2046</v>
      </c>
      <c r="IB22" s="557">
        <f t="shared" si="3"/>
        <v>2046</v>
      </c>
      <c r="IC22" s="557">
        <f t="shared" si="3"/>
        <v>2046</v>
      </c>
      <c r="ID22" s="557">
        <f t="shared" si="3"/>
        <v>2046</v>
      </c>
      <c r="IE22" s="557">
        <f t="shared" si="3"/>
        <v>2046</v>
      </c>
      <c r="IF22" s="557">
        <f t="shared" si="3"/>
        <v>2046</v>
      </c>
      <c r="IG22" s="557">
        <f t="shared" si="3"/>
        <v>2046</v>
      </c>
      <c r="IH22" s="557">
        <f t="shared" si="3"/>
        <v>2046</v>
      </c>
      <c r="II22" s="557">
        <f t="shared" si="3"/>
        <v>2046</v>
      </c>
      <c r="IJ22" s="557">
        <f t="shared" si="3"/>
        <v>2046</v>
      </c>
      <c r="IK22" s="557">
        <f t="shared" si="3"/>
        <v>2046</v>
      </c>
      <c r="IL22" s="557">
        <f t="shared" si="3"/>
        <v>2046</v>
      </c>
      <c r="IM22" s="557">
        <f t="shared" si="3"/>
        <v>2047</v>
      </c>
      <c r="IN22" s="557">
        <f t="shared" si="3"/>
        <v>2047</v>
      </c>
      <c r="IO22" s="557">
        <f t="shared" si="3"/>
        <v>2047</v>
      </c>
      <c r="IP22" s="557">
        <f t="shared" si="3"/>
        <v>2047</v>
      </c>
      <c r="IQ22" s="557">
        <f t="shared" si="3"/>
        <v>2047</v>
      </c>
      <c r="IR22" s="557">
        <f t="shared" si="3"/>
        <v>2047</v>
      </c>
      <c r="IS22" s="557">
        <f t="shared" si="3"/>
        <v>2047</v>
      </c>
      <c r="IT22" s="557">
        <f t="shared" si="3"/>
        <v>2047</v>
      </c>
      <c r="IU22" s="557">
        <f t="shared" si="3"/>
        <v>2047</v>
      </c>
      <c r="IV22" s="557">
        <f t="shared" si="3"/>
        <v>2047</v>
      </c>
      <c r="IW22" s="557">
        <f t="shared" si="3"/>
        <v>2047</v>
      </c>
      <c r="IX22" s="557">
        <f t="shared" si="3"/>
        <v>2047</v>
      </c>
      <c r="IY22" s="557">
        <f t="shared" si="3"/>
        <v>2048</v>
      </c>
      <c r="IZ22" s="557">
        <f t="shared" si="3"/>
        <v>2048</v>
      </c>
      <c r="JA22" s="557">
        <f t="shared" si="3"/>
        <v>2048</v>
      </c>
      <c r="JB22" s="557">
        <f t="shared" si="3"/>
        <v>2048</v>
      </c>
      <c r="JC22" s="557">
        <f t="shared" si="3"/>
        <v>2048</v>
      </c>
      <c r="JD22" s="557">
        <f t="shared" ref="JD22:LO22" si="4">YEAR(JD23)</f>
        <v>2048</v>
      </c>
      <c r="JE22" s="557">
        <f t="shared" si="4"/>
        <v>2048</v>
      </c>
      <c r="JF22" s="557">
        <f t="shared" si="4"/>
        <v>2048</v>
      </c>
      <c r="JG22" s="557">
        <f t="shared" si="4"/>
        <v>2048</v>
      </c>
      <c r="JH22" s="557">
        <f t="shared" si="4"/>
        <v>2048</v>
      </c>
      <c r="JI22" s="557">
        <f t="shared" si="4"/>
        <v>2048</v>
      </c>
      <c r="JJ22" s="557">
        <f t="shared" si="4"/>
        <v>2048</v>
      </c>
      <c r="JK22" s="557">
        <f t="shared" si="4"/>
        <v>2049</v>
      </c>
      <c r="JL22" s="557">
        <f t="shared" si="4"/>
        <v>2049</v>
      </c>
      <c r="JM22" s="557">
        <f t="shared" si="4"/>
        <v>2049</v>
      </c>
      <c r="JN22" s="557">
        <f t="shared" si="4"/>
        <v>2049</v>
      </c>
      <c r="JO22" s="557">
        <f t="shared" si="4"/>
        <v>2049</v>
      </c>
      <c r="JP22" s="557">
        <f t="shared" si="4"/>
        <v>2049</v>
      </c>
      <c r="JQ22" s="557">
        <f t="shared" si="4"/>
        <v>2049</v>
      </c>
      <c r="JR22" s="557">
        <f t="shared" si="4"/>
        <v>2049</v>
      </c>
      <c r="JS22" s="557">
        <f t="shared" si="4"/>
        <v>2049</v>
      </c>
      <c r="JT22" s="557">
        <f t="shared" si="4"/>
        <v>2049</v>
      </c>
      <c r="JU22" s="557">
        <f t="shared" si="4"/>
        <v>2049</v>
      </c>
      <c r="JV22" s="557">
        <f t="shared" si="4"/>
        <v>2049</v>
      </c>
      <c r="JW22" s="557">
        <f t="shared" si="4"/>
        <v>2050</v>
      </c>
      <c r="JX22" s="557">
        <f t="shared" si="4"/>
        <v>2050</v>
      </c>
      <c r="JY22" s="557">
        <f t="shared" si="4"/>
        <v>2050</v>
      </c>
      <c r="JZ22" s="557">
        <f t="shared" si="4"/>
        <v>2050</v>
      </c>
      <c r="KA22" s="557">
        <f t="shared" si="4"/>
        <v>2050</v>
      </c>
      <c r="KB22" s="557">
        <f t="shared" si="4"/>
        <v>2050</v>
      </c>
      <c r="KC22" s="557">
        <f t="shared" si="4"/>
        <v>2050</v>
      </c>
      <c r="KD22" s="557">
        <f t="shared" si="4"/>
        <v>2050</v>
      </c>
      <c r="KE22" s="557">
        <f t="shared" si="4"/>
        <v>2050</v>
      </c>
      <c r="KF22" s="557">
        <f t="shared" si="4"/>
        <v>2050</v>
      </c>
      <c r="KG22" s="557">
        <f t="shared" si="4"/>
        <v>2050</v>
      </c>
      <c r="KH22" s="557">
        <f t="shared" si="4"/>
        <v>2050</v>
      </c>
      <c r="KI22" s="557">
        <f t="shared" si="4"/>
        <v>2051</v>
      </c>
      <c r="KJ22" s="557">
        <f t="shared" si="4"/>
        <v>2051</v>
      </c>
      <c r="KK22" s="557">
        <f t="shared" si="4"/>
        <v>2051</v>
      </c>
      <c r="KL22" s="557">
        <f t="shared" si="4"/>
        <v>2051</v>
      </c>
      <c r="KM22" s="557">
        <f t="shared" si="4"/>
        <v>2051</v>
      </c>
      <c r="KN22" s="557">
        <f t="shared" si="4"/>
        <v>2051</v>
      </c>
      <c r="KO22" s="557">
        <f t="shared" si="4"/>
        <v>2051</v>
      </c>
      <c r="KP22" s="557">
        <f t="shared" si="4"/>
        <v>2051</v>
      </c>
      <c r="KQ22" s="557">
        <f t="shared" si="4"/>
        <v>2051</v>
      </c>
      <c r="KR22" s="557">
        <f t="shared" si="4"/>
        <v>2051</v>
      </c>
      <c r="KS22" s="557">
        <f t="shared" si="4"/>
        <v>2051</v>
      </c>
      <c r="KT22" s="557">
        <f t="shared" si="4"/>
        <v>2051</v>
      </c>
      <c r="KU22" s="557">
        <f t="shared" si="4"/>
        <v>2052</v>
      </c>
      <c r="KV22" s="557">
        <f t="shared" si="4"/>
        <v>2052</v>
      </c>
      <c r="KW22" s="557">
        <f t="shared" si="4"/>
        <v>2052</v>
      </c>
      <c r="KX22" s="557">
        <f t="shared" si="4"/>
        <v>2052</v>
      </c>
      <c r="KY22" s="557">
        <f t="shared" si="4"/>
        <v>2052</v>
      </c>
      <c r="KZ22" s="557">
        <f t="shared" si="4"/>
        <v>2052</v>
      </c>
      <c r="LA22" s="557">
        <f t="shared" si="4"/>
        <v>2052</v>
      </c>
      <c r="LB22" s="557">
        <f t="shared" si="4"/>
        <v>2052</v>
      </c>
      <c r="LC22" s="557">
        <f t="shared" si="4"/>
        <v>2052</v>
      </c>
      <c r="LD22" s="557">
        <f t="shared" si="4"/>
        <v>2052</v>
      </c>
      <c r="LE22" s="557">
        <f t="shared" si="4"/>
        <v>2052</v>
      </c>
      <c r="LF22" s="557">
        <f t="shared" si="4"/>
        <v>2052</v>
      </c>
      <c r="LG22" s="557">
        <f t="shared" si="4"/>
        <v>2053</v>
      </c>
      <c r="LH22" s="557">
        <f t="shared" si="4"/>
        <v>2053</v>
      </c>
      <c r="LI22" s="557">
        <f t="shared" si="4"/>
        <v>2053</v>
      </c>
      <c r="LJ22" s="557">
        <f t="shared" si="4"/>
        <v>2053</v>
      </c>
      <c r="LK22" s="557">
        <f t="shared" si="4"/>
        <v>2053</v>
      </c>
      <c r="LL22" s="557">
        <f t="shared" si="4"/>
        <v>2053</v>
      </c>
      <c r="LM22" s="557">
        <f t="shared" si="4"/>
        <v>2053</v>
      </c>
      <c r="LN22" s="557">
        <f t="shared" si="4"/>
        <v>2053</v>
      </c>
      <c r="LO22" s="557">
        <f t="shared" si="4"/>
        <v>2053</v>
      </c>
      <c r="LP22" s="557">
        <f t="shared" ref="LP22:OA22" si="5">YEAR(LP23)</f>
        <v>2053</v>
      </c>
      <c r="LQ22" s="557">
        <f t="shared" si="5"/>
        <v>2053</v>
      </c>
      <c r="LR22" s="557">
        <f t="shared" si="5"/>
        <v>2053</v>
      </c>
      <c r="LS22" s="557">
        <f t="shared" si="5"/>
        <v>2054</v>
      </c>
      <c r="LT22" s="557">
        <f t="shared" si="5"/>
        <v>2054</v>
      </c>
      <c r="LU22" s="557">
        <f t="shared" si="5"/>
        <v>2054</v>
      </c>
      <c r="LV22" s="557">
        <f t="shared" si="5"/>
        <v>2054</v>
      </c>
      <c r="LW22" s="557">
        <f t="shared" si="5"/>
        <v>2054</v>
      </c>
      <c r="LX22" s="557">
        <f t="shared" si="5"/>
        <v>2054</v>
      </c>
      <c r="LY22" s="557">
        <f t="shared" si="5"/>
        <v>2054</v>
      </c>
      <c r="LZ22" s="557">
        <f t="shared" si="5"/>
        <v>2054</v>
      </c>
      <c r="MA22" s="557">
        <f t="shared" si="5"/>
        <v>2054</v>
      </c>
      <c r="MB22" s="557">
        <f t="shared" si="5"/>
        <v>2054</v>
      </c>
      <c r="MC22" s="557">
        <f t="shared" si="5"/>
        <v>2054</v>
      </c>
      <c r="MD22" s="557">
        <f t="shared" si="5"/>
        <v>2054</v>
      </c>
      <c r="ME22" s="557">
        <f t="shared" si="5"/>
        <v>2055</v>
      </c>
      <c r="MF22" s="557">
        <f t="shared" si="5"/>
        <v>2055</v>
      </c>
      <c r="MG22" s="557">
        <f t="shared" si="5"/>
        <v>2055</v>
      </c>
      <c r="MH22" s="557">
        <f t="shared" si="5"/>
        <v>2055</v>
      </c>
      <c r="MI22" s="557">
        <f t="shared" si="5"/>
        <v>2055</v>
      </c>
      <c r="MJ22" s="557">
        <f t="shared" si="5"/>
        <v>2055</v>
      </c>
      <c r="MK22" s="557">
        <f t="shared" si="5"/>
        <v>2055</v>
      </c>
      <c r="ML22" s="557">
        <f t="shared" si="5"/>
        <v>2055</v>
      </c>
      <c r="MM22" s="557">
        <f t="shared" si="5"/>
        <v>2055</v>
      </c>
      <c r="MN22" s="557">
        <f t="shared" si="5"/>
        <v>2055</v>
      </c>
      <c r="MO22" s="557">
        <f t="shared" si="5"/>
        <v>2055</v>
      </c>
      <c r="MP22" s="557">
        <f t="shared" si="5"/>
        <v>2055</v>
      </c>
      <c r="MQ22" s="557">
        <f t="shared" si="5"/>
        <v>2056</v>
      </c>
      <c r="MR22" s="557">
        <f t="shared" si="5"/>
        <v>2056</v>
      </c>
      <c r="MS22" s="557">
        <f t="shared" si="5"/>
        <v>2056</v>
      </c>
      <c r="MT22" s="557">
        <f t="shared" si="5"/>
        <v>2056</v>
      </c>
      <c r="MU22" s="557">
        <f t="shared" si="5"/>
        <v>2056</v>
      </c>
      <c r="MV22" s="557">
        <f t="shared" si="5"/>
        <v>2056</v>
      </c>
      <c r="MW22" s="557">
        <f t="shared" si="5"/>
        <v>2056</v>
      </c>
      <c r="MX22" s="557">
        <f t="shared" si="5"/>
        <v>2056</v>
      </c>
      <c r="MY22" s="557">
        <f t="shared" si="5"/>
        <v>2056</v>
      </c>
      <c r="MZ22" s="557">
        <f t="shared" si="5"/>
        <v>2056</v>
      </c>
      <c r="NA22" s="557">
        <f t="shared" si="5"/>
        <v>2056</v>
      </c>
      <c r="NB22" s="557">
        <f t="shared" si="5"/>
        <v>2056</v>
      </c>
      <c r="NC22" s="557">
        <f t="shared" si="5"/>
        <v>2057</v>
      </c>
      <c r="ND22" s="557">
        <f t="shared" si="5"/>
        <v>2057</v>
      </c>
      <c r="NE22" s="557">
        <f t="shared" si="5"/>
        <v>2057</v>
      </c>
      <c r="NF22" s="557">
        <f t="shared" si="5"/>
        <v>2057</v>
      </c>
      <c r="NG22" s="557">
        <f t="shared" si="5"/>
        <v>2057</v>
      </c>
      <c r="NH22" s="557">
        <f t="shared" si="5"/>
        <v>2057</v>
      </c>
      <c r="NI22" s="557">
        <f t="shared" si="5"/>
        <v>2057</v>
      </c>
      <c r="NJ22" s="557">
        <f t="shared" si="5"/>
        <v>2057</v>
      </c>
      <c r="NK22" s="557">
        <f t="shared" si="5"/>
        <v>2057</v>
      </c>
      <c r="NL22" s="557">
        <f t="shared" si="5"/>
        <v>2057</v>
      </c>
      <c r="NM22" s="557">
        <f t="shared" si="5"/>
        <v>2057</v>
      </c>
      <c r="NN22" s="557">
        <f t="shared" si="5"/>
        <v>2057</v>
      </c>
      <c r="NO22" s="557">
        <f t="shared" si="5"/>
        <v>2058</v>
      </c>
      <c r="NP22" s="557">
        <f t="shared" si="5"/>
        <v>2058</v>
      </c>
      <c r="NQ22" s="557">
        <f t="shared" si="5"/>
        <v>2058</v>
      </c>
      <c r="NR22" s="557">
        <f t="shared" si="5"/>
        <v>2058</v>
      </c>
      <c r="NS22" s="557">
        <f t="shared" si="5"/>
        <v>2058</v>
      </c>
      <c r="NT22" s="557">
        <f t="shared" si="5"/>
        <v>2058</v>
      </c>
      <c r="NU22" s="557">
        <f t="shared" si="5"/>
        <v>2058</v>
      </c>
      <c r="NV22" s="557">
        <f t="shared" si="5"/>
        <v>2058</v>
      </c>
      <c r="NW22" s="557">
        <f t="shared" si="5"/>
        <v>2058</v>
      </c>
      <c r="NX22" s="557">
        <f t="shared" si="5"/>
        <v>2058</v>
      </c>
      <c r="NY22" s="557">
        <f t="shared" si="5"/>
        <v>2058</v>
      </c>
      <c r="NZ22" s="557">
        <f t="shared" si="5"/>
        <v>2058</v>
      </c>
      <c r="OA22" s="557">
        <f t="shared" si="5"/>
        <v>2059</v>
      </c>
      <c r="OB22" s="557">
        <f t="shared" ref="OB22:OG22" si="6">YEAR(OB23)</f>
        <v>2059</v>
      </c>
      <c r="OC22" s="557">
        <f t="shared" si="6"/>
        <v>2059</v>
      </c>
      <c r="OD22" s="557">
        <f t="shared" si="6"/>
        <v>2059</v>
      </c>
      <c r="OE22" s="557">
        <f t="shared" si="6"/>
        <v>2059</v>
      </c>
      <c r="OF22" s="557">
        <f t="shared" si="6"/>
        <v>2059</v>
      </c>
      <c r="OG22" s="557">
        <f t="shared" si="6"/>
        <v>2059</v>
      </c>
      <c r="OH22" s="559"/>
      <c r="OI22" s="559"/>
      <c r="OJ22" s="559"/>
      <c r="OK22" s="559"/>
      <c r="OL22" s="559"/>
      <c r="OM22" s="559"/>
      <c r="ON22" s="559"/>
      <c r="OO22" s="559"/>
      <c r="OP22" s="559"/>
      <c r="OQ22" s="559"/>
      <c r="OR22" s="559"/>
      <c r="OS22" s="559"/>
      <c r="OT22" s="559"/>
      <c r="OU22" s="559"/>
      <c r="OV22" s="559"/>
      <c r="OW22" s="559"/>
      <c r="OX22" s="559"/>
      <c r="OY22" s="559"/>
      <c r="OZ22" s="559"/>
      <c r="PA22" s="559"/>
      <c r="PB22" s="559"/>
      <c r="PC22" s="559"/>
      <c r="PD22" s="559"/>
      <c r="PE22" s="559"/>
      <c r="PF22" s="559"/>
      <c r="PG22" s="559"/>
      <c r="PH22" s="559"/>
      <c r="PI22" s="559"/>
      <c r="PJ22" s="559"/>
      <c r="PK22" s="559"/>
      <c r="PL22" s="559"/>
      <c r="PM22" s="559"/>
      <c r="PN22" s="559"/>
      <c r="PO22" s="559"/>
      <c r="PP22" s="559"/>
      <c r="PQ22" s="559"/>
      <c r="PR22" s="559"/>
      <c r="PS22" s="559"/>
      <c r="PT22" s="559"/>
      <c r="PU22" s="559"/>
      <c r="PV22" s="559"/>
      <c r="PW22" s="559"/>
      <c r="PX22" s="559"/>
      <c r="PY22" s="559"/>
      <c r="PZ22" s="559"/>
      <c r="QA22" s="559"/>
      <c r="QB22" s="559"/>
      <c r="QC22" s="559"/>
      <c r="QD22" s="559"/>
      <c r="QE22" s="559"/>
      <c r="QF22" s="559"/>
      <c r="QG22" s="559"/>
      <c r="QH22" s="559"/>
      <c r="QI22" s="559"/>
      <c r="QJ22" s="559"/>
      <c r="QK22" s="559"/>
      <c r="QL22" s="559"/>
      <c r="QM22" s="559"/>
      <c r="QN22" s="559"/>
      <c r="QO22" s="559"/>
      <c r="QP22" s="559"/>
      <c r="QQ22" s="559"/>
      <c r="QR22" s="559"/>
      <c r="QS22" s="559"/>
      <c r="QT22" s="559"/>
      <c r="QU22" s="559"/>
      <c r="QV22" s="559"/>
      <c r="QW22" s="559"/>
      <c r="QX22" s="559"/>
      <c r="QY22" s="559"/>
      <c r="QZ22" s="559"/>
      <c r="RA22" s="559"/>
      <c r="RB22" s="559"/>
      <c r="RC22" s="559"/>
      <c r="RD22" s="559"/>
      <c r="RE22" s="559"/>
      <c r="RF22" s="559"/>
      <c r="RG22" s="559"/>
      <c r="RH22" s="559"/>
      <c r="RI22" s="559"/>
      <c r="RJ22" s="559"/>
      <c r="RK22" s="559"/>
      <c r="RL22" s="559"/>
      <c r="RM22" s="559"/>
      <c r="RN22" s="559"/>
      <c r="RO22" s="559"/>
      <c r="RP22" s="559"/>
      <c r="RQ22" s="559"/>
      <c r="RR22" s="559"/>
      <c r="RS22" s="559"/>
      <c r="RT22" s="559"/>
      <c r="RU22" s="559"/>
      <c r="RV22" s="559"/>
      <c r="RW22" s="559"/>
      <c r="RX22" s="559"/>
      <c r="RY22" s="559"/>
      <c r="RZ22" s="559"/>
      <c r="SA22" s="559"/>
      <c r="SB22" s="559"/>
      <c r="SC22" s="559"/>
      <c r="SD22" s="559"/>
      <c r="SE22" s="559"/>
      <c r="SF22" s="559"/>
      <c r="SG22" s="559"/>
      <c r="SH22" s="559"/>
      <c r="SI22" s="559"/>
      <c r="SJ22" s="559"/>
      <c r="SK22" s="559"/>
      <c r="SL22" s="559"/>
      <c r="SM22" s="559"/>
      <c r="SN22" s="559"/>
      <c r="SO22" s="559"/>
      <c r="SP22" s="559"/>
      <c r="SQ22" s="559"/>
      <c r="SR22" s="559"/>
      <c r="SS22" s="559"/>
      <c r="ST22" s="559"/>
      <c r="SU22" s="559"/>
      <c r="SV22" s="559"/>
      <c r="SW22" s="559"/>
      <c r="SX22" s="559"/>
      <c r="SY22" s="559"/>
      <c r="SZ22" s="559"/>
      <c r="TA22" s="559"/>
      <c r="TB22" s="559"/>
      <c r="TC22" s="559"/>
      <c r="TD22" s="559"/>
      <c r="TE22" s="559"/>
      <c r="TF22" s="559"/>
      <c r="TG22" s="559"/>
      <c r="TH22" s="559"/>
      <c r="TI22" s="559"/>
      <c r="TJ22" s="559"/>
      <c r="TK22" s="559"/>
      <c r="TL22" s="559"/>
      <c r="TM22" s="559"/>
      <c r="TN22" s="559"/>
      <c r="TO22" s="559"/>
      <c r="TP22" s="559"/>
      <c r="TQ22" s="559"/>
      <c r="TR22" s="559"/>
      <c r="TS22" s="559"/>
      <c r="TT22" s="559"/>
      <c r="TU22" s="559"/>
      <c r="TV22" s="559"/>
      <c r="TW22" s="559"/>
      <c r="TX22" s="559"/>
      <c r="TY22" s="559"/>
      <c r="TZ22" s="559"/>
      <c r="UA22" s="559"/>
      <c r="UB22" s="559"/>
      <c r="UC22" s="559"/>
      <c r="UD22" s="559"/>
      <c r="UE22" s="559"/>
      <c r="UF22" s="559"/>
      <c r="UG22" s="559"/>
      <c r="UH22" s="559"/>
      <c r="UI22" s="559"/>
      <c r="UJ22" s="559"/>
      <c r="UK22" s="559"/>
      <c r="UL22" s="559"/>
      <c r="UM22" s="559"/>
      <c r="UN22" s="559"/>
      <c r="UO22" s="559"/>
      <c r="UP22" s="559"/>
      <c r="UQ22" s="559"/>
      <c r="UR22" s="559"/>
      <c r="US22" s="559"/>
      <c r="UT22" s="559"/>
      <c r="UU22" s="559"/>
      <c r="UV22" s="559"/>
      <c r="UW22" s="559"/>
      <c r="UX22" s="559"/>
      <c r="UY22" s="559"/>
      <c r="UZ22" s="559"/>
      <c r="VA22" s="559"/>
      <c r="VB22" s="559"/>
      <c r="VC22" s="559"/>
      <c r="VD22" s="559"/>
      <c r="VE22" s="559"/>
      <c r="VF22" s="559"/>
      <c r="VG22" s="559"/>
      <c r="VH22" s="559"/>
      <c r="VI22" s="559"/>
      <c r="VJ22" s="559"/>
      <c r="VK22" s="559"/>
      <c r="VL22" s="559"/>
      <c r="VM22" s="559"/>
      <c r="VN22" s="559"/>
      <c r="VO22" s="559"/>
      <c r="VP22" s="559"/>
      <c r="VQ22" s="559"/>
      <c r="VR22" s="559"/>
      <c r="VS22" s="559"/>
      <c r="VT22" s="559"/>
      <c r="VU22" s="559"/>
      <c r="VV22" s="559"/>
      <c r="VW22" s="559"/>
      <c r="VX22" s="559"/>
      <c r="VY22" s="559"/>
      <c r="VZ22" s="559"/>
      <c r="WA22" s="559"/>
      <c r="WB22" s="559"/>
      <c r="WC22" s="559"/>
      <c r="WD22" s="559"/>
      <c r="WE22" s="559"/>
      <c r="WF22" s="559"/>
      <c r="WG22" s="559"/>
      <c r="WH22" s="559"/>
      <c r="WI22" s="559"/>
      <c r="WJ22" s="559"/>
      <c r="WK22" s="559"/>
      <c r="WL22" s="559"/>
      <c r="WM22" s="559"/>
      <c r="WN22" s="559"/>
      <c r="WO22" s="559"/>
      <c r="WP22" s="559"/>
      <c r="WQ22" s="559"/>
      <c r="WR22" s="559"/>
      <c r="WS22" s="559"/>
      <c r="WT22" s="559"/>
      <c r="WU22" s="559"/>
      <c r="WV22" s="559"/>
      <c r="WW22" s="559"/>
      <c r="WX22" s="559"/>
      <c r="WY22" s="559"/>
      <c r="WZ22" s="559"/>
      <c r="XA22" s="559"/>
      <c r="XB22" s="559"/>
      <c r="XC22" s="559"/>
      <c r="XD22" s="559"/>
      <c r="XE22" s="559"/>
      <c r="XF22" s="559"/>
      <c r="XG22" s="559"/>
      <c r="XH22" s="559"/>
      <c r="XI22" s="559"/>
      <c r="XJ22" s="559"/>
      <c r="XK22" s="559"/>
      <c r="XL22" s="559"/>
      <c r="XM22" s="559"/>
      <c r="XN22" s="559"/>
      <c r="XO22" s="559"/>
      <c r="XP22" s="559"/>
      <c r="XQ22" s="559"/>
      <c r="XR22" s="559"/>
      <c r="XS22" s="559"/>
      <c r="XT22" s="559"/>
      <c r="XU22" s="559"/>
      <c r="XV22" s="559"/>
      <c r="XW22" s="559"/>
      <c r="XX22" s="559"/>
      <c r="XY22" s="559"/>
      <c r="XZ22" s="559"/>
      <c r="YA22" s="559"/>
      <c r="YB22" s="559"/>
      <c r="YC22" s="559"/>
      <c r="YD22" s="559"/>
      <c r="YE22" s="559"/>
      <c r="YF22" s="559"/>
      <c r="YG22" s="559"/>
      <c r="YH22" s="559"/>
      <c r="YI22" s="559"/>
      <c r="YJ22" s="559"/>
      <c r="YK22" s="559"/>
      <c r="YL22" s="559"/>
      <c r="YM22" s="559"/>
      <c r="YN22" s="559"/>
      <c r="YO22" s="559"/>
      <c r="YP22" s="559"/>
      <c r="YQ22" s="559"/>
      <c r="YR22" s="559"/>
      <c r="YS22" s="559"/>
      <c r="YT22" s="559"/>
      <c r="YU22" s="559"/>
      <c r="YV22" s="559"/>
      <c r="YW22" s="559"/>
      <c r="YX22" s="559"/>
      <c r="YY22" s="559"/>
      <c r="YZ22" s="559"/>
      <c r="ZA22" s="559"/>
      <c r="ZB22" s="559"/>
      <c r="ZC22" s="559"/>
      <c r="ZD22" s="559"/>
      <c r="ZE22" s="559"/>
      <c r="ZF22" s="559"/>
      <c r="ZG22" s="559"/>
      <c r="ZH22" s="559"/>
      <c r="ZI22" s="559"/>
      <c r="ZJ22" s="559"/>
      <c r="ZK22" s="559"/>
      <c r="ZL22" s="559"/>
      <c r="ZM22" s="559"/>
      <c r="ZN22" s="559"/>
      <c r="ZO22" s="559"/>
      <c r="ZP22" s="559"/>
      <c r="ZQ22" s="559"/>
      <c r="ZR22" s="559"/>
      <c r="ZS22" s="559"/>
      <c r="ZT22" s="559"/>
      <c r="ZU22" s="559"/>
      <c r="ZV22" s="559"/>
      <c r="ZW22" s="559"/>
      <c r="ZX22" s="559"/>
      <c r="ZY22" s="559"/>
      <c r="ZZ22" s="559"/>
      <c r="AAA22" s="559"/>
      <c r="AAB22" s="559"/>
      <c r="AAC22" s="559"/>
      <c r="AAD22" s="559"/>
      <c r="AAE22" s="559"/>
      <c r="AAF22" s="559"/>
      <c r="AAG22" s="559"/>
      <c r="AAH22" s="559"/>
      <c r="AAI22" s="559"/>
      <c r="AAJ22" s="559"/>
      <c r="AAK22" s="559"/>
      <c r="AAL22" s="559"/>
      <c r="AAM22" s="559"/>
      <c r="AAN22" s="559"/>
      <c r="AAO22" s="559"/>
      <c r="AAP22" s="559"/>
      <c r="AAQ22" s="559"/>
      <c r="AAR22" s="559"/>
      <c r="AAS22" s="559"/>
      <c r="AAT22" s="559"/>
      <c r="AAU22" s="559"/>
      <c r="AAV22" s="559"/>
      <c r="AAW22" s="559"/>
      <c r="AAX22" s="559"/>
      <c r="AAY22" s="559"/>
      <c r="AAZ22" s="559"/>
      <c r="ABA22" s="559"/>
      <c r="ABB22" s="559"/>
      <c r="ABC22" s="559"/>
      <c r="ABD22" s="559"/>
      <c r="ABE22" s="559"/>
      <c r="ABF22" s="559"/>
      <c r="ABG22" s="559"/>
      <c r="ABH22" s="559"/>
      <c r="ABI22" s="559"/>
      <c r="ABJ22" s="559"/>
      <c r="ABK22" s="559"/>
      <c r="ABL22" s="559"/>
      <c r="ABM22" s="559"/>
      <c r="ABN22" s="559"/>
      <c r="ABO22" s="559"/>
      <c r="ABP22" s="559"/>
      <c r="ABQ22" s="559"/>
      <c r="ABR22" s="559"/>
      <c r="ABS22" s="559"/>
      <c r="ABT22" s="559"/>
      <c r="ABU22" s="559"/>
      <c r="ABV22" s="559"/>
      <c r="ABW22" s="559"/>
      <c r="ABX22" s="559"/>
      <c r="ABY22" s="559"/>
      <c r="ABZ22" s="559"/>
      <c r="ACA22" s="559"/>
      <c r="ACB22" s="559"/>
      <c r="ACC22" s="559"/>
      <c r="ACD22" s="559"/>
      <c r="ACE22" s="559"/>
      <c r="ACF22" s="559"/>
      <c r="ACG22" s="559"/>
      <c r="ACH22" s="559"/>
      <c r="ACI22" s="559"/>
      <c r="ACJ22" s="559"/>
      <c r="ACK22" s="559"/>
      <c r="ACL22" s="559"/>
      <c r="ACM22" s="559"/>
      <c r="ACN22" s="559"/>
      <c r="ACO22" s="559"/>
      <c r="ACP22" s="559"/>
      <c r="ACQ22" s="559"/>
      <c r="ACR22" s="559"/>
      <c r="ACS22" s="559"/>
      <c r="ACT22" s="559"/>
      <c r="ACU22" s="559"/>
      <c r="ACV22" s="559"/>
      <c r="ACW22" s="559"/>
      <c r="ACX22" s="559"/>
      <c r="ACY22" s="559"/>
      <c r="ACZ22" s="559"/>
      <c r="ADA22" s="559"/>
      <c r="ADB22" s="559"/>
      <c r="ADC22" s="559"/>
      <c r="ADD22" s="559"/>
      <c r="ADE22" s="559"/>
      <c r="ADF22" s="559"/>
      <c r="ADG22" s="559"/>
      <c r="ADH22" s="559"/>
      <c r="ADI22" s="559"/>
      <c r="ADJ22" s="559"/>
      <c r="ADK22" s="559"/>
      <c r="ADL22" s="559"/>
      <c r="ADM22" s="559"/>
      <c r="ADN22" s="559"/>
      <c r="ADO22" s="559"/>
      <c r="ADP22" s="559"/>
      <c r="ADQ22" s="559"/>
      <c r="ADR22" s="559"/>
      <c r="ADS22" s="559"/>
      <c r="ADT22" s="559"/>
      <c r="ADU22" s="559"/>
      <c r="ADV22" s="559"/>
      <c r="ADW22" s="559"/>
      <c r="ADX22" s="559"/>
      <c r="ADY22" s="559"/>
      <c r="ADZ22" s="559"/>
      <c r="AEA22" s="559"/>
      <c r="AEB22" s="559"/>
      <c r="AEC22" s="559"/>
      <c r="AED22" s="559"/>
      <c r="AEE22" s="559"/>
      <c r="AEF22" s="559"/>
      <c r="AEG22" s="559"/>
      <c r="AEH22" s="559"/>
      <c r="AEI22" s="559"/>
      <c r="AEJ22" s="559"/>
      <c r="AEK22" s="559"/>
      <c r="AEL22" s="559"/>
      <c r="AEM22" s="559"/>
      <c r="AEN22" s="559"/>
      <c r="AEO22" s="559"/>
      <c r="AEP22" s="559"/>
      <c r="AEQ22" s="559"/>
      <c r="AER22" s="559"/>
      <c r="AES22" s="559"/>
      <c r="AET22" s="559"/>
      <c r="AEU22" s="559"/>
      <c r="AEV22" s="559"/>
      <c r="AEW22" s="559"/>
      <c r="AEX22" s="559"/>
      <c r="AEY22" s="559"/>
      <c r="AEZ22" s="559"/>
      <c r="AFA22" s="559"/>
      <c r="AFB22" s="559"/>
      <c r="AFC22" s="559"/>
      <c r="AFD22" s="559"/>
      <c r="AFE22" s="559"/>
      <c r="AFF22" s="559"/>
      <c r="AFG22" s="559"/>
      <c r="AFH22" s="559"/>
      <c r="AFI22" s="559"/>
      <c r="AFJ22" s="559"/>
      <c r="AFK22" s="559"/>
      <c r="AFL22" s="559"/>
      <c r="AFM22" s="559"/>
      <c r="AFN22" s="559"/>
      <c r="AFO22" s="559"/>
      <c r="AFP22" s="559"/>
      <c r="AFQ22" s="559"/>
      <c r="AFR22" s="559"/>
      <c r="AFS22" s="559"/>
      <c r="AFT22" s="559"/>
      <c r="AFU22" s="559"/>
      <c r="AFV22" s="559"/>
      <c r="AFW22" s="559"/>
      <c r="AFX22" s="559"/>
      <c r="AFY22" s="559"/>
      <c r="AFZ22" s="559"/>
      <c r="AGA22" s="559"/>
      <c r="AGB22" s="559"/>
      <c r="AGC22" s="559"/>
      <c r="AGD22" s="559"/>
      <c r="AGE22" s="559"/>
      <c r="AGF22" s="559"/>
      <c r="AGG22" s="559"/>
      <c r="AGH22" s="559"/>
      <c r="AGI22" s="559"/>
      <c r="AGJ22" s="559"/>
      <c r="AGK22" s="559"/>
      <c r="AGL22" s="559"/>
      <c r="AGM22" s="559"/>
      <c r="AGN22" s="559"/>
      <c r="AGO22" s="559"/>
      <c r="AGP22" s="559"/>
      <c r="AGQ22" s="559"/>
      <c r="AGR22" s="559"/>
      <c r="AGS22" s="559"/>
      <c r="AGT22" s="559"/>
      <c r="AGU22" s="559"/>
      <c r="AGV22" s="559"/>
      <c r="AGW22" s="559"/>
      <c r="AGX22" s="559"/>
      <c r="AGY22" s="559"/>
      <c r="AGZ22" s="559"/>
      <c r="AHA22" s="559"/>
      <c r="AHB22" s="559"/>
      <c r="AHC22" s="559"/>
      <c r="AHD22" s="559"/>
      <c r="AHE22" s="559"/>
      <c r="AHF22" s="559"/>
      <c r="AHG22" s="559"/>
      <c r="AHH22" s="559"/>
      <c r="AHI22" s="559"/>
      <c r="AHJ22" s="559"/>
      <c r="AHK22" s="559"/>
      <c r="AHL22" s="559"/>
      <c r="AHM22" s="559"/>
      <c r="AHN22" s="559"/>
      <c r="AHO22" s="559"/>
      <c r="AHP22" s="559"/>
      <c r="AHQ22" s="559"/>
      <c r="AHR22" s="559"/>
      <c r="AHS22" s="559"/>
      <c r="AHT22" s="559"/>
      <c r="AHU22" s="559"/>
      <c r="AHV22" s="559"/>
      <c r="AHW22" s="559"/>
      <c r="AHX22" s="559"/>
      <c r="AHY22" s="559"/>
      <c r="AHZ22" s="559"/>
      <c r="AIA22" s="559"/>
      <c r="AIB22" s="559"/>
      <c r="AIC22" s="559"/>
      <c r="AID22" s="559"/>
      <c r="AIE22" s="559"/>
      <c r="AIF22" s="559"/>
      <c r="AIG22" s="559"/>
      <c r="AIH22" s="559"/>
      <c r="AII22" s="559"/>
      <c r="AIJ22" s="559"/>
      <c r="AIK22" s="559"/>
      <c r="AIL22" s="559"/>
      <c r="AIM22" s="559"/>
      <c r="AIN22" s="559"/>
      <c r="AIO22" s="559"/>
      <c r="AIP22" s="559"/>
      <c r="AIQ22" s="559"/>
      <c r="AIR22" s="559"/>
      <c r="AIS22" s="559"/>
      <c r="AIT22" s="559"/>
      <c r="AIU22" s="559"/>
      <c r="AIV22" s="559"/>
      <c r="AIW22" s="559"/>
      <c r="AIX22" s="559"/>
      <c r="AIY22" s="559"/>
      <c r="AIZ22" s="559"/>
      <c r="AJA22" s="559"/>
      <c r="AJB22" s="559"/>
      <c r="AJC22" s="559"/>
      <c r="AJD22" s="559"/>
      <c r="AJE22" s="559"/>
      <c r="AJF22" s="559"/>
      <c r="AJG22" s="559"/>
      <c r="AJH22" s="559"/>
      <c r="AJI22" s="559"/>
      <c r="AJJ22" s="559"/>
      <c r="AJK22" s="559"/>
      <c r="AJL22" s="559"/>
      <c r="AJM22" s="559"/>
      <c r="AJN22" s="559"/>
      <c r="AJO22" s="559"/>
      <c r="AJP22" s="559"/>
      <c r="AJQ22" s="559"/>
      <c r="AJR22" s="559"/>
      <c r="AJS22" s="559"/>
      <c r="AJT22" s="559"/>
      <c r="AJU22" s="559"/>
      <c r="AJV22" s="559"/>
      <c r="AJW22" s="559"/>
      <c r="AJX22" s="559"/>
      <c r="AJY22" s="559"/>
      <c r="AJZ22" s="559"/>
      <c r="AKA22" s="559"/>
      <c r="AKB22" s="559"/>
      <c r="AKC22" s="559"/>
      <c r="AKD22" s="559"/>
      <c r="AKE22" s="559"/>
      <c r="AKF22" s="559"/>
      <c r="AKG22" s="559"/>
      <c r="AKH22" s="559"/>
      <c r="AKI22" s="559"/>
      <c r="AKJ22" s="559"/>
      <c r="AKK22" s="559"/>
      <c r="AKL22" s="559"/>
      <c r="AKM22" s="559"/>
      <c r="AKN22" s="559"/>
      <c r="AKO22" s="559"/>
      <c r="AKP22" s="559"/>
      <c r="AKQ22" s="559"/>
      <c r="AKR22" s="559"/>
      <c r="AKS22" s="559"/>
      <c r="AKT22" s="559"/>
      <c r="AKU22" s="559"/>
      <c r="AKV22" s="559"/>
      <c r="AKW22" s="559"/>
      <c r="AKX22" s="559"/>
      <c r="AKY22" s="559"/>
      <c r="AKZ22" s="559"/>
      <c r="ALA22" s="559"/>
      <c r="ALB22" s="559"/>
      <c r="ALC22" s="559"/>
      <c r="ALD22" s="559"/>
      <c r="ALE22" s="559"/>
      <c r="ALF22" s="559"/>
      <c r="ALG22" s="559"/>
      <c r="ALH22" s="559"/>
      <c r="ALI22" s="559"/>
      <c r="ALJ22" s="559"/>
      <c r="ALK22" s="559"/>
      <c r="ALL22" s="559"/>
      <c r="ALM22" s="559"/>
      <c r="ALN22" s="559"/>
      <c r="ALO22" s="559"/>
      <c r="ALP22" s="559"/>
      <c r="ALQ22" s="559"/>
      <c r="ALR22" s="559"/>
      <c r="ALS22" s="559"/>
      <c r="ALT22" s="559"/>
      <c r="ALU22" s="559"/>
      <c r="ALV22" s="559"/>
      <c r="ALW22" s="559"/>
      <c r="ALX22" s="559"/>
      <c r="ALY22" s="559"/>
      <c r="ALZ22" s="559"/>
      <c r="AMA22" s="559"/>
      <c r="AMB22" s="559"/>
      <c r="AMC22" s="559"/>
      <c r="AMD22" s="559"/>
      <c r="AME22" s="559"/>
      <c r="AMF22" s="559"/>
      <c r="AMG22" s="559"/>
      <c r="AMH22" s="559"/>
      <c r="AMI22" s="559"/>
      <c r="AMJ22" s="559"/>
      <c r="AMK22" s="559"/>
      <c r="AML22" s="559"/>
      <c r="AMM22" s="559"/>
      <c r="AMN22" s="559"/>
      <c r="AMO22" s="559"/>
      <c r="AMP22" s="559"/>
      <c r="AMQ22" s="559"/>
      <c r="AMR22" s="559"/>
      <c r="AMS22" s="559"/>
      <c r="AMT22" s="559"/>
      <c r="AMU22" s="559"/>
      <c r="AMV22" s="559"/>
      <c r="AMW22" s="559"/>
      <c r="AMX22" s="559"/>
      <c r="AMY22" s="559"/>
      <c r="AMZ22" s="559"/>
      <c r="ANA22" s="559"/>
      <c r="ANB22" s="559"/>
      <c r="ANC22" s="559"/>
      <c r="AND22" s="559"/>
      <c r="ANE22" s="559"/>
      <c r="ANF22" s="559"/>
      <c r="ANG22" s="559"/>
      <c r="ANH22" s="559"/>
      <c r="ANI22" s="559"/>
      <c r="ANJ22" s="559"/>
      <c r="ANK22" s="559"/>
      <c r="ANL22" s="559"/>
      <c r="ANM22" s="559"/>
      <c r="ANN22" s="559"/>
      <c r="ANO22" s="559"/>
      <c r="ANP22" s="559"/>
      <c r="ANQ22" s="559"/>
      <c r="ANR22" s="559"/>
      <c r="ANS22" s="559"/>
      <c r="ANT22" s="559"/>
      <c r="ANU22" s="559"/>
      <c r="ANV22" s="559"/>
      <c r="ANW22" s="559"/>
      <c r="ANX22" s="559"/>
      <c r="ANY22" s="559"/>
      <c r="ANZ22" s="559"/>
      <c r="AOA22" s="559"/>
      <c r="AOB22" s="559"/>
      <c r="AOC22" s="559"/>
      <c r="AOD22" s="559"/>
      <c r="AOE22" s="559"/>
      <c r="AOF22" s="559"/>
      <c r="AOG22" s="559"/>
      <c r="AOH22" s="559"/>
      <c r="AOI22" s="559"/>
      <c r="AOJ22" s="559"/>
      <c r="AOK22" s="559"/>
      <c r="AOL22" s="559"/>
      <c r="AOM22" s="559"/>
      <c r="AON22" s="559"/>
      <c r="AOO22" s="559"/>
      <c r="AOP22" s="559"/>
      <c r="AOQ22" s="559"/>
      <c r="AOR22" s="559"/>
      <c r="AOS22" s="559"/>
      <c r="AOT22" s="559"/>
      <c r="AOU22" s="559"/>
      <c r="AOV22" s="559"/>
      <c r="AOW22" s="559"/>
      <c r="AOX22" s="559"/>
      <c r="AOY22" s="559"/>
      <c r="AOZ22" s="559"/>
      <c r="APA22" s="559"/>
      <c r="APB22" s="559"/>
      <c r="APC22" s="559"/>
      <c r="APD22" s="559"/>
      <c r="APE22" s="559"/>
      <c r="APF22" s="559"/>
      <c r="APG22" s="559"/>
      <c r="APH22" s="559"/>
      <c r="API22" s="559"/>
      <c r="APJ22" s="559"/>
      <c r="APK22" s="559"/>
      <c r="APL22" s="559"/>
      <c r="APM22" s="559"/>
      <c r="APN22" s="559"/>
      <c r="APO22" s="559"/>
      <c r="APP22" s="559"/>
      <c r="APQ22" s="559"/>
      <c r="APR22" s="559"/>
      <c r="APS22" s="559"/>
      <c r="APT22" s="559"/>
      <c r="APU22" s="559"/>
      <c r="APV22" s="559"/>
      <c r="APW22" s="559"/>
      <c r="APX22" s="559"/>
      <c r="APY22" s="559"/>
      <c r="APZ22" s="559"/>
      <c r="AQA22" s="559"/>
      <c r="AQB22" s="559"/>
      <c r="AQC22" s="559"/>
      <c r="AQD22" s="559"/>
      <c r="AQE22" s="559"/>
      <c r="AQF22" s="559"/>
      <c r="AQG22" s="559"/>
      <c r="AQH22" s="559"/>
      <c r="AQI22" s="559"/>
      <c r="AQJ22" s="559"/>
      <c r="AQK22" s="559"/>
      <c r="AQL22" s="559"/>
      <c r="AQM22" s="559"/>
      <c r="AQN22" s="559"/>
      <c r="AQO22" s="559"/>
      <c r="AQP22" s="559"/>
      <c r="AQQ22" s="559"/>
      <c r="AQR22" s="559"/>
      <c r="AQS22" s="559"/>
      <c r="AQT22" s="559"/>
      <c r="AQU22" s="559"/>
      <c r="AQV22" s="559"/>
      <c r="AQW22" s="559"/>
      <c r="AQX22" s="559"/>
      <c r="AQY22" s="559"/>
      <c r="AQZ22" s="559"/>
      <c r="ARA22" s="559"/>
      <c r="ARB22" s="559"/>
      <c r="ARC22" s="559"/>
      <c r="ARD22" s="559"/>
      <c r="ARE22" s="559"/>
      <c r="ARF22" s="559"/>
      <c r="ARG22" s="559"/>
      <c r="ARH22" s="559"/>
      <c r="ARI22" s="559"/>
      <c r="ARJ22" s="559"/>
      <c r="ARK22" s="559"/>
      <c r="ARL22" s="559"/>
      <c r="ARM22" s="559"/>
      <c r="ARN22" s="559"/>
      <c r="ARO22" s="559"/>
      <c r="ARP22" s="559"/>
      <c r="ARQ22" s="559"/>
      <c r="ARR22" s="559"/>
      <c r="ARS22" s="559"/>
      <c r="ART22" s="559"/>
      <c r="ARU22" s="559"/>
      <c r="ARV22" s="559"/>
      <c r="ARW22" s="559"/>
      <c r="ARX22" s="559"/>
      <c r="ARY22" s="559"/>
      <c r="ARZ22" s="559"/>
      <c r="ASA22" s="559"/>
      <c r="ASB22" s="559"/>
      <c r="ASC22" s="559"/>
      <c r="ASD22" s="559"/>
      <c r="ASE22" s="559"/>
      <c r="ASF22" s="559"/>
      <c r="ASG22" s="559"/>
      <c r="ASH22" s="559"/>
      <c r="ASI22" s="559"/>
      <c r="ASJ22" s="559"/>
      <c r="ASK22" s="559"/>
      <c r="ASL22" s="559"/>
      <c r="ASM22" s="559"/>
      <c r="ASN22" s="559"/>
      <c r="ASO22" s="559"/>
      <c r="ASP22" s="559"/>
      <c r="ASQ22" s="559"/>
      <c r="ASR22" s="559"/>
      <c r="ASS22" s="559"/>
      <c r="AST22" s="559"/>
      <c r="ASU22" s="559"/>
      <c r="ASV22" s="559"/>
      <c r="ASW22" s="559"/>
      <c r="ASX22" s="559"/>
      <c r="ASY22" s="559"/>
      <c r="ASZ22" s="559"/>
      <c r="ATA22" s="559"/>
      <c r="ATB22" s="559"/>
      <c r="ATC22" s="559"/>
      <c r="ATD22" s="559"/>
      <c r="ATE22" s="559"/>
      <c r="ATF22" s="559"/>
      <c r="ATG22" s="559"/>
      <c r="ATH22" s="559"/>
      <c r="ATI22" s="559"/>
      <c r="ATJ22" s="559"/>
      <c r="ATK22" s="559"/>
      <c r="ATL22" s="559"/>
      <c r="ATM22" s="559"/>
      <c r="ATN22" s="559"/>
      <c r="ATO22" s="559"/>
      <c r="ATP22" s="559"/>
      <c r="ATQ22" s="559"/>
      <c r="ATR22" s="559"/>
      <c r="ATS22" s="559"/>
      <c r="ATT22" s="559"/>
      <c r="ATU22" s="559"/>
      <c r="ATV22" s="559"/>
      <c r="ATW22" s="559"/>
      <c r="ATX22" s="559"/>
      <c r="ATY22" s="559"/>
      <c r="ATZ22" s="559"/>
      <c r="AUA22" s="559"/>
      <c r="AUB22" s="559"/>
      <c r="AUC22" s="559"/>
      <c r="AUD22" s="559"/>
      <c r="AUE22" s="559"/>
      <c r="AUF22" s="559"/>
      <c r="AUG22" s="559"/>
      <c r="AUH22" s="559"/>
      <c r="AUI22" s="559"/>
      <c r="AUJ22" s="559"/>
      <c r="AUK22" s="559"/>
      <c r="AUL22" s="559"/>
      <c r="AUM22" s="559"/>
      <c r="AUN22" s="559"/>
      <c r="AUO22" s="559"/>
      <c r="AUP22" s="559"/>
      <c r="AUQ22" s="559"/>
      <c r="AUR22" s="559"/>
      <c r="AUS22" s="559"/>
      <c r="AUT22" s="559"/>
      <c r="AUU22" s="559"/>
      <c r="AUV22" s="559"/>
      <c r="AUW22" s="559"/>
      <c r="AUX22" s="559"/>
      <c r="AUY22" s="559"/>
      <c r="AUZ22" s="559"/>
      <c r="AVA22" s="559"/>
      <c r="AVB22" s="559"/>
      <c r="AVC22" s="559"/>
      <c r="AVD22" s="559"/>
      <c r="AVE22" s="559"/>
      <c r="AVF22" s="559"/>
      <c r="AVG22" s="559"/>
      <c r="AVH22" s="559"/>
      <c r="AVI22" s="559"/>
      <c r="AVJ22" s="559"/>
      <c r="AVK22" s="559"/>
      <c r="AVL22" s="559"/>
      <c r="AVM22" s="559"/>
      <c r="AVN22" s="559"/>
      <c r="AVO22" s="559"/>
      <c r="AVP22" s="559"/>
      <c r="AVQ22" s="559"/>
      <c r="AVR22" s="559"/>
      <c r="AVS22" s="559"/>
      <c r="AVT22" s="559"/>
      <c r="AVU22" s="559"/>
      <c r="AVV22" s="559"/>
      <c r="AVW22" s="559"/>
      <c r="AVX22" s="559"/>
      <c r="AVY22" s="559"/>
      <c r="AVZ22" s="559"/>
      <c r="AWA22" s="559"/>
      <c r="AWB22" s="559"/>
      <c r="AWC22" s="559"/>
      <c r="AWD22" s="559"/>
      <c r="AWE22" s="559"/>
      <c r="AWF22" s="559"/>
      <c r="AWG22" s="559"/>
      <c r="AWH22" s="559"/>
      <c r="AWI22" s="559"/>
      <c r="AWJ22" s="559"/>
      <c r="AWK22" s="559"/>
      <c r="AWL22" s="559"/>
      <c r="AWM22" s="559"/>
      <c r="AWN22" s="559"/>
      <c r="AWO22" s="559"/>
      <c r="AWP22" s="559"/>
      <c r="AWQ22" s="559"/>
      <c r="AWR22" s="559"/>
      <c r="AWS22" s="559"/>
      <c r="AWT22" s="559"/>
      <c r="AWU22" s="559"/>
      <c r="AWV22" s="559"/>
      <c r="AWW22" s="559"/>
      <c r="AWX22" s="559"/>
      <c r="AWY22" s="559"/>
      <c r="AWZ22" s="559"/>
      <c r="AXA22" s="559"/>
      <c r="AXB22" s="559"/>
      <c r="AXC22" s="559"/>
      <c r="AXD22" s="559"/>
      <c r="AXE22" s="559"/>
      <c r="AXF22" s="559"/>
      <c r="AXG22" s="559"/>
      <c r="AXH22" s="559"/>
      <c r="AXI22" s="559"/>
      <c r="AXJ22" s="559"/>
      <c r="AXK22" s="559"/>
      <c r="AXL22" s="559"/>
      <c r="AXM22" s="559"/>
      <c r="AXN22" s="559"/>
      <c r="AXO22" s="559"/>
      <c r="AXP22" s="559"/>
      <c r="AXQ22" s="559"/>
      <c r="AXR22" s="559"/>
      <c r="AXS22" s="559"/>
      <c r="AXT22" s="559"/>
      <c r="AXU22" s="559"/>
      <c r="AXV22" s="559"/>
      <c r="AXW22" s="559"/>
      <c r="AXX22" s="559"/>
      <c r="AXY22" s="559"/>
      <c r="AXZ22" s="559"/>
      <c r="AYA22" s="559"/>
      <c r="AYB22" s="559"/>
      <c r="AYC22" s="559"/>
      <c r="AYD22" s="559"/>
      <c r="AYE22" s="559"/>
      <c r="AYF22" s="559"/>
      <c r="AYG22" s="559"/>
      <c r="AYH22" s="559"/>
      <c r="AYI22" s="559"/>
      <c r="AYJ22" s="559"/>
      <c r="AYK22" s="559"/>
      <c r="AYL22" s="559"/>
      <c r="AYM22" s="559"/>
      <c r="AYN22" s="559"/>
      <c r="AYO22" s="559"/>
      <c r="AYP22" s="559"/>
      <c r="AYQ22" s="559"/>
      <c r="AYR22" s="559"/>
      <c r="AYS22" s="559"/>
      <c r="AYT22" s="559"/>
      <c r="AYU22" s="559"/>
      <c r="AYV22" s="559"/>
      <c r="AYW22" s="559"/>
      <c r="AYX22" s="559"/>
      <c r="AYY22" s="559"/>
      <c r="AYZ22" s="559"/>
      <c r="AZA22" s="559"/>
      <c r="AZB22" s="559"/>
      <c r="AZC22" s="559"/>
      <c r="AZD22" s="559"/>
      <c r="AZE22" s="559"/>
      <c r="AZF22" s="559"/>
      <c r="AZG22" s="559"/>
      <c r="AZH22" s="559"/>
      <c r="AZI22" s="559"/>
      <c r="AZJ22" s="559"/>
      <c r="AZK22" s="559"/>
      <c r="AZL22" s="559"/>
      <c r="AZM22" s="559"/>
      <c r="AZN22" s="559"/>
      <c r="AZO22" s="559"/>
      <c r="AZP22" s="559"/>
      <c r="AZQ22" s="559"/>
      <c r="AZR22" s="559"/>
      <c r="AZS22" s="559"/>
      <c r="AZT22" s="559"/>
      <c r="AZU22" s="559"/>
      <c r="AZV22" s="559"/>
      <c r="AZW22" s="559"/>
      <c r="AZX22" s="559"/>
      <c r="AZY22" s="559"/>
      <c r="AZZ22" s="559"/>
      <c r="BAA22" s="559"/>
      <c r="BAB22" s="559"/>
      <c r="BAC22" s="559"/>
      <c r="BAD22" s="559"/>
      <c r="BAE22" s="559"/>
      <c r="BAF22" s="559"/>
      <c r="BAG22" s="559"/>
      <c r="BAH22" s="559"/>
      <c r="BAI22" s="559"/>
      <c r="BAJ22" s="559"/>
      <c r="BAK22" s="559"/>
      <c r="BAL22" s="559"/>
      <c r="BAM22" s="559"/>
      <c r="BAN22" s="559"/>
      <c r="BAO22" s="559"/>
      <c r="BAP22" s="559"/>
      <c r="BAQ22" s="559"/>
      <c r="BAR22" s="559"/>
      <c r="BAS22" s="559"/>
      <c r="BAT22" s="559"/>
      <c r="BAU22" s="559"/>
      <c r="BAV22" s="559"/>
      <c r="BAW22" s="559"/>
      <c r="BAX22" s="559"/>
      <c r="BAY22" s="559"/>
      <c r="BAZ22" s="559"/>
      <c r="BBA22" s="559"/>
      <c r="BBB22" s="559"/>
      <c r="BBC22" s="559"/>
      <c r="BBD22" s="559"/>
      <c r="BBE22" s="559"/>
      <c r="BBF22" s="559"/>
      <c r="BBG22" s="559"/>
      <c r="BBH22" s="559"/>
      <c r="BBI22" s="559"/>
      <c r="BBJ22" s="559"/>
      <c r="BBK22" s="559"/>
      <c r="BBL22" s="559"/>
      <c r="BBM22" s="559"/>
      <c r="BBN22" s="559"/>
      <c r="BBO22" s="559"/>
      <c r="BBP22" s="559"/>
      <c r="BBQ22" s="559"/>
      <c r="BBR22" s="559"/>
      <c r="BBS22" s="559"/>
      <c r="BBT22" s="559"/>
      <c r="BBU22" s="559"/>
      <c r="BBV22" s="559"/>
      <c r="BBW22" s="559"/>
      <c r="BBX22" s="559"/>
      <c r="BBY22" s="559"/>
      <c r="BBZ22" s="559"/>
      <c r="BCA22" s="559"/>
      <c r="BCB22" s="559"/>
      <c r="BCC22" s="559"/>
      <c r="BCD22" s="559"/>
      <c r="BCE22" s="559"/>
      <c r="BCF22" s="559"/>
      <c r="BCG22" s="559"/>
      <c r="BCH22" s="559"/>
      <c r="BCI22" s="559"/>
      <c r="BCJ22" s="559"/>
      <c r="BCK22" s="559"/>
      <c r="BCL22" s="559"/>
      <c r="BCM22" s="559"/>
      <c r="BCN22" s="559"/>
      <c r="BCO22" s="559"/>
      <c r="BCP22" s="559"/>
      <c r="BCQ22" s="559"/>
      <c r="BCR22" s="559"/>
      <c r="BCS22" s="559"/>
      <c r="BCT22" s="559"/>
      <c r="BCU22" s="559"/>
      <c r="BCV22" s="559"/>
      <c r="BCW22" s="559"/>
      <c r="BCX22" s="559"/>
      <c r="BCY22" s="559"/>
      <c r="BCZ22" s="559"/>
      <c r="BDA22" s="559"/>
      <c r="BDB22" s="559"/>
      <c r="BDC22" s="559"/>
      <c r="BDD22" s="559"/>
      <c r="BDE22" s="559"/>
      <c r="BDF22" s="559"/>
      <c r="BDG22" s="559"/>
      <c r="BDH22" s="559"/>
      <c r="BDI22" s="559"/>
      <c r="BDJ22" s="559"/>
      <c r="BDK22" s="559"/>
      <c r="BDL22" s="559"/>
      <c r="BDM22" s="559"/>
      <c r="BDN22" s="559"/>
      <c r="BDO22" s="559"/>
      <c r="BDP22" s="559"/>
      <c r="BDQ22" s="559"/>
      <c r="BDR22" s="559"/>
      <c r="BDS22" s="559"/>
      <c r="BDT22" s="559"/>
      <c r="BDU22" s="559"/>
      <c r="BDV22" s="559"/>
      <c r="BDW22" s="559"/>
      <c r="BDX22" s="559"/>
      <c r="BDY22" s="559"/>
      <c r="BDZ22" s="559"/>
      <c r="BEA22" s="559"/>
      <c r="BEB22" s="559"/>
      <c r="BEC22" s="559"/>
      <c r="BED22" s="559"/>
      <c r="BEE22" s="559"/>
      <c r="BEF22" s="559"/>
      <c r="BEG22" s="559"/>
      <c r="BEH22" s="559"/>
      <c r="BEI22" s="559"/>
      <c r="BEJ22" s="559"/>
      <c r="BEK22" s="559"/>
      <c r="BEL22" s="559"/>
      <c r="BEM22" s="559"/>
      <c r="BEN22" s="559"/>
      <c r="BEO22" s="559"/>
      <c r="BEP22" s="559"/>
      <c r="BEQ22" s="559"/>
      <c r="BER22" s="559"/>
      <c r="BES22" s="559"/>
      <c r="BET22" s="559"/>
      <c r="BEU22" s="559"/>
      <c r="BEV22" s="559"/>
      <c r="BEW22" s="559"/>
      <c r="BEX22" s="559"/>
      <c r="BEY22" s="559"/>
      <c r="BEZ22" s="559"/>
      <c r="BFA22" s="559"/>
      <c r="BFB22" s="559"/>
      <c r="BFC22" s="559"/>
      <c r="BFD22" s="559"/>
      <c r="BFE22" s="559"/>
      <c r="BFF22" s="559"/>
      <c r="BFG22" s="559"/>
      <c r="BFH22" s="559"/>
      <c r="BFI22" s="559"/>
      <c r="BFJ22" s="559"/>
      <c r="BFK22" s="559"/>
      <c r="BFL22" s="559"/>
      <c r="BFM22" s="559"/>
      <c r="BFN22" s="559"/>
      <c r="BFO22" s="559"/>
      <c r="BFP22" s="559"/>
      <c r="BFQ22" s="559"/>
      <c r="BFR22" s="559"/>
      <c r="BFS22" s="559"/>
      <c r="BFT22" s="559"/>
      <c r="BFU22" s="559"/>
      <c r="BFV22" s="559"/>
      <c r="BFW22" s="559"/>
      <c r="BFX22" s="559"/>
      <c r="BFY22" s="559"/>
      <c r="BFZ22" s="559"/>
      <c r="BGA22" s="559"/>
      <c r="BGB22" s="559"/>
      <c r="BGC22" s="559"/>
      <c r="BGD22" s="559"/>
      <c r="BGE22" s="559"/>
      <c r="BGF22" s="559"/>
      <c r="BGG22" s="559"/>
      <c r="BGH22" s="559"/>
      <c r="BGI22" s="559"/>
      <c r="BGJ22" s="559"/>
      <c r="BGK22" s="559"/>
      <c r="BGL22" s="559"/>
      <c r="BGM22" s="559"/>
      <c r="BGN22" s="559"/>
      <c r="BGO22" s="559"/>
      <c r="BGP22" s="559"/>
      <c r="BGQ22" s="559"/>
      <c r="BGR22" s="559"/>
      <c r="BGS22" s="559"/>
      <c r="BGT22" s="559"/>
      <c r="BGU22" s="559"/>
      <c r="BGV22" s="559"/>
      <c r="BGW22" s="559"/>
      <c r="BGX22" s="559"/>
      <c r="BGY22" s="559"/>
      <c r="BGZ22" s="559"/>
      <c r="BHA22" s="559"/>
      <c r="BHB22" s="559"/>
      <c r="BHC22" s="559"/>
      <c r="BHD22" s="559"/>
      <c r="BHE22" s="559"/>
      <c r="BHF22" s="559"/>
      <c r="BHG22" s="559"/>
      <c r="BHH22" s="559"/>
      <c r="BHI22" s="559"/>
      <c r="BHJ22" s="559"/>
      <c r="BHK22" s="559"/>
      <c r="BHL22" s="559"/>
      <c r="BHM22" s="559"/>
      <c r="BHN22" s="559"/>
      <c r="BHO22" s="559"/>
      <c r="BHP22" s="559"/>
      <c r="BHQ22" s="559"/>
      <c r="BHR22" s="559"/>
      <c r="BHS22" s="559"/>
      <c r="BHT22" s="559"/>
      <c r="BHU22" s="559"/>
      <c r="BHV22" s="559"/>
      <c r="BHW22" s="559"/>
      <c r="BHX22" s="559"/>
      <c r="BHY22" s="559"/>
      <c r="BHZ22" s="559"/>
      <c r="BIA22" s="559"/>
      <c r="BIB22" s="559"/>
      <c r="BIC22" s="559"/>
      <c r="BID22" s="559"/>
      <c r="BIE22" s="559"/>
      <c r="BIF22" s="559"/>
      <c r="BIG22" s="559"/>
      <c r="BIH22" s="559"/>
      <c r="BII22" s="559"/>
      <c r="BIJ22" s="559"/>
      <c r="BIK22" s="559"/>
      <c r="BIL22" s="559"/>
      <c r="BIM22" s="559"/>
      <c r="BIN22" s="559"/>
      <c r="BIO22" s="559"/>
      <c r="BIP22" s="559"/>
      <c r="BIQ22" s="559"/>
      <c r="BIR22" s="559"/>
      <c r="BIS22" s="559"/>
      <c r="BIT22" s="559"/>
      <c r="BIU22" s="559"/>
      <c r="BIV22" s="559"/>
      <c r="BIW22" s="559"/>
      <c r="BIX22" s="559"/>
      <c r="BIY22" s="559"/>
      <c r="BIZ22" s="559"/>
      <c r="BJA22" s="559"/>
      <c r="BJB22" s="559"/>
      <c r="BJC22" s="559"/>
      <c r="BJD22" s="559"/>
      <c r="BJE22" s="559"/>
      <c r="BJF22" s="559"/>
      <c r="BJG22" s="559"/>
      <c r="BJH22" s="559"/>
      <c r="BJI22" s="559"/>
      <c r="BJJ22" s="559"/>
      <c r="BJK22" s="559"/>
      <c r="BJL22" s="559"/>
      <c r="BJM22" s="559"/>
      <c r="BJN22" s="559"/>
      <c r="BJO22" s="559"/>
      <c r="BJP22" s="559"/>
      <c r="BJQ22" s="559"/>
      <c r="BJR22" s="559"/>
      <c r="BJS22" s="559"/>
      <c r="BJT22" s="559"/>
      <c r="BJU22" s="559"/>
      <c r="BJV22" s="559"/>
      <c r="BJW22" s="559"/>
      <c r="BJX22" s="559"/>
      <c r="BJY22" s="559"/>
      <c r="BJZ22" s="559"/>
      <c r="BKA22" s="559"/>
      <c r="BKB22" s="559"/>
      <c r="BKC22" s="559"/>
      <c r="BKD22" s="559"/>
      <c r="BKE22" s="559"/>
      <c r="BKF22" s="559"/>
      <c r="BKG22" s="559"/>
      <c r="BKH22" s="559"/>
      <c r="BKI22" s="559"/>
      <c r="BKJ22" s="559"/>
      <c r="BKK22" s="559"/>
      <c r="BKL22" s="559"/>
      <c r="BKM22" s="559"/>
      <c r="BKN22" s="559"/>
      <c r="BKO22" s="559"/>
      <c r="BKP22" s="559"/>
      <c r="BKQ22" s="559"/>
      <c r="BKR22" s="559"/>
      <c r="BKS22" s="559"/>
      <c r="BKT22" s="559"/>
      <c r="BKU22" s="559"/>
      <c r="BKV22" s="559"/>
      <c r="BKW22" s="559"/>
      <c r="BKX22" s="559"/>
      <c r="BKY22" s="559"/>
      <c r="BKZ22" s="559"/>
      <c r="BLA22" s="559"/>
      <c r="BLB22" s="559"/>
      <c r="BLC22" s="559"/>
      <c r="BLD22" s="559"/>
      <c r="BLE22" s="559"/>
      <c r="BLF22" s="559"/>
      <c r="BLG22" s="559"/>
      <c r="BLH22" s="559"/>
      <c r="BLI22" s="559"/>
      <c r="BLJ22" s="559"/>
      <c r="BLK22" s="559"/>
      <c r="BLL22" s="559"/>
      <c r="BLM22" s="559"/>
      <c r="BLN22" s="559"/>
      <c r="BLO22" s="559"/>
      <c r="BLP22" s="559"/>
      <c r="BLQ22" s="559"/>
      <c r="BLR22" s="559"/>
      <c r="BLS22" s="559"/>
      <c r="BLT22" s="559"/>
      <c r="BLU22" s="559"/>
      <c r="BLV22" s="559"/>
      <c r="BLW22" s="559"/>
      <c r="BLX22" s="559"/>
      <c r="BLY22" s="559"/>
      <c r="BLZ22" s="559"/>
      <c r="BMA22" s="559"/>
      <c r="BMB22" s="559"/>
      <c r="BMC22" s="559"/>
      <c r="BMD22" s="559"/>
      <c r="BME22" s="559"/>
      <c r="BMF22" s="559"/>
      <c r="BMG22" s="559"/>
      <c r="BMH22" s="559"/>
      <c r="BMI22" s="559"/>
      <c r="BMJ22" s="559"/>
      <c r="BMK22" s="559"/>
      <c r="BML22" s="559"/>
      <c r="BMM22" s="559"/>
      <c r="BMN22" s="559"/>
      <c r="BMO22" s="559"/>
      <c r="BMP22" s="559"/>
      <c r="BMQ22" s="559"/>
      <c r="BMR22" s="559"/>
      <c r="BMS22" s="559"/>
      <c r="BMT22" s="559"/>
      <c r="BMU22" s="559"/>
      <c r="BMV22" s="559"/>
      <c r="BMW22" s="559"/>
      <c r="BMX22" s="559"/>
      <c r="BMY22" s="559"/>
      <c r="BMZ22" s="559"/>
      <c r="BNA22" s="559"/>
      <c r="BNB22" s="559"/>
      <c r="BNC22" s="559"/>
      <c r="BND22" s="559"/>
      <c r="BNE22" s="559"/>
      <c r="BNF22" s="559"/>
      <c r="BNG22" s="559"/>
      <c r="BNH22" s="559"/>
      <c r="BNI22" s="559"/>
      <c r="BNJ22" s="559"/>
      <c r="BNK22" s="559"/>
      <c r="BNL22" s="559"/>
      <c r="BNM22" s="559"/>
      <c r="BNN22" s="559"/>
      <c r="BNO22" s="559"/>
      <c r="BNP22" s="559"/>
      <c r="BNQ22" s="559"/>
      <c r="BNR22" s="559"/>
      <c r="BNS22" s="559"/>
      <c r="BNT22" s="559"/>
      <c r="BNU22" s="559"/>
      <c r="BNV22" s="559"/>
      <c r="BNW22" s="559"/>
      <c r="BNX22" s="559"/>
      <c r="BNY22" s="559"/>
      <c r="BNZ22" s="559"/>
      <c r="BOA22" s="559"/>
      <c r="BOB22" s="559"/>
      <c r="BOC22" s="559"/>
      <c r="BOD22" s="559"/>
      <c r="BOE22" s="559"/>
      <c r="BOF22" s="559"/>
      <c r="BOG22" s="559"/>
      <c r="BOH22" s="559"/>
      <c r="BOI22" s="559"/>
      <c r="BOJ22" s="559"/>
      <c r="BOK22" s="559"/>
      <c r="BOL22" s="559"/>
      <c r="BOM22" s="559"/>
      <c r="BON22" s="559"/>
      <c r="BOO22" s="559"/>
      <c r="BOP22" s="559"/>
      <c r="BOQ22" s="559"/>
      <c r="BOR22" s="559"/>
      <c r="BOS22" s="559"/>
      <c r="BOT22" s="559"/>
      <c r="BOU22" s="559"/>
      <c r="BOV22" s="559"/>
      <c r="BOW22" s="559"/>
      <c r="BOX22" s="559"/>
      <c r="BOY22" s="559"/>
      <c r="BOZ22" s="559"/>
      <c r="BPA22" s="559"/>
      <c r="BPB22" s="559"/>
      <c r="BPC22" s="559"/>
      <c r="BPD22" s="559"/>
      <c r="BPE22" s="559"/>
      <c r="BPF22" s="559"/>
      <c r="BPG22" s="559"/>
      <c r="BPH22" s="559"/>
      <c r="BPI22" s="559"/>
      <c r="BPJ22" s="559"/>
      <c r="BPK22" s="559"/>
      <c r="BPL22" s="559"/>
      <c r="BPM22" s="559"/>
      <c r="BPN22" s="559"/>
      <c r="BPO22" s="559"/>
      <c r="BPP22" s="559"/>
      <c r="BPQ22" s="559"/>
      <c r="BPR22" s="559"/>
      <c r="BPS22" s="559"/>
      <c r="BPT22" s="559"/>
      <c r="BPU22" s="559"/>
      <c r="BPV22" s="559"/>
      <c r="BPW22" s="559"/>
      <c r="BPX22" s="559"/>
      <c r="BPY22" s="559"/>
      <c r="BPZ22" s="559"/>
      <c r="BQA22" s="559"/>
      <c r="BQB22" s="559"/>
      <c r="BQC22" s="559"/>
      <c r="BQD22" s="559"/>
      <c r="BQE22" s="559"/>
      <c r="BQF22" s="559"/>
      <c r="BQG22" s="559"/>
      <c r="BQH22" s="559"/>
      <c r="BQI22" s="559"/>
      <c r="BQJ22" s="559"/>
      <c r="BQK22" s="559"/>
      <c r="BQL22" s="559"/>
      <c r="BQM22" s="559"/>
      <c r="BQN22" s="559"/>
      <c r="BQO22" s="559"/>
      <c r="BQP22" s="559"/>
      <c r="BQQ22" s="559"/>
      <c r="BQR22" s="559"/>
      <c r="BQS22" s="559"/>
      <c r="BQT22" s="559"/>
      <c r="BQU22" s="559"/>
      <c r="BQV22" s="559"/>
      <c r="BQW22" s="559"/>
      <c r="BQX22" s="559"/>
      <c r="BQY22" s="559"/>
      <c r="BQZ22" s="559"/>
      <c r="BRA22" s="559"/>
      <c r="BRB22" s="559"/>
      <c r="BRC22" s="559"/>
      <c r="BRD22" s="559"/>
      <c r="BRE22" s="559"/>
      <c r="BRF22" s="559"/>
      <c r="BRG22" s="559"/>
      <c r="BRH22" s="559"/>
      <c r="BRI22" s="559"/>
      <c r="BRJ22" s="559"/>
      <c r="BRK22" s="559"/>
      <c r="BRL22" s="559"/>
      <c r="BRM22" s="559"/>
      <c r="BRN22" s="559"/>
      <c r="BRO22" s="559"/>
      <c r="BRP22" s="559"/>
      <c r="BRQ22" s="559"/>
      <c r="BRR22" s="559"/>
      <c r="BRS22" s="559"/>
      <c r="BRT22" s="559"/>
      <c r="BRU22" s="559"/>
      <c r="BRV22" s="559"/>
      <c r="BRW22" s="559"/>
      <c r="BRX22" s="559"/>
      <c r="BRY22" s="559"/>
      <c r="BRZ22" s="559"/>
      <c r="BSA22" s="559"/>
      <c r="BSB22" s="559"/>
      <c r="BSC22" s="559"/>
      <c r="BSD22" s="559"/>
      <c r="BSE22" s="559"/>
      <c r="BSF22" s="559"/>
      <c r="BSG22" s="559"/>
      <c r="BSH22" s="559"/>
      <c r="BSI22" s="559"/>
      <c r="BSJ22" s="559"/>
      <c r="BSK22" s="559"/>
      <c r="BSL22" s="559"/>
      <c r="BSM22" s="559"/>
      <c r="BSN22" s="559"/>
      <c r="BSO22" s="559"/>
      <c r="BSP22" s="559"/>
      <c r="BSQ22" s="559"/>
      <c r="BSR22" s="559"/>
      <c r="BSS22" s="559"/>
      <c r="BST22" s="559"/>
      <c r="BSU22" s="559"/>
      <c r="BSV22" s="559"/>
      <c r="BSW22" s="559"/>
      <c r="BSX22" s="559"/>
      <c r="BSY22" s="559"/>
      <c r="BSZ22" s="559"/>
      <c r="BTA22" s="559"/>
      <c r="BTB22" s="559"/>
      <c r="BTC22" s="559"/>
      <c r="BTD22" s="559"/>
      <c r="BTE22" s="559"/>
      <c r="BTF22" s="559"/>
      <c r="BTG22" s="559"/>
      <c r="BTH22" s="559"/>
      <c r="BTI22" s="559"/>
      <c r="BTJ22" s="559"/>
      <c r="BTK22" s="559"/>
      <c r="BTL22" s="559"/>
      <c r="BTM22" s="559"/>
      <c r="BTN22" s="559"/>
      <c r="BTO22" s="559"/>
      <c r="BTP22" s="559"/>
      <c r="BTQ22" s="559"/>
      <c r="BTR22" s="559"/>
      <c r="BTS22" s="559"/>
      <c r="BTT22" s="559"/>
      <c r="BTU22" s="559"/>
      <c r="BTV22" s="559"/>
      <c r="BTW22" s="559"/>
      <c r="BTX22" s="559"/>
      <c r="BTY22" s="559"/>
      <c r="BTZ22" s="559"/>
      <c r="BUA22" s="559"/>
      <c r="BUB22" s="559"/>
      <c r="BUC22" s="559"/>
      <c r="BUD22" s="559"/>
      <c r="BUE22" s="559"/>
      <c r="BUF22" s="559"/>
      <c r="BUG22" s="559"/>
      <c r="BUH22" s="559"/>
      <c r="BUI22" s="559"/>
      <c r="BUJ22" s="559"/>
      <c r="BUK22" s="559"/>
      <c r="BUL22" s="559"/>
      <c r="BUM22" s="559"/>
      <c r="BUN22" s="559"/>
      <c r="BUO22" s="559"/>
      <c r="BUP22" s="559"/>
      <c r="BUQ22" s="559"/>
      <c r="BUR22" s="559"/>
      <c r="BUS22" s="559"/>
      <c r="BUT22" s="559"/>
      <c r="BUU22" s="559"/>
      <c r="BUV22" s="559"/>
      <c r="BUW22" s="559"/>
      <c r="BUX22" s="559"/>
      <c r="BUY22" s="559"/>
      <c r="BUZ22" s="559"/>
      <c r="BVA22" s="559"/>
      <c r="BVB22" s="559"/>
      <c r="BVC22" s="559"/>
      <c r="BVD22" s="559"/>
      <c r="BVE22" s="559"/>
      <c r="BVF22" s="559"/>
      <c r="BVG22" s="559"/>
      <c r="BVH22" s="559"/>
      <c r="BVI22" s="559"/>
      <c r="BVJ22" s="559"/>
      <c r="BVK22" s="559"/>
      <c r="BVL22" s="559"/>
      <c r="BVM22" s="559"/>
      <c r="BVN22" s="559"/>
      <c r="BVO22" s="559"/>
      <c r="BVP22" s="559"/>
      <c r="BVQ22" s="559"/>
      <c r="BVR22" s="559"/>
      <c r="BVS22" s="559"/>
      <c r="BVT22" s="559"/>
      <c r="BVU22" s="559"/>
      <c r="BVV22" s="559"/>
      <c r="BVW22" s="559"/>
      <c r="BVX22" s="559"/>
      <c r="BVY22" s="559"/>
      <c r="BVZ22" s="559"/>
      <c r="BWA22" s="559"/>
      <c r="BWB22" s="559"/>
      <c r="BWC22" s="559"/>
      <c r="BWD22" s="559"/>
      <c r="BWE22" s="559"/>
      <c r="BWF22" s="559"/>
      <c r="BWG22" s="559"/>
      <c r="BWH22" s="559"/>
      <c r="BWI22" s="559"/>
      <c r="BWJ22" s="559"/>
      <c r="BWK22" s="559"/>
      <c r="BWL22" s="559"/>
      <c r="BWM22" s="559"/>
      <c r="BWN22" s="559"/>
      <c r="BWO22" s="559"/>
      <c r="BWP22" s="559"/>
      <c r="BWQ22" s="559"/>
      <c r="BWR22" s="559"/>
      <c r="BWS22" s="559"/>
      <c r="BWT22" s="559"/>
      <c r="BWU22" s="559"/>
      <c r="BWV22" s="559"/>
      <c r="BWW22" s="559"/>
      <c r="BWX22" s="559"/>
      <c r="BWY22" s="559"/>
      <c r="BWZ22" s="559"/>
      <c r="BXA22" s="559"/>
      <c r="BXB22" s="559"/>
      <c r="BXC22" s="559"/>
      <c r="BXD22" s="559"/>
      <c r="BXE22" s="559"/>
      <c r="BXF22" s="559"/>
      <c r="BXG22" s="559"/>
      <c r="BXH22" s="559"/>
      <c r="BXI22" s="559"/>
      <c r="BXJ22" s="559"/>
      <c r="BXK22" s="559"/>
      <c r="BXL22" s="559"/>
      <c r="BXM22" s="559"/>
      <c r="BXN22" s="559"/>
      <c r="BXO22" s="559"/>
      <c r="BXP22" s="559"/>
      <c r="BXQ22" s="559"/>
      <c r="BXR22" s="559"/>
      <c r="BXS22" s="559"/>
      <c r="BXT22" s="559"/>
      <c r="BXU22" s="559"/>
      <c r="BXV22" s="559"/>
      <c r="BXW22" s="559"/>
      <c r="BXX22" s="559"/>
      <c r="BXY22" s="559"/>
      <c r="BXZ22" s="559"/>
      <c r="BYA22" s="559"/>
      <c r="BYB22" s="559"/>
      <c r="BYC22" s="559"/>
      <c r="BYD22" s="559"/>
      <c r="BYE22" s="559"/>
      <c r="BYF22" s="559"/>
      <c r="BYG22" s="559"/>
      <c r="BYH22" s="559"/>
      <c r="BYI22" s="559"/>
      <c r="BYJ22" s="559"/>
      <c r="BYK22" s="559"/>
      <c r="BYL22" s="559"/>
      <c r="BYM22" s="559"/>
      <c r="BYN22" s="559"/>
      <c r="BYO22" s="559"/>
      <c r="BYP22" s="559"/>
      <c r="BYQ22" s="559"/>
      <c r="BYR22" s="559"/>
      <c r="BYS22" s="559"/>
      <c r="BYT22" s="559"/>
      <c r="BYU22" s="559"/>
      <c r="BYV22" s="559"/>
      <c r="BYW22" s="559"/>
      <c r="BYX22" s="559"/>
      <c r="BYY22" s="559"/>
      <c r="BYZ22" s="559"/>
      <c r="BZA22" s="559"/>
      <c r="BZB22" s="559"/>
      <c r="BZC22" s="559"/>
      <c r="BZD22" s="559"/>
      <c r="BZE22" s="559"/>
      <c r="BZF22" s="559"/>
      <c r="BZG22" s="559"/>
      <c r="BZH22" s="559"/>
      <c r="BZI22" s="559"/>
      <c r="BZJ22" s="559"/>
      <c r="BZK22" s="559"/>
      <c r="BZL22" s="559"/>
      <c r="BZM22" s="559"/>
      <c r="BZN22" s="559"/>
      <c r="BZO22" s="559"/>
      <c r="BZP22" s="559"/>
      <c r="BZQ22" s="559"/>
      <c r="BZR22" s="559"/>
      <c r="BZS22" s="559"/>
      <c r="BZT22" s="559"/>
      <c r="BZU22" s="559"/>
      <c r="BZV22" s="559"/>
      <c r="BZW22" s="559"/>
      <c r="BZX22" s="559"/>
      <c r="BZY22" s="559"/>
      <c r="BZZ22" s="559"/>
      <c r="CAA22" s="559"/>
      <c r="CAB22" s="559"/>
      <c r="CAC22" s="559"/>
      <c r="CAD22" s="559"/>
      <c r="CAE22" s="559"/>
      <c r="CAF22" s="559"/>
      <c r="CAG22" s="559"/>
      <c r="CAH22" s="559"/>
      <c r="CAI22" s="559"/>
      <c r="CAJ22" s="559"/>
      <c r="CAK22" s="559"/>
      <c r="CAL22" s="559"/>
      <c r="CAM22" s="559"/>
      <c r="CAN22" s="559"/>
      <c r="CAO22" s="559"/>
      <c r="CAP22" s="559"/>
      <c r="CAQ22" s="559"/>
      <c r="CAR22" s="559"/>
      <c r="CAS22" s="559"/>
      <c r="CAT22" s="559"/>
      <c r="CAU22" s="559"/>
      <c r="CAV22" s="559"/>
      <c r="CAW22" s="559"/>
      <c r="CAX22" s="559"/>
      <c r="CAY22" s="559"/>
      <c r="CAZ22" s="559"/>
      <c r="CBA22" s="559"/>
      <c r="CBB22" s="559"/>
      <c r="CBC22" s="559"/>
      <c r="CBD22" s="559"/>
      <c r="CBE22" s="559"/>
      <c r="CBF22" s="559"/>
      <c r="CBG22" s="559"/>
      <c r="CBH22" s="559"/>
      <c r="CBI22" s="559"/>
      <c r="CBJ22" s="559"/>
      <c r="CBK22" s="559"/>
      <c r="CBL22" s="559"/>
      <c r="CBM22" s="559"/>
      <c r="CBN22" s="559"/>
      <c r="CBO22" s="559"/>
      <c r="CBP22" s="559"/>
      <c r="CBQ22" s="559"/>
      <c r="CBR22" s="559"/>
      <c r="CBS22" s="559"/>
      <c r="CBT22" s="559"/>
      <c r="CBU22" s="559"/>
      <c r="CBV22" s="559"/>
      <c r="CBW22" s="559"/>
      <c r="CBX22" s="559"/>
      <c r="CBY22" s="559"/>
      <c r="CBZ22" s="559"/>
      <c r="CCA22" s="559"/>
      <c r="CCB22" s="559"/>
      <c r="CCC22" s="559"/>
      <c r="CCD22" s="559"/>
      <c r="CCE22" s="559"/>
      <c r="CCF22" s="559"/>
      <c r="CCG22" s="559"/>
      <c r="CCH22" s="559"/>
      <c r="CCI22" s="559"/>
      <c r="CCJ22" s="559"/>
      <c r="CCK22" s="559"/>
      <c r="CCL22" s="559"/>
      <c r="CCM22" s="559"/>
      <c r="CCN22" s="559"/>
      <c r="CCO22" s="559"/>
      <c r="CCP22" s="559"/>
      <c r="CCQ22" s="559"/>
      <c r="CCR22" s="559"/>
      <c r="CCS22" s="559"/>
      <c r="CCT22" s="559"/>
      <c r="CCU22" s="559"/>
      <c r="CCV22" s="559"/>
      <c r="CCW22" s="559"/>
      <c r="CCX22" s="559"/>
      <c r="CCY22" s="559"/>
      <c r="CCZ22" s="559"/>
      <c r="CDA22" s="559"/>
      <c r="CDB22" s="559"/>
      <c r="CDC22" s="559"/>
      <c r="CDD22" s="559"/>
      <c r="CDE22" s="559"/>
      <c r="CDF22" s="559"/>
      <c r="CDG22" s="559"/>
      <c r="CDH22" s="559"/>
      <c r="CDI22" s="559"/>
      <c r="CDJ22" s="559"/>
      <c r="CDK22" s="559"/>
      <c r="CDL22" s="559"/>
      <c r="CDM22" s="559"/>
      <c r="CDN22" s="559"/>
      <c r="CDO22" s="559"/>
      <c r="CDP22" s="559"/>
      <c r="CDQ22" s="559"/>
      <c r="CDR22" s="559"/>
      <c r="CDS22" s="559"/>
      <c r="CDT22" s="559"/>
      <c r="CDU22" s="559"/>
      <c r="CDV22" s="559"/>
      <c r="CDW22" s="559"/>
      <c r="CDX22" s="559"/>
      <c r="CDY22" s="559"/>
      <c r="CDZ22" s="559"/>
      <c r="CEA22" s="559"/>
      <c r="CEB22" s="559"/>
      <c r="CEC22" s="559"/>
      <c r="CED22" s="559"/>
      <c r="CEE22" s="559"/>
      <c r="CEF22" s="559"/>
      <c r="CEG22" s="559"/>
      <c r="CEH22" s="559"/>
      <c r="CEI22" s="559"/>
      <c r="CEJ22" s="559"/>
      <c r="CEK22" s="559"/>
      <c r="CEL22" s="559"/>
      <c r="CEM22" s="559"/>
      <c r="CEN22" s="559"/>
      <c r="CEO22" s="559"/>
      <c r="CEP22" s="559"/>
      <c r="CEQ22" s="559"/>
      <c r="CER22" s="559"/>
      <c r="CES22" s="559"/>
      <c r="CET22" s="559"/>
      <c r="CEU22" s="559"/>
      <c r="CEV22" s="559"/>
      <c r="CEW22" s="559"/>
      <c r="CEX22" s="559"/>
      <c r="CEY22" s="559"/>
      <c r="CEZ22" s="559"/>
      <c r="CFA22" s="559"/>
      <c r="CFB22" s="559"/>
      <c r="CFC22" s="559"/>
      <c r="CFD22" s="559"/>
      <c r="CFE22" s="559"/>
      <c r="CFF22" s="559"/>
      <c r="CFG22" s="559"/>
      <c r="CFH22" s="559"/>
      <c r="CFI22" s="559"/>
      <c r="CFJ22" s="559"/>
      <c r="CFK22" s="559"/>
      <c r="CFL22" s="559"/>
      <c r="CFM22" s="559"/>
      <c r="CFN22" s="559"/>
      <c r="CFO22" s="559"/>
      <c r="CFP22" s="559"/>
      <c r="CFQ22" s="559"/>
      <c r="CFR22" s="559"/>
      <c r="CFS22" s="559"/>
      <c r="CFT22" s="559"/>
      <c r="CFU22" s="559"/>
      <c r="CFV22" s="559"/>
      <c r="CFW22" s="559"/>
      <c r="CFX22" s="559"/>
      <c r="CFY22" s="559"/>
      <c r="CFZ22" s="559"/>
      <c r="CGA22" s="559"/>
      <c r="CGB22" s="559"/>
      <c r="CGC22" s="559"/>
      <c r="CGD22" s="559"/>
      <c r="CGE22" s="559"/>
      <c r="CGF22" s="559"/>
      <c r="CGG22" s="559"/>
      <c r="CGH22" s="559"/>
      <c r="CGI22" s="559"/>
      <c r="CGJ22" s="559"/>
      <c r="CGK22" s="559"/>
      <c r="CGL22" s="559"/>
      <c r="CGM22" s="559"/>
      <c r="CGN22" s="559"/>
      <c r="CGO22" s="559"/>
      <c r="CGP22" s="559"/>
      <c r="CGQ22" s="559"/>
      <c r="CGR22" s="559"/>
      <c r="CGS22" s="559"/>
      <c r="CGT22" s="559"/>
      <c r="CGU22" s="559"/>
      <c r="CGV22" s="559"/>
      <c r="CGW22" s="559"/>
      <c r="CGX22" s="559"/>
      <c r="CGY22" s="559"/>
      <c r="CGZ22" s="559"/>
      <c r="CHA22" s="559"/>
      <c r="CHB22" s="559"/>
      <c r="CHC22" s="559"/>
      <c r="CHD22" s="559"/>
      <c r="CHE22" s="559"/>
      <c r="CHF22" s="559"/>
      <c r="CHG22" s="559"/>
      <c r="CHH22" s="559"/>
      <c r="CHI22" s="559"/>
      <c r="CHJ22" s="559"/>
      <c r="CHK22" s="559"/>
      <c r="CHL22" s="559"/>
      <c r="CHM22" s="559"/>
      <c r="CHN22" s="559"/>
      <c r="CHO22" s="559"/>
      <c r="CHP22" s="559"/>
      <c r="CHQ22" s="559"/>
      <c r="CHR22" s="559"/>
      <c r="CHS22" s="559"/>
      <c r="CHT22" s="559"/>
      <c r="CHU22" s="559"/>
      <c r="CHV22" s="559"/>
      <c r="CHW22" s="559"/>
      <c r="CHX22" s="559"/>
      <c r="CHY22" s="559"/>
      <c r="CHZ22" s="559"/>
      <c r="CIA22" s="559"/>
      <c r="CIB22" s="559"/>
      <c r="CIC22" s="559"/>
      <c r="CID22" s="559"/>
      <c r="CIE22" s="559"/>
      <c r="CIF22" s="559"/>
      <c r="CIG22" s="559"/>
      <c r="CIH22" s="559"/>
      <c r="CII22" s="559"/>
      <c r="CIJ22" s="559"/>
      <c r="CIK22" s="559"/>
      <c r="CIL22" s="559"/>
      <c r="CIM22" s="559"/>
      <c r="CIN22" s="559"/>
      <c r="CIO22" s="559"/>
      <c r="CIP22" s="559"/>
      <c r="CIQ22" s="559"/>
      <c r="CIR22" s="559"/>
      <c r="CIS22" s="559"/>
      <c r="CIT22" s="559"/>
      <c r="CIU22" s="559"/>
      <c r="CIV22" s="559"/>
      <c r="CIW22" s="559"/>
      <c r="CIX22" s="559"/>
      <c r="CIY22" s="559"/>
      <c r="CIZ22" s="559"/>
      <c r="CJA22" s="559"/>
      <c r="CJB22" s="559"/>
      <c r="CJC22" s="559"/>
      <c r="CJD22" s="559"/>
      <c r="CJE22" s="559"/>
      <c r="CJF22" s="559"/>
      <c r="CJG22" s="559"/>
      <c r="CJH22" s="559"/>
      <c r="CJI22" s="559"/>
      <c r="CJJ22" s="559"/>
      <c r="CJK22" s="559"/>
      <c r="CJL22" s="559"/>
      <c r="CJM22" s="559"/>
      <c r="CJN22" s="559"/>
      <c r="CJO22" s="559"/>
      <c r="CJP22" s="559"/>
      <c r="CJQ22" s="559"/>
      <c r="CJR22" s="559"/>
      <c r="CJS22" s="559"/>
      <c r="CJT22" s="559"/>
      <c r="CJU22" s="559"/>
      <c r="CJV22" s="559"/>
      <c r="CJW22" s="559"/>
      <c r="CJX22" s="559"/>
      <c r="CJY22" s="559"/>
      <c r="CJZ22" s="559"/>
      <c r="CKA22" s="559"/>
      <c r="CKB22" s="559"/>
      <c r="CKC22" s="559"/>
      <c r="CKD22" s="559"/>
      <c r="CKE22" s="559"/>
      <c r="CKF22" s="559"/>
      <c r="CKG22" s="559"/>
      <c r="CKH22" s="559"/>
      <c r="CKI22" s="559"/>
      <c r="CKJ22" s="559"/>
      <c r="CKK22" s="559"/>
      <c r="CKL22" s="559"/>
      <c r="CKM22" s="559"/>
      <c r="CKN22" s="559"/>
      <c r="CKO22" s="559"/>
      <c r="CKP22" s="559"/>
      <c r="CKQ22" s="559"/>
      <c r="CKR22" s="559"/>
      <c r="CKS22" s="559"/>
      <c r="CKT22" s="559"/>
      <c r="CKU22" s="559"/>
      <c r="CKV22" s="559"/>
      <c r="CKW22" s="559"/>
      <c r="CKX22" s="559"/>
      <c r="CKY22" s="559"/>
      <c r="CKZ22" s="559"/>
      <c r="CLA22" s="559"/>
      <c r="CLB22" s="559"/>
      <c r="CLC22" s="559"/>
      <c r="CLD22" s="559"/>
      <c r="CLE22" s="559"/>
      <c r="CLF22" s="559"/>
      <c r="CLG22" s="559"/>
      <c r="CLH22" s="559"/>
      <c r="CLI22" s="559"/>
      <c r="CLJ22" s="559"/>
      <c r="CLK22" s="559"/>
      <c r="CLL22" s="559"/>
      <c r="CLM22" s="559"/>
      <c r="CLN22" s="559"/>
      <c r="CLO22" s="559"/>
      <c r="CLP22" s="559"/>
      <c r="CLQ22" s="559"/>
      <c r="CLR22" s="559"/>
      <c r="CLS22" s="559"/>
      <c r="CLT22" s="559"/>
      <c r="CLU22" s="559"/>
      <c r="CLV22" s="559"/>
      <c r="CLW22" s="559"/>
      <c r="CLX22" s="559"/>
      <c r="CLY22" s="559"/>
      <c r="CLZ22" s="559"/>
      <c r="CMA22" s="559"/>
      <c r="CMB22" s="559"/>
      <c r="CMC22" s="559"/>
      <c r="CMD22" s="559"/>
      <c r="CME22" s="559"/>
      <c r="CMF22" s="559"/>
      <c r="CMG22" s="559"/>
      <c r="CMH22" s="559"/>
      <c r="CMI22" s="559"/>
      <c r="CMJ22" s="559"/>
      <c r="CMK22" s="559"/>
      <c r="CML22" s="559"/>
      <c r="CMM22" s="559"/>
      <c r="CMN22" s="559"/>
      <c r="CMO22" s="559"/>
      <c r="CMP22" s="559"/>
      <c r="CMQ22" s="559"/>
      <c r="CMR22" s="559"/>
      <c r="CMS22" s="559"/>
      <c r="CMT22" s="559"/>
      <c r="CMU22" s="559"/>
      <c r="CMV22" s="559"/>
      <c r="CMW22" s="559"/>
      <c r="CMX22" s="559"/>
      <c r="CMY22" s="559"/>
      <c r="CMZ22" s="559"/>
      <c r="CNA22" s="559"/>
      <c r="CNB22" s="559"/>
      <c r="CNC22" s="559"/>
      <c r="CND22" s="559"/>
      <c r="CNE22" s="559"/>
      <c r="CNF22" s="559"/>
      <c r="CNG22" s="559"/>
      <c r="CNH22" s="559"/>
      <c r="CNI22" s="559"/>
      <c r="CNJ22" s="559"/>
      <c r="CNK22" s="559"/>
      <c r="CNL22" s="559"/>
      <c r="CNM22" s="559"/>
      <c r="CNN22" s="559"/>
      <c r="CNO22" s="559"/>
      <c r="CNP22" s="559"/>
      <c r="CNQ22" s="559"/>
      <c r="CNR22" s="559"/>
      <c r="CNS22" s="559"/>
      <c r="CNT22" s="559"/>
      <c r="CNU22" s="559"/>
      <c r="CNV22" s="559"/>
      <c r="CNW22" s="559"/>
      <c r="CNX22" s="559"/>
      <c r="CNY22" s="559"/>
      <c r="CNZ22" s="559"/>
      <c r="COA22" s="559"/>
      <c r="COB22" s="559"/>
      <c r="COC22" s="559"/>
      <c r="COD22" s="559"/>
      <c r="COE22" s="559"/>
      <c r="COF22" s="559"/>
      <c r="COG22" s="559"/>
      <c r="COH22" s="559"/>
      <c r="COI22" s="559"/>
      <c r="COJ22" s="559"/>
      <c r="COK22" s="559"/>
      <c r="COL22" s="559"/>
      <c r="COM22" s="559"/>
      <c r="CON22" s="559"/>
      <c r="COO22" s="559"/>
      <c r="COP22" s="559"/>
      <c r="COQ22" s="559"/>
      <c r="COR22" s="559"/>
      <c r="COS22" s="559"/>
      <c r="COT22" s="559"/>
      <c r="COU22" s="559"/>
      <c r="COV22" s="559"/>
      <c r="COW22" s="559"/>
      <c r="COX22" s="559"/>
      <c r="COY22" s="559"/>
      <c r="COZ22" s="559"/>
      <c r="CPA22" s="559"/>
      <c r="CPB22" s="559"/>
      <c r="CPC22" s="559"/>
      <c r="CPD22" s="559"/>
      <c r="CPE22" s="559"/>
      <c r="CPF22" s="559"/>
      <c r="CPG22" s="559"/>
      <c r="CPH22" s="559"/>
      <c r="CPI22" s="559"/>
      <c r="CPJ22" s="559"/>
      <c r="CPK22" s="559"/>
      <c r="CPL22" s="559"/>
      <c r="CPM22" s="559"/>
      <c r="CPN22" s="559"/>
      <c r="CPO22" s="559"/>
      <c r="CPP22" s="559"/>
      <c r="CPQ22" s="559"/>
      <c r="CPR22" s="559"/>
      <c r="CPS22" s="559"/>
      <c r="CPT22" s="559"/>
      <c r="CPU22" s="559"/>
      <c r="CPV22" s="559"/>
      <c r="CPW22" s="559"/>
      <c r="CPX22" s="559"/>
      <c r="CPY22" s="559"/>
      <c r="CPZ22" s="559"/>
      <c r="CQA22" s="559"/>
      <c r="CQB22" s="559"/>
      <c r="CQC22" s="559"/>
      <c r="CQD22" s="559"/>
      <c r="CQE22" s="559"/>
      <c r="CQF22" s="559"/>
      <c r="CQG22" s="559"/>
      <c r="CQH22" s="559"/>
      <c r="CQI22" s="559"/>
      <c r="CQJ22" s="559"/>
      <c r="CQK22" s="559"/>
      <c r="CQL22" s="559"/>
      <c r="CQM22" s="559"/>
      <c r="CQN22" s="559"/>
      <c r="CQO22" s="559"/>
      <c r="CQP22" s="559"/>
      <c r="CQQ22" s="559"/>
      <c r="CQR22" s="559"/>
      <c r="CQS22" s="559"/>
      <c r="CQT22" s="559"/>
      <c r="CQU22" s="559"/>
      <c r="CQV22" s="559"/>
      <c r="CQW22" s="559"/>
      <c r="CQX22" s="559"/>
      <c r="CQY22" s="559"/>
      <c r="CQZ22" s="559"/>
      <c r="CRA22" s="559"/>
      <c r="CRB22" s="559"/>
      <c r="CRC22" s="559"/>
      <c r="CRD22" s="559"/>
      <c r="CRE22" s="559"/>
      <c r="CRF22" s="559"/>
      <c r="CRG22" s="559"/>
      <c r="CRH22" s="559"/>
      <c r="CRI22" s="559"/>
      <c r="CRJ22" s="559"/>
      <c r="CRK22" s="559"/>
      <c r="CRL22" s="559"/>
      <c r="CRM22" s="559"/>
      <c r="CRN22" s="559"/>
      <c r="CRO22" s="559"/>
      <c r="CRP22" s="559"/>
      <c r="CRQ22" s="559"/>
      <c r="CRR22" s="559"/>
      <c r="CRS22" s="559"/>
      <c r="CRT22" s="559"/>
      <c r="CRU22" s="559"/>
      <c r="CRV22" s="559"/>
      <c r="CRW22" s="559"/>
      <c r="CRX22" s="559"/>
      <c r="CRY22" s="559"/>
      <c r="CRZ22" s="559"/>
      <c r="CSA22" s="559"/>
      <c r="CSB22" s="559"/>
      <c r="CSC22" s="559"/>
      <c r="CSD22" s="559"/>
      <c r="CSE22" s="559"/>
      <c r="CSF22" s="559"/>
      <c r="CSG22" s="559"/>
      <c r="CSH22" s="559"/>
      <c r="CSI22" s="559"/>
      <c r="CSJ22" s="559"/>
      <c r="CSK22" s="559"/>
      <c r="CSL22" s="559"/>
      <c r="CSM22" s="559"/>
      <c r="CSN22" s="559"/>
      <c r="CSO22" s="559"/>
      <c r="CSP22" s="559"/>
      <c r="CSQ22" s="559"/>
      <c r="CSR22" s="559"/>
      <c r="CSS22" s="559"/>
      <c r="CST22" s="559"/>
      <c r="CSU22" s="559"/>
      <c r="CSV22" s="559"/>
      <c r="CSW22" s="559"/>
      <c r="CSX22" s="559"/>
      <c r="CSY22" s="559"/>
      <c r="CSZ22" s="559"/>
      <c r="CTA22" s="559"/>
      <c r="CTB22" s="559"/>
      <c r="CTC22" s="559"/>
      <c r="CTD22" s="559"/>
      <c r="CTE22" s="559"/>
      <c r="CTF22" s="559"/>
      <c r="CTG22" s="559"/>
      <c r="CTH22" s="559"/>
      <c r="CTI22" s="559"/>
      <c r="CTJ22" s="559"/>
      <c r="CTK22" s="559"/>
      <c r="CTL22" s="559"/>
      <c r="CTM22" s="559"/>
      <c r="CTN22" s="559"/>
      <c r="CTO22" s="559"/>
      <c r="CTP22" s="559"/>
      <c r="CTQ22" s="559"/>
      <c r="CTR22" s="559"/>
      <c r="CTS22" s="559"/>
      <c r="CTT22" s="559"/>
      <c r="CTU22" s="559"/>
      <c r="CTV22" s="559"/>
      <c r="CTW22" s="559"/>
      <c r="CTX22" s="559"/>
      <c r="CTY22" s="559"/>
      <c r="CTZ22" s="559"/>
      <c r="CUA22" s="559"/>
      <c r="CUB22" s="559"/>
      <c r="CUC22" s="559"/>
      <c r="CUD22" s="559"/>
      <c r="CUE22" s="559"/>
      <c r="CUF22" s="559"/>
      <c r="CUG22" s="559"/>
      <c r="CUH22" s="559"/>
      <c r="CUI22" s="559"/>
      <c r="CUJ22" s="559"/>
      <c r="CUK22" s="559"/>
      <c r="CUL22" s="559"/>
      <c r="CUM22" s="559"/>
      <c r="CUN22" s="559"/>
      <c r="CUO22" s="559"/>
      <c r="CUP22" s="559"/>
      <c r="CUQ22" s="559"/>
      <c r="CUR22" s="559"/>
      <c r="CUS22" s="559"/>
      <c r="CUT22" s="559"/>
      <c r="CUU22" s="559"/>
      <c r="CUV22" s="559"/>
      <c r="CUW22" s="559"/>
      <c r="CUX22" s="559"/>
      <c r="CUY22" s="559"/>
      <c r="CUZ22" s="559"/>
      <c r="CVA22" s="559"/>
      <c r="CVB22" s="559"/>
      <c r="CVC22" s="559"/>
      <c r="CVD22" s="559"/>
      <c r="CVE22" s="559"/>
      <c r="CVF22" s="559"/>
      <c r="CVG22" s="559"/>
      <c r="CVH22" s="559"/>
      <c r="CVI22" s="559"/>
      <c r="CVJ22" s="559"/>
      <c r="CVK22" s="559"/>
      <c r="CVL22" s="559"/>
      <c r="CVM22" s="559"/>
      <c r="CVN22" s="559"/>
      <c r="CVO22" s="559"/>
      <c r="CVP22" s="559"/>
      <c r="CVQ22" s="559"/>
      <c r="CVR22" s="559"/>
      <c r="CVS22" s="559"/>
      <c r="CVT22" s="559"/>
      <c r="CVU22" s="559"/>
      <c r="CVV22" s="559"/>
      <c r="CVW22" s="559"/>
      <c r="CVX22" s="559"/>
      <c r="CVY22" s="559"/>
      <c r="CVZ22" s="559"/>
      <c r="CWA22" s="559"/>
      <c r="CWB22" s="559"/>
      <c r="CWC22" s="559"/>
      <c r="CWD22" s="559"/>
      <c r="CWE22" s="559"/>
      <c r="CWF22" s="559"/>
      <c r="CWG22" s="559"/>
      <c r="CWH22" s="559"/>
      <c r="CWI22" s="559"/>
      <c r="CWJ22" s="559"/>
      <c r="CWK22" s="559"/>
      <c r="CWL22" s="559"/>
      <c r="CWM22" s="559"/>
      <c r="CWN22" s="559"/>
      <c r="CWO22" s="559"/>
      <c r="CWP22" s="559"/>
      <c r="CWQ22" s="559"/>
      <c r="CWR22" s="559"/>
      <c r="CWS22" s="559"/>
      <c r="CWT22" s="559"/>
      <c r="CWU22" s="559"/>
      <c r="CWV22" s="559"/>
      <c r="CWW22" s="559"/>
      <c r="CWX22" s="559"/>
      <c r="CWY22" s="559"/>
      <c r="CWZ22" s="559"/>
      <c r="CXA22" s="559"/>
      <c r="CXB22" s="559"/>
      <c r="CXC22" s="559"/>
      <c r="CXD22" s="559"/>
      <c r="CXE22" s="559"/>
      <c r="CXF22" s="559"/>
      <c r="CXG22" s="559"/>
      <c r="CXH22" s="559"/>
      <c r="CXI22" s="559"/>
      <c r="CXJ22" s="559"/>
      <c r="CXK22" s="559"/>
      <c r="CXL22" s="559"/>
      <c r="CXM22" s="559"/>
      <c r="CXN22" s="559"/>
      <c r="CXO22" s="559"/>
      <c r="CXP22" s="559"/>
      <c r="CXQ22" s="559"/>
      <c r="CXR22" s="559"/>
      <c r="CXS22" s="559"/>
      <c r="CXT22" s="559"/>
      <c r="CXU22" s="559"/>
      <c r="CXV22" s="559"/>
      <c r="CXW22" s="559"/>
      <c r="CXX22" s="559"/>
      <c r="CXY22" s="559"/>
      <c r="CXZ22" s="559"/>
      <c r="CYA22" s="559"/>
      <c r="CYB22" s="559"/>
      <c r="CYC22" s="559"/>
      <c r="CYD22" s="559"/>
      <c r="CYE22" s="559"/>
      <c r="CYF22" s="559"/>
      <c r="CYG22" s="559"/>
      <c r="CYH22" s="559"/>
      <c r="CYI22" s="559"/>
      <c r="CYJ22" s="559"/>
      <c r="CYK22" s="559"/>
      <c r="CYL22" s="559"/>
      <c r="CYM22" s="559"/>
      <c r="CYN22" s="559"/>
      <c r="CYO22" s="559"/>
      <c r="CYP22" s="559"/>
      <c r="CYQ22" s="559"/>
      <c r="CYR22" s="559"/>
      <c r="CYS22" s="559"/>
      <c r="CYT22" s="559"/>
      <c r="CYU22" s="559"/>
      <c r="CYV22" s="559"/>
      <c r="CYW22" s="559"/>
      <c r="CYX22" s="559"/>
      <c r="CYY22" s="559"/>
      <c r="CYZ22" s="559"/>
      <c r="CZA22" s="559"/>
      <c r="CZB22" s="559"/>
      <c r="CZC22" s="559"/>
      <c r="CZD22" s="559"/>
      <c r="CZE22" s="559"/>
      <c r="CZF22" s="559"/>
      <c r="CZG22" s="559"/>
      <c r="CZH22" s="559"/>
      <c r="CZI22" s="559"/>
      <c r="CZJ22" s="559"/>
      <c r="CZK22" s="559"/>
      <c r="CZL22" s="559"/>
      <c r="CZM22" s="559"/>
      <c r="CZN22" s="559"/>
      <c r="CZO22" s="559"/>
      <c r="CZP22" s="559"/>
      <c r="CZQ22" s="559"/>
      <c r="CZR22" s="559"/>
      <c r="CZS22" s="559"/>
      <c r="CZT22" s="559"/>
      <c r="CZU22" s="559"/>
      <c r="CZV22" s="559"/>
      <c r="CZW22" s="559"/>
      <c r="CZX22" s="559"/>
      <c r="CZY22" s="559"/>
      <c r="CZZ22" s="559"/>
      <c r="DAA22" s="559"/>
      <c r="DAB22" s="559"/>
      <c r="DAC22" s="559"/>
      <c r="DAD22" s="559"/>
      <c r="DAE22" s="559"/>
      <c r="DAF22" s="559"/>
      <c r="DAG22" s="559"/>
      <c r="DAH22" s="559"/>
      <c r="DAI22" s="559"/>
      <c r="DAJ22" s="559"/>
      <c r="DAK22" s="559"/>
      <c r="DAL22" s="559"/>
      <c r="DAM22" s="559"/>
      <c r="DAN22" s="559"/>
      <c r="DAO22" s="559"/>
      <c r="DAP22" s="559"/>
      <c r="DAQ22" s="559"/>
      <c r="DAR22" s="559"/>
      <c r="DAS22" s="559"/>
      <c r="DAT22" s="559"/>
      <c r="DAU22" s="559"/>
      <c r="DAV22" s="559"/>
      <c r="DAW22" s="559"/>
      <c r="DAX22" s="559"/>
      <c r="DAY22" s="559"/>
      <c r="DAZ22" s="559"/>
      <c r="DBA22" s="559"/>
      <c r="DBB22" s="559"/>
      <c r="DBC22" s="559"/>
      <c r="DBD22" s="559"/>
      <c r="DBE22" s="559"/>
      <c r="DBF22" s="559"/>
      <c r="DBG22" s="559"/>
      <c r="DBH22" s="559"/>
      <c r="DBI22" s="559"/>
      <c r="DBJ22" s="559"/>
      <c r="DBK22" s="559"/>
      <c r="DBL22" s="559"/>
      <c r="DBM22" s="559"/>
      <c r="DBN22" s="559"/>
      <c r="DBO22" s="559"/>
      <c r="DBP22" s="559"/>
      <c r="DBQ22" s="559"/>
      <c r="DBR22" s="559"/>
      <c r="DBS22" s="559"/>
      <c r="DBT22" s="559"/>
      <c r="DBU22" s="559"/>
      <c r="DBV22" s="559"/>
      <c r="DBW22" s="559"/>
      <c r="DBX22" s="559"/>
      <c r="DBY22" s="559"/>
      <c r="DBZ22" s="559"/>
      <c r="DCA22" s="559"/>
      <c r="DCB22" s="559"/>
      <c r="DCC22" s="559"/>
      <c r="DCD22" s="559"/>
      <c r="DCE22" s="559"/>
      <c r="DCF22" s="559"/>
      <c r="DCG22" s="559"/>
      <c r="DCH22" s="559"/>
      <c r="DCI22" s="559"/>
      <c r="DCJ22" s="559"/>
      <c r="DCK22" s="559"/>
      <c r="DCL22" s="559"/>
      <c r="DCM22" s="559"/>
      <c r="DCN22" s="559"/>
      <c r="DCO22" s="559"/>
      <c r="DCP22" s="559"/>
      <c r="DCQ22" s="559"/>
      <c r="DCR22" s="559"/>
      <c r="DCS22" s="559"/>
      <c r="DCT22" s="559"/>
      <c r="DCU22" s="559"/>
      <c r="DCV22" s="559"/>
      <c r="DCW22" s="559"/>
      <c r="DCX22" s="559"/>
      <c r="DCY22" s="559"/>
      <c r="DCZ22" s="559"/>
      <c r="DDA22" s="559"/>
      <c r="DDB22" s="559"/>
      <c r="DDC22" s="559"/>
      <c r="DDD22" s="559"/>
      <c r="DDE22" s="559"/>
      <c r="DDF22" s="559"/>
      <c r="DDG22" s="559"/>
      <c r="DDH22" s="559"/>
      <c r="DDI22" s="559"/>
      <c r="DDJ22" s="559"/>
      <c r="DDK22" s="559"/>
      <c r="DDL22" s="559"/>
      <c r="DDM22" s="559"/>
      <c r="DDN22" s="559"/>
      <c r="DDO22" s="559"/>
      <c r="DDP22" s="559"/>
      <c r="DDQ22" s="559"/>
      <c r="DDR22" s="559"/>
      <c r="DDS22" s="559"/>
      <c r="DDT22" s="559"/>
      <c r="DDU22" s="559"/>
      <c r="DDV22" s="559"/>
      <c r="DDW22" s="559"/>
      <c r="DDX22" s="559"/>
      <c r="DDY22" s="559"/>
      <c r="DDZ22" s="559"/>
      <c r="DEA22" s="559"/>
      <c r="DEB22" s="559"/>
      <c r="DEC22" s="559"/>
      <c r="DED22" s="559"/>
      <c r="DEE22" s="559"/>
      <c r="DEF22" s="559"/>
      <c r="DEG22" s="559"/>
      <c r="DEH22" s="559"/>
      <c r="DEI22" s="559"/>
      <c r="DEJ22" s="559"/>
      <c r="DEK22" s="559"/>
      <c r="DEL22" s="559"/>
      <c r="DEM22" s="559"/>
      <c r="DEN22" s="559"/>
      <c r="DEO22" s="559"/>
      <c r="DEP22" s="559"/>
      <c r="DEQ22" s="559"/>
      <c r="DER22" s="559"/>
      <c r="DES22" s="559"/>
      <c r="DET22" s="559"/>
      <c r="DEU22" s="559"/>
      <c r="DEV22" s="559"/>
      <c r="DEW22" s="559"/>
      <c r="DEX22" s="559"/>
      <c r="DEY22" s="559"/>
      <c r="DEZ22" s="559"/>
      <c r="DFA22" s="559"/>
      <c r="DFB22" s="559"/>
      <c r="DFC22" s="559"/>
      <c r="DFD22" s="559"/>
      <c r="DFE22" s="559"/>
      <c r="DFF22" s="559"/>
      <c r="DFG22" s="559"/>
      <c r="DFH22" s="559"/>
      <c r="DFI22" s="559"/>
      <c r="DFJ22" s="559"/>
      <c r="DFK22" s="559"/>
      <c r="DFL22" s="559"/>
      <c r="DFM22" s="559"/>
      <c r="DFN22" s="559"/>
      <c r="DFO22" s="559"/>
      <c r="DFP22" s="559"/>
      <c r="DFQ22" s="559"/>
      <c r="DFR22" s="559"/>
      <c r="DFS22" s="559"/>
      <c r="DFT22" s="559"/>
      <c r="DFU22" s="559"/>
      <c r="DFV22" s="559"/>
      <c r="DFW22" s="559"/>
      <c r="DFX22" s="559"/>
      <c r="DFY22" s="559"/>
      <c r="DFZ22" s="559"/>
      <c r="DGA22" s="559"/>
      <c r="DGB22" s="559"/>
      <c r="DGC22" s="559"/>
      <c r="DGD22" s="559"/>
      <c r="DGE22" s="559"/>
      <c r="DGF22" s="559"/>
      <c r="DGG22" s="559"/>
      <c r="DGH22" s="559"/>
      <c r="DGI22" s="559"/>
      <c r="DGJ22" s="559"/>
      <c r="DGK22" s="559"/>
      <c r="DGL22" s="559"/>
      <c r="DGM22" s="559"/>
      <c r="DGN22" s="559"/>
      <c r="DGO22" s="559"/>
      <c r="DGP22" s="559"/>
      <c r="DGQ22" s="559"/>
      <c r="DGR22" s="559"/>
      <c r="DGS22" s="559"/>
      <c r="DGT22" s="559"/>
      <c r="DGU22" s="559"/>
      <c r="DGV22" s="559"/>
      <c r="DGW22" s="559"/>
      <c r="DGX22" s="559"/>
      <c r="DGY22" s="559"/>
      <c r="DGZ22" s="559"/>
      <c r="DHA22" s="559"/>
      <c r="DHB22" s="559"/>
      <c r="DHC22" s="559"/>
      <c r="DHD22" s="559"/>
      <c r="DHE22" s="559"/>
      <c r="DHF22" s="559"/>
      <c r="DHG22" s="559"/>
      <c r="DHH22" s="559"/>
      <c r="DHI22" s="559"/>
      <c r="DHJ22" s="559"/>
      <c r="DHK22" s="559"/>
      <c r="DHL22" s="559"/>
      <c r="DHM22" s="559"/>
      <c r="DHN22" s="559"/>
      <c r="DHO22" s="559"/>
      <c r="DHP22" s="559"/>
      <c r="DHQ22" s="559"/>
      <c r="DHR22" s="559"/>
      <c r="DHS22" s="559"/>
      <c r="DHT22" s="559"/>
      <c r="DHU22" s="559"/>
      <c r="DHV22" s="559"/>
      <c r="DHW22" s="559"/>
      <c r="DHX22" s="559"/>
      <c r="DHY22" s="559"/>
      <c r="DHZ22" s="559"/>
      <c r="DIA22" s="559"/>
      <c r="DIB22" s="559"/>
      <c r="DIC22" s="559"/>
      <c r="DID22" s="559"/>
      <c r="DIE22" s="559"/>
      <c r="DIF22" s="559"/>
      <c r="DIG22" s="559"/>
      <c r="DIH22" s="559"/>
      <c r="DII22" s="559"/>
      <c r="DIJ22" s="559"/>
      <c r="DIK22" s="559"/>
      <c r="DIL22" s="559"/>
      <c r="DIM22" s="559"/>
      <c r="DIN22" s="559"/>
      <c r="DIO22" s="559"/>
      <c r="DIP22" s="559"/>
      <c r="DIQ22" s="559"/>
      <c r="DIR22" s="559"/>
      <c r="DIS22" s="559"/>
      <c r="DIT22" s="559"/>
      <c r="DIU22" s="559"/>
      <c r="DIV22" s="559"/>
      <c r="DIW22" s="559"/>
      <c r="DIX22" s="559"/>
      <c r="DIY22" s="559"/>
      <c r="DIZ22" s="559"/>
      <c r="DJA22" s="559"/>
      <c r="DJB22" s="559"/>
      <c r="DJC22" s="559"/>
      <c r="DJD22" s="559"/>
      <c r="DJE22" s="559"/>
      <c r="DJF22" s="559"/>
      <c r="DJG22" s="559"/>
      <c r="DJH22" s="559"/>
      <c r="DJI22" s="559"/>
      <c r="DJJ22" s="559"/>
      <c r="DJK22" s="559"/>
      <c r="DJL22" s="559"/>
      <c r="DJM22" s="559"/>
      <c r="DJN22" s="559"/>
      <c r="DJO22" s="559"/>
      <c r="DJP22" s="559"/>
      <c r="DJQ22" s="559"/>
      <c r="DJR22" s="559"/>
      <c r="DJS22" s="559"/>
      <c r="DJT22" s="559"/>
      <c r="DJU22" s="559"/>
      <c r="DJV22" s="559"/>
      <c r="DJW22" s="559"/>
      <c r="DJX22" s="559"/>
      <c r="DJY22" s="559"/>
      <c r="DJZ22" s="559"/>
      <c r="DKA22" s="559"/>
      <c r="DKB22" s="559"/>
      <c r="DKC22" s="559"/>
      <c r="DKD22" s="559"/>
      <c r="DKE22" s="559"/>
      <c r="DKF22" s="559"/>
      <c r="DKG22" s="559"/>
      <c r="DKH22" s="559"/>
      <c r="DKI22" s="559"/>
      <c r="DKJ22" s="559"/>
      <c r="DKK22" s="559"/>
      <c r="DKL22" s="559"/>
      <c r="DKM22" s="559"/>
      <c r="DKN22" s="559"/>
      <c r="DKO22" s="559"/>
      <c r="DKP22" s="559"/>
      <c r="DKQ22" s="559"/>
      <c r="DKR22" s="559"/>
      <c r="DKS22" s="559"/>
      <c r="DKT22" s="559"/>
      <c r="DKU22" s="559"/>
      <c r="DKV22" s="559"/>
      <c r="DKW22" s="559"/>
      <c r="DKX22" s="559"/>
      <c r="DKY22" s="559"/>
      <c r="DKZ22" s="559"/>
      <c r="DLA22" s="559"/>
      <c r="DLB22" s="559"/>
      <c r="DLC22" s="559"/>
      <c r="DLD22" s="559"/>
      <c r="DLE22" s="559"/>
      <c r="DLF22" s="559"/>
      <c r="DLG22" s="559"/>
      <c r="DLH22" s="559"/>
      <c r="DLI22" s="559"/>
      <c r="DLJ22" s="559"/>
      <c r="DLK22" s="559"/>
      <c r="DLL22" s="559"/>
      <c r="DLM22" s="559"/>
      <c r="DLN22" s="559"/>
      <c r="DLO22" s="559"/>
      <c r="DLP22" s="559"/>
      <c r="DLQ22" s="559"/>
      <c r="DLR22" s="559"/>
      <c r="DLS22" s="559"/>
      <c r="DLT22" s="559"/>
      <c r="DLU22" s="559"/>
      <c r="DLV22" s="559"/>
      <c r="DLW22" s="559"/>
      <c r="DLX22" s="559"/>
      <c r="DLY22" s="559"/>
      <c r="DLZ22" s="559"/>
      <c r="DMA22" s="559"/>
      <c r="DMB22" s="559"/>
      <c r="DMC22" s="559"/>
      <c r="DMD22" s="559"/>
      <c r="DME22" s="559"/>
      <c r="DMF22" s="559"/>
      <c r="DMG22" s="559"/>
      <c r="DMH22" s="559"/>
      <c r="DMI22" s="559"/>
      <c r="DMJ22" s="559"/>
      <c r="DMK22" s="559"/>
      <c r="DML22" s="559"/>
      <c r="DMM22" s="559"/>
      <c r="DMN22" s="559"/>
      <c r="DMO22" s="559"/>
      <c r="DMP22" s="559"/>
      <c r="DMQ22" s="559"/>
      <c r="DMR22" s="559"/>
      <c r="DMS22" s="559"/>
      <c r="DMT22" s="559"/>
      <c r="DMU22" s="559"/>
      <c r="DMV22" s="559"/>
      <c r="DMW22" s="559"/>
      <c r="DMX22" s="559"/>
      <c r="DMY22" s="559"/>
      <c r="DMZ22" s="559"/>
      <c r="DNA22" s="559"/>
      <c r="DNB22" s="559"/>
      <c r="DNC22" s="559"/>
      <c r="DND22" s="559"/>
      <c r="DNE22" s="559"/>
      <c r="DNF22" s="559"/>
      <c r="DNG22" s="559"/>
      <c r="DNH22" s="559"/>
      <c r="DNI22" s="559"/>
      <c r="DNJ22" s="559"/>
      <c r="DNK22" s="559"/>
      <c r="DNL22" s="559"/>
      <c r="DNM22" s="559"/>
      <c r="DNN22" s="559"/>
      <c r="DNO22" s="559"/>
      <c r="DNP22" s="559"/>
      <c r="DNQ22" s="559"/>
      <c r="DNR22" s="559"/>
      <c r="DNS22" s="559"/>
      <c r="DNT22" s="559"/>
      <c r="DNU22" s="559"/>
      <c r="DNV22" s="559"/>
      <c r="DNW22" s="559"/>
      <c r="DNX22" s="559"/>
      <c r="DNY22" s="559"/>
      <c r="DNZ22" s="559"/>
      <c r="DOA22" s="559"/>
      <c r="DOB22" s="559"/>
      <c r="DOC22" s="559"/>
      <c r="DOD22" s="559"/>
      <c r="DOE22" s="559"/>
      <c r="DOF22" s="559"/>
      <c r="DOG22" s="559"/>
      <c r="DOH22" s="559"/>
      <c r="DOI22" s="559"/>
      <c r="DOJ22" s="559"/>
      <c r="DOK22" s="559"/>
      <c r="DOL22" s="559"/>
      <c r="DOM22" s="559"/>
      <c r="DON22" s="559"/>
      <c r="DOO22" s="559"/>
      <c r="DOP22" s="559"/>
      <c r="DOQ22" s="559"/>
      <c r="DOR22" s="559"/>
      <c r="DOS22" s="559"/>
      <c r="DOT22" s="559"/>
      <c r="DOU22" s="559"/>
      <c r="DOV22" s="559"/>
      <c r="DOW22" s="559"/>
      <c r="DOX22" s="559"/>
      <c r="DOY22" s="559"/>
      <c r="DOZ22" s="559"/>
      <c r="DPA22" s="559"/>
      <c r="DPB22" s="559"/>
      <c r="DPC22" s="559"/>
      <c r="DPD22" s="559"/>
      <c r="DPE22" s="559"/>
      <c r="DPF22" s="559"/>
      <c r="DPG22" s="559"/>
      <c r="DPH22" s="559"/>
      <c r="DPI22" s="559"/>
      <c r="DPJ22" s="559"/>
      <c r="DPK22" s="559"/>
      <c r="DPL22" s="559"/>
      <c r="DPM22" s="559"/>
      <c r="DPN22" s="559"/>
      <c r="DPO22" s="559"/>
      <c r="DPP22" s="559"/>
      <c r="DPQ22" s="559"/>
      <c r="DPR22" s="559"/>
      <c r="DPS22" s="559"/>
      <c r="DPT22" s="559"/>
      <c r="DPU22" s="559"/>
      <c r="DPV22" s="559"/>
      <c r="DPW22" s="559"/>
      <c r="DPX22" s="559"/>
      <c r="DPY22" s="559"/>
      <c r="DPZ22" s="559"/>
      <c r="DQA22" s="559"/>
      <c r="DQB22" s="559"/>
      <c r="DQC22" s="559"/>
      <c r="DQD22" s="559"/>
      <c r="DQE22" s="559"/>
      <c r="DQF22" s="559"/>
      <c r="DQG22" s="559"/>
      <c r="DQH22" s="559"/>
      <c r="DQI22" s="559"/>
      <c r="DQJ22" s="559"/>
      <c r="DQK22" s="559"/>
      <c r="DQL22" s="559"/>
      <c r="DQM22" s="559"/>
      <c r="DQN22" s="559"/>
      <c r="DQO22" s="559"/>
      <c r="DQP22" s="559"/>
      <c r="DQQ22" s="559"/>
      <c r="DQR22" s="559"/>
      <c r="DQS22" s="559"/>
      <c r="DQT22" s="559"/>
      <c r="DQU22" s="559"/>
      <c r="DQV22" s="559"/>
      <c r="DQW22" s="559"/>
      <c r="DQX22" s="559"/>
      <c r="DQY22" s="559"/>
      <c r="DQZ22" s="559"/>
      <c r="DRA22" s="559"/>
      <c r="DRB22" s="559"/>
      <c r="DRC22" s="559"/>
      <c r="DRD22" s="559"/>
      <c r="DRE22" s="559"/>
      <c r="DRF22" s="559"/>
      <c r="DRG22" s="559"/>
      <c r="DRH22" s="559"/>
      <c r="DRI22" s="559"/>
      <c r="DRJ22" s="559"/>
      <c r="DRK22" s="559"/>
      <c r="DRL22" s="559"/>
      <c r="DRM22" s="559"/>
      <c r="DRN22" s="559"/>
      <c r="DRO22" s="559"/>
      <c r="DRP22" s="559"/>
      <c r="DRQ22" s="559"/>
      <c r="DRR22" s="559"/>
      <c r="DRS22" s="559"/>
      <c r="DRT22" s="559"/>
      <c r="DRU22" s="559"/>
      <c r="DRV22" s="559"/>
      <c r="DRW22" s="559"/>
      <c r="DRX22" s="559"/>
      <c r="DRY22" s="559"/>
      <c r="DRZ22" s="559"/>
      <c r="DSA22" s="559"/>
      <c r="DSB22" s="559"/>
      <c r="DSC22" s="559"/>
      <c r="DSD22" s="559"/>
      <c r="DSE22" s="559"/>
      <c r="DSF22" s="559"/>
      <c r="DSG22" s="559"/>
      <c r="DSH22" s="559"/>
      <c r="DSI22" s="559"/>
      <c r="DSJ22" s="559"/>
      <c r="DSK22" s="559"/>
      <c r="DSL22" s="559"/>
      <c r="DSM22" s="559"/>
      <c r="DSN22" s="559"/>
      <c r="DSO22" s="559"/>
      <c r="DSP22" s="559"/>
      <c r="DSQ22" s="559"/>
      <c r="DSR22" s="559"/>
      <c r="DSS22" s="559"/>
      <c r="DST22" s="559"/>
      <c r="DSU22" s="559"/>
      <c r="DSV22" s="559"/>
      <c r="DSW22" s="559"/>
      <c r="DSX22" s="559"/>
      <c r="DSY22" s="559"/>
      <c r="DSZ22" s="559"/>
      <c r="DTA22" s="559"/>
      <c r="DTB22" s="559"/>
      <c r="DTC22" s="559"/>
      <c r="DTD22" s="559"/>
      <c r="DTE22" s="559"/>
      <c r="DTF22" s="559"/>
      <c r="DTG22" s="559"/>
      <c r="DTH22" s="559"/>
      <c r="DTI22" s="559"/>
      <c r="DTJ22" s="559"/>
      <c r="DTK22" s="559"/>
      <c r="DTL22" s="559"/>
      <c r="DTM22" s="559"/>
      <c r="DTN22" s="559"/>
      <c r="DTO22" s="559"/>
      <c r="DTP22" s="559"/>
      <c r="DTQ22" s="559"/>
      <c r="DTR22" s="559"/>
      <c r="DTS22" s="559"/>
      <c r="DTT22" s="559"/>
      <c r="DTU22" s="559"/>
      <c r="DTV22" s="559"/>
      <c r="DTW22" s="559"/>
      <c r="DTX22" s="559"/>
      <c r="DTY22" s="559"/>
      <c r="DTZ22" s="559"/>
      <c r="DUA22" s="559"/>
      <c r="DUB22" s="559"/>
      <c r="DUC22" s="559"/>
      <c r="DUD22" s="559"/>
      <c r="DUE22" s="559"/>
      <c r="DUF22" s="559"/>
      <c r="DUG22" s="559"/>
      <c r="DUH22" s="559"/>
      <c r="DUI22" s="559"/>
      <c r="DUJ22" s="559"/>
      <c r="DUK22" s="559"/>
      <c r="DUL22" s="559"/>
      <c r="DUM22" s="559"/>
      <c r="DUN22" s="559"/>
      <c r="DUO22" s="559"/>
      <c r="DUP22" s="559"/>
      <c r="DUQ22" s="559"/>
      <c r="DUR22" s="559"/>
      <c r="DUS22" s="559"/>
      <c r="DUT22" s="559"/>
      <c r="DUU22" s="559"/>
      <c r="DUV22" s="559"/>
      <c r="DUW22" s="559"/>
      <c r="DUX22" s="559"/>
      <c r="DUY22" s="559"/>
      <c r="DUZ22" s="559"/>
      <c r="DVA22" s="559"/>
      <c r="DVB22" s="559"/>
      <c r="DVC22" s="559"/>
      <c r="DVD22" s="559"/>
      <c r="DVE22" s="559"/>
      <c r="DVF22" s="559"/>
      <c r="DVG22" s="559"/>
      <c r="DVH22" s="559"/>
      <c r="DVI22" s="559"/>
      <c r="DVJ22" s="559"/>
      <c r="DVK22" s="559"/>
      <c r="DVL22" s="559"/>
      <c r="DVM22" s="559"/>
      <c r="DVN22" s="559"/>
      <c r="DVO22" s="559"/>
      <c r="DVP22" s="559"/>
      <c r="DVQ22" s="559"/>
      <c r="DVR22" s="559"/>
      <c r="DVS22" s="559"/>
      <c r="DVT22" s="559"/>
      <c r="DVU22" s="559"/>
      <c r="DVV22" s="559"/>
      <c r="DVW22" s="559"/>
      <c r="DVX22" s="559"/>
      <c r="DVY22" s="559"/>
      <c r="DVZ22" s="559"/>
      <c r="DWA22" s="559"/>
      <c r="DWB22" s="559"/>
      <c r="DWC22" s="559"/>
      <c r="DWD22" s="559"/>
      <c r="DWE22" s="559"/>
      <c r="DWF22" s="559"/>
      <c r="DWG22" s="559"/>
      <c r="DWH22" s="559"/>
      <c r="DWI22" s="559"/>
      <c r="DWJ22" s="559"/>
      <c r="DWK22" s="559"/>
      <c r="DWL22" s="559"/>
      <c r="DWM22" s="559"/>
      <c r="DWN22" s="559"/>
      <c r="DWO22" s="559"/>
      <c r="DWP22" s="559"/>
      <c r="DWQ22" s="559"/>
      <c r="DWR22" s="559"/>
      <c r="DWS22" s="559"/>
      <c r="DWT22" s="559"/>
      <c r="DWU22" s="559"/>
      <c r="DWV22" s="559"/>
      <c r="DWW22" s="559"/>
      <c r="DWX22" s="559"/>
      <c r="DWY22" s="559"/>
      <c r="DWZ22" s="559"/>
      <c r="DXA22" s="559"/>
      <c r="DXB22" s="559"/>
      <c r="DXC22" s="559"/>
      <c r="DXD22" s="559"/>
      <c r="DXE22" s="559"/>
      <c r="DXF22" s="559"/>
      <c r="DXG22" s="559"/>
      <c r="DXH22" s="559"/>
      <c r="DXI22" s="559"/>
      <c r="DXJ22" s="559"/>
      <c r="DXK22" s="559"/>
      <c r="DXL22" s="559"/>
      <c r="DXM22" s="559"/>
      <c r="DXN22" s="559"/>
      <c r="DXO22" s="559"/>
      <c r="DXP22" s="559"/>
      <c r="DXQ22" s="559"/>
      <c r="DXR22" s="559"/>
      <c r="DXS22" s="559"/>
      <c r="DXT22" s="559"/>
      <c r="DXU22" s="559"/>
      <c r="DXV22" s="559"/>
      <c r="DXW22" s="559"/>
      <c r="DXX22" s="559"/>
      <c r="DXY22" s="559"/>
      <c r="DXZ22" s="559"/>
      <c r="DYA22" s="559"/>
      <c r="DYB22" s="559"/>
      <c r="DYC22" s="559"/>
      <c r="DYD22" s="559"/>
      <c r="DYE22" s="559"/>
      <c r="DYF22" s="559"/>
      <c r="DYG22" s="559"/>
      <c r="DYH22" s="559"/>
      <c r="DYI22" s="559"/>
      <c r="DYJ22" s="559"/>
      <c r="DYK22" s="559"/>
      <c r="DYL22" s="559"/>
      <c r="DYM22" s="559"/>
      <c r="DYN22" s="559"/>
      <c r="DYO22" s="559"/>
      <c r="DYP22" s="559"/>
      <c r="DYQ22" s="559"/>
      <c r="DYR22" s="559"/>
      <c r="DYS22" s="559"/>
      <c r="DYT22" s="559"/>
      <c r="DYU22" s="559"/>
      <c r="DYV22" s="559"/>
      <c r="DYW22" s="559"/>
      <c r="DYX22" s="559"/>
      <c r="DYY22" s="559"/>
      <c r="DYZ22" s="559"/>
      <c r="DZA22" s="559"/>
      <c r="DZB22" s="559"/>
      <c r="DZC22" s="559"/>
      <c r="DZD22" s="559"/>
      <c r="DZE22" s="559"/>
      <c r="DZF22" s="559"/>
      <c r="DZG22" s="559"/>
      <c r="DZH22" s="559"/>
      <c r="DZI22" s="559"/>
      <c r="DZJ22" s="559"/>
      <c r="DZK22" s="559"/>
      <c r="DZL22" s="559"/>
      <c r="DZM22" s="559"/>
      <c r="DZN22" s="559"/>
      <c r="DZO22" s="559"/>
      <c r="DZP22" s="559"/>
      <c r="DZQ22" s="559"/>
      <c r="DZR22" s="559"/>
      <c r="DZS22" s="559"/>
      <c r="DZT22" s="559"/>
      <c r="DZU22" s="559"/>
      <c r="DZV22" s="559"/>
      <c r="DZW22" s="559"/>
      <c r="DZX22" s="559"/>
      <c r="DZY22" s="559"/>
      <c r="DZZ22" s="559"/>
      <c r="EAA22" s="559"/>
      <c r="EAB22" s="559"/>
      <c r="EAC22" s="559"/>
      <c r="EAD22" s="559"/>
      <c r="EAE22" s="559"/>
      <c r="EAF22" s="559"/>
      <c r="EAG22" s="559"/>
      <c r="EAH22" s="559"/>
      <c r="EAI22" s="559"/>
      <c r="EAJ22" s="559"/>
      <c r="EAK22" s="559"/>
      <c r="EAL22" s="559"/>
      <c r="EAM22" s="559"/>
      <c r="EAN22" s="559"/>
      <c r="EAO22" s="559"/>
      <c r="EAP22" s="559"/>
      <c r="EAQ22" s="559"/>
      <c r="EAR22" s="559"/>
      <c r="EAS22" s="559"/>
      <c r="EAT22" s="559"/>
      <c r="EAU22" s="559"/>
      <c r="EAV22" s="559"/>
      <c r="EAW22" s="559"/>
      <c r="EAX22" s="559"/>
      <c r="EAY22" s="559"/>
      <c r="EAZ22" s="559"/>
      <c r="EBA22" s="559"/>
      <c r="EBB22" s="559"/>
      <c r="EBC22" s="559"/>
      <c r="EBD22" s="559"/>
      <c r="EBE22" s="559"/>
      <c r="EBF22" s="559"/>
      <c r="EBG22" s="559"/>
      <c r="EBH22" s="559"/>
      <c r="EBI22" s="559"/>
      <c r="EBJ22" s="559"/>
      <c r="EBK22" s="559"/>
      <c r="EBL22" s="559"/>
      <c r="EBM22" s="559"/>
      <c r="EBN22" s="559"/>
      <c r="EBO22" s="559"/>
      <c r="EBP22" s="559"/>
      <c r="EBQ22" s="559"/>
      <c r="EBR22" s="559"/>
      <c r="EBS22" s="559"/>
      <c r="EBT22" s="559"/>
      <c r="EBU22" s="559"/>
      <c r="EBV22" s="559"/>
      <c r="EBW22" s="559"/>
      <c r="EBX22" s="559"/>
      <c r="EBY22" s="559"/>
      <c r="EBZ22" s="559"/>
      <c r="ECA22" s="559"/>
      <c r="ECB22" s="559"/>
      <c r="ECC22" s="559"/>
      <c r="ECD22" s="559"/>
      <c r="ECE22" s="559"/>
      <c r="ECF22" s="559"/>
      <c r="ECG22" s="559"/>
      <c r="ECH22" s="559"/>
      <c r="ECI22" s="559"/>
      <c r="ECJ22" s="559"/>
      <c r="ECK22" s="559"/>
      <c r="ECL22" s="559"/>
      <c r="ECM22" s="559"/>
      <c r="ECN22" s="559"/>
      <c r="ECO22" s="559"/>
      <c r="ECP22" s="559"/>
      <c r="ECQ22" s="559"/>
      <c r="ECR22" s="559"/>
      <c r="ECS22" s="559"/>
      <c r="ECT22" s="559"/>
      <c r="ECU22" s="559"/>
      <c r="ECV22" s="559"/>
      <c r="ECW22" s="559"/>
      <c r="ECX22" s="559"/>
      <c r="ECY22" s="559"/>
      <c r="ECZ22" s="559"/>
      <c r="EDA22" s="559"/>
      <c r="EDB22" s="559"/>
      <c r="EDC22" s="559"/>
      <c r="EDD22" s="559"/>
      <c r="EDE22" s="559"/>
      <c r="EDF22" s="559"/>
      <c r="EDG22" s="559"/>
      <c r="EDH22" s="559"/>
      <c r="EDI22" s="559"/>
      <c r="EDJ22" s="559"/>
      <c r="EDK22" s="559"/>
      <c r="EDL22" s="559"/>
      <c r="EDM22" s="559"/>
      <c r="EDN22" s="559"/>
      <c r="EDO22" s="559"/>
      <c r="EDP22" s="559"/>
      <c r="EDQ22" s="559"/>
      <c r="EDR22" s="559"/>
      <c r="EDS22" s="559"/>
      <c r="EDT22" s="559"/>
      <c r="EDU22" s="559"/>
      <c r="EDV22" s="559"/>
      <c r="EDW22" s="559"/>
      <c r="EDX22" s="559"/>
      <c r="EDY22" s="559"/>
      <c r="EDZ22" s="559"/>
      <c r="EEA22" s="559"/>
      <c r="EEB22" s="559"/>
      <c r="EEC22" s="559"/>
      <c r="EED22" s="559"/>
      <c r="EEE22" s="559"/>
      <c r="EEF22" s="559"/>
      <c r="EEG22" s="559"/>
      <c r="EEH22" s="559"/>
      <c r="EEI22" s="559"/>
      <c r="EEJ22" s="559"/>
      <c r="EEK22" s="559"/>
      <c r="EEL22" s="559"/>
      <c r="EEM22" s="559"/>
      <c r="EEN22" s="559"/>
      <c r="EEO22" s="559"/>
      <c r="EEP22" s="559"/>
      <c r="EEQ22" s="559"/>
      <c r="EER22" s="559"/>
      <c r="EES22" s="559"/>
      <c r="EET22" s="559"/>
      <c r="EEU22" s="559"/>
      <c r="EEV22" s="559"/>
      <c r="EEW22" s="559"/>
      <c r="EEX22" s="559"/>
      <c r="EEY22" s="559"/>
      <c r="EEZ22" s="559"/>
      <c r="EFA22" s="559"/>
      <c r="EFB22" s="559"/>
      <c r="EFC22" s="559"/>
      <c r="EFD22" s="559"/>
      <c r="EFE22" s="559"/>
      <c r="EFF22" s="559"/>
      <c r="EFG22" s="559"/>
      <c r="EFH22" s="559"/>
      <c r="EFI22" s="559"/>
      <c r="EFJ22" s="559"/>
      <c r="EFK22" s="559"/>
      <c r="EFL22" s="559"/>
      <c r="EFM22" s="559"/>
      <c r="EFN22" s="559"/>
      <c r="EFO22" s="559"/>
      <c r="EFP22" s="559"/>
      <c r="EFQ22" s="559"/>
      <c r="EFR22" s="559"/>
      <c r="EFS22" s="559"/>
      <c r="EFT22" s="559"/>
      <c r="EFU22" s="559"/>
      <c r="EFV22" s="559"/>
      <c r="EFW22" s="559"/>
      <c r="EFX22" s="559"/>
      <c r="EFY22" s="559"/>
      <c r="EFZ22" s="559"/>
      <c r="EGA22" s="559"/>
      <c r="EGB22" s="559"/>
      <c r="EGC22" s="559"/>
      <c r="EGD22" s="559"/>
      <c r="EGE22" s="559"/>
      <c r="EGF22" s="559"/>
      <c r="EGG22" s="559"/>
      <c r="EGH22" s="559"/>
      <c r="EGI22" s="559"/>
      <c r="EGJ22" s="559"/>
      <c r="EGK22" s="559"/>
      <c r="EGL22" s="559"/>
      <c r="EGM22" s="559"/>
      <c r="EGN22" s="559"/>
      <c r="EGO22" s="559"/>
      <c r="EGP22" s="559"/>
      <c r="EGQ22" s="559"/>
      <c r="EGR22" s="559"/>
      <c r="EGS22" s="559"/>
      <c r="EGT22" s="559"/>
      <c r="EGU22" s="559"/>
      <c r="EGV22" s="559"/>
      <c r="EGW22" s="559"/>
      <c r="EGX22" s="559"/>
      <c r="EGY22" s="559"/>
      <c r="EGZ22" s="559"/>
      <c r="EHA22" s="559"/>
      <c r="EHB22" s="559"/>
      <c r="EHC22" s="559"/>
      <c r="EHD22" s="559"/>
      <c r="EHE22" s="559"/>
      <c r="EHF22" s="559"/>
      <c r="EHG22" s="559"/>
      <c r="EHH22" s="559"/>
      <c r="EHI22" s="559"/>
      <c r="EHJ22" s="559"/>
      <c r="EHK22" s="559"/>
      <c r="EHL22" s="559"/>
      <c r="EHM22" s="559"/>
      <c r="EHN22" s="559"/>
      <c r="EHO22" s="559"/>
      <c r="EHP22" s="559"/>
      <c r="EHQ22" s="559"/>
      <c r="EHR22" s="559"/>
      <c r="EHS22" s="559"/>
      <c r="EHT22" s="559"/>
      <c r="EHU22" s="559"/>
      <c r="EHV22" s="559"/>
      <c r="EHW22" s="559"/>
      <c r="EHX22" s="559"/>
      <c r="EHY22" s="559"/>
      <c r="EHZ22" s="559"/>
      <c r="EIA22" s="559"/>
      <c r="EIB22" s="559"/>
      <c r="EIC22" s="559"/>
      <c r="EID22" s="559"/>
      <c r="EIE22" s="559"/>
      <c r="EIF22" s="559"/>
      <c r="EIG22" s="559"/>
      <c r="EIH22" s="559"/>
      <c r="EII22" s="559"/>
      <c r="EIJ22" s="559"/>
      <c r="EIK22" s="559"/>
      <c r="EIL22" s="559"/>
      <c r="EIM22" s="559"/>
      <c r="EIN22" s="559"/>
      <c r="EIO22" s="559"/>
      <c r="EIP22" s="559"/>
      <c r="EIQ22" s="559"/>
      <c r="EIR22" s="559"/>
      <c r="EIS22" s="559"/>
      <c r="EIT22" s="559"/>
      <c r="EIU22" s="559"/>
      <c r="EIV22" s="559"/>
      <c r="EIW22" s="559"/>
      <c r="EIX22" s="559"/>
      <c r="EIY22" s="559"/>
      <c r="EIZ22" s="559"/>
      <c r="EJA22" s="559"/>
      <c r="EJB22" s="559"/>
      <c r="EJC22" s="559"/>
      <c r="EJD22" s="559"/>
      <c r="EJE22" s="559"/>
      <c r="EJF22" s="559"/>
      <c r="EJG22" s="559"/>
      <c r="EJH22" s="559"/>
      <c r="EJI22" s="559"/>
      <c r="EJJ22" s="559"/>
      <c r="EJK22" s="559"/>
      <c r="EJL22" s="559"/>
      <c r="EJM22" s="559"/>
      <c r="EJN22" s="559"/>
      <c r="EJO22" s="559"/>
      <c r="EJP22" s="559"/>
      <c r="EJQ22" s="559"/>
      <c r="EJR22" s="559"/>
      <c r="EJS22" s="559"/>
      <c r="EJT22" s="559"/>
      <c r="EJU22" s="559"/>
      <c r="EJV22" s="559"/>
      <c r="EJW22" s="559"/>
      <c r="EJX22" s="559"/>
      <c r="EJY22" s="559"/>
      <c r="EJZ22" s="559"/>
      <c r="EKA22" s="559"/>
      <c r="EKB22" s="559"/>
      <c r="EKC22" s="559"/>
      <c r="EKD22" s="559"/>
      <c r="EKE22" s="559"/>
      <c r="EKF22" s="559"/>
      <c r="EKG22" s="559"/>
      <c r="EKH22" s="559"/>
      <c r="EKI22" s="559"/>
      <c r="EKJ22" s="559"/>
      <c r="EKK22" s="559"/>
      <c r="EKL22" s="559"/>
      <c r="EKM22" s="559"/>
      <c r="EKN22" s="559"/>
      <c r="EKO22" s="559"/>
      <c r="EKP22" s="559"/>
      <c r="EKQ22" s="559"/>
      <c r="EKR22" s="559"/>
      <c r="EKS22" s="559"/>
      <c r="EKT22" s="559"/>
      <c r="EKU22" s="559"/>
      <c r="EKV22" s="559"/>
      <c r="EKW22" s="559"/>
      <c r="EKX22" s="559"/>
      <c r="EKY22" s="559"/>
      <c r="EKZ22" s="559"/>
      <c r="ELA22" s="559"/>
      <c r="ELB22" s="559"/>
      <c r="ELC22" s="559"/>
      <c r="ELD22" s="559"/>
      <c r="ELE22" s="559"/>
      <c r="ELF22" s="559"/>
      <c r="ELG22" s="559"/>
      <c r="ELH22" s="559"/>
      <c r="ELI22" s="559"/>
      <c r="ELJ22" s="559"/>
      <c r="ELK22" s="559"/>
      <c r="ELL22" s="559"/>
      <c r="ELM22" s="559"/>
      <c r="ELN22" s="559"/>
      <c r="ELO22" s="559"/>
      <c r="ELP22" s="559"/>
      <c r="ELQ22" s="559"/>
      <c r="ELR22" s="559"/>
      <c r="ELS22" s="559"/>
      <c r="ELT22" s="559"/>
      <c r="ELU22" s="559"/>
      <c r="ELV22" s="559"/>
      <c r="ELW22" s="559"/>
      <c r="ELX22" s="559"/>
      <c r="ELY22" s="559"/>
      <c r="ELZ22" s="559"/>
      <c r="EMA22" s="559"/>
      <c r="EMB22" s="559"/>
      <c r="EMC22" s="559"/>
      <c r="EMD22" s="559"/>
      <c r="EME22" s="559"/>
      <c r="EMF22" s="559"/>
      <c r="EMG22" s="559"/>
      <c r="EMH22" s="559"/>
      <c r="EMI22" s="559"/>
      <c r="EMJ22" s="559"/>
      <c r="EMK22" s="559"/>
      <c r="EML22" s="559"/>
      <c r="EMM22" s="559"/>
      <c r="EMN22" s="559"/>
      <c r="EMO22" s="559"/>
      <c r="EMP22" s="559"/>
      <c r="EMQ22" s="559"/>
      <c r="EMR22" s="559"/>
      <c r="EMS22" s="559"/>
      <c r="EMT22" s="559"/>
      <c r="EMU22" s="559"/>
      <c r="EMV22" s="559"/>
      <c r="EMW22" s="559"/>
      <c r="EMX22" s="559"/>
      <c r="EMY22" s="559"/>
      <c r="EMZ22" s="559"/>
      <c r="ENA22" s="559"/>
      <c r="ENB22" s="559"/>
      <c r="ENC22" s="559"/>
      <c r="END22" s="559"/>
      <c r="ENE22" s="559"/>
      <c r="ENF22" s="559"/>
      <c r="ENG22" s="559"/>
      <c r="ENH22" s="559"/>
      <c r="ENI22" s="559"/>
      <c r="ENJ22" s="559"/>
      <c r="ENK22" s="559"/>
      <c r="ENL22" s="559"/>
      <c r="ENM22" s="559"/>
      <c r="ENN22" s="559"/>
      <c r="ENO22" s="559"/>
      <c r="ENP22" s="559"/>
      <c r="ENQ22" s="559"/>
      <c r="ENR22" s="559"/>
      <c r="ENS22" s="559"/>
      <c r="ENT22" s="559"/>
      <c r="ENU22" s="559"/>
      <c r="ENV22" s="559"/>
      <c r="ENW22" s="559"/>
      <c r="ENX22" s="559"/>
      <c r="ENY22" s="559"/>
      <c r="ENZ22" s="559"/>
      <c r="EOA22" s="559"/>
      <c r="EOB22" s="559"/>
      <c r="EOC22" s="559"/>
      <c r="EOD22" s="559"/>
      <c r="EOE22" s="559"/>
      <c r="EOF22" s="559"/>
      <c r="EOG22" s="559"/>
      <c r="EOH22" s="559"/>
      <c r="EOI22" s="559"/>
      <c r="EOJ22" s="559"/>
      <c r="EOK22" s="559"/>
      <c r="EOL22" s="559"/>
      <c r="EOM22" s="559"/>
      <c r="EON22" s="559"/>
      <c r="EOO22" s="559"/>
      <c r="EOP22" s="559"/>
      <c r="EOQ22" s="559"/>
      <c r="EOR22" s="559"/>
      <c r="EOS22" s="559"/>
      <c r="EOT22" s="559"/>
      <c r="EOU22" s="559"/>
      <c r="EOV22" s="559"/>
      <c r="EOW22" s="559"/>
      <c r="EOX22" s="559"/>
      <c r="EOY22" s="559"/>
      <c r="EOZ22" s="559"/>
      <c r="EPA22" s="559"/>
      <c r="EPB22" s="559"/>
      <c r="EPC22" s="559"/>
      <c r="EPD22" s="559"/>
      <c r="EPE22" s="559"/>
      <c r="EPF22" s="559"/>
      <c r="EPG22" s="559"/>
      <c r="EPH22" s="559"/>
      <c r="EPI22" s="559"/>
      <c r="EPJ22" s="559"/>
      <c r="EPK22" s="559"/>
      <c r="EPL22" s="559"/>
      <c r="EPM22" s="559"/>
      <c r="EPN22" s="559"/>
      <c r="EPO22" s="559"/>
      <c r="EPP22" s="559"/>
      <c r="EPQ22" s="559"/>
      <c r="EPR22" s="559"/>
      <c r="EPS22" s="559"/>
      <c r="EPT22" s="559"/>
      <c r="EPU22" s="559"/>
      <c r="EPV22" s="559"/>
      <c r="EPW22" s="559"/>
      <c r="EPX22" s="559"/>
      <c r="EPY22" s="559"/>
      <c r="EPZ22" s="559"/>
      <c r="EQA22" s="559"/>
      <c r="EQB22" s="559"/>
      <c r="EQC22" s="559"/>
      <c r="EQD22" s="559"/>
      <c r="EQE22" s="559"/>
      <c r="EQF22" s="559"/>
      <c r="EQG22" s="559"/>
      <c r="EQH22" s="559"/>
      <c r="EQI22" s="559"/>
      <c r="EQJ22" s="559"/>
      <c r="EQK22" s="559"/>
      <c r="EQL22" s="559"/>
      <c r="EQM22" s="559"/>
      <c r="EQN22" s="559"/>
      <c r="EQO22" s="559"/>
      <c r="EQP22" s="559"/>
      <c r="EQQ22" s="559"/>
      <c r="EQR22" s="559"/>
      <c r="EQS22" s="559"/>
      <c r="EQT22" s="559"/>
      <c r="EQU22" s="559"/>
      <c r="EQV22" s="559"/>
      <c r="EQW22" s="559"/>
      <c r="EQX22" s="559"/>
      <c r="EQY22" s="559"/>
      <c r="EQZ22" s="559"/>
      <c r="ERA22" s="559"/>
      <c r="ERB22" s="559"/>
      <c r="ERC22" s="559"/>
      <c r="ERD22" s="559"/>
      <c r="ERE22" s="559"/>
      <c r="ERF22" s="559"/>
      <c r="ERG22" s="559"/>
      <c r="ERH22" s="559"/>
      <c r="ERI22" s="559"/>
      <c r="ERJ22" s="559"/>
      <c r="ERK22" s="559"/>
      <c r="ERL22" s="559"/>
      <c r="ERM22" s="559"/>
      <c r="ERN22" s="559"/>
      <c r="ERO22" s="559"/>
      <c r="ERP22" s="559"/>
      <c r="ERQ22" s="559"/>
      <c r="ERR22" s="559"/>
      <c r="ERS22" s="559"/>
      <c r="ERT22" s="559"/>
      <c r="ERU22" s="559"/>
      <c r="ERV22" s="559"/>
      <c r="ERW22" s="559"/>
      <c r="ERX22" s="559"/>
      <c r="ERY22" s="559"/>
      <c r="ERZ22" s="559"/>
      <c r="ESA22" s="559"/>
      <c r="ESB22" s="559"/>
      <c r="ESC22" s="559"/>
      <c r="ESD22" s="559"/>
      <c r="ESE22" s="559"/>
      <c r="ESF22" s="559"/>
      <c r="ESG22" s="559"/>
      <c r="ESH22" s="559"/>
      <c r="ESI22" s="559"/>
      <c r="ESJ22" s="559"/>
      <c r="ESK22" s="559"/>
      <c r="ESL22" s="559"/>
      <c r="ESM22" s="559"/>
      <c r="ESN22" s="559"/>
      <c r="ESO22" s="559"/>
      <c r="ESP22" s="559"/>
      <c r="ESQ22" s="559"/>
      <c r="ESR22" s="559"/>
      <c r="ESS22" s="559"/>
      <c r="EST22" s="559"/>
      <c r="ESU22" s="559"/>
      <c r="ESV22" s="559"/>
      <c r="ESW22" s="559"/>
      <c r="ESX22" s="559"/>
      <c r="ESY22" s="559"/>
      <c r="ESZ22" s="559"/>
      <c r="ETA22" s="559"/>
      <c r="ETB22" s="559"/>
      <c r="ETC22" s="559"/>
      <c r="ETD22" s="559"/>
      <c r="ETE22" s="559"/>
      <c r="ETF22" s="559"/>
      <c r="ETG22" s="559"/>
      <c r="ETH22" s="559"/>
      <c r="ETI22" s="559"/>
      <c r="ETJ22" s="559"/>
      <c r="ETK22" s="559"/>
      <c r="ETL22" s="559"/>
      <c r="ETM22" s="559"/>
      <c r="ETN22" s="559"/>
      <c r="ETO22" s="559"/>
      <c r="ETP22" s="559"/>
      <c r="ETQ22" s="559"/>
      <c r="ETR22" s="559"/>
      <c r="ETS22" s="559"/>
      <c r="ETT22" s="559"/>
      <c r="ETU22" s="559"/>
      <c r="ETV22" s="559"/>
      <c r="ETW22" s="559"/>
      <c r="ETX22" s="559"/>
      <c r="ETY22" s="559"/>
      <c r="ETZ22" s="559"/>
      <c r="EUA22" s="559"/>
      <c r="EUB22" s="559"/>
      <c r="EUC22" s="559"/>
      <c r="EUD22" s="559"/>
      <c r="EUE22" s="559"/>
      <c r="EUF22" s="559"/>
      <c r="EUG22" s="559"/>
      <c r="EUH22" s="559"/>
      <c r="EUI22" s="559"/>
      <c r="EUJ22" s="559"/>
      <c r="EUK22" s="559"/>
      <c r="EUL22" s="559"/>
      <c r="EUM22" s="559"/>
      <c r="EUN22" s="559"/>
      <c r="EUO22" s="559"/>
      <c r="EUP22" s="559"/>
      <c r="EUQ22" s="559"/>
      <c r="EUR22" s="559"/>
      <c r="EUS22" s="559"/>
      <c r="EUT22" s="559"/>
      <c r="EUU22" s="559"/>
      <c r="EUV22" s="559"/>
      <c r="EUW22" s="559"/>
      <c r="EUX22" s="559"/>
      <c r="EUY22" s="559"/>
      <c r="EUZ22" s="559"/>
      <c r="EVA22" s="559"/>
      <c r="EVB22" s="559"/>
      <c r="EVC22" s="559"/>
      <c r="EVD22" s="559"/>
      <c r="EVE22" s="559"/>
      <c r="EVF22" s="559"/>
      <c r="EVG22" s="559"/>
      <c r="EVH22" s="559"/>
      <c r="EVI22" s="559"/>
      <c r="EVJ22" s="559"/>
      <c r="EVK22" s="559"/>
      <c r="EVL22" s="559"/>
      <c r="EVM22" s="559"/>
      <c r="EVN22" s="559"/>
      <c r="EVO22" s="559"/>
      <c r="EVP22" s="559"/>
      <c r="EVQ22" s="559"/>
      <c r="EVR22" s="559"/>
      <c r="EVS22" s="559"/>
      <c r="EVT22" s="559"/>
      <c r="EVU22" s="559"/>
      <c r="EVV22" s="559"/>
      <c r="EVW22" s="559"/>
      <c r="EVX22" s="559"/>
      <c r="EVY22" s="559"/>
      <c r="EVZ22" s="559"/>
      <c r="EWA22" s="559"/>
      <c r="EWB22" s="559"/>
      <c r="EWC22" s="559"/>
      <c r="EWD22" s="559"/>
      <c r="EWE22" s="559"/>
      <c r="EWF22" s="559"/>
      <c r="EWG22" s="559"/>
      <c r="EWH22" s="559"/>
      <c r="EWI22" s="559"/>
      <c r="EWJ22" s="559"/>
      <c r="EWK22" s="559"/>
      <c r="EWL22" s="559"/>
      <c r="EWM22" s="559"/>
      <c r="EWN22" s="559"/>
      <c r="EWO22" s="559"/>
      <c r="EWP22" s="559"/>
      <c r="EWQ22" s="559"/>
      <c r="EWR22" s="559"/>
      <c r="EWS22" s="559"/>
      <c r="EWT22" s="559"/>
      <c r="EWU22" s="559"/>
      <c r="EWV22" s="559"/>
      <c r="EWW22" s="559"/>
      <c r="EWX22" s="559"/>
      <c r="EWY22" s="559"/>
      <c r="EWZ22" s="559"/>
      <c r="EXA22" s="559"/>
      <c r="EXB22" s="559"/>
      <c r="EXC22" s="559"/>
      <c r="EXD22" s="559"/>
      <c r="EXE22" s="559"/>
      <c r="EXF22" s="559"/>
      <c r="EXG22" s="559"/>
      <c r="EXH22" s="559"/>
      <c r="EXI22" s="559"/>
      <c r="EXJ22" s="559"/>
      <c r="EXK22" s="559"/>
      <c r="EXL22" s="559"/>
      <c r="EXM22" s="559"/>
      <c r="EXN22" s="559"/>
      <c r="EXO22" s="559"/>
      <c r="EXP22" s="559"/>
      <c r="EXQ22" s="559"/>
      <c r="EXR22" s="559"/>
      <c r="EXS22" s="559"/>
      <c r="EXT22" s="559"/>
      <c r="EXU22" s="559"/>
      <c r="EXV22" s="559"/>
      <c r="EXW22" s="559"/>
      <c r="EXX22" s="559"/>
      <c r="EXY22" s="559"/>
      <c r="EXZ22" s="559"/>
      <c r="EYA22" s="559"/>
      <c r="EYB22" s="559"/>
      <c r="EYC22" s="559"/>
      <c r="EYD22" s="559"/>
      <c r="EYE22" s="559"/>
      <c r="EYF22" s="559"/>
      <c r="EYG22" s="559"/>
      <c r="EYH22" s="559"/>
      <c r="EYI22" s="559"/>
      <c r="EYJ22" s="559"/>
      <c r="EYK22" s="559"/>
      <c r="EYL22" s="559"/>
      <c r="EYM22" s="559"/>
      <c r="EYN22" s="559"/>
      <c r="EYO22" s="559"/>
      <c r="EYP22" s="559"/>
      <c r="EYQ22" s="559"/>
      <c r="EYR22" s="559"/>
      <c r="EYS22" s="559"/>
      <c r="EYT22" s="559"/>
      <c r="EYU22" s="559"/>
      <c r="EYV22" s="559"/>
      <c r="EYW22" s="559"/>
      <c r="EYX22" s="559"/>
      <c r="EYY22" s="559"/>
      <c r="EYZ22" s="559"/>
      <c r="EZA22" s="559"/>
      <c r="EZB22" s="559"/>
      <c r="EZC22" s="559"/>
      <c r="EZD22" s="559"/>
      <c r="EZE22" s="559"/>
      <c r="EZF22" s="559"/>
      <c r="EZG22" s="559"/>
      <c r="EZH22" s="559"/>
      <c r="EZI22" s="559"/>
      <c r="EZJ22" s="559"/>
      <c r="EZK22" s="559"/>
      <c r="EZL22" s="559"/>
      <c r="EZM22" s="559"/>
      <c r="EZN22" s="559"/>
      <c r="EZO22" s="559"/>
      <c r="EZP22" s="559"/>
      <c r="EZQ22" s="559"/>
      <c r="EZR22" s="559"/>
      <c r="EZS22" s="559"/>
      <c r="EZT22" s="559"/>
      <c r="EZU22" s="559"/>
      <c r="EZV22" s="559"/>
      <c r="EZW22" s="559"/>
      <c r="EZX22" s="559"/>
      <c r="EZY22" s="559"/>
      <c r="EZZ22" s="559"/>
      <c r="FAA22" s="559"/>
      <c r="FAB22" s="559"/>
      <c r="FAC22" s="559"/>
      <c r="FAD22" s="559"/>
      <c r="FAE22" s="559"/>
      <c r="FAF22" s="559"/>
      <c r="FAG22" s="559"/>
      <c r="FAH22" s="559"/>
      <c r="FAI22" s="559"/>
      <c r="FAJ22" s="559"/>
      <c r="FAK22" s="559"/>
      <c r="FAL22" s="559"/>
      <c r="FAM22" s="559"/>
      <c r="FAN22" s="559"/>
      <c r="FAO22" s="559"/>
      <c r="FAP22" s="559"/>
      <c r="FAQ22" s="559"/>
      <c r="FAR22" s="559"/>
      <c r="FAS22" s="559"/>
      <c r="FAT22" s="559"/>
      <c r="FAU22" s="559"/>
      <c r="FAV22" s="559"/>
      <c r="FAW22" s="559"/>
      <c r="FAX22" s="559"/>
      <c r="FAY22" s="559"/>
      <c r="FAZ22" s="559"/>
      <c r="FBA22" s="559"/>
      <c r="FBB22" s="559"/>
      <c r="FBC22" s="559"/>
      <c r="FBD22" s="559"/>
      <c r="FBE22" s="559"/>
      <c r="FBF22" s="559"/>
      <c r="FBG22" s="559"/>
      <c r="FBH22" s="559"/>
      <c r="FBI22" s="559"/>
      <c r="FBJ22" s="559"/>
      <c r="FBK22" s="559"/>
      <c r="FBL22" s="559"/>
      <c r="FBM22" s="559"/>
      <c r="FBN22" s="559"/>
      <c r="FBO22" s="559"/>
      <c r="FBP22" s="559"/>
      <c r="FBQ22" s="559"/>
      <c r="FBR22" s="559"/>
      <c r="FBS22" s="559"/>
      <c r="FBT22" s="559"/>
      <c r="FBU22" s="559"/>
      <c r="FBV22" s="559"/>
      <c r="FBW22" s="559"/>
      <c r="FBX22" s="559"/>
      <c r="FBY22" s="559"/>
      <c r="FBZ22" s="559"/>
      <c r="FCA22" s="559"/>
      <c r="FCB22" s="559"/>
      <c r="FCC22" s="559"/>
      <c r="FCD22" s="559"/>
      <c r="FCE22" s="559"/>
      <c r="FCF22" s="559"/>
      <c r="FCG22" s="559"/>
      <c r="FCH22" s="559"/>
      <c r="FCI22" s="559"/>
      <c r="FCJ22" s="559"/>
      <c r="FCK22" s="559"/>
      <c r="FCL22" s="559"/>
      <c r="FCM22" s="559"/>
      <c r="FCN22" s="559"/>
      <c r="FCO22" s="559"/>
      <c r="FCP22" s="559"/>
      <c r="FCQ22" s="559"/>
      <c r="FCR22" s="559"/>
      <c r="FCS22" s="559"/>
      <c r="FCT22" s="559"/>
      <c r="FCU22" s="559"/>
      <c r="FCV22" s="559"/>
      <c r="FCW22" s="559"/>
      <c r="FCX22" s="559"/>
      <c r="FCY22" s="559"/>
      <c r="FCZ22" s="559"/>
      <c r="FDA22" s="559"/>
      <c r="FDB22" s="559"/>
      <c r="FDC22" s="559"/>
      <c r="FDD22" s="559"/>
      <c r="FDE22" s="559"/>
      <c r="FDF22" s="559"/>
      <c r="FDG22" s="559"/>
      <c r="FDH22" s="559"/>
      <c r="FDI22" s="559"/>
      <c r="FDJ22" s="559"/>
      <c r="FDK22" s="559"/>
      <c r="FDL22" s="559"/>
      <c r="FDM22" s="559"/>
      <c r="FDN22" s="559"/>
      <c r="FDO22" s="559"/>
      <c r="FDP22" s="559"/>
      <c r="FDQ22" s="559"/>
      <c r="FDR22" s="559"/>
      <c r="FDS22" s="559"/>
      <c r="FDT22" s="559"/>
      <c r="FDU22" s="559"/>
      <c r="FDV22" s="559"/>
      <c r="FDW22" s="559"/>
      <c r="FDX22" s="559"/>
      <c r="FDY22" s="559"/>
      <c r="FDZ22" s="559"/>
      <c r="FEA22" s="559"/>
      <c r="FEB22" s="559"/>
      <c r="FEC22" s="559"/>
      <c r="FED22" s="559"/>
      <c r="FEE22" s="559"/>
      <c r="FEF22" s="559"/>
      <c r="FEG22" s="559"/>
      <c r="FEH22" s="559"/>
      <c r="FEI22" s="559"/>
      <c r="FEJ22" s="559"/>
      <c r="FEK22" s="559"/>
      <c r="FEL22" s="559"/>
      <c r="FEM22" s="559"/>
      <c r="FEN22" s="559"/>
      <c r="FEO22" s="559"/>
      <c r="FEP22" s="559"/>
      <c r="FEQ22" s="559"/>
      <c r="FER22" s="559"/>
      <c r="FES22" s="559"/>
      <c r="FET22" s="559"/>
      <c r="FEU22" s="559"/>
      <c r="FEV22" s="559"/>
      <c r="FEW22" s="559"/>
      <c r="FEX22" s="559"/>
      <c r="FEY22" s="559"/>
      <c r="FEZ22" s="559"/>
      <c r="FFA22" s="559"/>
      <c r="FFB22" s="559"/>
      <c r="FFC22" s="559"/>
      <c r="FFD22" s="559"/>
      <c r="FFE22" s="559"/>
      <c r="FFF22" s="559"/>
      <c r="FFG22" s="559"/>
      <c r="FFH22" s="559"/>
      <c r="FFI22" s="559"/>
      <c r="FFJ22" s="559"/>
      <c r="FFK22" s="559"/>
      <c r="FFL22" s="559"/>
      <c r="FFM22" s="559"/>
      <c r="FFN22" s="559"/>
      <c r="FFO22" s="559"/>
      <c r="FFP22" s="559"/>
      <c r="FFQ22" s="559"/>
      <c r="FFR22" s="559"/>
      <c r="FFS22" s="559"/>
      <c r="FFT22" s="559"/>
      <c r="FFU22" s="559"/>
      <c r="FFV22" s="559"/>
      <c r="FFW22" s="559"/>
      <c r="FFX22" s="559"/>
      <c r="FFY22" s="559"/>
      <c r="FFZ22" s="559"/>
      <c r="FGA22" s="559"/>
      <c r="FGB22" s="559"/>
      <c r="FGC22" s="559"/>
      <c r="FGD22" s="559"/>
      <c r="FGE22" s="559"/>
      <c r="FGF22" s="559"/>
      <c r="FGG22" s="559"/>
      <c r="FGH22" s="559"/>
      <c r="FGI22" s="559"/>
      <c r="FGJ22" s="559"/>
      <c r="FGK22" s="559"/>
      <c r="FGL22" s="559"/>
      <c r="FGM22" s="559"/>
      <c r="FGN22" s="559"/>
      <c r="FGO22" s="559"/>
      <c r="FGP22" s="559"/>
      <c r="FGQ22" s="559"/>
      <c r="FGR22" s="559"/>
      <c r="FGS22" s="559"/>
      <c r="FGT22" s="559"/>
      <c r="FGU22" s="559"/>
      <c r="FGV22" s="559"/>
      <c r="FGW22" s="559"/>
      <c r="FGX22" s="559"/>
      <c r="FGY22" s="559"/>
      <c r="FGZ22" s="559"/>
      <c r="FHA22" s="559"/>
      <c r="FHB22" s="559"/>
      <c r="FHC22" s="559"/>
      <c r="FHD22" s="559"/>
      <c r="FHE22" s="559"/>
      <c r="FHF22" s="559"/>
      <c r="FHG22" s="559"/>
      <c r="FHH22" s="559"/>
      <c r="FHI22" s="559"/>
      <c r="FHJ22" s="559"/>
      <c r="FHK22" s="559"/>
      <c r="FHL22" s="559"/>
      <c r="FHM22" s="559"/>
      <c r="FHN22" s="559"/>
      <c r="FHO22" s="559"/>
      <c r="FHP22" s="559"/>
      <c r="FHQ22" s="559"/>
      <c r="FHR22" s="559"/>
      <c r="FHS22" s="559"/>
      <c r="FHT22" s="559"/>
      <c r="FHU22" s="559"/>
      <c r="FHV22" s="559"/>
      <c r="FHW22" s="559"/>
      <c r="FHX22" s="559"/>
      <c r="FHY22" s="559"/>
      <c r="FHZ22" s="559"/>
      <c r="FIA22" s="559"/>
      <c r="FIB22" s="559"/>
      <c r="FIC22" s="559"/>
      <c r="FID22" s="559"/>
      <c r="FIE22" s="559"/>
      <c r="FIF22" s="559"/>
      <c r="FIG22" s="559"/>
      <c r="FIH22" s="559"/>
      <c r="FII22" s="559"/>
      <c r="FIJ22" s="559"/>
      <c r="FIK22" s="559"/>
      <c r="FIL22" s="559"/>
      <c r="FIM22" s="559"/>
      <c r="FIN22" s="559"/>
      <c r="FIO22" s="559"/>
      <c r="FIP22" s="559"/>
      <c r="FIQ22" s="559"/>
      <c r="FIR22" s="559"/>
      <c r="FIS22" s="559"/>
      <c r="FIT22" s="559"/>
      <c r="FIU22" s="559"/>
      <c r="FIV22" s="559"/>
      <c r="FIW22" s="559"/>
      <c r="FIX22" s="559"/>
      <c r="FIY22" s="559"/>
      <c r="FIZ22" s="559"/>
      <c r="FJA22" s="559"/>
      <c r="FJB22" s="559"/>
      <c r="FJC22" s="559"/>
      <c r="FJD22" s="559"/>
      <c r="FJE22" s="559"/>
      <c r="FJF22" s="559"/>
      <c r="FJG22" s="559"/>
      <c r="FJH22" s="559"/>
      <c r="FJI22" s="559"/>
      <c r="FJJ22" s="559"/>
      <c r="FJK22" s="559"/>
      <c r="FJL22" s="559"/>
      <c r="FJM22" s="559"/>
      <c r="FJN22" s="559"/>
      <c r="FJO22" s="559"/>
      <c r="FJP22" s="559"/>
      <c r="FJQ22" s="559"/>
      <c r="FJR22" s="559"/>
      <c r="FJS22" s="559"/>
      <c r="FJT22" s="559"/>
      <c r="FJU22" s="559"/>
      <c r="FJV22" s="559"/>
      <c r="FJW22" s="559"/>
      <c r="FJX22" s="559"/>
      <c r="FJY22" s="559"/>
      <c r="FJZ22" s="559"/>
      <c r="FKA22" s="559"/>
      <c r="FKB22" s="559"/>
      <c r="FKC22" s="559"/>
      <c r="FKD22" s="559"/>
      <c r="FKE22" s="559"/>
      <c r="FKF22" s="559"/>
      <c r="FKG22" s="559"/>
      <c r="FKH22" s="559"/>
      <c r="FKI22" s="559"/>
      <c r="FKJ22" s="559"/>
      <c r="FKK22" s="559"/>
      <c r="FKL22" s="559"/>
      <c r="FKM22" s="559"/>
      <c r="FKN22" s="559"/>
      <c r="FKO22" s="559"/>
      <c r="FKP22" s="559"/>
      <c r="FKQ22" s="559"/>
      <c r="FKR22" s="559"/>
      <c r="FKS22" s="559"/>
      <c r="FKT22" s="559"/>
      <c r="FKU22" s="559"/>
      <c r="FKV22" s="559"/>
      <c r="FKW22" s="559"/>
      <c r="FKX22" s="559"/>
      <c r="FKY22" s="559"/>
      <c r="FKZ22" s="559"/>
      <c r="FLA22" s="559"/>
      <c r="FLB22" s="559"/>
      <c r="FLC22" s="559"/>
      <c r="FLD22" s="559"/>
      <c r="FLE22" s="559"/>
      <c r="FLF22" s="559"/>
      <c r="FLG22" s="559"/>
      <c r="FLH22" s="559"/>
      <c r="FLI22" s="559"/>
      <c r="FLJ22" s="559"/>
      <c r="FLK22" s="559"/>
      <c r="FLL22" s="559"/>
      <c r="FLM22" s="559"/>
      <c r="FLN22" s="559"/>
      <c r="FLO22" s="559"/>
      <c r="FLP22" s="559"/>
      <c r="FLQ22" s="559"/>
      <c r="FLR22" s="559"/>
      <c r="FLS22" s="559"/>
      <c r="FLT22" s="559"/>
      <c r="FLU22" s="559"/>
      <c r="FLV22" s="559"/>
      <c r="FLW22" s="559"/>
      <c r="FLX22" s="559"/>
      <c r="FLY22" s="559"/>
      <c r="FLZ22" s="559"/>
      <c r="FMA22" s="559"/>
      <c r="FMB22" s="559"/>
      <c r="FMC22" s="559"/>
      <c r="FMD22" s="559"/>
      <c r="FME22" s="559"/>
      <c r="FMF22" s="559"/>
      <c r="FMG22" s="559"/>
      <c r="FMH22" s="559"/>
      <c r="FMI22" s="559"/>
      <c r="FMJ22" s="559"/>
      <c r="FMK22" s="559"/>
      <c r="FML22" s="559"/>
      <c r="FMM22" s="559"/>
      <c r="FMN22" s="559"/>
      <c r="FMO22" s="559"/>
      <c r="FMP22" s="559"/>
      <c r="FMQ22" s="559"/>
      <c r="FMR22" s="559"/>
      <c r="FMS22" s="559"/>
      <c r="FMT22" s="559"/>
      <c r="FMU22" s="559"/>
      <c r="FMV22" s="559"/>
      <c r="FMW22" s="559"/>
      <c r="FMX22" s="559"/>
      <c r="FMY22" s="559"/>
      <c r="FMZ22" s="559"/>
      <c r="FNA22" s="559"/>
      <c r="FNB22" s="559"/>
      <c r="FNC22" s="559"/>
      <c r="FND22" s="559"/>
      <c r="FNE22" s="559"/>
      <c r="FNF22" s="559"/>
      <c r="FNG22" s="559"/>
      <c r="FNH22" s="559"/>
      <c r="FNI22" s="559"/>
      <c r="FNJ22" s="559"/>
      <c r="FNK22" s="559"/>
      <c r="FNL22" s="559"/>
      <c r="FNM22" s="559"/>
      <c r="FNN22" s="559"/>
      <c r="FNO22" s="559"/>
      <c r="FNP22" s="559"/>
      <c r="FNQ22" s="559"/>
      <c r="FNR22" s="559"/>
      <c r="FNS22" s="559"/>
      <c r="FNT22" s="559"/>
      <c r="FNU22" s="559"/>
      <c r="FNV22" s="559"/>
      <c r="FNW22" s="559"/>
      <c r="FNX22" s="559"/>
      <c r="FNY22" s="559"/>
      <c r="FNZ22" s="559"/>
      <c r="FOA22" s="559"/>
      <c r="FOB22" s="559"/>
      <c r="FOC22" s="559"/>
      <c r="FOD22" s="559"/>
      <c r="FOE22" s="559"/>
      <c r="FOF22" s="559"/>
      <c r="FOG22" s="559"/>
      <c r="FOH22" s="559"/>
      <c r="FOI22" s="559"/>
      <c r="FOJ22" s="559"/>
      <c r="FOK22" s="559"/>
      <c r="FOL22" s="559"/>
      <c r="FOM22" s="559"/>
      <c r="FON22" s="559"/>
      <c r="FOO22" s="559"/>
      <c r="FOP22" s="559"/>
      <c r="FOQ22" s="559"/>
      <c r="FOR22" s="559"/>
      <c r="FOS22" s="559"/>
      <c r="FOT22" s="559"/>
      <c r="FOU22" s="559"/>
      <c r="FOV22" s="559"/>
      <c r="FOW22" s="559"/>
      <c r="FOX22" s="559"/>
      <c r="FOY22" s="559"/>
      <c r="FOZ22" s="559"/>
      <c r="FPA22" s="559"/>
      <c r="FPB22" s="559"/>
      <c r="FPC22" s="559"/>
      <c r="FPD22" s="559"/>
      <c r="FPE22" s="559"/>
      <c r="FPF22" s="559"/>
      <c r="FPG22" s="559"/>
      <c r="FPH22" s="559"/>
      <c r="FPI22" s="559"/>
      <c r="FPJ22" s="559"/>
      <c r="FPK22" s="559"/>
      <c r="FPL22" s="559"/>
      <c r="FPM22" s="559"/>
      <c r="FPN22" s="559"/>
      <c r="FPO22" s="559"/>
      <c r="FPP22" s="559"/>
      <c r="FPQ22" s="559"/>
      <c r="FPR22" s="559"/>
      <c r="FPS22" s="559"/>
      <c r="FPT22" s="559"/>
      <c r="FPU22" s="559"/>
      <c r="FPV22" s="559"/>
      <c r="FPW22" s="559"/>
      <c r="FPX22" s="559"/>
      <c r="FPY22" s="559"/>
      <c r="FPZ22" s="559"/>
      <c r="FQA22" s="559"/>
      <c r="FQB22" s="559"/>
      <c r="FQC22" s="559"/>
      <c r="FQD22" s="559"/>
      <c r="FQE22" s="559"/>
      <c r="FQF22" s="559"/>
      <c r="FQG22" s="559"/>
      <c r="FQH22" s="559"/>
      <c r="FQI22" s="559"/>
      <c r="FQJ22" s="559"/>
      <c r="FQK22" s="559"/>
      <c r="FQL22" s="559"/>
      <c r="FQM22" s="559"/>
      <c r="FQN22" s="559"/>
      <c r="FQO22" s="559"/>
      <c r="FQP22" s="559"/>
      <c r="FQQ22" s="559"/>
      <c r="FQR22" s="559"/>
      <c r="FQS22" s="559"/>
      <c r="FQT22" s="559"/>
      <c r="FQU22" s="559"/>
      <c r="FQV22" s="559"/>
      <c r="FQW22" s="559"/>
      <c r="FQX22" s="559"/>
      <c r="FQY22" s="559"/>
      <c r="FQZ22" s="559"/>
      <c r="FRA22" s="559"/>
      <c r="FRB22" s="559"/>
      <c r="FRC22" s="559"/>
      <c r="FRD22" s="559"/>
      <c r="FRE22" s="559"/>
      <c r="FRF22" s="559"/>
      <c r="FRG22" s="559"/>
      <c r="FRH22" s="559"/>
      <c r="FRI22" s="559"/>
      <c r="FRJ22" s="559"/>
      <c r="FRK22" s="559"/>
      <c r="FRL22" s="559"/>
      <c r="FRM22" s="559"/>
      <c r="FRN22" s="559"/>
      <c r="FRO22" s="559"/>
      <c r="FRP22" s="559"/>
      <c r="FRQ22" s="559"/>
      <c r="FRR22" s="559"/>
      <c r="FRS22" s="559"/>
      <c r="FRT22" s="559"/>
      <c r="FRU22" s="559"/>
      <c r="FRV22" s="559"/>
      <c r="FRW22" s="559"/>
      <c r="FRX22" s="559"/>
      <c r="FRY22" s="559"/>
      <c r="FRZ22" s="559"/>
      <c r="FSA22" s="559"/>
      <c r="FSB22" s="559"/>
      <c r="FSC22" s="559"/>
      <c r="FSD22" s="559"/>
      <c r="FSE22" s="559"/>
      <c r="FSF22" s="559"/>
      <c r="FSG22" s="559"/>
      <c r="FSH22" s="559"/>
      <c r="FSI22" s="559"/>
      <c r="FSJ22" s="559"/>
      <c r="FSK22" s="559"/>
      <c r="FSL22" s="559"/>
      <c r="FSM22" s="559"/>
      <c r="FSN22" s="559"/>
      <c r="FSO22" s="559"/>
      <c r="FSP22" s="559"/>
      <c r="FSQ22" s="559"/>
      <c r="FSR22" s="559"/>
      <c r="FSS22" s="559"/>
      <c r="FST22" s="559"/>
      <c r="FSU22" s="559"/>
      <c r="FSV22" s="559"/>
      <c r="FSW22" s="559"/>
      <c r="FSX22" s="559"/>
      <c r="FSY22" s="559"/>
      <c r="FSZ22" s="559"/>
      <c r="FTA22" s="559"/>
      <c r="FTB22" s="559"/>
      <c r="FTC22" s="559"/>
      <c r="FTD22" s="559"/>
      <c r="FTE22" s="559"/>
      <c r="FTF22" s="559"/>
      <c r="FTG22" s="559"/>
      <c r="FTH22" s="559"/>
      <c r="FTI22" s="559"/>
      <c r="FTJ22" s="559"/>
      <c r="FTK22" s="559"/>
      <c r="FTL22" s="559"/>
      <c r="FTM22" s="559"/>
      <c r="FTN22" s="559"/>
      <c r="FTO22" s="559"/>
      <c r="FTP22" s="559"/>
      <c r="FTQ22" s="559"/>
      <c r="FTR22" s="559"/>
      <c r="FTS22" s="559"/>
      <c r="FTT22" s="559"/>
      <c r="FTU22" s="559"/>
      <c r="FTV22" s="559"/>
      <c r="FTW22" s="559"/>
      <c r="FTX22" s="559"/>
      <c r="FTY22" s="559"/>
      <c r="FTZ22" s="559"/>
      <c r="FUA22" s="559"/>
      <c r="FUB22" s="559"/>
      <c r="FUC22" s="559"/>
      <c r="FUD22" s="559"/>
      <c r="FUE22" s="559"/>
      <c r="FUF22" s="559"/>
      <c r="FUG22" s="559"/>
      <c r="FUH22" s="559"/>
      <c r="FUI22" s="559"/>
      <c r="FUJ22" s="559"/>
      <c r="FUK22" s="559"/>
      <c r="FUL22" s="559"/>
      <c r="FUM22" s="559"/>
      <c r="FUN22" s="559"/>
      <c r="FUO22" s="559"/>
      <c r="FUP22" s="559"/>
      <c r="FUQ22" s="559"/>
      <c r="FUR22" s="559"/>
      <c r="FUS22" s="559"/>
      <c r="FUT22" s="559"/>
      <c r="FUU22" s="559"/>
      <c r="FUV22" s="559"/>
      <c r="FUW22" s="559"/>
      <c r="FUX22" s="559"/>
      <c r="FUY22" s="559"/>
      <c r="FUZ22" s="559"/>
      <c r="FVA22" s="559"/>
      <c r="FVB22" s="559"/>
      <c r="FVC22" s="559"/>
      <c r="FVD22" s="559"/>
      <c r="FVE22" s="559"/>
      <c r="FVF22" s="559"/>
      <c r="FVG22" s="559"/>
      <c r="FVH22" s="559"/>
      <c r="FVI22" s="559"/>
      <c r="FVJ22" s="559"/>
      <c r="FVK22" s="559"/>
      <c r="FVL22" s="559"/>
      <c r="FVM22" s="559"/>
      <c r="FVN22" s="559"/>
      <c r="FVO22" s="559"/>
      <c r="FVP22" s="559"/>
      <c r="FVQ22" s="559"/>
      <c r="FVR22" s="559"/>
      <c r="FVS22" s="559"/>
      <c r="FVT22" s="559"/>
      <c r="FVU22" s="559"/>
      <c r="FVV22" s="559"/>
      <c r="FVW22" s="559"/>
      <c r="FVX22" s="559"/>
      <c r="FVY22" s="559"/>
      <c r="FVZ22" s="559"/>
      <c r="FWA22" s="559"/>
      <c r="FWB22" s="559"/>
      <c r="FWC22" s="559"/>
      <c r="FWD22" s="559"/>
      <c r="FWE22" s="559"/>
      <c r="FWF22" s="559"/>
      <c r="FWG22" s="559"/>
      <c r="FWH22" s="559"/>
      <c r="FWI22" s="559"/>
      <c r="FWJ22" s="559"/>
      <c r="FWK22" s="559"/>
      <c r="FWL22" s="559"/>
      <c r="FWM22" s="559"/>
      <c r="FWN22" s="559"/>
      <c r="FWO22" s="559"/>
      <c r="FWP22" s="559"/>
      <c r="FWQ22" s="559"/>
      <c r="FWR22" s="559"/>
      <c r="FWS22" s="559"/>
      <c r="FWT22" s="559"/>
      <c r="FWU22" s="559"/>
      <c r="FWV22" s="559"/>
      <c r="FWW22" s="559"/>
      <c r="FWX22" s="559"/>
      <c r="FWY22" s="559"/>
      <c r="FWZ22" s="559"/>
      <c r="FXA22" s="559"/>
      <c r="FXB22" s="559"/>
      <c r="FXC22" s="559"/>
      <c r="FXD22" s="559"/>
      <c r="FXE22" s="559"/>
      <c r="FXF22" s="559"/>
      <c r="FXG22" s="559"/>
      <c r="FXH22" s="559"/>
      <c r="FXI22" s="559"/>
      <c r="FXJ22" s="559"/>
      <c r="FXK22" s="559"/>
      <c r="FXL22" s="559"/>
      <c r="FXM22" s="559"/>
      <c r="FXN22" s="559"/>
      <c r="FXO22" s="559"/>
      <c r="FXP22" s="559"/>
      <c r="FXQ22" s="559"/>
      <c r="FXR22" s="559"/>
      <c r="FXS22" s="559"/>
      <c r="FXT22" s="559"/>
      <c r="FXU22" s="559"/>
      <c r="FXV22" s="559"/>
      <c r="FXW22" s="559"/>
      <c r="FXX22" s="559"/>
      <c r="FXY22" s="559"/>
      <c r="FXZ22" s="559"/>
      <c r="FYA22" s="559"/>
      <c r="FYB22" s="559"/>
      <c r="FYC22" s="559"/>
      <c r="FYD22" s="559"/>
      <c r="FYE22" s="559"/>
      <c r="FYF22" s="559"/>
      <c r="FYG22" s="559"/>
      <c r="FYH22" s="559"/>
      <c r="FYI22" s="559"/>
      <c r="FYJ22" s="559"/>
      <c r="FYK22" s="559"/>
      <c r="FYL22" s="559"/>
      <c r="FYM22" s="559"/>
      <c r="FYN22" s="559"/>
      <c r="FYO22" s="559"/>
      <c r="FYP22" s="559"/>
      <c r="FYQ22" s="559"/>
      <c r="FYR22" s="559"/>
      <c r="FYS22" s="559"/>
      <c r="FYT22" s="559"/>
      <c r="FYU22" s="559"/>
      <c r="FYV22" s="559"/>
      <c r="FYW22" s="559"/>
      <c r="FYX22" s="559"/>
      <c r="FYY22" s="559"/>
      <c r="FYZ22" s="559"/>
      <c r="FZA22" s="559"/>
      <c r="FZB22" s="559"/>
      <c r="FZC22" s="559"/>
      <c r="FZD22" s="559"/>
      <c r="FZE22" s="559"/>
      <c r="FZF22" s="559"/>
      <c r="FZG22" s="559"/>
      <c r="FZH22" s="559"/>
      <c r="FZI22" s="559"/>
      <c r="FZJ22" s="559"/>
      <c r="FZK22" s="559"/>
      <c r="FZL22" s="559"/>
      <c r="FZM22" s="559"/>
      <c r="FZN22" s="559"/>
      <c r="FZO22" s="559"/>
      <c r="FZP22" s="559"/>
      <c r="FZQ22" s="559"/>
      <c r="FZR22" s="559"/>
      <c r="FZS22" s="559"/>
      <c r="FZT22" s="559"/>
      <c r="FZU22" s="559"/>
      <c r="FZV22" s="559"/>
      <c r="FZW22" s="559"/>
      <c r="FZX22" s="559"/>
      <c r="FZY22" s="559"/>
      <c r="FZZ22" s="559"/>
      <c r="GAA22" s="559"/>
      <c r="GAB22" s="559"/>
      <c r="GAC22" s="559"/>
      <c r="GAD22" s="559"/>
      <c r="GAE22" s="559"/>
      <c r="GAF22" s="559"/>
      <c r="GAG22" s="559"/>
      <c r="GAH22" s="559"/>
      <c r="GAI22" s="559"/>
      <c r="GAJ22" s="559"/>
      <c r="GAK22" s="559"/>
      <c r="GAL22" s="559"/>
      <c r="GAM22" s="559"/>
      <c r="GAN22" s="559"/>
      <c r="GAO22" s="559"/>
      <c r="GAP22" s="559"/>
      <c r="GAQ22" s="559"/>
      <c r="GAR22" s="559"/>
      <c r="GAS22" s="559"/>
      <c r="GAT22" s="559"/>
      <c r="GAU22" s="559"/>
      <c r="GAV22" s="559"/>
      <c r="GAW22" s="559"/>
      <c r="GAX22" s="559"/>
      <c r="GAY22" s="559"/>
      <c r="GAZ22" s="559"/>
      <c r="GBA22" s="559"/>
      <c r="GBB22" s="559"/>
      <c r="GBC22" s="559"/>
      <c r="GBD22" s="559"/>
      <c r="GBE22" s="559"/>
      <c r="GBF22" s="559"/>
      <c r="GBG22" s="559"/>
      <c r="GBH22" s="559"/>
      <c r="GBI22" s="559"/>
      <c r="GBJ22" s="559"/>
      <c r="GBK22" s="559"/>
      <c r="GBL22" s="559"/>
      <c r="GBM22" s="559"/>
      <c r="GBN22" s="559"/>
      <c r="GBO22" s="559"/>
      <c r="GBP22" s="559"/>
      <c r="GBQ22" s="559"/>
      <c r="GBR22" s="559"/>
      <c r="GBS22" s="559"/>
      <c r="GBT22" s="559"/>
      <c r="GBU22" s="559"/>
      <c r="GBV22" s="559"/>
      <c r="GBW22" s="559"/>
      <c r="GBX22" s="559"/>
      <c r="GBY22" s="559"/>
      <c r="GBZ22" s="559"/>
      <c r="GCA22" s="559"/>
      <c r="GCB22" s="559"/>
      <c r="GCC22" s="559"/>
      <c r="GCD22" s="559"/>
      <c r="GCE22" s="559"/>
      <c r="GCF22" s="559"/>
      <c r="GCG22" s="559"/>
      <c r="GCH22" s="559"/>
      <c r="GCI22" s="559"/>
      <c r="GCJ22" s="559"/>
      <c r="GCK22" s="559"/>
      <c r="GCL22" s="559"/>
      <c r="GCM22" s="559"/>
      <c r="GCN22" s="559"/>
      <c r="GCO22" s="559"/>
      <c r="GCP22" s="559"/>
      <c r="GCQ22" s="559"/>
      <c r="GCR22" s="559"/>
      <c r="GCS22" s="559"/>
      <c r="GCT22" s="559"/>
      <c r="GCU22" s="559"/>
      <c r="GCV22" s="559"/>
      <c r="GCW22" s="559"/>
      <c r="GCX22" s="559"/>
      <c r="GCY22" s="559"/>
      <c r="GCZ22" s="559"/>
      <c r="GDA22" s="559"/>
      <c r="GDB22" s="559"/>
      <c r="GDC22" s="559"/>
      <c r="GDD22" s="559"/>
      <c r="GDE22" s="559"/>
      <c r="GDF22" s="559"/>
      <c r="GDG22" s="559"/>
      <c r="GDH22" s="559"/>
      <c r="GDI22" s="559"/>
      <c r="GDJ22" s="559"/>
      <c r="GDK22" s="559"/>
      <c r="GDL22" s="559"/>
      <c r="GDM22" s="559"/>
      <c r="GDN22" s="559"/>
      <c r="GDO22" s="559"/>
      <c r="GDP22" s="559"/>
      <c r="GDQ22" s="559"/>
      <c r="GDR22" s="559"/>
      <c r="GDS22" s="559"/>
      <c r="GDT22" s="559"/>
      <c r="GDU22" s="559"/>
      <c r="GDV22" s="559"/>
      <c r="GDW22" s="559"/>
      <c r="GDX22" s="559"/>
      <c r="GDY22" s="559"/>
      <c r="GDZ22" s="559"/>
      <c r="GEA22" s="559"/>
      <c r="GEB22" s="559"/>
      <c r="GEC22" s="559"/>
      <c r="GED22" s="559"/>
      <c r="GEE22" s="559"/>
      <c r="GEF22" s="559"/>
      <c r="GEG22" s="559"/>
      <c r="GEH22" s="559"/>
      <c r="GEI22" s="559"/>
      <c r="GEJ22" s="559"/>
      <c r="GEK22" s="559"/>
      <c r="GEL22" s="559"/>
      <c r="GEM22" s="559"/>
      <c r="GEN22" s="559"/>
      <c r="GEO22" s="559"/>
      <c r="GEP22" s="559"/>
      <c r="GEQ22" s="559"/>
      <c r="GER22" s="559"/>
      <c r="GES22" s="559"/>
      <c r="GET22" s="559"/>
      <c r="GEU22" s="559"/>
      <c r="GEV22" s="559"/>
      <c r="GEW22" s="559"/>
      <c r="GEX22" s="559"/>
      <c r="GEY22" s="559"/>
      <c r="GEZ22" s="559"/>
      <c r="GFA22" s="559"/>
      <c r="GFB22" s="559"/>
      <c r="GFC22" s="559"/>
      <c r="GFD22" s="559"/>
      <c r="GFE22" s="559"/>
      <c r="GFF22" s="559"/>
      <c r="GFG22" s="559"/>
      <c r="GFH22" s="559"/>
      <c r="GFI22" s="559"/>
      <c r="GFJ22" s="559"/>
      <c r="GFK22" s="559"/>
      <c r="GFL22" s="559"/>
      <c r="GFM22" s="559"/>
      <c r="GFN22" s="559"/>
      <c r="GFO22" s="559"/>
      <c r="GFP22" s="559"/>
      <c r="GFQ22" s="559"/>
      <c r="GFR22" s="559"/>
      <c r="GFS22" s="559"/>
      <c r="GFT22" s="559"/>
      <c r="GFU22" s="559"/>
      <c r="GFV22" s="559"/>
      <c r="GFW22" s="559"/>
      <c r="GFX22" s="559"/>
      <c r="GFY22" s="559"/>
      <c r="GFZ22" s="559"/>
      <c r="GGA22" s="559"/>
      <c r="GGB22" s="559"/>
      <c r="GGC22" s="559"/>
      <c r="GGD22" s="559"/>
      <c r="GGE22" s="559"/>
      <c r="GGF22" s="559"/>
      <c r="GGG22" s="559"/>
      <c r="GGH22" s="559"/>
      <c r="GGI22" s="559"/>
      <c r="GGJ22" s="559"/>
      <c r="GGK22" s="559"/>
      <c r="GGL22" s="559"/>
      <c r="GGM22" s="559"/>
      <c r="GGN22" s="559"/>
      <c r="GGO22" s="559"/>
      <c r="GGP22" s="559"/>
      <c r="GGQ22" s="559"/>
      <c r="GGR22" s="559"/>
      <c r="GGS22" s="559"/>
      <c r="GGT22" s="559"/>
      <c r="GGU22" s="559"/>
      <c r="GGV22" s="559"/>
      <c r="GGW22" s="559"/>
      <c r="GGX22" s="559"/>
      <c r="GGY22" s="559"/>
      <c r="GGZ22" s="559"/>
      <c r="GHA22" s="559"/>
      <c r="GHB22" s="559"/>
      <c r="GHC22" s="559"/>
      <c r="GHD22" s="559"/>
      <c r="GHE22" s="559"/>
      <c r="GHF22" s="559"/>
      <c r="GHG22" s="559"/>
      <c r="GHH22" s="559"/>
      <c r="GHI22" s="559"/>
      <c r="GHJ22" s="559"/>
      <c r="GHK22" s="559"/>
      <c r="GHL22" s="559"/>
      <c r="GHM22" s="559"/>
      <c r="GHN22" s="559"/>
      <c r="GHO22" s="559"/>
      <c r="GHP22" s="559"/>
      <c r="GHQ22" s="559"/>
      <c r="GHR22" s="559"/>
      <c r="GHS22" s="559"/>
      <c r="GHT22" s="559"/>
      <c r="GHU22" s="559"/>
      <c r="GHV22" s="559"/>
      <c r="GHW22" s="559"/>
      <c r="GHX22" s="559"/>
      <c r="GHY22" s="559"/>
      <c r="GHZ22" s="559"/>
      <c r="GIA22" s="559"/>
      <c r="GIB22" s="559"/>
      <c r="GIC22" s="559"/>
      <c r="GID22" s="559"/>
      <c r="GIE22" s="559"/>
      <c r="GIF22" s="559"/>
      <c r="GIG22" s="559"/>
      <c r="GIH22" s="559"/>
      <c r="GII22" s="559"/>
      <c r="GIJ22" s="559"/>
      <c r="GIK22" s="559"/>
      <c r="GIL22" s="559"/>
      <c r="GIM22" s="559"/>
      <c r="GIN22" s="559"/>
      <c r="GIO22" s="559"/>
      <c r="GIP22" s="559"/>
      <c r="GIQ22" s="559"/>
      <c r="GIR22" s="559"/>
      <c r="GIS22" s="559"/>
      <c r="GIT22" s="559"/>
      <c r="GIU22" s="559"/>
      <c r="GIV22" s="559"/>
      <c r="GIW22" s="559"/>
      <c r="GIX22" s="559"/>
      <c r="GIY22" s="559"/>
      <c r="GIZ22" s="559"/>
      <c r="GJA22" s="559"/>
      <c r="GJB22" s="559"/>
      <c r="GJC22" s="559"/>
      <c r="GJD22" s="559"/>
      <c r="GJE22" s="559"/>
      <c r="GJF22" s="559"/>
      <c r="GJG22" s="559"/>
      <c r="GJH22" s="559"/>
      <c r="GJI22" s="559"/>
      <c r="GJJ22" s="559"/>
      <c r="GJK22" s="559"/>
      <c r="GJL22" s="559"/>
      <c r="GJM22" s="559"/>
      <c r="GJN22" s="559"/>
      <c r="GJO22" s="559"/>
      <c r="GJP22" s="559"/>
      <c r="GJQ22" s="559"/>
      <c r="GJR22" s="559"/>
      <c r="GJS22" s="559"/>
      <c r="GJT22" s="559"/>
      <c r="GJU22" s="559"/>
      <c r="GJV22" s="559"/>
      <c r="GJW22" s="559"/>
      <c r="GJX22" s="559"/>
      <c r="GJY22" s="559"/>
      <c r="GJZ22" s="559"/>
      <c r="GKA22" s="559"/>
      <c r="GKB22" s="559"/>
      <c r="GKC22" s="559"/>
      <c r="GKD22" s="559"/>
      <c r="GKE22" s="559"/>
      <c r="GKF22" s="559"/>
      <c r="GKG22" s="559"/>
      <c r="GKH22" s="559"/>
      <c r="GKI22" s="559"/>
      <c r="GKJ22" s="559"/>
      <c r="GKK22" s="559"/>
      <c r="GKL22" s="559"/>
      <c r="GKM22" s="559"/>
      <c r="GKN22" s="559"/>
      <c r="GKO22" s="559"/>
      <c r="GKP22" s="559"/>
      <c r="GKQ22" s="559"/>
      <c r="GKR22" s="559"/>
      <c r="GKS22" s="559"/>
      <c r="GKT22" s="559"/>
      <c r="GKU22" s="559"/>
      <c r="GKV22" s="559"/>
      <c r="GKW22" s="559"/>
      <c r="GKX22" s="559"/>
      <c r="GKY22" s="559"/>
      <c r="GKZ22" s="559"/>
      <c r="GLA22" s="559"/>
      <c r="GLB22" s="559"/>
      <c r="GLC22" s="559"/>
      <c r="GLD22" s="559"/>
      <c r="GLE22" s="559"/>
      <c r="GLF22" s="559"/>
      <c r="GLG22" s="559"/>
      <c r="GLH22" s="559"/>
      <c r="GLI22" s="559"/>
      <c r="GLJ22" s="559"/>
      <c r="GLK22" s="559"/>
      <c r="GLL22" s="559"/>
      <c r="GLM22" s="559"/>
      <c r="GLN22" s="559"/>
      <c r="GLO22" s="559"/>
      <c r="GLP22" s="559"/>
      <c r="GLQ22" s="559"/>
      <c r="GLR22" s="559"/>
      <c r="GLS22" s="559"/>
      <c r="GLT22" s="559"/>
      <c r="GLU22" s="559"/>
      <c r="GLV22" s="559"/>
      <c r="GLW22" s="559"/>
      <c r="GLX22" s="559"/>
      <c r="GLY22" s="559"/>
      <c r="GLZ22" s="559"/>
      <c r="GMA22" s="559"/>
      <c r="GMB22" s="559"/>
      <c r="GMC22" s="559"/>
      <c r="GMD22" s="559"/>
      <c r="GME22" s="559"/>
      <c r="GMF22" s="559"/>
      <c r="GMG22" s="559"/>
      <c r="GMH22" s="559"/>
      <c r="GMI22" s="559"/>
      <c r="GMJ22" s="559"/>
      <c r="GMK22" s="559"/>
      <c r="GML22" s="559"/>
      <c r="GMM22" s="559"/>
      <c r="GMN22" s="559"/>
      <c r="GMO22" s="559"/>
      <c r="GMP22" s="559"/>
      <c r="GMQ22" s="559"/>
      <c r="GMR22" s="559"/>
      <c r="GMS22" s="559"/>
      <c r="GMT22" s="559"/>
      <c r="GMU22" s="559"/>
      <c r="GMV22" s="559"/>
      <c r="GMW22" s="559"/>
      <c r="GMX22" s="559"/>
      <c r="GMY22" s="559"/>
      <c r="GMZ22" s="559"/>
      <c r="GNA22" s="559"/>
      <c r="GNB22" s="559"/>
      <c r="GNC22" s="559"/>
      <c r="GND22" s="559"/>
      <c r="GNE22" s="559"/>
      <c r="GNF22" s="559"/>
      <c r="GNG22" s="559"/>
      <c r="GNH22" s="559"/>
      <c r="GNI22" s="559"/>
      <c r="GNJ22" s="559"/>
      <c r="GNK22" s="559"/>
      <c r="GNL22" s="559"/>
      <c r="GNM22" s="559"/>
      <c r="GNN22" s="559"/>
      <c r="GNO22" s="559"/>
      <c r="GNP22" s="559"/>
      <c r="GNQ22" s="559"/>
      <c r="GNR22" s="559"/>
      <c r="GNS22" s="559"/>
      <c r="GNT22" s="559"/>
      <c r="GNU22" s="559"/>
      <c r="GNV22" s="559"/>
      <c r="GNW22" s="559"/>
      <c r="GNX22" s="559"/>
      <c r="GNY22" s="559"/>
      <c r="GNZ22" s="559"/>
      <c r="GOA22" s="559"/>
      <c r="GOB22" s="559"/>
      <c r="GOC22" s="559"/>
      <c r="GOD22" s="559"/>
      <c r="GOE22" s="559"/>
      <c r="GOF22" s="559"/>
      <c r="GOG22" s="559"/>
      <c r="GOH22" s="559"/>
      <c r="GOI22" s="559"/>
      <c r="GOJ22" s="559"/>
      <c r="GOK22" s="559"/>
      <c r="GOL22" s="559"/>
      <c r="GOM22" s="559"/>
      <c r="GON22" s="559"/>
      <c r="GOO22" s="559"/>
      <c r="GOP22" s="559"/>
      <c r="GOQ22" s="559"/>
      <c r="GOR22" s="559"/>
      <c r="GOS22" s="559"/>
      <c r="GOT22" s="559"/>
      <c r="GOU22" s="559"/>
      <c r="GOV22" s="559"/>
      <c r="GOW22" s="559"/>
      <c r="GOX22" s="559"/>
      <c r="GOY22" s="559"/>
      <c r="GOZ22" s="559"/>
      <c r="GPA22" s="559"/>
      <c r="GPB22" s="559"/>
      <c r="GPC22" s="559"/>
      <c r="GPD22" s="559"/>
      <c r="GPE22" s="559"/>
      <c r="GPF22" s="559"/>
      <c r="GPG22" s="559"/>
      <c r="GPH22" s="559"/>
      <c r="GPI22" s="559"/>
      <c r="GPJ22" s="559"/>
      <c r="GPK22" s="559"/>
      <c r="GPL22" s="559"/>
      <c r="GPM22" s="559"/>
      <c r="GPN22" s="559"/>
      <c r="GPO22" s="559"/>
      <c r="GPP22" s="559"/>
      <c r="GPQ22" s="559"/>
      <c r="GPR22" s="559"/>
      <c r="GPS22" s="559"/>
      <c r="GPT22" s="559"/>
      <c r="GPU22" s="559"/>
      <c r="GPV22" s="559"/>
      <c r="GPW22" s="559"/>
      <c r="GPX22" s="559"/>
      <c r="GPY22" s="559"/>
      <c r="GPZ22" s="559"/>
      <c r="GQA22" s="559"/>
      <c r="GQB22" s="559"/>
      <c r="GQC22" s="559"/>
      <c r="GQD22" s="559"/>
      <c r="GQE22" s="559"/>
      <c r="GQF22" s="559"/>
      <c r="GQG22" s="559"/>
      <c r="GQH22" s="559"/>
      <c r="GQI22" s="559"/>
      <c r="GQJ22" s="559"/>
      <c r="GQK22" s="559"/>
      <c r="GQL22" s="559"/>
      <c r="GQM22" s="559"/>
      <c r="GQN22" s="559"/>
      <c r="GQO22" s="559"/>
      <c r="GQP22" s="559"/>
      <c r="GQQ22" s="559"/>
      <c r="GQR22" s="559"/>
      <c r="GQS22" s="559"/>
      <c r="GQT22" s="559"/>
      <c r="GQU22" s="559"/>
      <c r="GQV22" s="559"/>
      <c r="GQW22" s="559"/>
      <c r="GQX22" s="559"/>
      <c r="GQY22" s="559"/>
      <c r="GQZ22" s="559"/>
      <c r="GRA22" s="559"/>
      <c r="GRB22" s="559"/>
      <c r="GRC22" s="559"/>
      <c r="GRD22" s="559"/>
      <c r="GRE22" s="559"/>
      <c r="GRF22" s="559"/>
      <c r="GRG22" s="559"/>
      <c r="GRH22" s="559"/>
      <c r="GRI22" s="559"/>
      <c r="GRJ22" s="559"/>
      <c r="GRK22" s="559"/>
      <c r="GRL22" s="559"/>
      <c r="GRM22" s="559"/>
      <c r="GRN22" s="559"/>
      <c r="GRO22" s="559"/>
      <c r="GRP22" s="559"/>
      <c r="GRQ22" s="559"/>
      <c r="GRR22" s="559"/>
      <c r="GRS22" s="559"/>
      <c r="GRT22" s="559"/>
      <c r="GRU22" s="559"/>
      <c r="GRV22" s="559"/>
      <c r="GRW22" s="559"/>
      <c r="GRX22" s="559"/>
      <c r="GRY22" s="559"/>
      <c r="GRZ22" s="559"/>
      <c r="GSA22" s="559"/>
      <c r="GSB22" s="559"/>
      <c r="GSC22" s="559"/>
      <c r="GSD22" s="559"/>
      <c r="GSE22" s="559"/>
      <c r="GSF22" s="559"/>
      <c r="GSG22" s="559"/>
      <c r="GSH22" s="559"/>
      <c r="GSI22" s="559"/>
      <c r="GSJ22" s="559"/>
      <c r="GSK22" s="559"/>
      <c r="GSL22" s="559"/>
      <c r="GSM22" s="559"/>
      <c r="GSN22" s="559"/>
      <c r="GSO22" s="559"/>
      <c r="GSP22" s="559"/>
      <c r="GSQ22" s="559"/>
      <c r="GSR22" s="559"/>
      <c r="GSS22" s="559"/>
      <c r="GST22" s="559"/>
      <c r="GSU22" s="559"/>
      <c r="GSV22" s="559"/>
      <c r="GSW22" s="559"/>
      <c r="GSX22" s="559"/>
      <c r="GSY22" s="559"/>
      <c r="GSZ22" s="559"/>
      <c r="GTA22" s="559"/>
      <c r="GTB22" s="559"/>
      <c r="GTC22" s="559"/>
      <c r="GTD22" s="559"/>
      <c r="GTE22" s="559"/>
      <c r="GTF22" s="559"/>
      <c r="GTG22" s="559"/>
      <c r="GTH22" s="559"/>
      <c r="GTI22" s="559"/>
      <c r="GTJ22" s="559"/>
      <c r="GTK22" s="559"/>
      <c r="GTL22" s="559"/>
      <c r="GTM22" s="559"/>
      <c r="GTN22" s="559"/>
      <c r="GTO22" s="559"/>
      <c r="GTP22" s="559"/>
      <c r="GTQ22" s="559"/>
      <c r="GTR22" s="559"/>
      <c r="GTS22" s="559"/>
      <c r="GTT22" s="559"/>
      <c r="GTU22" s="559"/>
      <c r="GTV22" s="559"/>
      <c r="GTW22" s="559"/>
      <c r="GTX22" s="559"/>
      <c r="GTY22" s="559"/>
      <c r="GTZ22" s="559"/>
      <c r="GUA22" s="559"/>
      <c r="GUB22" s="559"/>
      <c r="GUC22" s="559"/>
      <c r="GUD22" s="559"/>
      <c r="GUE22" s="559"/>
      <c r="GUF22" s="559"/>
      <c r="GUG22" s="559"/>
      <c r="GUH22" s="559"/>
      <c r="GUI22" s="559"/>
      <c r="GUJ22" s="559"/>
      <c r="GUK22" s="559"/>
      <c r="GUL22" s="559"/>
      <c r="GUM22" s="559"/>
      <c r="GUN22" s="559"/>
      <c r="GUO22" s="559"/>
      <c r="GUP22" s="559"/>
      <c r="GUQ22" s="559"/>
      <c r="GUR22" s="559"/>
      <c r="GUS22" s="559"/>
      <c r="GUT22" s="559"/>
      <c r="GUU22" s="559"/>
      <c r="GUV22" s="559"/>
      <c r="GUW22" s="559"/>
      <c r="GUX22" s="559"/>
      <c r="GUY22" s="559"/>
      <c r="GUZ22" s="559"/>
      <c r="GVA22" s="559"/>
      <c r="GVB22" s="559"/>
      <c r="GVC22" s="559"/>
      <c r="GVD22" s="559"/>
      <c r="GVE22" s="559"/>
      <c r="GVF22" s="559"/>
      <c r="GVG22" s="559"/>
      <c r="GVH22" s="559"/>
      <c r="GVI22" s="559"/>
      <c r="GVJ22" s="559"/>
      <c r="GVK22" s="559"/>
      <c r="GVL22" s="559"/>
      <c r="GVM22" s="559"/>
      <c r="GVN22" s="559"/>
      <c r="GVO22" s="559"/>
      <c r="GVP22" s="559"/>
      <c r="GVQ22" s="559"/>
      <c r="GVR22" s="559"/>
      <c r="GVS22" s="559"/>
      <c r="GVT22" s="559"/>
      <c r="GVU22" s="559"/>
      <c r="GVV22" s="559"/>
      <c r="GVW22" s="559"/>
      <c r="GVX22" s="559"/>
      <c r="GVY22" s="559"/>
      <c r="GVZ22" s="559"/>
      <c r="GWA22" s="559"/>
      <c r="GWB22" s="559"/>
      <c r="GWC22" s="559"/>
      <c r="GWD22" s="559"/>
      <c r="GWE22" s="559"/>
      <c r="GWF22" s="559"/>
      <c r="GWG22" s="559"/>
      <c r="GWH22" s="559"/>
      <c r="GWI22" s="559"/>
      <c r="GWJ22" s="559"/>
      <c r="GWK22" s="559"/>
      <c r="GWL22" s="559"/>
      <c r="GWM22" s="559"/>
      <c r="GWN22" s="559"/>
      <c r="GWO22" s="559"/>
      <c r="GWP22" s="559"/>
      <c r="GWQ22" s="559"/>
      <c r="GWR22" s="559"/>
      <c r="GWS22" s="559"/>
      <c r="GWT22" s="559"/>
      <c r="GWU22" s="559"/>
      <c r="GWV22" s="559"/>
      <c r="GWW22" s="559"/>
      <c r="GWX22" s="559"/>
      <c r="GWY22" s="559"/>
      <c r="GWZ22" s="559"/>
      <c r="GXA22" s="559"/>
      <c r="GXB22" s="559"/>
      <c r="GXC22" s="559"/>
      <c r="GXD22" s="559"/>
      <c r="GXE22" s="559"/>
      <c r="GXF22" s="559"/>
      <c r="GXG22" s="559"/>
      <c r="GXH22" s="559"/>
      <c r="GXI22" s="559"/>
      <c r="GXJ22" s="559"/>
      <c r="GXK22" s="559"/>
      <c r="GXL22" s="559"/>
      <c r="GXM22" s="559"/>
      <c r="GXN22" s="559"/>
      <c r="GXO22" s="559"/>
      <c r="GXP22" s="559"/>
      <c r="GXQ22" s="559"/>
      <c r="GXR22" s="559"/>
      <c r="GXS22" s="559"/>
      <c r="GXT22" s="559"/>
      <c r="GXU22" s="559"/>
      <c r="GXV22" s="559"/>
      <c r="GXW22" s="559"/>
      <c r="GXX22" s="559"/>
      <c r="GXY22" s="559"/>
      <c r="GXZ22" s="559"/>
      <c r="GYA22" s="559"/>
      <c r="GYB22" s="559"/>
      <c r="GYC22" s="559"/>
      <c r="GYD22" s="559"/>
      <c r="GYE22" s="559"/>
      <c r="GYF22" s="559"/>
      <c r="GYG22" s="559"/>
      <c r="GYH22" s="559"/>
      <c r="GYI22" s="559"/>
      <c r="GYJ22" s="559"/>
      <c r="GYK22" s="559"/>
      <c r="GYL22" s="559"/>
      <c r="GYM22" s="559"/>
      <c r="GYN22" s="559"/>
      <c r="GYO22" s="559"/>
      <c r="GYP22" s="559"/>
      <c r="GYQ22" s="559"/>
      <c r="GYR22" s="559"/>
      <c r="GYS22" s="559"/>
      <c r="GYT22" s="559"/>
      <c r="GYU22" s="559"/>
      <c r="GYV22" s="559"/>
      <c r="GYW22" s="559"/>
      <c r="GYX22" s="559"/>
      <c r="GYY22" s="559"/>
      <c r="GYZ22" s="559"/>
      <c r="GZA22" s="559"/>
      <c r="GZB22" s="559"/>
      <c r="GZC22" s="559"/>
      <c r="GZD22" s="559"/>
      <c r="GZE22" s="559"/>
      <c r="GZF22" s="559"/>
      <c r="GZG22" s="559"/>
      <c r="GZH22" s="559"/>
      <c r="GZI22" s="559"/>
      <c r="GZJ22" s="559"/>
      <c r="GZK22" s="559"/>
      <c r="GZL22" s="559"/>
      <c r="GZM22" s="559"/>
      <c r="GZN22" s="559"/>
      <c r="GZO22" s="559"/>
      <c r="GZP22" s="559"/>
      <c r="GZQ22" s="559"/>
      <c r="GZR22" s="559"/>
      <c r="GZS22" s="559"/>
      <c r="GZT22" s="559"/>
      <c r="GZU22" s="559"/>
      <c r="GZV22" s="559"/>
      <c r="GZW22" s="559"/>
      <c r="GZX22" s="559"/>
      <c r="GZY22" s="559"/>
      <c r="GZZ22" s="559"/>
      <c r="HAA22" s="559"/>
      <c r="HAB22" s="559"/>
      <c r="HAC22" s="559"/>
      <c r="HAD22" s="559"/>
      <c r="HAE22" s="559"/>
      <c r="HAF22" s="559"/>
      <c r="HAG22" s="559"/>
      <c r="HAH22" s="559"/>
      <c r="HAI22" s="559"/>
      <c r="HAJ22" s="559"/>
      <c r="HAK22" s="559"/>
      <c r="HAL22" s="559"/>
      <c r="HAM22" s="559"/>
      <c r="HAN22" s="559"/>
      <c r="HAO22" s="559"/>
      <c r="HAP22" s="559"/>
      <c r="HAQ22" s="559"/>
      <c r="HAR22" s="559"/>
      <c r="HAS22" s="559"/>
      <c r="HAT22" s="559"/>
      <c r="HAU22" s="559"/>
      <c r="HAV22" s="559"/>
      <c r="HAW22" s="559"/>
      <c r="HAX22" s="559"/>
      <c r="HAY22" s="559"/>
      <c r="HAZ22" s="559"/>
      <c r="HBA22" s="559"/>
      <c r="HBB22" s="559"/>
      <c r="HBC22" s="559"/>
      <c r="HBD22" s="559"/>
      <c r="HBE22" s="559"/>
      <c r="HBF22" s="559"/>
      <c r="HBG22" s="559"/>
      <c r="HBH22" s="559"/>
      <c r="HBI22" s="559"/>
      <c r="HBJ22" s="559"/>
      <c r="HBK22" s="559"/>
      <c r="HBL22" s="559"/>
      <c r="HBM22" s="559"/>
      <c r="HBN22" s="559"/>
      <c r="HBO22" s="559"/>
      <c r="HBP22" s="559"/>
      <c r="HBQ22" s="559"/>
      <c r="HBR22" s="559"/>
      <c r="HBS22" s="559"/>
      <c r="HBT22" s="559"/>
      <c r="HBU22" s="559"/>
      <c r="HBV22" s="559"/>
      <c r="HBW22" s="559"/>
      <c r="HBX22" s="559"/>
      <c r="HBY22" s="559"/>
      <c r="HBZ22" s="559"/>
      <c r="HCA22" s="559"/>
      <c r="HCB22" s="559"/>
      <c r="HCC22" s="559"/>
      <c r="HCD22" s="559"/>
      <c r="HCE22" s="559"/>
      <c r="HCF22" s="559"/>
      <c r="HCG22" s="559"/>
      <c r="HCH22" s="559"/>
      <c r="HCI22" s="559"/>
      <c r="HCJ22" s="559"/>
      <c r="HCK22" s="559"/>
      <c r="HCL22" s="559"/>
      <c r="HCM22" s="559"/>
      <c r="HCN22" s="559"/>
      <c r="HCO22" s="559"/>
      <c r="HCP22" s="559"/>
      <c r="HCQ22" s="559"/>
      <c r="HCR22" s="559"/>
      <c r="HCS22" s="559"/>
      <c r="HCT22" s="559"/>
      <c r="HCU22" s="559"/>
      <c r="HCV22" s="559"/>
      <c r="HCW22" s="559"/>
      <c r="HCX22" s="559"/>
      <c r="HCY22" s="559"/>
      <c r="HCZ22" s="559"/>
      <c r="HDA22" s="559"/>
      <c r="HDB22" s="559"/>
      <c r="HDC22" s="559"/>
      <c r="HDD22" s="559"/>
      <c r="HDE22" s="559"/>
      <c r="HDF22" s="559"/>
      <c r="HDG22" s="559"/>
      <c r="HDH22" s="559"/>
      <c r="HDI22" s="559"/>
      <c r="HDJ22" s="559"/>
      <c r="HDK22" s="559"/>
      <c r="HDL22" s="559"/>
      <c r="HDM22" s="559"/>
      <c r="HDN22" s="559"/>
      <c r="HDO22" s="559"/>
      <c r="HDP22" s="559"/>
      <c r="HDQ22" s="559"/>
      <c r="HDR22" s="559"/>
      <c r="HDS22" s="559"/>
      <c r="HDT22" s="559"/>
      <c r="HDU22" s="559"/>
      <c r="HDV22" s="559"/>
      <c r="HDW22" s="559"/>
      <c r="HDX22" s="559"/>
      <c r="HDY22" s="559"/>
      <c r="HDZ22" s="559"/>
      <c r="HEA22" s="559"/>
      <c r="HEB22" s="559"/>
      <c r="HEC22" s="559"/>
      <c r="HED22" s="559"/>
      <c r="HEE22" s="559"/>
      <c r="HEF22" s="559"/>
      <c r="HEG22" s="559"/>
      <c r="HEH22" s="559"/>
      <c r="HEI22" s="559"/>
      <c r="HEJ22" s="559"/>
      <c r="HEK22" s="559"/>
      <c r="HEL22" s="559"/>
      <c r="HEM22" s="559"/>
      <c r="HEN22" s="559"/>
      <c r="HEO22" s="559"/>
      <c r="HEP22" s="559"/>
      <c r="HEQ22" s="559"/>
      <c r="HER22" s="559"/>
      <c r="HES22" s="559"/>
      <c r="HET22" s="559"/>
      <c r="HEU22" s="559"/>
      <c r="HEV22" s="559"/>
      <c r="HEW22" s="559"/>
      <c r="HEX22" s="559"/>
      <c r="HEY22" s="559"/>
      <c r="HEZ22" s="559"/>
      <c r="HFA22" s="559"/>
      <c r="HFB22" s="559"/>
      <c r="HFC22" s="559"/>
      <c r="HFD22" s="559"/>
      <c r="HFE22" s="559"/>
      <c r="HFF22" s="559"/>
      <c r="HFG22" s="559"/>
      <c r="HFH22" s="559"/>
      <c r="HFI22" s="559"/>
      <c r="HFJ22" s="559"/>
      <c r="HFK22" s="559"/>
      <c r="HFL22" s="559"/>
      <c r="HFM22" s="559"/>
      <c r="HFN22" s="559"/>
      <c r="HFO22" s="559"/>
      <c r="HFP22" s="559"/>
      <c r="HFQ22" s="559"/>
      <c r="HFR22" s="559"/>
      <c r="HFS22" s="559"/>
      <c r="HFT22" s="559"/>
      <c r="HFU22" s="559"/>
      <c r="HFV22" s="559"/>
      <c r="HFW22" s="559"/>
      <c r="HFX22" s="559"/>
      <c r="HFY22" s="559"/>
      <c r="HFZ22" s="559"/>
      <c r="HGA22" s="559"/>
      <c r="HGB22" s="559"/>
      <c r="HGC22" s="559"/>
      <c r="HGD22" s="559"/>
      <c r="HGE22" s="559"/>
      <c r="HGF22" s="559"/>
      <c r="HGG22" s="559"/>
      <c r="HGH22" s="559"/>
      <c r="HGI22" s="559"/>
      <c r="HGJ22" s="559"/>
      <c r="HGK22" s="559"/>
      <c r="HGL22" s="559"/>
      <c r="HGM22" s="559"/>
      <c r="HGN22" s="559"/>
      <c r="HGO22" s="559"/>
      <c r="HGP22" s="559"/>
      <c r="HGQ22" s="559"/>
      <c r="HGR22" s="559"/>
      <c r="HGS22" s="559"/>
      <c r="HGT22" s="559"/>
      <c r="HGU22" s="559"/>
      <c r="HGV22" s="559"/>
      <c r="HGW22" s="559"/>
      <c r="HGX22" s="559"/>
      <c r="HGY22" s="559"/>
      <c r="HGZ22" s="559"/>
      <c r="HHA22" s="559"/>
      <c r="HHB22" s="559"/>
      <c r="HHC22" s="559"/>
      <c r="HHD22" s="559"/>
      <c r="HHE22" s="559"/>
      <c r="HHF22" s="559"/>
      <c r="HHG22" s="559"/>
      <c r="HHH22" s="559"/>
      <c r="HHI22" s="559"/>
      <c r="HHJ22" s="559"/>
      <c r="HHK22" s="559"/>
      <c r="HHL22" s="559"/>
      <c r="HHM22" s="559"/>
      <c r="HHN22" s="559"/>
      <c r="HHO22" s="559"/>
      <c r="HHP22" s="559"/>
      <c r="HHQ22" s="559"/>
      <c r="HHR22" s="559"/>
      <c r="HHS22" s="559"/>
      <c r="HHT22" s="559"/>
      <c r="HHU22" s="559"/>
      <c r="HHV22" s="559"/>
      <c r="HHW22" s="559"/>
      <c r="HHX22" s="559"/>
      <c r="HHY22" s="559"/>
      <c r="HHZ22" s="559"/>
      <c r="HIA22" s="559"/>
      <c r="HIB22" s="559"/>
      <c r="HIC22" s="559"/>
      <c r="HID22" s="559"/>
      <c r="HIE22" s="559"/>
      <c r="HIF22" s="559"/>
      <c r="HIG22" s="559"/>
      <c r="HIH22" s="559"/>
      <c r="HII22" s="559"/>
      <c r="HIJ22" s="559"/>
      <c r="HIK22" s="559"/>
      <c r="HIL22" s="559"/>
      <c r="HIM22" s="559"/>
      <c r="HIN22" s="559"/>
      <c r="HIO22" s="559"/>
      <c r="HIP22" s="559"/>
      <c r="HIQ22" s="559"/>
      <c r="HIR22" s="559"/>
      <c r="HIS22" s="559"/>
      <c r="HIT22" s="559"/>
      <c r="HIU22" s="559"/>
      <c r="HIV22" s="559"/>
      <c r="HIW22" s="559"/>
      <c r="HIX22" s="559"/>
      <c r="HIY22" s="559"/>
      <c r="HIZ22" s="559"/>
      <c r="HJA22" s="559"/>
      <c r="HJB22" s="559"/>
      <c r="HJC22" s="559"/>
      <c r="HJD22" s="559"/>
      <c r="HJE22" s="559"/>
      <c r="HJF22" s="559"/>
      <c r="HJG22" s="559"/>
      <c r="HJH22" s="559"/>
      <c r="HJI22" s="559"/>
      <c r="HJJ22" s="559"/>
      <c r="HJK22" s="559"/>
      <c r="HJL22" s="559"/>
      <c r="HJM22" s="559"/>
      <c r="HJN22" s="559"/>
      <c r="HJO22" s="559"/>
      <c r="HJP22" s="559"/>
      <c r="HJQ22" s="559"/>
      <c r="HJR22" s="559"/>
      <c r="HJS22" s="559"/>
      <c r="HJT22" s="559"/>
      <c r="HJU22" s="559"/>
      <c r="HJV22" s="559"/>
      <c r="HJW22" s="559"/>
      <c r="HJX22" s="559"/>
      <c r="HJY22" s="559"/>
      <c r="HJZ22" s="559"/>
      <c r="HKA22" s="559"/>
      <c r="HKB22" s="559"/>
      <c r="HKC22" s="559"/>
      <c r="HKD22" s="559"/>
      <c r="HKE22" s="559"/>
      <c r="HKF22" s="559"/>
      <c r="HKG22" s="559"/>
      <c r="HKH22" s="559"/>
      <c r="HKI22" s="559"/>
      <c r="HKJ22" s="559"/>
      <c r="HKK22" s="559"/>
      <c r="HKL22" s="559"/>
      <c r="HKM22" s="559"/>
      <c r="HKN22" s="559"/>
      <c r="HKO22" s="559"/>
      <c r="HKP22" s="559"/>
      <c r="HKQ22" s="559"/>
      <c r="HKR22" s="559"/>
      <c r="HKS22" s="559"/>
      <c r="HKT22" s="559"/>
      <c r="HKU22" s="559"/>
      <c r="HKV22" s="559"/>
      <c r="HKW22" s="559"/>
      <c r="HKX22" s="559"/>
      <c r="HKY22" s="559"/>
      <c r="HKZ22" s="559"/>
      <c r="HLA22" s="559"/>
      <c r="HLB22" s="559"/>
      <c r="HLC22" s="559"/>
      <c r="HLD22" s="559"/>
      <c r="HLE22" s="559"/>
      <c r="HLF22" s="559"/>
      <c r="HLG22" s="559"/>
      <c r="HLH22" s="559"/>
      <c r="HLI22" s="559"/>
      <c r="HLJ22" s="559"/>
      <c r="HLK22" s="559"/>
      <c r="HLL22" s="559"/>
      <c r="HLM22" s="559"/>
      <c r="HLN22" s="559"/>
      <c r="HLO22" s="559"/>
      <c r="HLP22" s="559"/>
      <c r="HLQ22" s="559"/>
      <c r="HLR22" s="559"/>
      <c r="HLS22" s="559"/>
      <c r="HLT22" s="559"/>
      <c r="HLU22" s="559"/>
      <c r="HLV22" s="559"/>
      <c r="HLW22" s="559"/>
      <c r="HLX22" s="559"/>
      <c r="HLY22" s="559"/>
      <c r="HLZ22" s="559"/>
      <c r="HMA22" s="559"/>
      <c r="HMB22" s="559"/>
      <c r="HMC22" s="559"/>
      <c r="HMD22" s="559"/>
      <c r="HME22" s="559"/>
      <c r="HMF22" s="559"/>
      <c r="HMG22" s="559"/>
      <c r="HMH22" s="559"/>
      <c r="HMI22" s="559"/>
      <c r="HMJ22" s="559"/>
      <c r="HMK22" s="559"/>
      <c r="HML22" s="559"/>
      <c r="HMM22" s="559"/>
      <c r="HMN22" s="559"/>
      <c r="HMO22" s="559"/>
      <c r="HMP22" s="559"/>
      <c r="HMQ22" s="559"/>
      <c r="HMR22" s="559"/>
      <c r="HMS22" s="559"/>
      <c r="HMT22" s="559"/>
      <c r="HMU22" s="559"/>
      <c r="HMV22" s="559"/>
      <c r="HMW22" s="559"/>
      <c r="HMX22" s="559"/>
      <c r="HMY22" s="559"/>
      <c r="HMZ22" s="559"/>
      <c r="HNA22" s="559"/>
      <c r="HNB22" s="559"/>
      <c r="HNC22" s="559"/>
      <c r="HND22" s="559"/>
      <c r="HNE22" s="559"/>
      <c r="HNF22" s="559"/>
      <c r="HNG22" s="559"/>
      <c r="HNH22" s="559"/>
      <c r="HNI22" s="559"/>
      <c r="HNJ22" s="559"/>
      <c r="HNK22" s="559"/>
      <c r="HNL22" s="559"/>
      <c r="HNM22" s="559"/>
      <c r="HNN22" s="559"/>
      <c r="HNO22" s="559"/>
      <c r="HNP22" s="559"/>
      <c r="HNQ22" s="559"/>
      <c r="HNR22" s="559"/>
      <c r="HNS22" s="559"/>
      <c r="HNT22" s="559"/>
      <c r="HNU22" s="559"/>
      <c r="HNV22" s="559"/>
      <c r="HNW22" s="559"/>
      <c r="HNX22" s="559"/>
      <c r="HNY22" s="559"/>
      <c r="HNZ22" s="559"/>
      <c r="HOA22" s="559"/>
      <c r="HOB22" s="559"/>
      <c r="HOC22" s="559"/>
      <c r="HOD22" s="559"/>
      <c r="HOE22" s="559"/>
      <c r="HOF22" s="559"/>
      <c r="HOG22" s="559"/>
      <c r="HOH22" s="559"/>
      <c r="HOI22" s="559"/>
      <c r="HOJ22" s="559"/>
      <c r="HOK22" s="559"/>
      <c r="HOL22" s="559"/>
      <c r="HOM22" s="559"/>
      <c r="HON22" s="559"/>
      <c r="HOO22" s="559"/>
      <c r="HOP22" s="559"/>
      <c r="HOQ22" s="559"/>
      <c r="HOR22" s="559"/>
      <c r="HOS22" s="559"/>
      <c r="HOT22" s="559"/>
      <c r="HOU22" s="559"/>
      <c r="HOV22" s="559"/>
      <c r="HOW22" s="559"/>
      <c r="HOX22" s="559"/>
      <c r="HOY22" s="559"/>
      <c r="HOZ22" s="559"/>
      <c r="HPA22" s="559"/>
      <c r="HPB22" s="559"/>
      <c r="HPC22" s="559"/>
      <c r="HPD22" s="559"/>
      <c r="HPE22" s="559"/>
      <c r="HPF22" s="559"/>
      <c r="HPG22" s="559"/>
      <c r="HPH22" s="559"/>
      <c r="HPI22" s="559"/>
      <c r="HPJ22" s="559"/>
      <c r="HPK22" s="559"/>
      <c r="HPL22" s="559"/>
      <c r="HPM22" s="559"/>
      <c r="HPN22" s="559"/>
      <c r="HPO22" s="559"/>
      <c r="HPP22" s="559"/>
      <c r="HPQ22" s="559"/>
      <c r="HPR22" s="559"/>
      <c r="HPS22" s="559"/>
      <c r="HPT22" s="559"/>
      <c r="HPU22" s="559"/>
      <c r="HPV22" s="559"/>
      <c r="HPW22" s="559"/>
      <c r="HPX22" s="559"/>
      <c r="HPY22" s="559"/>
      <c r="HPZ22" s="559"/>
      <c r="HQA22" s="559"/>
      <c r="HQB22" s="559"/>
      <c r="HQC22" s="559"/>
      <c r="HQD22" s="559"/>
      <c r="HQE22" s="559"/>
      <c r="HQF22" s="559"/>
      <c r="HQG22" s="559"/>
      <c r="HQH22" s="559"/>
      <c r="HQI22" s="559"/>
      <c r="HQJ22" s="559"/>
      <c r="HQK22" s="559"/>
      <c r="HQL22" s="559"/>
      <c r="HQM22" s="559"/>
      <c r="HQN22" s="559"/>
      <c r="HQO22" s="559"/>
      <c r="HQP22" s="559"/>
      <c r="HQQ22" s="559"/>
      <c r="HQR22" s="559"/>
      <c r="HQS22" s="559"/>
      <c r="HQT22" s="559"/>
      <c r="HQU22" s="559"/>
      <c r="HQV22" s="559"/>
      <c r="HQW22" s="559"/>
      <c r="HQX22" s="559"/>
      <c r="HQY22" s="559"/>
      <c r="HQZ22" s="559"/>
      <c r="HRA22" s="559"/>
      <c r="HRB22" s="559"/>
      <c r="HRC22" s="559"/>
      <c r="HRD22" s="559"/>
      <c r="HRE22" s="559"/>
      <c r="HRF22" s="559"/>
      <c r="HRG22" s="559"/>
      <c r="HRH22" s="559"/>
      <c r="HRI22" s="559"/>
      <c r="HRJ22" s="559"/>
      <c r="HRK22" s="559"/>
      <c r="HRL22" s="559"/>
      <c r="HRM22" s="559"/>
      <c r="HRN22" s="559"/>
      <c r="HRO22" s="559"/>
      <c r="HRP22" s="559"/>
      <c r="HRQ22" s="559"/>
      <c r="HRR22" s="559"/>
      <c r="HRS22" s="559"/>
      <c r="HRT22" s="559"/>
      <c r="HRU22" s="559"/>
      <c r="HRV22" s="559"/>
      <c r="HRW22" s="559"/>
      <c r="HRX22" s="559"/>
      <c r="HRY22" s="559"/>
      <c r="HRZ22" s="559"/>
      <c r="HSA22" s="559"/>
      <c r="HSB22" s="559"/>
      <c r="HSC22" s="559"/>
      <c r="HSD22" s="559"/>
      <c r="HSE22" s="559"/>
      <c r="HSF22" s="559"/>
      <c r="HSG22" s="559"/>
      <c r="HSH22" s="559"/>
      <c r="HSI22" s="559"/>
      <c r="HSJ22" s="559"/>
      <c r="HSK22" s="559"/>
      <c r="HSL22" s="559"/>
      <c r="HSM22" s="559"/>
      <c r="HSN22" s="559"/>
      <c r="HSO22" s="559"/>
      <c r="HSP22" s="559"/>
      <c r="HSQ22" s="559"/>
      <c r="HSR22" s="559"/>
      <c r="HSS22" s="559"/>
      <c r="HST22" s="559"/>
      <c r="HSU22" s="559"/>
      <c r="HSV22" s="559"/>
      <c r="HSW22" s="559"/>
      <c r="HSX22" s="559"/>
      <c r="HSY22" s="559"/>
      <c r="HSZ22" s="559"/>
      <c r="HTA22" s="559"/>
      <c r="HTB22" s="559"/>
      <c r="HTC22" s="559"/>
      <c r="HTD22" s="559"/>
      <c r="HTE22" s="559"/>
      <c r="HTF22" s="559"/>
      <c r="HTG22" s="559"/>
      <c r="HTH22" s="559"/>
      <c r="HTI22" s="559"/>
      <c r="HTJ22" s="559"/>
      <c r="HTK22" s="559"/>
      <c r="HTL22" s="559"/>
      <c r="HTM22" s="559"/>
      <c r="HTN22" s="559"/>
      <c r="HTO22" s="559"/>
      <c r="HTP22" s="559"/>
      <c r="HTQ22" s="559"/>
      <c r="HTR22" s="559"/>
      <c r="HTS22" s="559"/>
      <c r="HTT22" s="559"/>
      <c r="HTU22" s="559"/>
      <c r="HTV22" s="559"/>
      <c r="HTW22" s="559"/>
      <c r="HTX22" s="559"/>
      <c r="HTY22" s="559"/>
      <c r="HTZ22" s="559"/>
      <c r="HUA22" s="559"/>
      <c r="HUB22" s="559"/>
      <c r="HUC22" s="559"/>
      <c r="HUD22" s="559"/>
      <c r="HUE22" s="559"/>
      <c r="HUF22" s="559"/>
      <c r="HUG22" s="559"/>
      <c r="HUH22" s="559"/>
      <c r="HUI22" s="559"/>
      <c r="HUJ22" s="559"/>
      <c r="HUK22" s="559"/>
      <c r="HUL22" s="559"/>
      <c r="HUM22" s="559"/>
      <c r="HUN22" s="559"/>
      <c r="HUO22" s="559"/>
      <c r="HUP22" s="559"/>
      <c r="HUQ22" s="559"/>
      <c r="HUR22" s="559"/>
      <c r="HUS22" s="559"/>
      <c r="HUT22" s="559"/>
      <c r="HUU22" s="559"/>
      <c r="HUV22" s="559"/>
      <c r="HUW22" s="559"/>
      <c r="HUX22" s="559"/>
      <c r="HUY22" s="559"/>
      <c r="HUZ22" s="559"/>
      <c r="HVA22" s="559"/>
      <c r="HVB22" s="559"/>
      <c r="HVC22" s="559"/>
      <c r="HVD22" s="559"/>
      <c r="HVE22" s="559"/>
      <c r="HVF22" s="559"/>
      <c r="HVG22" s="559"/>
      <c r="HVH22" s="559"/>
      <c r="HVI22" s="559"/>
      <c r="HVJ22" s="559"/>
      <c r="HVK22" s="559"/>
      <c r="HVL22" s="559"/>
      <c r="HVM22" s="559"/>
      <c r="HVN22" s="559"/>
      <c r="HVO22" s="559"/>
      <c r="HVP22" s="559"/>
      <c r="HVQ22" s="559"/>
      <c r="HVR22" s="559"/>
      <c r="HVS22" s="559"/>
      <c r="HVT22" s="559"/>
      <c r="HVU22" s="559"/>
      <c r="HVV22" s="559"/>
      <c r="HVW22" s="559"/>
      <c r="HVX22" s="559"/>
      <c r="HVY22" s="559"/>
      <c r="HVZ22" s="559"/>
      <c r="HWA22" s="559"/>
      <c r="HWB22" s="559"/>
      <c r="HWC22" s="559"/>
      <c r="HWD22" s="559"/>
      <c r="HWE22" s="559"/>
      <c r="HWF22" s="559"/>
      <c r="HWG22" s="559"/>
      <c r="HWH22" s="559"/>
      <c r="HWI22" s="559"/>
      <c r="HWJ22" s="559"/>
      <c r="HWK22" s="559"/>
      <c r="HWL22" s="559"/>
      <c r="HWM22" s="559"/>
      <c r="HWN22" s="559"/>
      <c r="HWO22" s="559"/>
      <c r="HWP22" s="559"/>
      <c r="HWQ22" s="559"/>
      <c r="HWR22" s="559"/>
      <c r="HWS22" s="559"/>
      <c r="HWT22" s="559"/>
      <c r="HWU22" s="559"/>
      <c r="HWV22" s="559"/>
      <c r="HWW22" s="559"/>
      <c r="HWX22" s="559"/>
      <c r="HWY22" s="559"/>
      <c r="HWZ22" s="559"/>
      <c r="HXA22" s="559"/>
      <c r="HXB22" s="559"/>
      <c r="HXC22" s="559"/>
      <c r="HXD22" s="559"/>
      <c r="HXE22" s="559"/>
      <c r="HXF22" s="559"/>
      <c r="HXG22" s="559"/>
      <c r="HXH22" s="559"/>
      <c r="HXI22" s="559"/>
      <c r="HXJ22" s="559"/>
      <c r="HXK22" s="559"/>
      <c r="HXL22" s="559"/>
      <c r="HXM22" s="559"/>
      <c r="HXN22" s="559"/>
      <c r="HXO22" s="559"/>
      <c r="HXP22" s="559"/>
      <c r="HXQ22" s="559"/>
      <c r="HXR22" s="559"/>
      <c r="HXS22" s="559"/>
      <c r="HXT22" s="559"/>
      <c r="HXU22" s="559"/>
      <c r="HXV22" s="559"/>
      <c r="HXW22" s="559"/>
      <c r="HXX22" s="559"/>
      <c r="HXY22" s="559"/>
      <c r="HXZ22" s="559"/>
      <c r="HYA22" s="559"/>
      <c r="HYB22" s="559"/>
      <c r="HYC22" s="559"/>
      <c r="HYD22" s="559"/>
      <c r="HYE22" s="559"/>
      <c r="HYF22" s="559"/>
      <c r="HYG22" s="559"/>
      <c r="HYH22" s="559"/>
      <c r="HYI22" s="559"/>
      <c r="HYJ22" s="559"/>
      <c r="HYK22" s="559"/>
      <c r="HYL22" s="559"/>
      <c r="HYM22" s="559"/>
      <c r="HYN22" s="559"/>
      <c r="HYO22" s="559"/>
      <c r="HYP22" s="559"/>
      <c r="HYQ22" s="559"/>
      <c r="HYR22" s="559"/>
      <c r="HYS22" s="559"/>
      <c r="HYT22" s="559"/>
      <c r="HYU22" s="559"/>
      <c r="HYV22" s="559"/>
      <c r="HYW22" s="559"/>
      <c r="HYX22" s="559"/>
      <c r="HYY22" s="559"/>
      <c r="HYZ22" s="559"/>
      <c r="HZA22" s="559"/>
      <c r="HZB22" s="559"/>
      <c r="HZC22" s="559"/>
      <c r="HZD22" s="559"/>
      <c r="HZE22" s="559"/>
      <c r="HZF22" s="559"/>
      <c r="HZG22" s="559"/>
      <c r="HZH22" s="559"/>
      <c r="HZI22" s="559"/>
      <c r="HZJ22" s="559"/>
      <c r="HZK22" s="559"/>
      <c r="HZL22" s="559"/>
      <c r="HZM22" s="559"/>
      <c r="HZN22" s="559"/>
      <c r="HZO22" s="559"/>
      <c r="HZP22" s="559"/>
      <c r="HZQ22" s="559"/>
      <c r="HZR22" s="559"/>
      <c r="HZS22" s="559"/>
      <c r="HZT22" s="559"/>
      <c r="HZU22" s="559"/>
      <c r="HZV22" s="559"/>
      <c r="HZW22" s="559"/>
      <c r="HZX22" s="559"/>
      <c r="HZY22" s="559"/>
      <c r="HZZ22" s="559"/>
      <c r="IAA22" s="559"/>
      <c r="IAB22" s="559"/>
      <c r="IAC22" s="559"/>
      <c r="IAD22" s="559"/>
      <c r="IAE22" s="559"/>
      <c r="IAF22" s="559"/>
      <c r="IAG22" s="559"/>
      <c r="IAH22" s="559"/>
      <c r="IAI22" s="559"/>
      <c r="IAJ22" s="559"/>
      <c r="IAK22" s="559"/>
      <c r="IAL22" s="559"/>
      <c r="IAM22" s="559"/>
      <c r="IAN22" s="559"/>
      <c r="IAO22" s="559"/>
      <c r="IAP22" s="559"/>
      <c r="IAQ22" s="559"/>
      <c r="IAR22" s="559"/>
      <c r="IAS22" s="559"/>
      <c r="IAT22" s="559"/>
      <c r="IAU22" s="559"/>
      <c r="IAV22" s="559"/>
      <c r="IAW22" s="559"/>
      <c r="IAX22" s="559"/>
      <c r="IAY22" s="559"/>
      <c r="IAZ22" s="559"/>
      <c r="IBA22" s="559"/>
      <c r="IBB22" s="559"/>
      <c r="IBC22" s="559"/>
      <c r="IBD22" s="559"/>
      <c r="IBE22" s="559"/>
      <c r="IBF22" s="559"/>
      <c r="IBG22" s="559"/>
      <c r="IBH22" s="559"/>
      <c r="IBI22" s="559"/>
      <c r="IBJ22" s="559"/>
      <c r="IBK22" s="559"/>
      <c r="IBL22" s="559"/>
      <c r="IBM22" s="559"/>
      <c r="IBN22" s="559"/>
      <c r="IBO22" s="559"/>
      <c r="IBP22" s="559"/>
      <c r="IBQ22" s="559"/>
      <c r="IBR22" s="559"/>
      <c r="IBS22" s="559"/>
      <c r="IBT22" s="559"/>
      <c r="IBU22" s="559"/>
      <c r="IBV22" s="559"/>
      <c r="IBW22" s="559"/>
      <c r="IBX22" s="559"/>
      <c r="IBY22" s="559"/>
      <c r="IBZ22" s="559"/>
      <c r="ICA22" s="559"/>
      <c r="ICB22" s="559"/>
      <c r="ICC22" s="559"/>
      <c r="ICD22" s="559"/>
      <c r="ICE22" s="559"/>
      <c r="ICF22" s="559"/>
      <c r="ICG22" s="559"/>
      <c r="ICH22" s="559"/>
      <c r="ICI22" s="559"/>
      <c r="ICJ22" s="559"/>
      <c r="ICK22" s="559"/>
      <c r="ICL22" s="559"/>
      <c r="ICM22" s="559"/>
      <c r="ICN22" s="559"/>
      <c r="ICO22" s="559"/>
      <c r="ICP22" s="559"/>
      <c r="ICQ22" s="559"/>
      <c r="ICR22" s="559"/>
      <c r="ICS22" s="559"/>
      <c r="ICT22" s="559"/>
      <c r="ICU22" s="559"/>
      <c r="ICV22" s="559"/>
      <c r="ICW22" s="559"/>
      <c r="ICX22" s="559"/>
      <c r="ICY22" s="559"/>
      <c r="ICZ22" s="559"/>
      <c r="IDA22" s="559"/>
      <c r="IDB22" s="559"/>
      <c r="IDC22" s="559"/>
      <c r="IDD22" s="559"/>
      <c r="IDE22" s="559"/>
      <c r="IDF22" s="559"/>
      <c r="IDG22" s="559"/>
      <c r="IDH22" s="559"/>
      <c r="IDI22" s="559"/>
      <c r="IDJ22" s="559"/>
      <c r="IDK22" s="559"/>
      <c r="IDL22" s="559"/>
      <c r="IDM22" s="559"/>
      <c r="IDN22" s="559"/>
      <c r="IDO22" s="559"/>
      <c r="IDP22" s="559"/>
      <c r="IDQ22" s="559"/>
      <c r="IDR22" s="559"/>
      <c r="IDS22" s="559"/>
      <c r="IDT22" s="559"/>
      <c r="IDU22" s="559"/>
      <c r="IDV22" s="559"/>
      <c r="IDW22" s="559"/>
      <c r="IDX22" s="559"/>
      <c r="IDY22" s="559"/>
      <c r="IDZ22" s="559"/>
      <c r="IEA22" s="559"/>
      <c r="IEB22" s="559"/>
      <c r="IEC22" s="559"/>
      <c r="IED22" s="559"/>
      <c r="IEE22" s="559"/>
      <c r="IEF22" s="559"/>
      <c r="IEG22" s="559"/>
      <c r="IEH22" s="559"/>
      <c r="IEI22" s="559"/>
      <c r="IEJ22" s="559"/>
      <c r="IEK22" s="559"/>
      <c r="IEL22" s="559"/>
      <c r="IEM22" s="559"/>
      <c r="IEN22" s="559"/>
      <c r="IEO22" s="559"/>
      <c r="IEP22" s="559"/>
      <c r="IEQ22" s="559"/>
      <c r="IER22" s="559"/>
      <c r="IES22" s="559"/>
      <c r="IET22" s="559"/>
      <c r="IEU22" s="559"/>
      <c r="IEV22" s="559"/>
      <c r="IEW22" s="559"/>
      <c r="IEX22" s="559"/>
      <c r="IEY22" s="559"/>
      <c r="IEZ22" s="559"/>
      <c r="IFA22" s="559"/>
      <c r="IFB22" s="559"/>
      <c r="IFC22" s="559"/>
      <c r="IFD22" s="559"/>
      <c r="IFE22" s="559"/>
      <c r="IFF22" s="559"/>
      <c r="IFG22" s="559"/>
      <c r="IFH22" s="559"/>
      <c r="IFI22" s="559"/>
      <c r="IFJ22" s="559"/>
      <c r="IFK22" s="559"/>
      <c r="IFL22" s="559"/>
      <c r="IFM22" s="559"/>
      <c r="IFN22" s="559"/>
      <c r="IFO22" s="559"/>
      <c r="IFP22" s="559"/>
      <c r="IFQ22" s="559"/>
      <c r="IFR22" s="559"/>
      <c r="IFS22" s="559"/>
      <c r="IFT22" s="559"/>
      <c r="IFU22" s="559"/>
      <c r="IFV22" s="559"/>
      <c r="IFW22" s="559"/>
      <c r="IFX22" s="559"/>
      <c r="IFY22" s="559"/>
      <c r="IFZ22" s="559"/>
      <c r="IGA22" s="559"/>
      <c r="IGB22" s="559"/>
      <c r="IGC22" s="559"/>
      <c r="IGD22" s="559"/>
      <c r="IGE22" s="559"/>
      <c r="IGF22" s="559"/>
      <c r="IGG22" s="559"/>
      <c r="IGH22" s="559"/>
      <c r="IGI22" s="559"/>
      <c r="IGJ22" s="559"/>
      <c r="IGK22" s="559"/>
      <c r="IGL22" s="559"/>
      <c r="IGM22" s="559"/>
      <c r="IGN22" s="559"/>
      <c r="IGO22" s="559"/>
      <c r="IGP22" s="559"/>
      <c r="IGQ22" s="559"/>
      <c r="IGR22" s="559"/>
      <c r="IGS22" s="559"/>
      <c r="IGT22" s="559"/>
      <c r="IGU22" s="559"/>
      <c r="IGV22" s="559"/>
      <c r="IGW22" s="559"/>
      <c r="IGX22" s="559"/>
      <c r="IGY22" s="559"/>
      <c r="IGZ22" s="559"/>
      <c r="IHA22" s="559"/>
      <c r="IHB22" s="559"/>
      <c r="IHC22" s="559"/>
      <c r="IHD22" s="559"/>
      <c r="IHE22" s="559"/>
      <c r="IHF22" s="559"/>
      <c r="IHG22" s="559"/>
      <c r="IHH22" s="559"/>
      <c r="IHI22" s="559"/>
      <c r="IHJ22" s="559"/>
      <c r="IHK22" s="559"/>
      <c r="IHL22" s="559"/>
      <c r="IHM22" s="559"/>
      <c r="IHN22" s="559"/>
      <c r="IHO22" s="559"/>
      <c r="IHP22" s="559"/>
      <c r="IHQ22" s="559"/>
      <c r="IHR22" s="559"/>
      <c r="IHS22" s="559"/>
      <c r="IHT22" s="559"/>
      <c r="IHU22" s="559"/>
      <c r="IHV22" s="559"/>
      <c r="IHW22" s="559"/>
      <c r="IHX22" s="559"/>
      <c r="IHY22" s="559"/>
      <c r="IHZ22" s="559"/>
      <c r="IIA22" s="559"/>
      <c r="IIB22" s="559"/>
      <c r="IIC22" s="559"/>
      <c r="IID22" s="559"/>
      <c r="IIE22" s="559"/>
      <c r="IIF22" s="559"/>
      <c r="IIG22" s="559"/>
      <c r="IIH22" s="559"/>
      <c r="III22" s="559"/>
      <c r="IIJ22" s="559"/>
      <c r="IIK22" s="559"/>
      <c r="IIL22" s="559"/>
      <c r="IIM22" s="559"/>
      <c r="IIN22" s="559"/>
      <c r="IIO22" s="559"/>
      <c r="IIP22" s="559"/>
      <c r="IIQ22" s="559"/>
      <c r="IIR22" s="559"/>
      <c r="IIS22" s="559"/>
      <c r="IIT22" s="559"/>
      <c r="IIU22" s="559"/>
      <c r="IIV22" s="559"/>
      <c r="IIW22" s="559"/>
      <c r="IIX22" s="559"/>
      <c r="IIY22" s="559"/>
      <c r="IIZ22" s="559"/>
      <c r="IJA22" s="559"/>
      <c r="IJB22" s="559"/>
      <c r="IJC22" s="559"/>
      <c r="IJD22" s="559"/>
      <c r="IJE22" s="559"/>
      <c r="IJF22" s="559"/>
      <c r="IJG22" s="559"/>
      <c r="IJH22" s="559"/>
      <c r="IJI22" s="559"/>
      <c r="IJJ22" s="559"/>
      <c r="IJK22" s="559"/>
      <c r="IJL22" s="559"/>
      <c r="IJM22" s="559"/>
      <c r="IJN22" s="559"/>
      <c r="IJO22" s="559"/>
      <c r="IJP22" s="559"/>
      <c r="IJQ22" s="559"/>
      <c r="IJR22" s="559"/>
      <c r="IJS22" s="559"/>
      <c r="IJT22" s="559"/>
      <c r="IJU22" s="559"/>
      <c r="IJV22" s="559"/>
      <c r="IJW22" s="559"/>
      <c r="IJX22" s="559"/>
      <c r="IJY22" s="559"/>
      <c r="IJZ22" s="559"/>
      <c r="IKA22" s="559"/>
      <c r="IKB22" s="559"/>
      <c r="IKC22" s="559"/>
      <c r="IKD22" s="559"/>
      <c r="IKE22" s="559"/>
      <c r="IKF22" s="559"/>
      <c r="IKG22" s="559"/>
      <c r="IKH22" s="559"/>
      <c r="IKI22" s="559"/>
      <c r="IKJ22" s="559"/>
      <c r="IKK22" s="559"/>
      <c r="IKL22" s="559"/>
      <c r="IKM22" s="559"/>
      <c r="IKN22" s="559"/>
      <c r="IKO22" s="559"/>
      <c r="IKP22" s="559"/>
      <c r="IKQ22" s="559"/>
      <c r="IKR22" s="559"/>
      <c r="IKS22" s="559"/>
      <c r="IKT22" s="559"/>
      <c r="IKU22" s="559"/>
      <c r="IKV22" s="559"/>
      <c r="IKW22" s="559"/>
      <c r="IKX22" s="559"/>
      <c r="IKY22" s="559"/>
      <c r="IKZ22" s="559"/>
      <c r="ILA22" s="559"/>
      <c r="ILB22" s="559"/>
      <c r="ILC22" s="559"/>
      <c r="ILD22" s="559"/>
      <c r="ILE22" s="559"/>
      <c r="ILF22" s="559"/>
      <c r="ILG22" s="559"/>
      <c r="ILH22" s="559"/>
      <c r="ILI22" s="559"/>
      <c r="ILJ22" s="559"/>
      <c r="ILK22" s="559"/>
      <c r="ILL22" s="559"/>
      <c r="ILM22" s="559"/>
      <c r="ILN22" s="559"/>
      <c r="ILO22" s="559"/>
      <c r="ILP22" s="559"/>
      <c r="ILQ22" s="559"/>
      <c r="ILR22" s="559"/>
      <c r="ILS22" s="559"/>
      <c r="ILT22" s="559"/>
      <c r="ILU22" s="559"/>
      <c r="ILV22" s="559"/>
      <c r="ILW22" s="559"/>
      <c r="ILX22" s="559"/>
      <c r="ILY22" s="559"/>
      <c r="ILZ22" s="559"/>
      <c r="IMA22" s="559"/>
      <c r="IMB22" s="559"/>
      <c r="IMC22" s="559"/>
      <c r="IMD22" s="559"/>
      <c r="IME22" s="559"/>
      <c r="IMF22" s="559"/>
      <c r="IMG22" s="559"/>
      <c r="IMH22" s="559"/>
      <c r="IMI22" s="559"/>
      <c r="IMJ22" s="559"/>
      <c r="IMK22" s="559"/>
      <c r="IML22" s="559"/>
      <c r="IMM22" s="559"/>
      <c r="IMN22" s="559"/>
      <c r="IMO22" s="559"/>
      <c r="IMP22" s="559"/>
      <c r="IMQ22" s="559"/>
      <c r="IMR22" s="559"/>
      <c r="IMS22" s="559"/>
      <c r="IMT22" s="559"/>
      <c r="IMU22" s="559"/>
      <c r="IMV22" s="559"/>
      <c r="IMW22" s="559"/>
      <c r="IMX22" s="559"/>
      <c r="IMY22" s="559"/>
      <c r="IMZ22" s="559"/>
      <c r="INA22" s="559"/>
      <c r="INB22" s="559"/>
      <c r="INC22" s="559"/>
      <c r="IND22" s="559"/>
      <c r="INE22" s="559"/>
      <c r="INF22" s="559"/>
      <c r="ING22" s="559"/>
      <c r="INH22" s="559"/>
      <c r="INI22" s="559"/>
      <c r="INJ22" s="559"/>
      <c r="INK22" s="559"/>
      <c r="INL22" s="559"/>
      <c r="INM22" s="559"/>
      <c r="INN22" s="559"/>
      <c r="INO22" s="559"/>
      <c r="INP22" s="559"/>
      <c r="INQ22" s="559"/>
      <c r="INR22" s="559"/>
      <c r="INS22" s="559"/>
      <c r="INT22" s="559"/>
      <c r="INU22" s="559"/>
      <c r="INV22" s="559"/>
      <c r="INW22" s="559"/>
      <c r="INX22" s="559"/>
      <c r="INY22" s="559"/>
      <c r="INZ22" s="559"/>
      <c r="IOA22" s="559"/>
      <c r="IOB22" s="559"/>
      <c r="IOC22" s="559"/>
      <c r="IOD22" s="559"/>
      <c r="IOE22" s="559"/>
      <c r="IOF22" s="559"/>
      <c r="IOG22" s="559"/>
      <c r="IOH22" s="559"/>
      <c r="IOI22" s="559"/>
      <c r="IOJ22" s="559"/>
      <c r="IOK22" s="559"/>
      <c r="IOL22" s="559"/>
      <c r="IOM22" s="559"/>
      <c r="ION22" s="559"/>
      <c r="IOO22" s="559"/>
      <c r="IOP22" s="559"/>
      <c r="IOQ22" s="559"/>
      <c r="IOR22" s="559"/>
      <c r="IOS22" s="559"/>
      <c r="IOT22" s="559"/>
      <c r="IOU22" s="559"/>
      <c r="IOV22" s="559"/>
      <c r="IOW22" s="559"/>
      <c r="IOX22" s="559"/>
      <c r="IOY22" s="559"/>
      <c r="IOZ22" s="559"/>
      <c r="IPA22" s="559"/>
      <c r="IPB22" s="559"/>
      <c r="IPC22" s="559"/>
      <c r="IPD22" s="559"/>
      <c r="IPE22" s="559"/>
      <c r="IPF22" s="559"/>
      <c r="IPG22" s="559"/>
      <c r="IPH22" s="559"/>
      <c r="IPI22" s="559"/>
      <c r="IPJ22" s="559"/>
      <c r="IPK22" s="559"/>
      <c r="IPL22" s="559"/>
      <c r="IPM22" s="559"/>
      <c r="IPN22" s="559"/>
      <c r="IPO22" s="559"/>
      <c r="IPP22" s="559"/>
      <c r="IPQ22" s="559"/>
      <c r="IPR22" s="559"/>
      <c r="IPS22" s="559"/>
      <c r="IPT22" s="559"/>
      <c r="IPU22" s="559"/>
      <c r="IPV22" s="559"/>
      <c r="IPW22" s="559"/>
      <c r="IPX22" s="559"/>
      <c r="IPY22" s="559"/>
      <c r="IPZ22" s="559"/>
      <c r="IQA22" s="559"/>
      <c r="IQB22" s="559"/>
      <c r="IQC22" s="559"/>
      <c r="IQD22" s="559"/>
      <c r="IQE22" s="559"/>
      <c r="IQF22" s="559"/>
      <c r="IQG22" s="559"/>
      <c r="IQH22" s="559"/>
      <c r="IQI22" s="559"/>
      <c r="IQJ22" s="559"/>
      <c r="IQK22" s="559"/>
      <c r="IQL22" s="559"/>
      <c r="IQM22" s="559"/>
      <c r="IQN22" s="559"/>
      <c r="IQO22" s="559"/>
      <c r="IQP22" s="559"/>
      <c r="IQQ22" s="559"/>
      <c r="IQR22" s="559"/>
      <c r="IQS22" s="559"/>
      <c r="IQT22" s="559"/>
      <c r="IQU22" s="559"/>
      <c r="IQV22" s="559"/>
      <c r="IQW22" s="559"/>
      <c r="IQX22" s="559"/>
      <c r="IQY22" s="559"/>
      <c r="IQZ22" s="559"/>
      <c r="IRA22" s="559"/>
      <c r="IRB22" s="559"/>
      <c r="IRC22" s="559"/>
      <c r="IRD22" s="559"/>
      <c r="IRE22" s="559"/>
      <c r="IRF22" s="559"/>
      <c r="IRG22" s="559"/>
      <c r="IRH22" s="559"/>
      <c r="IRI22" s="559"/>
      <c r="IRJ22" s="559"/>
      <c r="IRK22" s="559"/>
      <c r="IRL22" s="559"/>
      <c r="IRM22" s="559"/>
      <c r="IRN22" s="559"/>
      <c r="IRO22" s="559"/>
      <c r="IRP22" s="559"/>
      <c r="IRQ22" s="559"/>
      <c r="IRR22" s="559"/>
      <c r="IRS22" s="559"/>
      <c r="IRT22" s="559"/>
      <c r="IRU22" s="559"/>
      <c r="IRV22" s="559"/>
      <c r="IRW22" s="559"/>
      <c r="IRX22" s="559"/>
      <c r="IRY22" s="559"/>
      <c r="IRZ22" s="559"/>
      <c r="ISA22" s="559"/>
      <c r="ISB22" s="559"/>
      <c r="ISC22" s="559"/>
      <c r="ISD22" s="559"/>
      <c r="ISE22" s="559"/>
      <c r="ISF22" s="559"/>
      <c r="ISG22" s="559"/>
      <c r="ISH22" s="559"/>
      <c r="ISI22" s="559"/>
      <c r="ISJ22" s="559"/>
      <c r="ISK22" s="559"/>
      <c r="ISL22" s="559"/>
      <c r="ISM22" s="559"/>
      <c r="ISN22" s="559"/>
      <c r="ISO22" s="559"/>
      <c r="ISP22" s="559"/>
      <c r="ISQ22" s="559"/>
      <c r="ISR22" s="559"/>
      <c r="ISS22" s="559"/>
      <c r="IST22" s="559"/>
      <c r="ISU22" s="559"/>
      <c r="ISV22" s="559"/>
      <c r="ISW22" s="559"/>
      <c r="ISX22" s="559"/>
      <c r="ISY22" s="559"/>
      <c r="ISZ22" s="559"/>
      <c r="ITA22" s="559"/>
      <c r="ITB22" s="559"/>
      <c r="ITC22" s="559"/>
      <c r="ITD22" s="559"/>
      <c r="ITE22" s="559"/>
      <c r="ITF22" s="559"/>
      <c r="ITG22" s="559"/>
      <c r="ITH22" s="559"/>
      <c r="ITI22" s="559"/>
      <c r="ITJ22" s="559"/>
      <c r="ITK22" s="559"/>
      <c r="ITL22" s="559"/>
      <c r="ITM22" s="559"/>
      <c r="ITN22" s="559"/>
      <c r="ITO22" s="559"/>
      <c r="ITP22" s="559"/>
      <c r="ITQ22" s="559"/>
      <c r="ITR22" s="559"/>
      <c r="ITS22" s="559"/>
      <c r="ITT22" s="559"/>
      <c r="ITU22" s="559"/>
      <c r="ITV22" s="559"/>
      <c r="ITW22" s="559"/>
      <c r="ITX22" s="559"/>
      <c r="ITY22" s="559"/>
      <c r="ITZ22" s="559"/>
      <c r="IUA22" s="559"/>
      <c r="IUB22" s="559"/>
      <c r="IUC22" s="559"/>
      <c r="IUD22" s="559"/>
      <c r="IUE22" s="559"/>
      <c r="IUF22" s="559"/>
      <c r="IUG22" s="559"/>
      <c r="IUH22" s="559"/>
      <c r="IUI22" s="559"/>
      <c r="IUJ22" s="559"/>
      <c r="IUK22" s="559"/>
      <c r="IUL22" s="559"/>
      <c r="IUM22" s="559"/>
      <c r="IUN22" s="559"/>
      <c r="IUO22" s="559"/>
      <c r="IUP22" s="559"/>
      <c r="IUQ22" s="559"/>
      <c r="IUR22" s="559"/>
      <c r="IUS22" s="559"/>
      <c r="IUT22" s="559"/>
      <c r="IUU22" s="559"/>
      <c r="IUV22" s="559"/>
      <c r="IUW22" s="559"/>
      <c r="IUX22" s="559"/>
      <c r="IUY22" s="559"/>
      <c r="IUZ22" s="559"/>
      <c r="IVA22" s="559"/>
      <c r="IVB22" s="559"/>
      <c r="IVC22" s="559"/>
      <c r="IVD22" s="559"/>
      <c r="IVE22" s="559"/>
      <c r="IVF22" s="559"/>
      <c r="IVG22" s="559"/>
      <c r="IVH22" s="559"/>
      <c r="IVI22" s="559"/>
      <c r="IVJ22" s="559"/>
      <c r="IVK22" s="559"/>
      <c r="IVL22" s="559"/>
      <c r="IVM22" s="559"/>
      <c r="IVN22" s="559"/>
      <c r="IVO22" s="559"/>
      <c r="IVP22" s="559"/>
      <c r="IVQ22" s="559"/>
      <c r="IVR22" s="559"/>
      <c r="IVS22" s="559"/>
      <c r="IVT22" s="559"/>
      <c r="IVU22" s="559"/>
      <c r="IVV22" s="559"/>
      <c r="IVW22" s="559"/>
      <c r="IVX22" s="559"/>
      <c r="IVY22" s="559"/>
      <c r="IVZ22" s="559"/>
      <c r="IWA22" s="559"/>
      <c r="IWB22" s="559"/>
      <c r="IWC22" s="559"/>
      <c r="IWD22" s="559"/>
      <c r="IWE22" s="559"/>
      <c r="IWF22" s="559"/>
      <c r="IWG22" s="559"/>
      <c r="IWH22" s="559"/>
      <c r="IWI22" s="559"/>
      <c r="IWJ22" s="559"/>
      <c r="IWK22" s="559"/>
      <c r="IWL22" s="559"/>
      <c r="IWM22" s="559"/>
      <c r="IWN22" s="559"/>
      <c r="IWO22" s="559"/>
      <c r="IWP22" s="559"/>
      <c r="IWQ22" s="559"/>
      <c r="IWR22" s="559"/>
      <c r="IWS22" s="559"/>
      <c r="IWT22" s="559"/>
      <c r="IWU22" s="559"/>
      <c r="IWV22" s="559"/>
      <c r="IWW22" s="559"/>
      <c r="IWX22" s="559"/>
      <c r="IWY22" s="559"/>
      <c r="IWZ22" s="559"/>
      <c r="IXA22" s="559"/>
      <c r="IXB22" s="559"/>
      <c r="IXC22" s="559"/>
      <c r="IXD22" s="559"/>
      <c r="IXE22" s="559"/>
      <c r="IXF22" s="559"/>
      <c r="IXG22" s="559"/>
      <c r="IXH22" s="559"/>
      <c r="IXI22" s="559"/>
      <c r="IXJ22" s="559"/>
      <c r="IXK22" s="559"/>
      <c r="IXL22" s="559"/>
      <c r="IXM22" s="559"/>
      <c r="IXN22" s="559"/>
      <c r="IXO22" s="559"/>
      <c r="IXP22" s="559"/>
      <c r="IXQ22" s="559"/>
      <c r="IXR22" s="559"/>
      <c r="IXS22" s="559"/>
      <c r="IXT22" s="559"/>
      <c r="IXU22" s="559"/>
      <c r="IXV22" s="559"/>
      <c r="IXW22" s="559"/>
      <c r="IXX22" s="559"/>
      <c r="IXY22" s="559"/>
      <c r="IXZ22" s="559"/>
      <c r="IYA22" s="559"/>
      <c r="IYB22" s="559"/>
      <c r="IYC22" s="559"/>
      <c r="IYD22" s="559"/>
      <c r="IYE22" s="559"/>
      <c r="IYF22" s="559"/>
      <c r="IYG22" s="559"/>
      <c r="IYH22" s="559"/>
      <c r="IYI22" s="559"/>
      <c r="IYJ22" s="559"/>
      <c r="IYK22" s="559"/>
      <c r="IYL22" s="559"/>
      <c r="IYM22" s="559"/>
      <c r="IYN22" s="559"/>
      <c r="IYO22" s="559"/>
      <c r="IYP22" s="559"/>
      <c r="IYQ22" s="559"/>
      <c r="IYR22" s="559"/>
      <c r="IYS22" s="559"/>
      <c r="IYT22" s="559"/>
      <c r="IYU22" s="559"/>
      <c r="IYV22" s="559"/>
      <c r="IYW22" s="559"/>
      <c r="IYX22" s="559"/>
      <c r="IYY22" s="559"/>
      <c r="IYZ22" s="559"/>
      <c r="IZA22" s="559"/>
      <c r="IZB22" s="559"/>
      <c r="IZC22" s="559"/>
      <c r="IZD22" s="559"/>
      <c r="IZE22" s="559"/>
      <c r="IZF22" s="559"/>
      <c r="IZG22" s="559"/>
      <c r="IZH22" s="559"/>
      <c r="IZI22" s="559"/>
      <c r="IZJ22" s="559"/>
      <c r="IZK22" s="559"/>
      <c r="IZL22" s="559"/>
      <c r="IZM22" s="559"/>
      <c r="IZN22" s="559"/>
      <c r="IZO22" s="559"/>
      <c r="IZP22" s="559"/>
      <c r="IZQ22" s="559"/>
      <c r="IZR22" s="559"/>
      <c r="IZS22" s="559"/>
      <c r="IZT22" s="559"/>
      <c r="IZU22" s="559"/>
      <c r="IZV22" s="559"/>
      <c r="IZW22" s="559"/>
      <c r="IZX22" s="559"/>
      <c r="IZY22" s="559"/>
      <c r="IZZ22" s="559"/>
      <c r="JAA22" s="559"/>
      <c r="JAB22" s="559"/>
      <c r="JAC22" s="559"/>
      <c r="JAD22" s="559"/>
      <c r="JAE22" s="559"/>
      <c r="JAF22" s="559"/>
      <c r="JAG22" s="559"/>
      <c r="JAH22" s="559"/>
      <c r="JAI22" s="559"/>
      <c r="JAJ22" s="559"/>
      <c r="JAK22" s="559"/>
      <c r="JAL22" s="559"/>
      <c r="JAM22" s="559"/>
      <c r="JAN22" s="559"/>
      <c r="JAO22" s="559"/>
      <c r="JAP22" s="559"/>
      <c r="JAQ22" s="559"/>
      <c r="JAR22" s="559"/>
      <c r="JAS22" s="559"/>
      <c r="JAT22" s="559"/>
      <c r="JAU22" s="559"/>
      <c r="JAV22" s="559"/>
      <c r="JAW22" s="559"/>
      <c r="JAX22" s="559"/>
      <c r="JAY22" s="559"/>
      <c r="JAZ22" s="559"/>
      <c r="JBA22" s="559"/>
      <c r="JBB22" s="559"/>
      <c r="JBC22" s="559"/>
      <c r="JBD22" s="559"/>
      <c r="JBE22" s="559"/>
      <c r="JBF22" s="559"/>
      <c r="JBG22" s="559"/>
      <c r="JBH22" s="559"/>
      <c r="JBI22" s="559"/>
      <c r="JBJ22" s="559"/>
      <c r="JBK22" s="559"/>
      <c r="JBL22" s="559"/>
      <c r="JBM22" s="559"/>
      <c r="JBN22" s="559"/>
      <c r="JBO22" s="559"/>
      <c r="JBP22" s="559"/>
      <c r="JBQ22" s="559"/>
      <c r="JBR22" s="559"/>
      <c r="JBS22" s="559"/>
      <c r="JBT22" s="559"/>
      <c r="JBU22" s="559"/>
      <c r="JBV22" s="559"/>
      <c r="JBW22" s="559"/>
      <c r="JBX22" s="559"/>
      <c r="JBY22" s="559"/>
      <c r="JBZ22" s="559"/>
      <c r="JCA22" s="559"/>
      <c r="JCB22" s="559"/>
      <c r="JCC22" s="559"/>
      <c r="JCD22" s="559"/>
      <c r="JCE22" s="559"/>
      <c r="JCF22" s="559"/>
      <c r="JCG22" s="559"/>
      <c r="JCH22" s="559"/>
      <c r="JCI22" s="559"/>
      <c r="JCJ22" s="559"/>
      <c r="JCK22" s="559"/>
      <c r="JCL22" s="559"/>
      <c r="JCM22" s="559"/>
      <c r="JCN22" s="559"/>
      <c r="JCO22" s="559"/>
      <c r="JCP22" s="559"/>
      <c r="JCQ22" s="559"/>
      <c r="JCR22" s="559"/>
      <c r="JCS22" s="559"/>
      <c r="JCT22" s="559"/>
      <c r="JCU22" s="559"/>
      <c r="JCV22" s="559"/>
      <c r="JCW22" s="559"/>
      <c r="JCX22" s="559"/>
      <c r="JCY22" s="559"/>
      <c r="JCZ22" s="559"/>
      <c r="JDA22" s="559"/>
      <c r="JDB22" s="559"/>
      <c r="JDC22" s="559"/>
      <c r="JDD22" s="559"/>
      <c r="JDE22" s="559"/>
      <c r="JDF22" s="559"/>
      <c r="JDG22" s="559"/>
      <c r="JDH22" s="559"/>
      <c r="JDI22" s="559"/>
      <c r="JDJ22" s="559"/>
      <c r="JDK22" s="559"/>
      <c r="JDL22" s="559"/>
      <c r="JDM22" s="559"/>
      <c r="JDN22" s="559"/>
      <c r="JDO22" s="559"/>
      <c r="JDP22" s="559"/>
      <c r="JDQ22" s="559"/>
      <c r="JDR22" s="559"/>
      <c r="JDS22" s="559"/>
      <c r="JDT22" s="559"/>
      <c r="JDU22" s="559"/>
      <c r="JDV22" s="559"/>
      <c r="JDW22" s="559"/>
      <c r="JDX22" s="559"/>
      <c r="JDY22" s="559"/>
      <c r="JDZ22" s="559"/>
      <c r="JEA22" s="559"/>
      <c r="JEB22" s="559"/>
      <c r="JEC22" s="559"/>
      <c r="JED22" s="559"/>
      <c r="JEE22" s="559"/>
      <c r="JEF22" s="559"/>
      <c r="JEG22" s="559"/>
      <c r="JEH22" s="559"/>
      <c r="JEI22" s="559"/>
      <c r="JEJ22" s="559"/>
      <c r="JEK22" s="559"/>
      <c r="JEL22" s="559"/>
      <c r="JEM22" s="559"/>
      <c r="JEN22" s="559"/>
      <c r="JEO22" s="559"/>
      <c r="JEP22" s="559"/>
      <c r="JEQ22" s="559"/>
      <c r="JER22" s="559"/>
      <c r="JES22" s="559"/>
      <c r="JET22" s="559"/>
      <c r="JEU22" s="559"/>
      <c r="JEV22" s="559"/>
      <c r="JEW22" s="559"/>
      <c r="JEX22" s="559"/>
      <c r="JEY22" s="559"/>
      <c r="JEZ22" s="559"/>
      <c r="JFA22" s="559"/>
      <c r="JFB22" s="559"/>
      <c r="JFC22" s="559"/>
      <c r="JFD22" s="559"/>
      <c r="JFE22" s="559"/>
      <c r="JFF22" s="559"/>
      <c r="JFG22" s="559"/>
      <c r="JFH22" s="559"/>
      <c r="JFI22" s="559"/>
      <c r="JFJ22" s="559"/>
      <c r="JFK22" s="559"/>
      <c r="JFL22" s="559"/>
      <c r="JFM22" s="559"/>
      <c r="JFN22" s="559"/>
      <c r="JFO22" s="559"/>
      <c r="JFP22" s="559"/>
      <c r="JFQ22" s="559"/>
      <c r="JFR22" s="559"/>
      <c r="JFS22" s="559"/>
      <c r="JFT22" s="559"/>
      <c r="JFU22" s="559"/>
      <c r="JFV22" s="559"/>
      <c r="JFW22" s="559"/>
      <c r="JFX22" s="559"/>
      <c r="JFY22" s="559"/>
      <c r="JFZ22" s="559"/>
      <c r="JGA22" s="559"/>
      <c r="JGB22" s="559"/>
      <c r="JGC22" s="559"/>
      <c r="JGD22" s="559"/>
      <c r="JGE22" s="559"/>
      <c r="JGF22" s="559"/>
      <c r="JGG22" s="559"/>
      <c r="JGH22" s="559"/>
      <c r="JGI22" s="559"/>
      <c r="JGJ22" s="559"/>
      <c r="JGK22" s="559"/>
      <c r="JGL22" s="559"/>
      <c r="JGM22" s="559"/>
      <c r="JGN22" s="559"/>
      <c r="JGO22" s="559"/>
      <c r="JGP22" s="559"/>
      <c r="JGQ22" s="559"/>
      <c r="JGR22" s="559"/>
      <c r="JGS22" s="559"/>
      <c r="JGT22" s="559"/>
      <c r="JGU22" s="559"/>
      <c r="JGV22" s="559"/>
      <c r="JGW22" s="559"/>
      <c r="JGX22" s="559"/>
      <c r="JGY22" s="559"/>
      <c r="JGZ22" s="559"/>
      <c r="JHA22" s="559"/>
      <c r="JHB22" s="559"/>
      <c r="JHC22" s="559"/>
      <c r="JHD22" s="559"/>
      <c r="JHE22" s="559"/>
      <c r="JHF22" s="559"/>
      <c r="JHG22" s="559"/>
      <c r="JHH22" s="559"/>
      <c r="JHI22" s="559"/>
      <c r="JHJ22" s="559"/>
      <c r="JHK22" s="559"/>
      <c r="JHL22" s="559"/>
      <c r="JHM22" s="559"/>
      <c r="JHN22" s="559"/>
      <c r="JHO22" s="559"/>
      <c r="JHP22" s="559"/>
      <c r="JHQ22" s="559"/>
      <c r="JHR22" s="559"/>
      <c r="JHS22" s="559"/>
      <c r="JHT22" s="559"/>
      <c r="JHU22" s="559"/>
      <c r="JHV22" s="559"/>
      <c r="JHW22" s="559"/>
      <c r="JHX22" s="559"/>
      <c r="JHY22" s="559"/>
      <c r="JHZ22" s="559"/>
      <c r="JIA22" s="559"/>
      <c r="JIB22" s="559"/>
      <c r="JIC22" s="559"/>
      <c r="JID22" s="559"/>
      <c r="JIE22" s="559"/>
      <c r="JIF22" s="559"/>
      <c r="JIG22" s="559"/>
      <c r="JIH22" s="559"/>
      <c r="JII22" s="559"/>
      <c r="JIJ22" s="559"/>
      <c r="JIK22" s="559"/>
      <c r="JIL22" s="559"/>
      <c r="JIM22" s="559"/>
      <c r="JIN22" s="559"/>
      <c r="JIO22" s="559"/>
      <c r="JIP22" s="559"/>
      <c r="JIQ22" s="559"/>
      <c r="JIR22" s="559"/>
      <c r="JIS22" s="559"/>
      <c r="JIT22" s="559"/>
      <c r="JIU22" s="559"/>
      <c r="JIV22" s="559"/>
      <c r="JIW22" s="559"/>
      <c r="JIX22" s="559"/>
      <c r="JIY22" s="559"/>
      <c r="JIZ22" s="559"/>
      <c r="JJA22" s="559"/>
      <c r="JJB22" s="559"/>
      <c r="JJC22" s="559"/>
      <c r="JJD22" s="559"/>
      <c r="JJE22" s="559"/>
      <c r="JJF22" s="559"/>
      <c r="JJG22" s="559"/>
      <c r="JJH22" s="559"/>
      <c r="JJI22" s="559"/>
      <c r="JJJ22" s="559"/>
      <c r="JJK22" s="559"/>
      <c r="JJL22" s="559"/>
      <c r="JJM22" s="559"/>
      <c r="JJN22" s="559"/>
      <c r="JJO22" s="559"/>
      <c r="JJP22" s="559"/>
      <c r="JJQ22" s="559"/>
      <c r="JJR22" s="559"/>
      <c r="JJS22" s="559"/>
      <c r="JJT22" s="559"/>
      <c r="JJU22" s="559"/>
      <c r="JJV22" s="559"/>
      <c r="JJW22" s="559"/>
      <c r="JJX22" s="559"/>
      <c r="JJY22" s="559"/>
      <c r="JJZ22" s="559"/>
      <c r="JKA22" s="559"/>
      <c r="JKB22" s="559"/>
      <c r="JKC22" s="559"/>
      <c r="JKD22" s="559"/>
      <c r="JKE22" s="559"/>
      <c r="JKF22" s="559"/>
      <c r="JKG22" s="559"/>
      <c r="JKH22" s="559"/>
      <c r="JKI22" s="559"/>
      <c r="JKJ22" s="559"/>
      <c r="JKK22" s="559"/>
      <c r="JKL22" s="559"/>
      <c r="JKM22" s="559"/>
      <c r="JKN22" s="559"/>
      <c r="JKO22" s="559"/>
      <c r="JKP22" s="559"/>
      <c r="JKQ22" s="559"/>
      <c r="JKR22" s="559"/>
      <c r="JKS22" s="559"/>
      <c r="JKT22" s="559"/>
      <c r="JKU22" s="559"/>
      <c r="JKV22" s="559"/>
      <c r="JKW22" s="559"/>
      <c r="JKX22" s="559"/>
      <c r="JKY22" s="559"/>
      <c r="JKZ22" s="559"/>
      <c r="JLA22" s="559"/>
      <c r="JLB22" s="559"/>
      <c r="JLC22" s="559"/>
      <c r="JLD22" s="559"/>
      <c r="JLE22" s="559"/>
      <c r="JLF22" s="559"/>
      <c r="JLG22" s="559"/>
      <c r="JLH22" s="559"/>
      <c r="JLI22" s="559"/>
      <c r="JLJ22" s="559"/>
      <c r="JLK22" s="559"/>
      <c r="JLL22" s="559"/>
      <c r="JLM22" s="559"/>
      <c r="JLN22" s="559"/>
      <c r="JLO22" s="559"/>
      <c r="JLP22" s="559"/>
      <c r="JLQ22" s="559"/>
      <c r="JLR22" s="559"/>
      <c r="JLS22" s="559"/>
      <c r="JLT22" s="559"/>
      <c r="JLU22" s="559"/>
      <c r="JLV22" s="559"/>
      <c r="JLW22" s="559"/>
      <c r="JLX22" s="559"/>
      <c r="JLY22" s="559"/>
      <c r="JLZ22" s="559"/>
      <c r="JMA22" s="559"/>
      <c r="JMB22" s="559"/>
      <c r="JMC22" s="559"/>
      <c r="JMD22" s="559"/>
      <c r="JME22" s="559"/>
      <c r="JMF22" s="559"/>
      <c r="JMG22" s="559"/>
      <c r="JMH22" s="559"/>
      <c r="JMI22" s="559"/>
      <c r="JMJ22" s="559"/>
      <c r="JMK22" s="559"/>
      <c r="JML22" s="559"/>
      <c r="JMM22" s="559"/>
      <c r="JMN22" s="559"/>
      <c r="JMO22" s="559"/>
      <c r="JMP22" s="559"/>
      <c r="JMQ22" s="559"/>
      <c r="JMR22" s="559"/>
      <c r="JMS22" s="559"/>
      <c r="JMT22" s="559"/>
      <c r="JMU22" s="559"/>
      <c r="JMV22" s="559"/>
      <c r="JMW22" s="559"/>
      <c r="JMX22" s="559"/>
      <c r="JMY22" s="559"/>
      <c r="JMZ22" s="559"/>
      <c r="JNA22" s="559"/>
      <c r="JNB22" s="559"/>
      <c r="JNC22" s="559"/>
      <c r="JND22" s="559"/>
      <c r="JNE22" s="559"/>
      <c r="JNF22" s="559"/>
      <c r="JNG22" s="559"/>
      <c r="JNH22" s="559"/>
      <c r="JNI22" s="559"/>
      <c r="JNJ22" s="559"/>
      <c r="JNK22" s="559"/>
      <c r="JNL22" s="559"/>
      <c r="JNM22" s="559"/>
      <c r="JNN22" s="559"/>
      <c r="JNO22" s="559"/>
      <c r="JNP22" s="559"/>
      <c r="JNQ22" s="559"/>
      <c r="JNR22" s="559"/>
      <c r="JNS22" s="559"/>
      <c r="JNT22" s="559"/>
      <c r="JNU22" s="559"/>
      <c r="JNV22" s="559"/>
      <c r="JNW22" s="559"/>
      <c r="JNX22" s="559"/>
      <c r="JNY22" s="559"/>
      <c r="JNZ22" s="559"/>
      <c r="JOA22" s="559"/>
      <c r="JOB22" s="559"/>
      <c r="JOC22" s="559"/>
      <c r="JOD22" s="559"/>
      <c r="JOE22" s="559"/>
      <c r="JOF22" s="559"/>
      <c r="JOG22" s="559"/>
      <c r="JOH22" s="559"/>
      <c r="JOI22" s="559"/>
      <c r="JOJ22" s="559"/>
      <c r="JOK22" s="559"/>
      <c r="JOL22" s="559"/>
      <c r="JOM22" s="559"/>
      <c r="JON22" s="559"/>
      <c r="JOO22" s="559"/>
      <c r="JOP22" s="559"/>
      <c r="JOQ22" s="559"/>
      <c r="JOR22" s="559"/>
      <c r="JOS22" s="559"/>
      <c r="JOT22" s="559"/>
      <c r="JOU22" s="559"/>
      <c r="JOV22" s="559"/>
      <c r="JOW22" s="559"/>
      <c r="JOX22" s="559"/>
      <c r="JOY22" s="559"/>
      <c r="JOZ22" s="559"/>
      <c r="JPA22" s="559"/>
      <c r="JPB22" s="559"/>
      <c r="JPC22" s="559"/>
      <c r="JPD22" s="559"/>
      <c r="JPE22" s="559"/>
      <c r="JPF22" s="559"/>
      <c r="JPG22" s="559"/>
      <c r="JPH22" s="559"/>
      <c r="JPI22" s="559"/>
      <c r="JPJ22" s="559"/>
      <c r="JPK22" s="559"/>
      <c r="JPL22" s="559"/>
      <c r="JPM22" s="559"/>
      <c r="JPN22" s="559"/>
      <c r="JPO22" s="559"/>
      <c r="JPP22" s="559"/>
      <c r="JPQ22" s="559"/>
      <c r="JPR22" s="559"/>
      <c r="JPS22" s="559"/>
      <c r="JPT22" s="559"/>
      <c r="JPU22" s="559"/>
      <c r="JPV22" s="559"/>
      <c r="JPW22" s="559"/>
      <c r="JPX22" s="559"/>
      <c r="JPY22" s="559"/>
      <c r="JPZ22" s="559"/>
      <c r="JQA22" s="559"/>
      <c r="JQB22" s="559"/>
      <c r="JQC22" s="559"/>
      <c r="JQD22" s="559"/>
      <c r="JQE22" s="559"/>
      <c r="JQF22" s="559"/>
      <c r="JQG22" s="559"/>
      <c r="JQH22" s="559"/>
      <c r="JQI22" s="559"/>
      <c r="JQJ22" s="559"/>
      <c r="JQK22" s="559"/>
      <c r="JQL22" s="559"/>
      <c r="JQM22" s="559"/>
      <c r="JQN22" s="559"/>
      <c r="JQO22" s="559"/>
      <c r="JQP22" s="559"/>
      <c r="JQQ22" s="559"/>
      <c r="JQR22" s="559"/>
      <c r="JQS22" s="559"/>
      <c r="JQT22" s="559"/>
      <c r="JQU22" s="559"/>
      <c r="JQV22" s="559"/>
      <c r="JQW22" s="559"/>
      <c r="JQX22" s="559"/>
      <c r="JQY22" s="559"/>
      <c r="JQZ22" s="559"/>
      <c r="JRA22" s="559"/>
      <c r="JRB22" s="559"/>
      <c r="JRC22" s="559"/>
      <c r="JRD22" s="559"/>
      <c r="JRE22" s="559"/>
      <c r="JRF22" s="559"/>
      <c r="JRG22" s="559"/>
      <c r="JRH22" s="559"/>
      <c r="JRI22" s="559"/>
      <c r="JRJ22" s="559"/>
      <c r="JRK22" s="559"/>
      <c r="JRL22" s="559"/>
      <c r="JRM22" s="559"/>
      <c r="JRN22" s="559"/>
      <c r="JRO22" s="559"/>
      <c r="JRP22" s="559"/>
      <c r="JRQ22" s="559"/>
      <c r="JRR22" s="559"/>
      <c r="JRS22" s="559"/>
      <c r="JRT22" s="559"/>
      <c r="JRU22" s="559"/>
      <c r="JRV22" s="559"/>
      <c r="JRW22" s="559"/>
      <c r="JRX22" s="559"/>
      <c r="JRY22" s="559"/>
      <c r="JRZ22" s="559"/>
      <c r="JSA22" s="559"/>
      <c r="JSB22" s="559"/>
      <c r="JSC22" s="559"/>
      <c r="JSD22" s="559"/>
      <c r="JSE22" s="559"/>
      <c r="JSF22" s="559"/>
      <c r="JSG22" s="559"/>
      <c r="JSH22" s="559"/>
      <c r="JSI22" s="559"/>
      <c r="JSJ22" s="559"/>
      <c r="JSK22" s="559"/>
      <c r="JSL22" s="559"/>
      <c r="JSM22" s="559"/>
      <c r="JSN22" s="559"/>
      <c r="JSO22" s="559"/>
      <c r="JSP22" s="559"/>
      <c r="JSQ22" s="559"/>
      <c r="JSR22" s="559"/>
      <c r="JSS22" s="559"/>
      <c r="JST22" s="559"/>
      <c r="JSU22" s="559"/>
      <c r="JSV22" s="559"/>
      <c r="JSW22" s="559"/>
      <c r="JSX22" s="559"/>
      <c r="JSY22" s="559"/>
      <c r="JSZ22" s="559"/>
      <c r="JTA22" s="559"/>
      <c r="JTB22" s="559"/>
      <c r="JTC22" s="559"/>
      <c r="JTD22" s="559"/>
      <c r="JTE22" s="559"/>
      <c r="JTF22" s="559"/>
      <c r="JTG22" s="559"/>
      <c r="JTH22" s="559"/>
      <c r="JTI22" s="559"/>
      <c r="JTJ22" s="559"/>
      <c r="JTK22" s="559"/>
      <c r="JTL22" s="559"/>
      <c r="JTM22" s="559"/>
      <c r="JTN22" s="559"/>
      <c r="JTO22" s="559"/>
      <c r="JTP22" s="559"/>
      <c r="JTQ22" s="559"/>
      <c r="JTR22" s="559"/>
      <c r="JTS22" s="559"/>
      <c r="JTT22" s="559"/>
      <c r="JTU22" s="559"/>
      <c r="JTV22" s="559"/>
      <c r="JTW22" s="559"/>
      <c r="JTX22" s="559"/>
      <c r="JTY22" s="559"/>
      <c r="JTZ22" s="559"/>
      <c r="JUA22" s="559"/>
      <c r="JUB22" s="559"/>
      <c r="JUC22" s="559"/>
      <c r="JUD22" s="559"/>
      <c r="JUE22" s="559"/>
      <c r="JUF22" s="559"/>
      <c r="JUG22" s="559"/>
      <c r="JUH22" s="559"/>
      <c r="JUI22" s="559"/>
      <c r="JUJ22" s="559"/>
      <c r="JUK22" s="559"/>
      <c r="JUL22" s="559"/>
      <c r="JUM22" s="559"/>
      <c r="JUN22" s="559"/>
      <c r="JUO22" s="559"/>
      <c r="JUP22" s="559"/>
      <c r="JUQ22" s="559"/>
      <c r="JUR22" s="559"/>
      <c r="JUS22" s="559"/>
      <c r="JUT22" s="559"/>
      <c r="JUU22" s="559"/>
      <c r="JUV22" s="559"/>
      <c r="JUW22" s="559"/>
      <c r="JUX22" s="559"/>
      <c r="JUY22" s="559"/>
      <c r="JUZ22" s="559"/>
      <c r="JVA22" s="559"/>
      <c r="JVB22" s="559"/>
      <c r="JVC22" s="559"/>
      <c r="JVD22" s="559"/>
      <c r="JVE22" s="559"/>
      <c r="JVF22" s="559"/>
      <c r="JVG22" s="559"/>
      <c r="JVH22" s="559"/>
      <c r="JVI22" s="559"/>
      <c r="JVJ22" s="559"/>
      <c r="JVK22" s="559"/>
      <c r="JVL22" s="559"/>
      <c r="JVM22" s="559"/>
      <c r="JVN22" s="559"/>
      <c r="JVO22" s="559"/>
      <c r="JVP22" s="559"/>
      <c r="JVQ22" s="559"/>
      <c r="JVR22" s="559"/>
      <c r="JVS22" s="559"/>
      <c r="JVT22" s="559"/>
      <c r="JVU22" s="559"/>
      <c r="JVV22" s="559"/>
      <c r="JVW22" s="559"/>
      <c r="JVX22" s="559"/>
      <c r="JVY22" s="559"/>
      <c r="JVZ22" s="559"/>
      <c r="JWA22" s="559"/>
      <c r="JWB22" s="559"/>
      <c r="JWC22" s="559"/>
      <c r="JWD22" s="559"/>
      <c r="JWE22" s="559"/>
      <c r="JWF22" s="559"/>
      <c r="JWG22" s="559"/>
      <c r="JWH22" s="559"/>
      <c r="JWI22" s="559"/>
      <c r="JWJ22" s="559"/>
      <c r="JWK22" s="559"/>
      <c r="JWL22" s="559"/>
      <c r="JWM22" s="559"/>
      <c r="JWN22" s="559"/>
      <c r="JWO22" s="559"/>
      <c r="JWP22" s="559"/>
      <c r="JWQ22" s="559"/>
      <c r="JWR22" s="559"/>
      <c r="JWS22" s="559"/>
      <c r="JWT22" s="559"/>
      <c r="JWU22" s="559"/>
      <c r="JWV22" s="559"/>
      <c r="JWW22" s="559"/>
      <c r="JWX22" s="559"/>
      <c r="JWY22" s="559"/>
      <c r="JWZ22" s="559"/>
      <c r="JXA22" s="559"/>
      <c r="JXB22" s="559"/>
      <c r="JXC22" s="559"/>
      <c r="JXD22" s="559"/>
      <c r="JXE22" s="559"/>
      <c r="JXF22" s="559"/>
      <c r="JXG22" s="559"/>
      <c r="JXH22" s="559"/>
      <c r="JXI22" s="559"/>
      <c r="JXJ22" s="559"/>
      <c r="JXK22" s="559"/>
      <c r="JXL22" s="559"/>
      <c r="JXM22" s="559"/>
      <c r="JXN22" s="559"/>
      <c r="JXO22" s="559"/>
      <c r="JXP22" s="559"/>
      <c r="JXQ22" s="559"/>
      <c r="JXR22" s="559"/>
      <c r="JXS22" s="559"/>
      <c r="JXT22" s="559"/>
      <c r="JXU22" s="559"/>
      <c r="JXV22" s="559"/>
      <c r="JXW22" s="559"/>
      <c r="JXX22" s="559"/>
      <c r="JXY22" s="559"/>
      <c r="JXZ22" s="559"/>
      <c r="JYA22" s="559"/>
      <c r="JYB22" s="559"/>
      <c r="JYC22" s="559"/>
      <c r="JYD22" s="559"/>
      <c r="JYE22" s="559"/>
      <c r="JYF22" s="559"/>
      <c r="JYG22" s="559"/>
      <c r="JYH22" s="559"/>
      <c r="JYI22" s="559"/>
      <c r="JYJ22" s="559"/>
      <c r="JYK22" s="559"/>
      <c r="JYL22" s="559"/>
      <c r="JYM22" s="559"/>
      <c r="JYN22" s="559"/>
      <c r="JYO22" s="559"/>
      <c r="JYP22" s="559"/>
      <c r="JYQ22" s="559"/>
      <c r="JYR22" s="559"/>
      <c r="JYS22" s="559"/>
      <c r="JYT22" s="559"/>
      <c r="JYU22" s="559"/>
      <c r="JYV22" s="559"/>
      <c r="JYW22" s="559"/>
      <c r="JYX22" s="559"/>
      <c r="JYY22" s="559"/>
      <c r="JYZ22" s="559"/>
      <c r="JZA22" s="559"/>
      <c r="JZB22" s="559"/>
      <c r="JZC22" s="559"/>
      <c r="JZD22" s="559"/>
      <c r="JZE22" s="559"/>
      <c r="JZF22" s="559"/>
      <c r="JZG22" s="559"/>
      <c r="JZH22" s="559"/>
      <c r="JZI22" s="559"/>
      <c r="JZJ22" s="559"/>
      <c r="JZK22" s="559"/>
      <c r="JZL22" s="559"/>
      <c r="JZM22" s="559"/>
      <c r="JZN22" s="559"/>
      <c r="JZO22" s="559"/>
      <c r="JZP22" s="559"/>
      <c r="JZQ22" s="559"/>
      <c r="JZR22" s="559"/>
      <c r="JZS22" s="559"/>
      <c r="JZT22" s="559"/>
      <c r="JZU22" s="559"/>
      <c r="JZV22" s="559"/>
      <c r="JZW22" s="559"/>
      <c r="JZX22" s="559"/>
      <c r="JZY22" s="559"/>
      <c r="JZZ22" s="559"/>
      <c r="KAA22" s="559"/>
      <c r="KAB22" s="559"/>
      <c r="KAC22" s="559"/>
      <c r="KAD22" s="559"/>
      <c r="KAE22" s="559"/>
      <c r="KAF22" s="559"/>
      <c r="KAG22" s="559"/>
      <c r="KAH22" s="559"/>
      <c r="KAI22" s="559"/>
      <c r="KAJ22" s="559"/>
      <c r="KAK22" s="559"/>
      <c r="KAL22" s="559"/>
      <c r="KAM22" s="559"/>
      <c r="KAN22" s="559"/>
      <c r="KAO22" s="559"/>
      <c r="KAP22" s="559"/>
      <c r="KAQ22" s="559"/>
      <c r="KAR22" s="559"/>
      <c r="KAS22" s="559"/>
      <c r="KAT22" s="559"/>
      <c r="KAU22" s="559"/>
      <c r="KAV22" s="559"/>
      <c r="KAW22" s="559"/>
      <c r="KAX22" s="559"/>
      <c r="KAY22" s="559"/>
      <c r="KAZ22" s="559"/>
      <c r="KBA22" s="559"/>
      <c r="KBB22" s="559"/>
      <c r="KBC22" s="559"/>
      <c r="KBD22" s="559"/>
      <c r="KBE22" s="559"/>
      <c r="KBF22" s="559"/>
      <c r="KBG22" s="559"/>
      <c r="KBH22" s="559"/>
      <c r="KBI22" s="559"/>
      <c r="KBJ22" s="559"/>
      <c r="KBK22" s="559"/>
      <c r="KBL22" s="559"/>
      <c r="KBM22" s="559"/>
      <c r="KBN22" s="559"/>
      <c r="KBO22" s="559"/>
      <c r="KBP22" s="559"/>
      <c r="KBQ22" s="559"/>
      <c r="KBR22" s="559"/>
      <c r="KBS22" s="559"/>
      <c r="KBT22" s="559"/>
      <c r="KBU22" s="559"/>
      <c r="KBV22" s="559"/>
      <c r="KBW22" s="559"/>
      <c r="KBX22" s="559"/>
      <c r="KBY22" s="559"/>
      <c r="KBZ22" s="559"/>
      <c r="KCA22" s="559"/>
      <c r="KCB22" s="559"/>
      <c r="KCC22" s="559"/>
      <c r="KCD22" s="559"/>
      <c r="KCE22" s="559"/>
      <c r="KCF22" s="559"/>
      <c r="KCG22" s="559"/>
      <c r="KCH22" s="559"/>
      <c r="KCI22" s="559"/>
      <c r="KCJ22" s="559"/>
      <c r="KCK22" s="559"/>
      <c r="KCL22" s="559"/>
      <c r="KCM22" s="559"/>
      <c r="KCN22" s="559"/>
      <c r="KCO22" s="559"/>
      <c r="KCP22" s="559"/>
      <c r="KCQ22" s="559"/>
      <c r="KCR22" s="559"/>
      <c r="KCS22" s="559"/>
      <c r="KCT22" s="559"/>
      <c r="KCU22" s="559"/>
      <c r="KCV22" s="559"/>
      <c r="KCW22" s="559"/>
      <c r="KCX22" s="559"/>
      <c r="KCY22" s="559"/>
      <c r="KCZ22" s="559"/>
      <c r="KDA22" s="559"/>
      <c r="KDB22" s="559"/>
      <c r="KDC22" s="559"/>
      <c r="KDD22" s="559"/>
      <c r="KDE22" s="559"/>
      <c r="KDF22" s="559"/>
      <c r="KDG22" s="559"/>
      <c r="KDH22" s="559"/>
      <c r="KDI22" s="559"/>
      <c r="KDJ22" s="559"/>
      <c r="KDK22" s="559"/>
      <c r="KDL22" s="559"/>
      <c r="KDM22" s="559"/>
      <c r="KDN22" s="559"/>
      <c r="KDO22" s="559"/>
      <c r="KDP22" s="559"/>
      <c r="KDQ22" s="559"/>
      <c r="KDR22" s="559"/>
      <c r="KDS22" s="559"/>
      <c r="KDT22" s="559"/>
      <c r="KDU22" s="559"/>
      <c r="KDV22" s="559"/>
      <c r="KDW22" s="559"/>
      <c r="KDX22" s="559"/>
      <c r="KDY22" s="559"/>
      <c r="KDZ22" s="559"/>
      <c r="KEA22" s="559"/>
      <c r="KEB22" s="559"/>
      <c r="KEC22" s="559"/>
      <c r="KED22" s="559"/>
      <c r="KEE22" s="559"/>
      <c r="KEF22" s="559"/>
      <c r="KEG22" s="559"/>
      <c r="KEH22" s="559"/>
      <c r="KEI22" s="559"/>
      <c r="KEJ22" s="559"/>
      <c r="KEK22" s="559"/>
      <c r="KEL22" s="559"/>
      <c r="KEM22" s="559"/>
      <c r="KEN22" s="559"/>
      <c r="KEO22" s="559"/>
      <c r="KEP22" s="559"/>
      <c r="KEQ22" s="559"/>
      <c r="KER22" s="559"/>
      <c r="KES22" s="559"/>
      <c r="KET22" s="559"/>
      <c r="KEU22" s="559"/>
      <c r="KEV22" s="559"/>
      <c r="KEW22" s="559"/>
      <c r="KEX22" s="559"/>
      <c r="KEY22" s="559"/>
      <c r="KEZ22" s="559"/>
      <c r="KFA22" s="559"/>
      <c r="KFB22" s="559"/>
      <c r="KFC22" s="559"/>
      <c r="KFD22" s="559"/>
      <c r="KFE22" s="559"/>
      <c r="KFF22" s="559"/>
      <c r="KFG22" s="559"/>
      <c r="KFH22" s="559"/>
      <c r="KFI22" s="559"/>
      <c r="KFJ22" s="559"/>
      <c r="KFK22" s="559"/>
      <c r="KFL22" s="559"/>
      <c r="KFM22" s="559"/>
      <c r="KFN22" s="559"/>
      <c r="KFO22" s="559"/>
      <c r="KFP22" s="559"/>
      <c r="KFQ22" s="559"/>
      <c r="KFR22" s="559"/>
      <c r="KFS22" s="559"/>
      <c r="KFT22" s="559"/>
      <c r="KFU22" s="559"/>
      <c r="KFV22" s="559"/>
      <c r="KFW22" s="559"/>
      <c r="KFX22" s="559"/>
      <c r="KFY22" s="559"/>
      <c r="KFZ22" s="559"/>
      <c r="KGA22" s="559"/>
      <c r="KGB22" s="559"/>
      <c r="KGC22" s="559"/>
      <c r="KGD22" s="559"/>
      <c r="KGE22" s="559"/>
      <c r="KGF22" s="559"/>
      <c r="KGG22" s="559"/>
      <c r="KGH22" s="559"/>
      <c r="KGI22" s="559"/>
      <c r="KGJ22" s="559"/>
      <c r="KGK22" s="559"/>
      <c r="KGL22" s="559"/>
      <c r="KGM22" s="559"/>
      <c r="KGN22" s="559"/>
      <c r="KGO22" s="559"/>
      <c r="KGP22" s="559"/>
      <c r="KGQ22" s="559"/>
      <c r="KGR22" s="559"/>
      <c r="KGS22" s="559"/>
      <c r="KGT22" s="559"/>
      <c r="KGU22" s="559"/>
      <c r="KGV22" s="559"/>
      <c r="KGW22" s="559"/>
      <c r="KGX22" s="559"/>
      <c r="KGY22" s="559"/>
      <c r="KGZ22" s="559"/>
      <c r="KHA22" s="559"/>
      <c r="KHB22" s="559"/>
      <c r="KHC22" s="559"/>
      <c r="KHD22" s="559"/>
      <c r="KHE22" s="559"/>
      <c r="KHF22" s="559"/>
      <c r="KHG22" s="559"/>
      <c r="KHH22" s="559"/>
      <c r="KHI22" s="559"/>
      <c r="KHJ22" s="559"/>
      <c r="KHK22" s="559"/>
      <c r="KHL22" s="559"/>
      <c r="KHM22" s="559"/>
      <c r="KHN22" s="559"/>
      <c r="KHO22" s="559"/>
      <c r="KHP22" s="559"/>
      <c r="KHQ22" s="559"/>
      <c r="KHR22" s="559"/>
      <c r="KHS22" s="559"/>
      <c r="KHT22" s="559"/>
      <c r="KHU22" s="559"/>
      <c r="KHV22" s="559"/>
      <c r="KHW22" s="559"/>
      <c r="KHX22" s="559"/>
      <c r="KHY22" s="559"/>
      <c r="KHZ22" s="559"/>
      <c r="KIA22" s="559"/>
      <c r="KIB22" s="559"/>
      <c r="KIC22" s="559"/>
      <c r="KID22" s="559"/>
      <c r="KIE22" s="559"/>
      <c r="KIF22" s="559"/>
      <c r="KIG22" s="559"/>
      <c r="KIH22" s="559"/>
      <c r="KII22" s="559"/>
      <c r="KIJ22" s="559"/>
      <c r="KIK22" s="559"/>
      <c r="KIL22" s="559"/>
      <c r="KIM22" s="559"/>
      <c r="KIN22" s="559"/>
      <c r="KIO22" s="559"/>
      <c r="KIP22" s="559"/>
      <c r="KIQ22" s="559"/>
      <c r="KIR22" s="559"/>
      <c r="KIS22" s="559"/>
      <c r="KIT22" s="559"/>
      <c r="KIU22" s="559"/>
      <c r="KIV22" s="559"/>
      <c r="KIW22" s="559"/>
      <c r="KIX22" s="559"/>
      <c r="KIY22" s="559"/>
      <c r="KIZ22" s="559"/>
      <c r="KJA22" s="559"/>
      <c r="KJB22" s="559"/>
      <c r="KJC22" s="559"/>
      <c r="KJD22" s="559"/>
      <c r="KJE22" s="559"/>
      <c r="KJF22" s="559"/>
      <c r="KJG22" s="559"/>
      <c r="KJH22" s="559"/>
      <c r="KJI22" s="559"/>
      <c r="KJJ22" s="559"/>
      <c r="KJK22" s="559"/>
      <c r="KJL22" s="559"/>
      <c r="KJM22" s="559"/>
      <c r="KJN22" s="559"/>
      <c r="KJO22" s="559"/>
      <c r="KJP22" s="559"/>
      <c r="KJQ22" s="559"/>
      <c r="KJR22" s="559"/>
      <c r="KJS22" s="559"/>
      <c r="KJT22" s="559"/>
      <c r="KJU22" s="559"/>
      <c r="KJV22" s="559"/>
      <c r="KJW22" s="559"/>
      <c r="KJX22" s="559"/>
      <c r="KJY22" s="559"/>
      <c r="KJZ22" s="559"/>
      <c r="KKA22" s="559"/>
      <c r="KKB22" s="559"/>
      <c r="KKC22" s="559"/>
      <c r="KKD22" s="559"/>
      <c r="KKE22" s="559"/>
      <c r="KKF22" s="559"/>
      <c r="KKG22" s="559"/>
      <c r="KKH22" s="559"/>
      <c r="KKI22" s="559"/>
      <c r="KKJ22" s="559"/>
      <c r="KKK22" s="559"/>
      <c r="KKL22" s="559"/>
      <c r="KKM22" s="559"/>
      <c r="KKN22" s="559"/>
      <c r="KKO22" s="559"/>
      <c r="KKP22" s="559"/>
      <c r="KKQ22" s="559"/>
      <c r="KKR22" s="559"/>
      <c r="KKS22" s="559"/>
      <c r="KKT22" s="559"/>
      <c r="KKU22" s="559"/>
      <c r="KKV22" s="559"/>
      <c r="KKW22" s="559"/>
      <c r="KKX22" s="559"/>
      <c r="KKY22" s="559"/>
      <c r="KKZ22" s="559"/>
      <c r="KLA22" s="559"/>
      <c r="KLB22" s="559"/>
      <c r="KLC22" s="559"/>
      <c r="KLD22" s="559"/>
      <c r="KLE22" s="559"/>
      <c r="KLF22" s="559"/>
      <c r="KLG22" s="559"/>
      <c r="KLH22" s="559"/>
      <c r="KLI22" s="559"/>
      <c r="KLJ22" s="559"/>
      <c r="KLK22" s="559"/>
      <c r="KLL22" s="559"/>
      <c r="KLM22" s="559"/>
      <c r="KLN22" s="559"/>
      <c r="KLO22" s="559"/>
      <c r="KLP22" s="559"/>
      <c r="KLQ22" s="559"/>
      <c r="KLR22" s="559"/>
      <c r="KLS22" s="559"/>
      <c r="KLT22" s="559"/>
      <c r="KLU22" s="559"/>
      <c r="KLV22" s="559"/>
      <c r="KLW22" s="559"/>
      <c r="KLX22" s="559"/>
      <c r="KLY22" s="559"/>
      <c r="KLZ22" s="559"/>
      <c r="KMA22" s="559"/>
      <c r="KMB22" s="559"/>
      <c r="KMC22" s="559"/>
      <c r="KMD22" s="559"/>
      <c r="KME22" s="559"/>
      <c r="KMF22" s="559"/>
      <c r="KMG22" s="559"/>
      <c r="KMH22" s="559"/>
      <c r="KMI22" s="559"/>
      <c r="KMJ22" s="559"/>
      <c r="KMK22" s="559"/>
      <c r="KML22" s="559"/>
      <c r="KMM22" s="559"/>
      <c r="KMN22" s="559"/>
      <c r="KMO22" s="559"/>
      <c r="KMP22" s="559"/>
      <c r="KMQ22" s="559"/>
      <c r="KMR22" s="559"/>
      <c r="KMS22" s="559"/>
      <c r="KMT22" s="559"/>
      <c r="KMU22" s="559"/>
      <c r="KMV22" s="559"/>
      <c r="KMW22" s="559"/>
      <c r="KMX22" s="559"/>
      <c r="KMY22" s="559"/>
      <c r="KMZ22" s="559"/>
      <c r="KNA22" s="559"/>
      <c r="KNB22" s="559"/>
      <c r="KNC22" s="559"/>
      <c r="KND22" s="559"/>
      <c r="KNE22" s="559"/>
      <c r="KNF22" s="559"/>
      <c r="KNG22" s="559"/>
      <c r="KNH22" s="559"/>
      <c r="KNI22" s="559"/>
      <c r="KNJ22" s="559"/>
      <c r="KNK22" s="559"/>
      <c r="KNL22" s="559"/>
      <c r="KNM22" s="559"/>
      <c r="KNN22" s="559"/>
      <c r="KNO22" s="559"/>
      <c r="KNP22" s="559"/>
      <c r="KNQ22" s="559"/>
      <c r="KNR22" s="559"/>
      <c r="KNS22" s="559"/>
      <c r="KNT22" s="559"/>
      <c r="KNU22" s="559"/>
      <c r="KNV22" s="559"/>
      <c r="KNW22" s="559"/>
      <c r="KNX22" s="559"/>
      <c r="KNY22" s="559"/>
      <c r="KNZ22" s="559"/>
      <c r="KOA22" s="559"/>
      <c r="KOB22" s="559"/>
      <c r="KOC22" s="559"/>
      <c r="KOD22" s="559"/>
      <c r="KOE22" s="559"/>
      <c r="KOF22" s="559"/>
      <c r="KOG22" s="559"/>
      <c r="KOH22" s="559"/>
      <c r="KOI22" s="559"/>
      <c r="KOJ22" s="559"/>
      <c r="KOK22" s="559"/>
      <c r="KOL22" s="559"/>
      <c r="KOM22" s="559"/>
      <c r="KON22" s="559"/>
      <c r="KOO22" s="559"/>
      <c r="KOP22" s="559"/>
      <c r="KOQ22" s="559"/>
      <c r="KOR22" s="559"/>
      <c r="KOS22" s="559"/>
      <c r="KOT22" s="559"/>
      <c r="KOU22" s="559"/>
      <c r="KOV22" s="559"/>
      <c r="KOW22" s="559"/>
      <c r="KOX22" s="559"/>
      <c r="KOY22" s="559"/>
      <c r="KOZ22" s="559"/>
      <c r="KPA22" s="559"/>
      <c r="KPB22" s="559"/>
      <c r="KPC22" s="559"/>
      <c r="KPD22" s="559"/>
      <c r="KPE22" s="559"/>
      <c r="KPF22" s="559"/>
      <c r="KPG22" s="559"/>
      <c r="KPH22" s="559"/>
      <c r="KPI22" s="559"/>
      <c r="KPJ22" s="559"/>
      <c r="KPK22" s="559"/>
      <c r="KPL22" s="559"/>
      <c r="KPM22" s="559"/>
      <c r="KPN22" s="559"/>
      <c r="KPO22" s="559"/>
      <c r="KPP22" s="559"/>
      <c r="KPQ22" s="559"/>
      <c r="KPR22" s="559"/>
      <c r="KPS22" s="559"/>
      <c r="KPT22" s="559"/>
      <c r="KPU22" s="559"/>
      <c r="KPV22" s="559"/>
      <c r="KPW22" s="559"/>
      <c r="KPX22" s="559"/>
      <c r="KPY22" s="559"/>
      <c r="KPZ22" s="559"/>
      <c r="KQA22" s="559"/>
      <c r="KQB22" s="559"/>
      <c r="KQC22" s="559"/>
      <c r="KQD22" s="559"/>
      <c r="KQE22" s="559"/>
      <c r="KQF22" s="559"/>
      <c r="KQG22" s="559"/>
      <c r="KQH22" s="559"/>
      <c r="KQI22" s="559"/>
      <c r="KQJ22" s="559"/>
      <c r="KQK22" s="559"/>
      <c r="KQL22" s="559"/>
      <c r="KQM22" s="559"/>
      <c r="KQN22" s="559"/>
      <c r="KQO22" s="559"/>
      <c r="KQP22" s="559"/>
      <c r="KQQ22" s="559"/>
      <c r="KQR22" s="559"/>
      <c r="KQS22" s="559"/>
      <c r="KQT22" s="559"/>
      <c r="KQU22" s="559"/>
      <c r="KQV22" s="559"/>
      <c r="KQW22" s="559"/>
      <c r="KQX22" s="559"/>
      <c r="KQY22" s="559"/>
      <c r="KQZ22" s="559"/>
      <c r="KRA22" s="559"/>
      <c r="KRB22" s="559"/>
      <c r="KRC22" s="559"/>
      <c r="KRD22" s="559"/>
      <c r="KRE22" s="559"/>
      <c r="KRF22" s="559"/>
      <c r="KRG22" s="559"/>
      <c r="KRH22" s="559"/>
      <c r="KRI22" s="559"/>
      <c r="KRJ22" s="559"/>
      <c r="KRK22" s="559"/>
      <c r="KRL22" s="559"/>
      <c r="KRM22" s="559"/>
      <c r="KRN22" s="559"/>
      <c r="KRO22" s="559"/>
      <c r="KRP22" s="559"/>
      <c r="KRQ22" s="559"/>
      <c r="KRR22" s="559"/>
      <c r="KRS22" s="559"/>
      <c r="KRT22" s="559"/>
      <c r="KRU22" s="559"/>
      <c r="KRV22" s="559"/>
      <c r="KRW22" s="559"/>
      <c r="KRX22" s="559"/>
      <c r="KRY22" s="559"/>
      <c r="KRZ22" s="559"/>
      <c r="KSA22" s="559"/>
      <c r="KSB22" s="559"/>
      <c r="KSC22" s="559"/>
      <c r="KSD22" s="559"/>
      <c r="KSE22" s="559"/>
      <c r="KSF22" s="559"/>
      <c r="KSG22" s="559"/>
      <c r="KSH22" s="559"/>
      <c r="KSI22" s="559"/>
      <c r="KSJ22" s="559"/>
      <c r="KSK22" s="559"/>
      <c r="KSL22" s="559"/>
      <c r="KSM22" s="559"/>
      <c r="KSN22" s="559"/>
      <c r="KSO22" s="559"/>
      <c r="KSP22" s="559"/>
      <c r="KSQ22" s="559"/>
      <c r="KSR22" s="559"/>
      <c r="KSS22" s="559"/>
      <c r="KST22" s="559"/>
      <c r="KSU22" s="559"/>
      <c r="KSV22" s="559"/>
      <c r="KSW22" s="559"/>
      <c r="KSX22" s="559"/>
      <c r="KSY22" s="559"/>
      <c r="KSZ22" s="559"/>
      <c r="KTA22" s="559"/>
      <c r="KTB22" s="559"/>
      <c r="KTC22" s="559"/>
      <c r="KTD22" s="559"/>
      <c r="KTE22" s="559"/>
      <c r="KTF22" s="559"/>
      <c r="KTG22" s="559"/>
      <c r="KTH22" s="559"/>
      <c r="KTI22" s="559"/>
      <c r="KTJ22" s="559"/>
      <c r="KTK22" s="559"/>
      <c r="KTL22" s="559"/>
      <c r="KTM22" s="559"/>
      <c r="KTN22" s="559"/>
      <c r="KTO22" s="559"/>
      <c r="KTP22" s="559"/>
      <c r="KTQ22" s="559"/>
      <c r="KTR22" s="559"/>
      <c r="KTS22" s="559"/>
      <c r="KTT22" s="559"/>
      <c r="KTU22" s="559"/>
      <c r="KTV22" s="559"/>
      <c r="KTW22" s="559"/>
      <c r="KTX22" s="559"/>
      <c r="KTY22" s="559"/>
      <c r="KTZ22" s="559"/>
      <c r="KUA22" s="559"/>
      <c r="KUB22" s="559"/>
      <c r="KUC22" s="559"/>
      <c r="KUD22" s="559"/>
      <c r="KUE22" s="559"/>
      <c r="KUF22" s="559"/>
      <c r="KUG22" s="559"/>
      <c r="KUH22" s="559"/>
      <c r="KUI22" s="559"/>
      <c r="KUJ22" s="559"/>
      <c r="KUK22" s="559"/>
      <c r="KUL22" s="559"/>
      <c r="KUM22" s="559"/>
      <c r="KUN22" s="559"/>
      <c r="KUO22" s="559"/>
      <c r="KUP22" s="559"/>
      <c r="KUQ22" s="559"/>
      <c r="KUR22" s="559"/>
      <c r="KUS22" s="559"/>
      <c r="KUT22" s="559"/>
      <c r="KUU22" s="559"/>
      <c r="KUV22" s="559"/>
      <c r="KUW22" s="559"/>
      <c r="KUX22" s="559"/>
      <c r="KUY22" s="559"/>
      <c r="KUZ22" s="559"/>
      <c r="KVA22" s="559"/>
      <c r="KVB22" s="559"/>
      <c r="KVC22" s="559"/>
      <c r="KVD22" s="559"/>
      <c r="KVE22" s="559"/>
      <c r="KVF22" s="559"/>
      <c r="KVG22" s="559"/>
      <c r="KVH22" s="559"/>
      <c r="KVI22" s="559"/>
      <c r="KVJ22" s="559"/>
      <c r="KVK22" s="559"/>
      <c r="KVL22" s="559"/>
      <c r="KVM22" s="559"/>
      <c r="KVN22" s="559"/>
      <c r="KVO22" s="559"/>
      <c r="KVP22" s="559"/>
      <c r="KVQ22" s="559"/>
      <c r="KVR22" s="559"/>
      <c r="KVS22" s="559"/>
      <c r="KVT22" s="559"/>
      <c r="KVU22" s="559"/>
      <c r="KVV22" s="559"/>
      <c r="KVW22" s="559"/>
      <c r="KVX22" s="559"/>
      <c r="KVY22" s="559"/>
      <c r="KVZ22" s="559"/>
      <c r="KWA22" s="559"/>
      <c r="KWB22" s="559"/>
      <c r="KWC22" s="559"/>
      <c r="KWD22" s="559"/>
      <c r="KWE22" s="559"/>
      <c r="KWF22" s="559"/>
      <c r="KWG22" s="559"/>
      <c r="KWH22" s="559"/>
      <c r="KWI22" s="559"/>
      <c r="KWJ22" s="559"/>
      <c r="KWK22" s="559"/>
      <c r="KWL22" s="559"/>
      <c r="KWM22" s="559"/>
      <c r="KWN22" s="559"/>
      <c r="KWO22" s="559"/>
      <c r="KWP22" s="559"/>
      <c r="KWQ22" s="559"/>
      <c r="KWR22" s="559"/>
      <c r="KWS22" s="559"/>
      <c r="KWT22" s="559"/>
      <c r="KWU22" s="559"/>
      <c r="KWV22" s="559"/>
      <c r="KWW22" s="559"/>
      <c r="KWX22" s="559"/>
      <c r="KWY22" s="559"/>
      <c r="KWZ22" s="559"/>
      <c r="KXA22" s="559"/>
      <c r="KXB22" s="559"/>
      <c r="KXC22" s="559"/>
      <c r="KXD22" s="559"/>
      <c r="KXE22" s="559"/>
      <c r="KXF22" s="559"/>
      <c r="KXG22" s="559"/>
      <c r="KXH22" s="559"/>
      <c r="KXI22" s="559"/>
      <c r="KXJ22" s="559"/>
      <c r="KXK22" s="559"/>
      <c r="KXL22" s="559"/>
      <c r="KXM22" s="559"/>
      <c r="KXN22" s="559"/>
      <c r="KXO22" s="559"/>
      <c r="KXP22" s="559"/>
      <c r="KXQ22" s="559"/>
      <c r="KXR22" s="559"/>
      <c r="KXS22" s="559"/>
      <c r="KXT22" s="559"/>
      <c r="KXU22" s="559"/>
      <c r="KXV22" s="559"/>
      <c r="KXW22" s="559"/>
      <c r="KXX22" s="559"/>
      <c r="KXY22" s="559"/>
      <c r="KXZ22" s="559"/>
      <c r="KYA22" s="559"/>
      <c r="KYB22" s="559"/>
      <c r="KYC22" s="559"/>
      <c r="KYD22" s="559"/>
      <c r="KYE22" s="559"/>
      <c r="KYF22" s="559"/>
      <c r="KYG22" s="559"/>
      <c r="KYH22" s="559"/>
      <c r="KYI22" s="559"/>
      <c r="KYJ22" s="559"/>
      <c r="KYK22" s="559"/>
      <c r="KYL22" s="559"/>
      <c r="KYM22" s="559"/>
      <c r="KYN22" s="559"/>
      <c r="KYO22" s="559"/>
      <c r="KYP22" s="559"/>
      <c r="KYQ22" s="559"/>
      <c r="KYR22" s="559"/>
      <c r="KYS22" s="559"/>
      <c r="KYT22" s="559"/>
      <c r="KYU22" s="559"/>
      <c r="KYV22" s="559"/>
      <c r="KYW22" s="559"/>
      <c r="KYX22" s="559"/>
      <c r="KYY22" s="559"/>
      <c r="KYZ22" s="559"/>
      <c r="KZA22" s="559"/>
      <c r="KZB22" s="559"/>
      <c r="KZC22" s="559"/>
      <c r="KZD22" s="559"/>
      <c r="KZE22" s="559"/>
      <c r="KZF22" s="559"/>
      <c r="KZG22" s="559"/>
      <c r="KZH22" s="559"/>
      <c r="KZI22" s="559"/>
      <c r="KZJ22" s="559"/>
      <c r="KZK22" s="559"/>
      <c r="KZL22" s="559"/>
      <c r="KZM22" s="559"/>
      <c r="KZN22" s="559"/>
      <c r="KZO22" s="559"/>
      <c r="KZP22" s="559"/>
      <c r="KZQ22" s="559"/>
      <c r="KZR22" s="559"/>
      <c r="KZS22" s="559"/>
      <c r="KZT22" s="559"/>
      <c r="KZU22" s="559"/>
      <c r="KZV22" s="559"/>
      <c r="KZW22" s="559"/>
      <c r="KZX22" s="559"/>
      <c r="KZY22" s="559"/>
      <c r="KZZ22" s="559"/>
      <c r="LAA22" s="559"/>
      <c r="LAB22" s="559"/>
      <c r="LAC22" s="559"/>
      <c r="LAD22" s="559"/>
      <c r="LAE22" s="559"/>
      <c r="LAF22" s="559"/>
      <c r="LAG22" s="559"/>
      <c r="LAH22" s="559"/>
      <c r="LAI22" s="559"/>
      <c r="LAJ22" s="559"/>
      <c r="LAK22" s="559"/>
      <c r="LAL22" s="559"/>
      <c r="LAM22" s="559"/>
      <c r="LAN22" s="559"/>
      <c r="LAO22" s="559"/>
      <c r="LAP22" s="559"/>
      <c r="LAQ22" s="559"/>
      <c r="LAR22" s="559"/>
      <c r="LAS22" s="559"/>
      <c r="LAT22" s="559"/>
      <c r="LAU22" s="559"/>
      <c r="LAV22" s="559"/>
      <c r="LAW22" s="559"/>
      <c r="LAX22" s="559"/>
      <c r="LAY22" s="559"/>
      <c r="LAZ22" s="559"/>
      <c r="LBA22" s="559"/>
      <c r="LBB22" s="559"/>
      <c r="LBC22" s="559"/>
      <c r="LBD22" s="559"/>
      <c r="LBE22" s="559"/>
      <c r="LBF22" s="559"/>
      <c r="LBG22" s="559"/>
      <c r="LBH22" s="559"/>
      <c r="LBI22" s="559"/>
      <c r="LBJ22" s="559"/>
      <c r="LBK22" s="559"/>
      <c r="LBL22" s="559"/>
      <c r="LBM22" s="559"/>
      <c r="LBN22" s="559"/>
      <c r="LBO22" s="559"/>
      <c r="LBP22" s="559"/>
      <c r="LBQ22" s="559"/>
      <c r="LBR22" s="559"/>
      <c r="LBS22" s="559"/>
      <c r="LBT22" s="559"/>
      <c r="LBU22" s="559"/>
      <c r="LBV22" s="559"/>
      <c r="LBW22" s="559"/>
      <c r="LBX22" s="559"/>
      <c r="LBY22" s="559"/>
      <c r="LBZ22" s="559"/>
      <c r="LCA22" s="559"/>
      <c r="LCB22" s="559"/>
      <c r="LCC22" s="559"/>
      <c r="LCD22" s="559"/>
      <c r="LCE22" s="559"/>
      <c r="LCF22" s="559"/>
      <c r="LCG22" s="559"/>
      <c r="LCH22" s="559"/>
      <c r="LCI22" s="559"/>
      <c r="LCJ22" s="559"/>
      <c r="LCK22" s="559"/>
      <c r="LCL22" s="559"/>
      <c r="LCM22" s="559"/>
      <c r="LCN22" s="559"/>
      <c r="LCO22" s="559"/>
      <c r="LCP22" s="559"/>
      <c r="LCQ22" s="559"/>
      <c r="LCR22" s="559"/>
      <c r="LCS22" s="559"/>
      <c r="LCT22" s="559"/>
      <c r="LCU22" s="559"/>
      <c r="LCV22" s="559"/>
      <c r="LCW22" s="559"/>
      <c r="LCX22" s="559"/>
      <c r="LCY22" s="559"/>
      <c r="LCZ22" s="559"/>
      <c r="LDA22" s="559"/>
      <c r="LDB22" s="559"/>
      <c r="LDC22" s="559"/>
      <c r="LDD22" s="559"/>
      <c r="LDE22" s="559"/>
      <c r="LDF22" s="559"/>
      <c r="LDG22" s="559"/>
      <c r="LDH22" s="559"/>
      <c r="LDI22" s="559"/>
      <c r="LDJ22" s="559"/>
      <c r="LDK22" s="559"/>
      <c r="LDL22" s="559"/>
      <c r="LDM22" s="559"/>
      <c r="LDN22" s="559"/>
      <c r="LDO22" s="559"/>
      <c r="LDP22" s="559"/>
      <c r="LDQ22" s="559"/>
      <c r="LDR22" s="559"/>
      <c r="LDS22" s="559"/>
      <c r="LDT22" s="559"/>
      <c r="LDU22" s="559"/>
      <c r="LDV22" s="559"/>
      <c r="LDW22" s="559"/>
      <c r="LDX22" s="559"/>
      <c r="LDY22" s="559"/>
      <c r="LDZ22" s="559"/>
      <c r="LEA22" s="559"/>
      <c r="LEB22" s="559"/>
      <c r="LEC22" s="559"/>
      <c r="LED22" s="559"/>
      <c r="LEE22" s="559"/>
      <c r="LEF22" s="559"/>
      <c r="LEG22" s="559"/>
      <c r="LEH22" s="559"/>
      <c r="LEI22" s="559"/>
      <c r="LEJ22" s="559"/>
      <c r="LEK22" s="559"/>
      <c r="LEL22" s="559"/>
      <c r="LEM22" s="559"/>
      <c r="LEN22" s="559"/>
      <c r="LEO22" s="559"/>
      <c r="LEP22" s="559"/>
      <c r="LEQ22" s="559"/>
      <c r="LER22" s="559"/>
      <c r="LES22" s="559"/>
      <c r="LET22" s="559"/>
      <c r="LEU22" s="559"/>
      <c r="LEV22" s="559"/>
      <c r="LEW22" s="559"/>
      <c r="LEX22" s="559"/>
      <c r="LEY22" s="559"/>
      <c r="LEZ22" s="559"/>
      <c r="LFA22" s="559"/>
      <c r="LFB22" s="559"/>
      <c r="LFC22" s="559"/>
      <c r="LFD22" s="559"/>
      <c r="LFE22" s="559"/>
      <c r="LFF22" s="559"/>
      <c r="LFG22" s="559"/>
      <c r="LFH22" s="559"/>
      <c r="LFI22" s="559"/>
      <c r="LFJ22" s="559"/>
      <c r="LFK22" s="559"/>
      <c r="LFL22" s="559"/>
      <c r="LFM22" s="559"/>
      <c r="LFN22" s="559"/>
      <c r="LFO22" s="559"/>
      <c r="LFP22" s="559"/>
      <c r="LFQ22" s="559"/>
      <c r="LFR22" s="559"/>
      <c r="LFS22" s="559"/>
      <c r="LFT22" s="559"/>
      <c r="LFU22" s="559"/>
      <c r="LFV22" s="559"/>
      <c r="LFW22" s="559"/>
      <c r="LFX22" s="559"/>
      <c r="LFY22" s="559"/>
      <c r="LFZ22" s="559"/>
      <c r="LGA22" s="559"/>
      <c r="LGB22" s="559"/>
      <c r="LGC22" s="559"/>
      <c r="LGD22" s="559"/>
      <c r="LGE22" s="559"/>
      <c r="LGF22" s="559"/>
      <c r="LGG22" s="559"/>
      <c r="LGH22" s="559"/>
      <c r="LGI22" s="559"/>
      <c r="LGJ22" s="559"/>
      <c r="LGK22" s="559"/>
      <c r="LGL22" s="559"/>
      <c r="LGM22" s="559"/>
      <c r="LGN22" s="559"/>
      <c r="LGO22" s="559"/>
      <c r="LGP22" s="559"/>
      <c r="LGQ22" s="559"/>
      <c r="LGR22" s="559"/>
      <c r="LGS22" s="559"/>
      <c r="LGT22" s="559"/>
      <c r="LGU22" s="559"/>
      <c r="LGV22" s="559"/>
      <c r="LGW22" s="559"/>
      <c r="LGX22" s="559"/>
      <c r="LGY22" s="559"/>
      <c r="LGZ22" s="559"/>
      <c r="LHA22" s="559"/>
      <c r="LHB22" s="559"/>
      <c r="LHC22" s="559"/>
      <c r="LHD22" s="559"/>
      <c r="LHE22" s="559"/>
      <c r="LHF22" s="559"/>
      <c r="LHG22" s="559"/>
      <c r="LHH22" s="559"/>
      <c r="LHI22" s="559"/>
      <c r="LHJ22" s="559"/>
      <c r="LHK22" s="559"/>
      <c r="LHL22" s="559"/>
      <c r="LHM22" s="559"/>
      <c r="LHN22" s="559"/>
      <c r="LHO22" s="559"/>
      <c r="LHP22" s="559"/>
      <c r="LHQ22" s="559"/>
      <c r="LHR22" s="559"/>
      <c r="LHS22" s="559"/>
      <c r="LHT22" s="559"/>
      <c r="LHU22" s="559"/>
      <c r="LHV22" s="559"/>
      <c r="LHW22" s="559"/>
      <c r="LHX22" s="559"/>
      <c r="LHY22" s="559"/>
      <c r="LHZ22" s="559"/>
      <c r="LIA22" s="559"/>
      <c r="LIB22" s="559"/>
      <c r="LIC22" s="559"/>
      <c r="LID22" s="559"/>
      <c r="LIE22" s="559"/>
      <c r="LIF22" s="559"/>
      <c r="LIG22" s="559"/>
      <c r="LIH22" s="559"/>
      <c r="LII22" s="559"/>
      <c r="LIJ22" s="559"/>
      <c r="LIK22" s="559"/>
      <c r="LIL22" s="559"/>
      <c r="LIM22" s="559"/>
      <c r="LIN22" s="559"/>
      <c r="LIO22" s="559"/>
      <c r="LIP22" s="559"/>
      <c r="LIQ22" s="559"/>
      <c r="LIR22" s="559"/>
      <c r="LIS22" s="559"/>
      <c r="LIT22" s="559"/>
      <c r="LIU22" s="559"/>
      <c r="LIV22" s="559"/>
      <c r="LIW22" s="559"/>
      <c r="LIX22" s="559"/>
      <c r="LIY22" s="559"/>
      <c r="LIZ22" s="559"/>
      <c r="LJA22" s="559"/>
      <c r="LJB22" s="559"/>
      <c r="LJC22" s="559"/>
      <c r="LJD22" s="559"/>
      <c r="LJE22" s="559"/>
      <c r="LJF22" s="559"/>
      <c r="LJG22" s="559"/>
      <c r="LJH22" s="559"/>
      <c r="LJI22" s="559"/>
      <c r="LJJ22" s="559"/>
      <c r="LJK22" s="559"/>
      <c r="LJL22" s="559"/>
      <c r="LJM22" s="559"/>
      <c r="LJN22" s="559"/>
      <c r="LJO22" s="559"/>
      <c r="LJP22" s="559"/>
      <c r="LJQ22" s="559"/>
      <c r="LJR22" s="559"/>
      <c r="LJS22" s="559"/>
      <c r="LJT22" s="559"/>
      <c r="LJU22" s="559"/>
      <c r="LJV22" s="559"/>
      <c r="LJW22" s="559"/>
      <c r="LJX22" s="559"/>
      <c r="LJY22" s="559"/>
      <c r="LJZ22" s="559"/>
      <c r="LKA22" s="559"/>
      <c r="LKB22" s="559"/>
      <c r="LKC22" s="559"/>
      <c r="LKD22" s="559"/>
      <c r="LKE22" s="559"/>
      <c r="LKF22" s="559"/>
      <c r="LKG22" s="559"/>
      <c r="LKH22" s="559"/>
      <c r="LKI22" s="559"/>
      <c r="LKJ22" s="559"/>
      <c r="LKK22" s="559"/>
      <c r="LKL22" s="559"/>
      <c r="LKM22" s="559"/>
      <c r="LKN22" s="559"/>
      <c r="LKO22" s="559"/>
      <c r="LKP22" s="559"/>
      <c r="LKQ22" s="559"/>
      <c r="LKR22" s="559"/>
      <c r="LKS22" s="559"/>
      <c r="LKT22" s="559"/>
      <c r="LKU22" s="559"/>
      <c r="LKV22" s="559"/>
      <c r="LKW22" s="559"/>
      <c r="LKX22" s="559"/>
      <c r="LKY22" s="559"/>
      <c r="LKZ22" s="559"/>
      <c r="LLA22" s="559"/>
      <c r="LLB22" s="559"/>
      <c r="LLC22" s="559"/>
      <c r="LLD22" s="559"/>
      <c r="LLE22" s="559"/>
      <c r="LLF22" s="559"/>
      <c r="LLG22" s="559"/>
      <c r="LLH22" s="559"/>
      <c r="LLI22" s="559"/>
      <c r="LLJ22" s="559"/>
      <c r="LLK22" s="559"/>
      <c r="LLL22" s="559"/>
      <c r="LLM22" s="559"/>
      <c r="LLN22" s="559"/>
      <c r="LLO22" s="559"/>
      <c r="LLP22" s="559"/>
      <c r="LLQ22" s="559"/>
      <c r="LLR22" s="559"/>
      <c r="LLS22" s="559"/>
      <c r="LLT22" s="559"/>
      <c r="LLU22" s="559"/>
      <c r="LLV22" s="559"/>
      <c r="LLW22" s="559"/>
      <c r="LLX22" s="559"/>
      <c r="LLY22" s="559"/>
      <c r="LLZ22" s="559"/>
      <c r="LMA22" s="559"/>
      <c r="LMB22" s="559"/>
      <c r="LMC22" s="559"/>
      <c r="LMD22" s="559"/>
      <c r="LME22" s="559"/>
      <c r="LMF22" s="559"/>
      <c r="LMG22" s="559"/>
      <c r="LMH22" s="559"/>
      <c r="LMI22" s="559"/>
      <c r="LMJ22" s="559"/>
      <c r="LMK22" s="559"/>
      <c r="LML22" s="559"/>
      <c r="LMM22" s="559"/>
      <c r="LMN22" s="559"/>
      <c r="LMO22" s="559"/>
      <c r="LMP22" s="559"/>
      <c r="LMQ22" s="559"/>
      <c r="LMR22" s="559"/>
      <c r="LMS22" s="559"/>
      <c r="LMT22" s="559"/>
      <c r="LMU22" s="559"/>
      <c r="LMV22" s="559"/>
      <c r="LMW22" s="559"/>
      <c r="LMX22" s="559"/>
      <c r="LMY22" s="559"/>
      <c r="LMZ22" s="559"/>
      <c r="LNA22" s="559"/>
      <c r="LNB22" s="559"/>
      <c r="LNC22" s="559"/>
      <c r="LND22" s="559"/>
      <c r="LNE22" s="559"/>
      <c r="LNF22" s="559"/>
      <c r="LNG22" s="559"/>
      <c r="LNH22" s="559"/>
      <c r="LNI22" s="559"/>
      <c r="LNJ22" s="559"/>
      <c r="LNK22" s="559"/>
      <c r="LNL22" s="559"/>
      <c r="LNM22" s="559"/>
      <c r="LNN22" s="559"/>
      <c r="LNO22" s="559"/>
      <c r="LNP22" s="559"/>
      <c r="LNQ22" s="559"/>
      <c r="LNR22" s="559"/>
      <c r="LNS22" s="559"/>
      <c r="LNT22" s="559"/>
      <c r="LNU22" s="559"/>
      <c r="LNV22" s="559"/>
      <c r="LNW22" s="559"/>
      <c r="LNX22" s="559"/>
      <c r="LNY22" s="559"/>
      <c r="LNZ22" s="559"/>
      <c r="LOA22" s="559"/>
      <c r="LOB22" s="559"/>
      <c r="LOC22" s="559"/>
      <c r="LOD22" s="559"/>
      <c r="LOE22" s="559"/>
      <c r="LOF22" s="559"/>
      <c r="LOG22" s="559"/>
      <c r="LOH22" s="559"/>
      <c r="LOI22" s="559"/>
      <c r="LOJ22" s="559"/>
      <c r="LOK22" s="559"/>
      <c r="LOL22" s="559"/>
      <c r="LOM22" s="559"/>
      <c r="LON22" s="559"/>
      <c r="LOO22" s="559"/>
      <c r="LOP22" s="559"/>
      <c r="LOQ22" s="559"/>
      <c r="LOR22" s="559"/>
      <c r="LOS22" s="559"/>
      <c r="LOT22" s="559"/>
      <c r="LOU22" s="559"/>
      <c r="LOV22" s="559"/>
      <c r="LOW22" s="559"/>
      <c r="LOX22" s="559"/>
      <c r="LOY22" s="559"/>
      <c r="LOZ22" s="559"/>
      <c r="LPA22" s="559"/>
      <c r="LPB22" s="559"/>
      <c r="LPC22" s="559"/>
      <c r="LPD22" s="559"/>
      <c r="LPE22" s="559"/>
      <c r="LPF22" s="559"/>
      <c r="LPG22" s="559"/>
      <c r="LPH22" s="559"/>
      <c r="LPI22" s="559"/>
      <c r="LPJ22" s="559"/>
      <c r="LPK22" s="559"/>
      <c r="LPL22" s="559"/>
      <c r="LPM22" s="559"/>
      <c r="LPN22" s="559"/>
      <c r="LPO22" s="559"/>
      <c r="LPP22" s="559"/>
      <c r="LPQ22" s="559"/>
      <c r="LPR22" s="559"/>
      <c r="LPS22" s="559"/>
      <c r="LPT22" s="559"/>
      <c r="LPU22" s="559"/>
      <c r="LPV22" s="559"/>
      <c r="LPW22" s="559"/>
      <c r="LPX22" s="559"/>
      <c r="LPY22" s="559"/>
      <c r="LPZ22" s="559"/>
      <c r="LQA22" s="559"/>
      <c r="LQB22" s="559"/>
      <c r="LQC22" s="559"/>
      <c r="LQD22" s="559"/>
      <c r="LQE22" s="559"/>
      <c r="LQF22" s="559"/>
      <c r="LQG22" s="559"/>
      <c r="LQH22" s="559"/>
      <c r="LQI22" s="559"/>
      <c r="LQJ22" s="559"/>
      <c r="LQK22" s="559"/>
      <c r="LQL22" s="559"/>
      <c r="LQM22" s="559"/>
      <c r="LQN22" s="559"/>
      <c r="LQO22" s="559"/>
      <c r="LQP22" s="559"/>
      <c r="LQQ22" s="559"/>
      <c r="LQR22" s="559"/>
      <c r="LQS22" s="559"/>
      <c r="LQT22" s="559"/>
      <c r="LQU22" s="559"/>
      <c r="LQV22" s="559"/>
      <c r="LQW22" s="559"/>
      <c r="LQX22" s="559"/>
      <c r="LQY22" s="559"/>
      <c r="LQZ22" s="559"/>
      <c r="LRA22" s="559"/>
      <c r="LRB22" s="559"/>
      <c r="LRC22" s="559"/>
      <c r="LRD22" s="559"/>
      <c r="LRE22" s="559"/>
      <c r="LRF22" s="559"/>
      <c r="LRG22" s="559"/>
      <c r="LRH22" s="559"/>
      <c r="LRI22" s="559"/>
      <c r="LRJ22" s="559"/>
      <c r="LRK22" s="559"/>
      <c r="LRL22" s="559"/>
      <c r="LRM22" s="559"/>
      <c r="LRN22" s="559"/>
      <c r="LRO22" s="559"/>
      <c r="LRP22" s="559"/>
      <c r="LRQ22" s="559"/>
      <c r="LRR22" s="559"/>
      <c r="LRS22" s="559"/>
      <c r="LRT22" s="559"/>
      <c r="LRU22" s="559"/>
      <c r="LRV22" s="559"/>
      <c r="LRW22" s="559"/>
      <c r="LRX22" s="559"/>
      <c r="LRY22" s="559"/>
      <c r="LRZ22" s="559"/>
      <c r="LSA22" s="559"/>
      <c r="LSB22" s="559"/>
      <c r="LSC22" s="559"/>
      <c r="LSD22" s="559"/>
      <c r="LSE22" s="559"/>
      <c r="LSF22" s="559"/>
      <c r="LSG22" s="559"/>
      <c r="LSH22" s="559"/>
      <c r="LSI22" s="559"/>
      <c r="LSJ22" s="559"/>
      <c r="LSK22" s="559"/>
      <c r="LSL22" s="559"/>
      <c r="LSM22" s="559"/>
      <c r="LSN22" s="559"/>
      <c r="LSO22" s="559"/>
      <c r="LSP22" s="559"/>
      <c r="LSQ22" s="559"/>
      <c r="LSR22" s="559"/>
      <c r="LSS22" s="559"/>
      <c r="LST22" s="559"/>
      <c r="LSU22" s="559"/>
      <c r="LSV22" s="559"/>
      <c r="LSW22" s="559"/>
      <c r="LSX22" s="559"/>
      <c r="LSY22" s="559"/>
      <c r="LSZ22" s="559"/>
      <c r="LTA22" s="559"/>
      <c r="LTB22" s="559"/>
      <c r="LTC22" s="559"/>
      <c r="LTD22" s="559"/>
      <c r="LTE22" s="559"/>
      <c r="LTF22" s="559"/>
      <c r="LTG22" s="559"/>
      <c r="LTH22" s="559"/>
      <c r="LTI22" s="559"/>
      <c r="LTJ22" s="559"/>
      <c r="LTK22" s="559"/>
      <c r="LTL22" s="559"/>
      <c r="LTM22" s="559"/>
      <c r="LTN22" s="559"/>
      <c r="LTO22" s="559"/>
      <c r="LTP22" s="559"/>
      <c r="LTQ22" s="559"/>
      <c r="LTR22" s="559"/>
      <c r="LTS22" s="559"/>
      <c r="LTT22" s="559"/>
      <c r="LTU22" s="559"/>
      <c r="LTV22" s="559"/>
      <c r="LTW22" s="559"/>
      <c r="LTX22" s="559"/>
      <c r="LTY22" s="559"/>
      <c r="LTZ22" s="559"/>
      <c r="LUA22" s="559"/>
      <c r="LUB22" s="559"/>
      <c r="LUC22" s="559"/>
      <c r="LUD22" s="559"/>
      <c r="LUE22" s="559"/>
      <c r="LUF22" s="559"/>
      <c r="LUG22" s="559"/>
      <c r="LUH22" s="559"/>
      <c r="LUI22" s="559"/>
      <c r="LUJ22" s="559"/>
      <c r="LUK22" s="559"/>
      <c r="LUL22" s="559"/>
      <c r="LUM22" s="559"/>
      <c r="LUN22" s="559"/>
      <c r="LUO22" s="559"/>
      <c r="LUP22" s="559"/>
      <c r="LUQ22" s="559"/>
      <c r="LUR22" s="559"/>
      <c r="LUS22" s="559"/>
      <c r="LUT22" s="559"/>
      <c r="LUU22" s="559"/>
      <c r="LUV22" s="559"/>
      <c r="LUW22" s="559"/>
      <c r="LUX22" s="559"/>
      <c r="LUY22" s="559"/>
      <c r="LUZ22" s="559"/>
      <c r="LVA22" s="559"/>
      <c r="LVB22" s="559"/>
      <c r="LVC22" s="559"/>
      <c r="LVD22" s="559"/>
      <c r="LVE22" s="559"/>
      <c r="LVF22" s="559"/>
      <c r="LVG22" s="559"/>
      <c r="LVH22" s="559"/>
      <c r="LVI22" s="559"/>
      <c r="LVJ22" s="559"/>
      <c r="LVK22" s="559"/>
      <c r="LVL22" s="559"/>
      <c r="LVM22" s="559"/>
      <c r="LVN22" s="559"/>
      <c r="LVO22" s="559"/>
      <c r="LVP22" s="559"/>
      <c r="LVQ22" s="559"/>
      <c r="LVR22" s="559"/>
      <c r="LVS22" s="559"/>
      <c r="LVT22" s="559"/>
      <c r="LVU22" s="559"/>
      <c r="LVV22" s="559"/>
      <c r="LVW22" s="559"/>
      <c r="LVX22" s="559"/>
      <c r="LVY22" s="559"/>
      <c r="LVZ22" s="559"/>
      <c r="LWA22" s="559"/>
      <c r="LWB22" s="559"/>
      <c r="LWC22" s="559"/>
      <c r="LWD22" s="559"/>
      <c r="LWE22" s="559"/>
      <c r="LWF22" s="559"/>
      <c r="LWG22" s="559"/>
      <c r="LWH22" s="559"/>
      <c r="LWI22" s="559"/>
      <c r="LWJ22" s="559"/>
      <c r="LWK22" s="559"/>
      <c r="LWL22" s="559"/>
      <c r="LWM22" s="559"/>
      <c r="LWN22" s="559"/>
      <c r="LWO22" s="559"/>
      <c r="LWP22" s="559"/>
      <c r="LWQ22" s="559"/>
      <c r="LWR22" s="559"/>
      <c r="LWS22" s="559"/>
      <c r="LWT22" s="559"/>
      <c r="LWU22" s="559"/>
      <c r="LWV22" s="559"/>
      <c r="LWW22" s="559"/>
      <c r="LWX22" s="559"/>
      <c r="LWY22" s="559"/>
      <c r="LWZ22" s="559"/>
      <c r="LXA22" s="559"/>
      <c r="LXB22" s="559"/>
      <c r="LXC22" s="559"/>
      <c r="LXD22" s="559"/>
      <c r="LXE22" s="559"/>
      <c r="LXF22" s="559"/>
      <c r="LXG22" s="559"/>
      <c r="LXH22" s="559"/>
      <c r="LXI22" s="559"/>
      <c r="LXJ22" s="559"/>
      <c r="LXK22" s="559"/>
      <c r="LXL22" s="559"/>
      <c r="LXM22" s="559"/>
      <c r="LXN22" s="559"/>
      <c r="LXO22" s="559"/>
      <c r="LXP22" s="559"/>
      <c r="LXQ22" s="559"/>
      <c r="LXR22" s="559"/>
      <c r="LXS22" s="559"/>
      <c r="LXT22" s="559"/>
      <c r="LXU22" s="559"/>
      <c r="LXV22" s="559"/>
      <c r="LXW22" s="559"/>
      <c r="LXX22" s="559"/>
      <c r="LXY22" s="559"/>
      <c r="LXZ22" s="559"/>
      <c r="LYA22" s="559"/>
      <c r="LYB22" s="559"/>
      <c r="LYC22" s="559"/>
      <c r="LYD22" s="559"/>
      <c r="LYE22" s="559"/>
      <c r="LYF22" s="559"/>
      <c r="LYG22" s="559"/>
      <c r="LYH22" s="559"/>
      <c r="LYI22" s="559"/>
      <c r="LYJ22" s="559"/>
      <c r="LYK22" s="559"/>
      <c r="LYL22" s="559"/>
      <c r="LYM22" s="559"/>
      <c r="LYN22" s="559"/>
      <c r="LYO22" s="559"/>
      <c r="LYP22" s="559"/>
      <c r="LYQ22" s="559"/>
      <c r="LYR22" s="559"/>
      <c r="LYS22" s="559"/>
      <c r="LYT22" s="559"/>
      <c r="LYU22" s="559"/>
      <c r="LYV22" s="559"/>
      <c r="LYW22" s="559"/>
      <c r="LYX22" s="559"/>
      <c r="LYY22" s="559"/>
      <c r="LYZ22" s="559"/>
      <c r="LZA22" s="559"/>
      <c r="LZB22" s="559"/>
      <c r="LZC22" s="559"/>
      <c r="LZD22" s="559"/>
      <c r="LZE22" s="559"/>
      <c r="LZF22" s="559"/>
      <c r="LZG22" s="559"/>
      <c r="LZH22" s="559"/>
      <c r="LZI22" s="559"/>
      <c r="LZJ22" s="559"/>
      <c r="LZK22" s="559"/>
      <c r="LZL22" s="559"/>
      <c r="LZM22" s="559"/>
      <c r="LZN22" s="559"/>
      <c r="LZO22" s="559"/>
      <c r="LZP22" s="559"/>
      <c r="LZQ22" s="559"/>
      <c r="LZR22" s="559"/>
      <c r="LZS22" s="559"/>
      <c r="LZT22" s="559"/>
      <c r="LZU22" s="559"/>
      <c r="LZV22" s="559"/>
      <c r="LZW22" s="559"/>
      <c r="LZX22" s="559"/>
      <c r="LZY22" s="559"/>
      <c r="LZZ22" s="559"/>
      <c r="MAA22" s="559"/>
      <c r="MAB22" s="559"/>
      <c r="MAC22" s="559"/>
      <c r="MAD22" s="559"/>
      <c r="MAE22" s="559"/>
      <c r="MAF22" s="559"/>
      <c r="MAG22" s="559"/>
      <c r="MAH22" s="559"/>
      <c r="MAI22" s="559"/>
      <c r="MAJ22" s="559"/>
      <c r="MAK22" s="559"/>
      <c r="MAL22" s="559"/>
      <c r="MAM22" s="559"/>
      <c r="MAN22" s="559"/>
      <c r="MAO22" s="559"/>
      <c r="MAP22" s="559"/>
      <c r="MAQ22" s="559"/>
      <c r="MAR22" s="559"/>
      <c r="MAS22" s="559"/>
      <c r="MAT22" s="559"/>
      <c r="MAU22" s="559"/>
      <c r="MAV22" s="559"/>
      <c r="MAW22" s="559"/>
      <c r="MAX22" s="559"/>
      <c r="MAY22" s="559"/>
      <c r="MAZ22" s="559"/>
      <c r="MBA22" s="559"/>
      <c r="MBB22" s="559"/>
      <c r="MBC22" s="559"/>
      <c r="MBD22" s="559"/>
      <c r="MBE22" s="559"/>
      <c r="MBF22" s="559"/>
      <c r="MBG22" s="559"/>
      <c r="MBH22" s="559"/>
      <c r="MBI22" s="559"/>
      <c r="MBJ22" s="559"/>
      <c r="MBK22" s="559"/>
      <c r="MBL22" s="559"/>
      <c r="MBM22" s="559"/>
      <c r="MBN22" s="559"/>
      <c r="MBO22" s="559"/>
      <c r="MBP22" s="559"/>
      <c r="MBQ22" s="559"/>
      <c r="MBR22" s="559"/>
      <c r="MBS22" s="559"/>
      <c r="MBT22" s="559"/>
      <c r="MBU22" s="559"/>
      <c r="MBV22" s="559"/>
      <c r="MBW22" s="559"/>
      <c r="MBX22" s="559"/>
      <c r="MBY22" s="559"/>
      <c r="MBZ22" s="559"/>
      <c r="MCA22" s="559"/>
      <c r="MCB22" s="559"/>
      <c r="MCC22" s="559"/>
      <c r="MCD22" s="559"/>
      <c r="MCE22" s="559"/>
      <c r="MCF22" s="559"/>
      <c r="MCG22" s="559"/>
      <c r="MCH22" s="559"/>
      <c r="MCI22" s="559"/>
      <c r="MCJ22" s="559"/>
      <c r="MCK22" s="559"/>
      <c r="MCL22" s="559"/>
      <c r="MCM22" s="559"/>
      <c r="MCN22" s="559"/>
      <c r="MCO22" s="559"/>
      <c r="MCP22" s="559"/>
      <c r="MCQ22" s="559"/>
      <c r="MCR22" s="559"/>
      <c r="MCS22" s="559"/>
      <c r="MCT22" s="559"/>
      <c r="MCU22" s="559"/>
      <c r="MCV22" s="559"/>
      <c r="MCW22" s="559"/>
      <c r="MCX22" s="559"/>
      <c r="MCY22" s="559"/>
      <c r="MCZ22" s="559"/>
      <c r="MDA22" s="559"/>
      <c r="MDB22" s="559"/>
      <c r="MDC22" s="559"/>
      <c r="MDD22" s="559"/>
      <c r="MDE22" s="559"/>
      <c r="MDF22" s="559"/>
      <c r="MDG22" s="559"/>
      <c r="MDH22" s="559"/>
      <c r="MDI22" s="559"/>
      <c r="MDJ22" s="559"/>
      <c r="MDK22" s="559"/>
      <c r="MDL22" s="559"/>
      <c r="MDM22" s="559"/>
      <c r="MDN22" s="559"/>
      <c r="MDO22" s="559"/>
      <c r="MDP22" s="559"/>
      <c r="MDQ22" s="559"/>
      <c r="MDR22" s="559"/>
      <c r="MDS22" s="559"/>
      <c r="MDT22" s="559"/>
      <c r="MDU22" s="559"/>
      <c r="MDV22" s="559"/>
      <c r="MDW22" s="559"/>
      <c r="MDX22" s="559"/>
      <c r="MDY22" s="559"/>
      <c r="MDZ22" s="559"/>
      <c r="MEA22" s="559"/>
      <c r="MEB22" s="559"/>
      <c r="MEC22" s="559"/>
      <c r="MED22" s="559"/>
      <c r="MEE22" s="559"/>
      <c r="MEF22" s="559"/>
      <c r="MEG22" s="559"/>
      <c r="MEH22" s="559"/>
      <c r="MEI22" s="559"/>
      <c r="MEJ22" s="559"/>
      <c r="MEK22" s="559"/>
      <c r="MEL22" s="559"/>
      <c r="MEM22" s="559"/>
      <c r="MEN22" s="559"/>
      <c r="MEO22" s="559"/>
      <c r="MEP22" s="559"/>
      <c r="MEQ22" s="559"/>
      <c r="MER22" s="559"/>
      <c r="MES22" s="559"/>
      <c r="MET22" s="559"/>
      <c r="MEU22" s="559"/>
      <c r="MEV22" s="559"/>
      <c r="MEW22" s="559"/>
      <c r="MEX22" s="559"/>
      <c r="MEY22" s="559"/>
      <c r="MEZ22" s="559"/>
      <c r="MFA22" s="559"/>
      <c r="MFB22" s="559"/>
      <c r="MFC22" s="559"/>
      <c r="MFD22" s="559"/>
      <c r="MFE22" s="559"/>
      <c r="MFF22" s="559"/>
      <c r="MFG22" s="559"/>
      <c r="MFH22" s="559"/>
      <c r="MFI22" s="559"/>
      <c r="MFJ22" s="559"/>
      <c r="MFK22" s="559"/>
      <c r="MFL22" s="559"/>
      <c r="MFM22" s="559"/>
      <c r="MFN22" s="559"/>
      <c r="MFO22" s="559"/>
      <c r="MFP22" s="559"/>
      <c r="MFQ22" s="559"/>
      <c r="MFR22" s="559"/>
      <c r="MFS22" s="559"/>
      <c r="MFT22" s="559"/>
      <c r="MFU22" s="559"/>
      <c r="MFV22" s="559"/>
      <c r="MFW22" s="559"/>
      <c r="MFX22" s="559"/>
      <c r="MFY22" s="559"/>
      <c r="MFZ22" s="559"/>
      <c r="MGA22" s="559"/>
      <c r="MGB22" s="559"/>
      <c r="MGC22" s="559"/>
      <c r="MGD22" s="559"/>
      <c r="MGE22" s="559"/>
      <c r="MGF22" s="559"/>
      <c r="MGG22" s="559"/>
      <c r="MGH22" s="559"/>
      <c r="MGI22" s="559"/>
      <c r="MGJ22" s="559"/>
      <c r="MGK22" s="559"/>
      <c r="MGL22" s="559"/>
      <c r="MGM22" s="559"/>
      <c r="MGN22" s="559"/>
      <c r="MGO22" s="559"/>
      <c r="MGP22" s="559"/>
      <c r="MGQ22" s="559"/>
      <c r="MGR22" s="559"/>
      <c r="MGS22" s="559"/>
      <c r="MGT22" s="559"/>
      <c r="MGU22" s="559"/>
      <c r="MGV22" s="559"/>
      <c r="MGW22" s="559"/>
      <c r="MGX22" s="559"/>
      <c r="MGY22" s="559"/>
      <c r="MGZ22" s="559"/>
      <c r="MHA22" s="559"/>
      <c r="MHB22" s="559"/>
      <c r="MHC22" s="559"/>
      <c r="MHD22" s="559"/>
      <c r="MHE22" s="559"/>
      <c r="MHF22" s="559"/>
      <c r="MHG22" s="559"/>
      <c r="MHH22" s="559"/>
      <c r="MHI22" s="559"/>
      <c r="MHJ22" s="559"/>
      <c r="MHK22" s="559"/>
      <c r="MHL22" s="559"/>
      <c r="MHM22" s="559"/>
      <c r="MHN22" s="559"/>
      <c r="MHO22" s="559"/>
      <c r="MHP22" s="559"/>
      <c r="MHQ22" s="559"/>
      <c r="MHR22" s="559"/>
      <c r="MHS22" s="559"/>
      <c r="MHT22" s="559"/>
      <c r="MHU22" s="559"/>
      <c r="MHV22" s="559"/>
      <c r="MHW22" s="559"/>
      <c r="MHX22" s="559"/>
      <c r="MHY22" s="559"/>
      <c r="MHZ22" s="559"/>
      <c r="MIA22" s="559"/>
      <c r="MIB22" s="559"/>
      <c r="MIC22" s="559"/>
      <c r="MID22" s="559"/>
      <c r="MIE22" s="559"/>
      <c r="MIF22" s="559"/>
      <c r="MIG22" s="559"/>
      <c r="MIH22" s="559"/>
      <c r="MII22" s="559"/>
      <c r="MIJ22" s="559"/>
      <c r="MIK22" s="559"/>
      <c r="MIL22" s="559"/>
      <c r="MIM22" s="559"/>
      <c r="MIN22" s="559"/>
      <c r="MIO22" s="559"/>
      <c r="MIP22" s="559"/>
      <c r="MIQ22" s="559"/>
      <c r="MIR22" s="559"/>
      <c r="MIS22" s="559"/>
      <c r="MIT22" s="559"/>
      <c r="MIU22" s="559"/>
      <c r="MIV22" s="559"/>
      <c r="MIW22" s="559"/>
      <c r="MIX22" s="559"/>
      <c r="MIY22" s="559"/>
      <c r="MIZ22" s="559"/>
      <c r="MJA22" s="559"/>
      <c r="MJB22" s="559"/>
      <c r="MJC22" s="559"/>
      <c r="MJD22" s="559"/>
      <c r="MJE22" s="559"/>
      <c r="MJF22" s="559"/>
      <c r="MJG22" s="559"/>
      <c r="MJH22" s="559"/>
      <c r="MJI22" s="559"/>
      <c r="MJJ22" s="559"/>
      <c r="MJK22" s="559"/>
      <c r="MJL22" s="559"/>
      <c r="MJM22" s="559"/>
      <c r="MJN22" s="559"/>
      <c r="MJO22" s="559"/>
      <c r="MJP22" s="559"/>
      <c r="MJQ22" s="559"/>
      <c r="MJR22" s="559"/>
      <c r="MJS22" s="559"/>
      <c r="MJT22" s="559"/>
      <c r="MJU22" s="559"/>
      <c r="MJV22" s="559"/>
      <c r="MJW22" s="559"/>
      <c r="MJX22" s="559"/>
      <c r="MJY22" s="559"/>
      <c r="MJZ22" s="559"/>
      <c r="MKA22" s="559"/>
      <c r="MKB22" s="559"/>
      <c r="MKC22" s="559"/>
      <c r="MKD22" s="559"/>
      <c r="MKE22" s="559"/>
      <c r="MKF22" s="559"/>
      <c r="MKG22" s="559"/>
      <c r="MKH22" s="559"/>
      <c r="MKI22" s="559"/>
      <c r="MKJ22" s="559"/>
      <c r="MKK22" s="559"/>
      <c r="MKL22" s="559"/>
      <c r="MKM22" s="559"/>
      <c r="MKN22" s="559"/>
      <c r="MKO22" s="559"/>
      <c r="MKP22" s="559"/>
      <c r="MKQ22" s="559"/>
      <c r="MKR22" s="559"/>
      <c r="MKS22" s="559"/>
      <c r="MKT22" s="559"/>
      <c r="MKU22" s="559"/>
      <c r="MKV22" s="559"/>
      <c r="MKW22" s="559"/>
      <c r="MKX22" s="559"/>
      <c r="MKY22" s="559"/>
      <c r="MKZ22" s="559"/>
      <c r="MLA22" s="559"/>
      <c r="MLB22" s="559"/>
      <c r="MLC22" s="559"/>
      <c r="MLD22" s="559"/>
      <c r="MLE22" s="559"/>
      <c r="MLF22" s="559"/>
      <c r="MLG22" s="559"/>
      <c r="MLH22" s="559"/>
      <c r="MLI22" s="559"/>
      <c r="MLJ22" s="559"/>
      <c r="MLK22" s="559"/>
      <c r="MLL22" s="559"/>
      <c r="MLM22" s="559"/>
      <c r="MLN22" s="559"/>
      <c r="MLO22" s="559"/>
      <c r="MLP22" s="559"/>
      <c r="MLQ22" s="559"/>
      <c r="MLR22" s="559"/>
      <c r="MLS22" s="559"/>
      <c r="MLT22" s="559"/>
      <c r="MLU22" s="559"/>
      <c r="MLV22" s="559"/>
      <c r="MLW22" s="559"/>
      <c r="MLX22" s="559"/>
      <c r="MLY22" s="559"/>
      <c r="MLZ22" s="559"/>
      <c r="MMA22" s="559"/>
      <c r="MMB22" s="559"/>
      <c r="MMC22" s="559"/>
      <c r="MMD22" s="559"/>
      <c r="MME22" s="559"/>
      <c r="MMF22" s="559"/>
      <c r="MMG22" s="559"/>
      <c r="MMH22" s="559"/>
      <c r="MMI22" s="559"/>
      <c r="MMJ22" s="559"/>
      <c r="MMK22" s="559"/>
      <c r="MML22" s="559"/>
      <c r="MMM22" s="559"/>
      <c r="MMN22" s="559"/>
      <c r="MMO22" s="559"/>
      <c r="MMP22" s="559"/>
      <c r="MMQ22" s="559"/>
      <c r="MMR22" s="559"/>
      <c r="MMS22" s="559"/>
      <c r="MMT22" s="559"/>
      <c r="MMU22" s="559"/>
      <c r="MMV22" s="559"/>
      <c r="MMW22" s="559"/>
      <c r="MMX22" s="559"/>
      <c r="MMY22" s="559"/>
      <c r="MMZ22" s="559"/>
      <c r="MNA22" s="559"/>
      <c r="MNB22" s="559"/>
      <c r="MNC22" s="559"/>
      <c r="MND22" s="559"/>
      <c r="MNE22" s="559"/>
      <c r="MNF22" s="559"/>
      <c r="MNG22" s="559"/>
      <c r="MNH22" s="559"/>
      <c r="MNI22" s="559"/>
      <c r="MNJ22" s="559"/>
      <c r="MNK22" s="559"/>
      <c r="MNL22" s="559"/>
      <c r="MNM22" s="559"/>
      <c r="MNN22" s="559"/>
      <c r="MNO22" s="559"/>
      <c r="MNP22" s="559"/>
      <c r="MNQ22" s="559"/>
      <c r="MNR22" s="559"/>
      <c r="MNS22" s="559"/>
      <c r="MNT22" s="559"/>
      <c r="MNU22" s="559"/>
      <c r="MNV22" s="559"/>
      <c r="MNW22" s="559"/>
      <c r="MNX22" s="559"/>
      <c r="MNY22" s="559"/>
      <c r="MNZ22" s="559"/>
      <c r="MOA22" s="559"/>
      <c r="MOB22" s="559"/>
      <c r="MOC22" s="559"/>
      <c r="MOD22" s="559"/>
      <c r="MOE22" s="559"/>
      <c r="MOF22" s="559"/>
      <c r="MOG22" s="559"/>
      <c r="MOH22" s="559"/>
      <c r="MOI22" s="559"/>
      <c r="MOJ22" s="559"/>
      <c r="MOK22" s="559"/>
      <c r="MOL22" s="559"/>
      <c r="MOM22" s="559"/>
      <c r="MON22" s="559"/>
      <c r="MOO22" s="559"/>
      <c r="MOP22" s="559"/>
      <c r="MOQ22" s="559"/>
      <c r="MOR22" s="559"/>
      <c r="MOS22" s="559"/>
      <c r="MOT22" s="559"/>
      <c r="MOU22" s="559"/>
      <c r="MOV22" s="559"/>
      <c r="MOW22" s="559"/>
      <c r="MOX22" s="559"/>
      <c r="MOY22" s="559"/>
      <c r="MOZ22" s="559"/>
      <c r="MPA22" s="559"/>
      <c r="MPB22" s="559"/>
      <c r="MPC22" s="559"/>
      <c r="MPD22" s="559"/>
      <c r="MPE22" s="559"/>
      <c r="MPF22" s="559"/>
      <c r="MPG22" s="559"/>
      <c r="MPH22" s="559"/>
      <c r="MPI22" s="559"/>
      <c r="MPJ22" s="559"/>
      <c r="MPK22" s="559"/>
      <c r="MPL22" s="559"/>
      <c r="MPM22" s="559"/>
      <c r="MPN22" s="559"/>
      <c r="MPO22" s="559"/>
      <c r="MPP22" s="559"/>
      <c r="MPQ22" s="559"/>
      <c r="MPR22" s="559"/>
      <c r="MPS22" s="559"/>
      <c r="MPT22" s="559"/>
      <c r="MPU22" s="559"/>
      <c r="MPV22" s="559"/>
      <c r="MPW22" s="559"/>
      <c r="MPX22" s="559"/>
      <c r="MPY22" s="559"/>
      <c r="MPZ22" s="559"/>
      <c r="MQA22" s="559"/>
      <c r="MQB22" s="559"/>
      <c r="MQC22" s="559"/>
      <c r="MQD22" s="559"/>
      <c r="MQE22" s="559"/>
      <c r="MQF22" s="559"/>
      <c r="MQG22" s="559"/>
      <c r="MQH22" s="559"/>
      <c r="MQI22" s="559"/>
      <c r="MQJ22" s="559"/>
      <c r="MQK22" s="559"/>
      <c r="MQL22" s="559"/>
      <c r="MQM22" s="559"/>
      <c r="MQN22" s="559"/>
      <c r="MQO22" s="559"/>
      <c r="MQP22" s="559"/>
      <c r="MQQ22" s="559"/>
      <c r="MQR22" s="559"/>
      <c r="MQS22" s="559"/>
      <c r="MQT22" s="559"/>
      <c r="MQU22" s="559"/>
      <c r="MQV22" s="559"/>
      <c r="MQW22" s="559"/>
      <c r="MQX22" s="559"/>
      <c r="MQY22" s="559"/>
      <c r="MQZ22" s="559"/>
      <c r="MRA22" s="559"/>
      <c r="MRB22" s="559"/>
      <c r="MRC22" s="559"/>
      <c r="MRD22" s="559"/>
      <c r="MRE22" s="559"/>
      <c r="MRF22" s="559"/>
      <c r="MRG22" s="559"/>
      <c r="MRH22" s="559"/>
      <c r="MRI22" s="559"/>
      <c r="MRJ22" s="559"/>
      <c r="MRK22" s="559"/>
      <c r="MRL22" s="559"/>
      <c r="MRM22" s="559"/>
      <c r="MRN22" s="559"/>
      <c r="MRO22" s="559"/>
      <c r="MRP22" s="559"/>
      <c r="MRQ22" s="559"/>
      <c r="MRR22" s="559"/>
      <c r="MRS22" s="559"/>
      <c r="MRT22" s="559"/>
      <c r="MRU22" s="559"/>
      <c r="MRV22" s="559"/>
      <c r="MRW22" s="559"/>
      <c r="MRX22" s="559"/>
      <c r="MRY22" s="559"/>
      <c r="MRZ22" s="559"/>
      <c r="MSA22" s="559"/>
      <c r="MSB22" s="559"/>
      <c r="MSC22" s="559"/>
      <c r="MSD22" s="559"/>
      <c r="MSE22" s="559"/>
      <c r="MSF22" s="559"/>
      <c r="MSG22" s="559"/>
      <c r="MSH22" s="559"/>
      <c r="MSI22" s="559"/>
      <c r="MSJ22" s="559"/>
      <c r="MSK22" s="559"/>
      <c r="MSL22" s="559"/>
      <c r="MSM22" s="559"/>
      <c r="MSN22" s="559"/>
      <c r="MSO22" s="559"/>
      <c r="MSP22" s="559"/>
      <c r="MSQ22" s="559"/>
      <c r="MSR22" s="559"/>
      <c r="MSS22" s="559"/>
      <c r="MST22" s="559"/>
      <c r="MSU22" s="559"/>
      <c r="MSV22" s="559"/>
      <c r="MSW22" s="559"/>
      <c r="MSX22" s="559"/>
      <c r="MSY22" s="559"/>
      <c r="MSZ22" s="559"/>
      <c r="MTA22" s="559"/>
      <c r="MTB22" s="559"/>
      <c r="MTC22" s="559"/>
      <c r="MTD22" s="559"/>
      <c r="MTE22" s="559"/>
      <c r="MTF22" s="559"/>
      <c r="MTG22" s="559"/>
      <c r="MTH22" s="559"/>
      <c r="MTI22" s="559"/>
      <c r="MTJ22" s="559"/>
      <c r="MTK22" s="559"/>
      <c r="MTL22" s="559"/>
      <c r="MTM22" s="559"/>
      <c r="MTN22" s="559"/>
      <c r="MTO22" s="559"/>
      <c r="MTP22" s="559"/>
      <c r="MTQ22" s="559"/>
      <c r="MTR22" s="559"/>
      <c r="MTS22" s="559"/>
      <c r="MTT22" s="559"/>
      <c r="MTU22" s="559"/>
      <c r="MTV22" s="559"/>
      <c r="MTW22" s="559"/>
      <c r="MTX22" s="559"/>
      <c r="MTY22" s="559"/>
      <c r="MTZ22" s="559"/>
      <c r="MUA22" s="559"/>
      <c r="MUB22" s="559"/>
      <c r="MUC22" s="559"/>
      <c r="MUD22" s="559"/>
      <c r="MUE22" s="559"/>
      <c r="MUF22" s="559"/>
      <c r="MUG22" s="559"/>
      <c r="MUH22" s="559"/>
      <c r="MUI22" s="559"/>
      <c r="MUJ22" s="559"/>
      <c r="MUK22" s="559"/>
      <c r="MUL22" s="559"/>
      <c r="MUM22" s="559"/>
      <c r="MUN22" s="559"/>
      <c r="MUO22" s="559"/>
      <c r="MUP22" s="559"/>
      <c r="MUQ22" s="559"/>
      <c r="MUR22" s="559"/>
      <c r="MUS22" s="559"/>
      <c r="MUT22" s="559"/>
      <c r="MUU22" s="559"/>
      <c r="MUV22" s="559"/>
      <c r="MUW22" s="559"/>
      <c r="MUX22" s="559"/>
      <c r="MUY22" s="559"/>
      <c r="MUZ22" s="559"/>
      <c r="MVA22" s="559"/>
      <c r="MVB22" s="559"/>
      <c r="MVC22" s="559"/>
      <c r="MVD22" s="559"/>
      <c r="MVE22" s="559"/>
      <c r="MVF22" s="559"/>
      <c r="MVG22" s="559"/>
      <c r="MVH22" s="559"/>
      <c r="MVI22" s="559"/>
      <c r="MVJ22" s="559"/>
      <c r="MVK22" s="559"/>
      <c r="MVL22" s="559"/>
      <c r="MVM22" s="559"/>
      <c r="MVN22" s="559"/>
      <c r="MVO22" s="559"/>
      <c r="MVP22" s="559"/>
      <c r="MVQ22" s="559"/>
      <c r="MVR22" s="559"/>
      <c r="MVS22" s="559"/>
      <c r="MVT22" s="559"/>
      <c r="MVU22" s="559"/>
      <c r="MVV22" s="559"/>
      <c r="MVW22" s="559"/>
      <c r="MVX22" s="559"/>
      <c r="MVY22" s="559"/>
      <c r="MVZ22" s="559"/>
      <c r="MWA22" s="559"/>
      <c r="MWB22" s="559"/>
      <c r="MWC22" s="559"/>
      <c r="MWD22" s="559"/>
      <c r="MWE22" s="559"/>
      <c r="MWF22" s="559"/>
      <c r="MWG22" s="559"/>
      <c r="MWH22" s="559"/>
      <c r="MWI22" s="559"/>
      <c r="MWJ22" s="559"/>
      <c r="MWK22" s="559"/>
      <c r="MWL22" s="559"/>
      <c r="MWM22" s="559"/>
      <c r="MWN22" s="559"/>
      <c r="MWO22" s="559"/>
      <c r="MWP22" s="559"/>
      <c r="MWQ22" s="559"/>
      <c r="MWR22" s="559"/>
      <c r="MWS22" s="559"/>
      <c r="MWT22" s="559"/>
      <c r="MWU22" s="559"/>
      <c r="MWV22" s="559"/>
      <c r="MWW22" s="559"/>
      <c r="MWX22" s="559"/>
      <c r="MWY22" s="559"/>
      <c r="MWZ22" s="559"/>
      <c r="MXA22" s="559"/>
      <c r="MXB22" s="559"/>
      <c r="MXC22" s="559"/>
      <c r="MXD22" s="559"/>
      <c r="MXE22" s="559"/>
      <c r="MXF22" s="559"/>
      <c r="MXG22" s="559"/>
      <c r="MXH22" s="559"/>
      <c r="MXI22" s="559"/>
      <c r="MXJ22" s="559"/>
      <c r="MXK22" s="559"/>
      <c r="MXL22" s="559"/>
      <c r="MXM22" s="559"/>
      <c r="MXN22" s="559"/>
      <c r="MXO22" s="559"/>
      <c r="MXP22" s="559"/>
      <c r="MXQ22" s="559"/>
      <c r="MXR22" s="559"/>
      <c r="MXS22" s="559"/>
      <c r="MXT22" s="559"/>
      <c r="MXU22" s="559"/>
      <c r="MXV22" s="559"/>
      <c r="MXW22" s="559"/>
      <c r="MXX22" s="559"/>
      <c r="MXY22" s="559"/>
      <c r="MXZ22" s="559"/>
      <c r="MYA22" s="559"/>
      <c r="MYB22" s="559"/>
      <c r="MYC22" s="559"/>
      <c r="MYD22" s="559"/>
      <c r="MYE22" s="559"/>
      <c r="MYF22" s="559"/>
      <c r="MYG22" s="559"/>
      <c r="MYH22" s="559"/>
      <c r="MYI22" s="559"/>
      <c r="MYJ22" s="559"/>
      <c r="MYK22" s="559"/>
      <c r="MYL22" s="559"/>
      <c r="MYM22" s="559"/>
      <c r="MYN22" s="559"/>
      <c r="MYO22" s="559"/>
      <c r="MYP22" s="559"/>
      <c r="MYQ22" s="559"/>
      <c r="MYR22" s="559"/>
      <c r="MYS22" s="559"/>
      <c r="MYT22" s="559"/>
      <c r="MYU22" s="559"/>
      <c r="MYV22" s="559"/>
      <c r="MYW22" s="559"/>
      <c r="MYX22" s="559"/>
      <c r="MYY22" s="559"/>
      <c r="MYZ22" s="559"/>
      <c r="MZA22" s="559"/>
      <c r="MZB22" s="559"/>
      <c r="MZC22" s="559"/>
      <c r="MZD22" s="559"/>
      <c r="MZE22" s="559"/>
      <c r="MZF22" s="559"/>
      <c r="MZG22" s="559"/>
      <c r="MZH22" s="559"/>
      <c r="MZI22" s="559"/>
      <c r="MZJ22" s="559"/>
      <c r="MZK22" s="559"/>
      <c r="MZL22" s="559"/>
      <c r="MZM22" s="559"/>
      <c r="MZN22" s="559"/>
      <c r="MZO22" s="559"/>
      <c r="MZP22" s="559"/>
      <c r="MZQ22" s="559"/>
      <c r="MZR22" s="559"/>
      <c r="MZS22" s="559"/>
      <c r="MZT22" s="559"/>
      <c r="MZU22" s="559"/>
      <c r="MZV22" s="559"/>
      <c r="MZW22" s="559"/>
      <c r="MZX22" s="559"/>
      <c r="MZY22" s="559"/>
      <c r="MZZ22" s="559"/>
      <c r="NAA22" s="559"/>
      <c r="NAB22" s="559"/>
      <c r="NAC22" s="559"/>
      <c r="NAD22" s="559"/>
      <c r="NAE22" s="559"/>
      <c r="NAF22" s="559"/>
      <c r="NAG22" s="559"/>
      <c r="NAH22" s="559"/>
      <c r="NAI22" s="559"/>
      <c r="NAJ22" s="559"/>
      <c r="NAK22" s="559"/>
      <c r="NAL22" s="559"/>
      <c r="NAM22" s="559"/>
      <c r="NAN22" s="559"/>
      <c r="NAO22" s="559"/>
      <c r="NAP22" s="559"/>
      <c r="NAQ22" s="559"/>
      <c r="NAR22" s="559"/>
      <c r="NAS22" s="559"/>
      <c r="NAT22" s="559"/>
      <c r="NAU22" s="559"/>
      <c r="NAV22" s="559"/>
      <c r="NAW22" s="559"/>
      <c r="NAX22" s="559"/>
      <c r="NAY22" s="559"/>
      <c r="NAZ22" s="559"/>
      <c r="NBA22" s="559"/>
      <c r="NBB22" s="559"/>
      <c r="NBC22" s="559"/>
      <c r="NBD22" s="559"/>
      <c r="NBE22" s="559"/>
      <c r="NBF22" s="559"/>
      <c r="NBG22" s="559"/>
      <c r="NBH22" s="559"/>
      <c r="NBI22" s="559"/>
      <c r="NBJ22" s="559"/>
      <c r="NBK22" s="559"/>
      <c r="NBL22" s="559"/>
      <c r="NBM22" s="559"/>
      <c r="NBN22" s="559"/>
      <c r="NBO22" s="559"/>
      <c r="NBP22" s="559"/>
      <c r="NBQ22" s="559"/>
      <c r="NBR22" s="559"/>
      <c r="NBS22" s="559"/>
      <c r="NBT22" s="559"/>
      <c r="NBU22" s="559"/>
      <c r="NBV22" s="559"/>
      <c r="NBW22" s="559"/>
      <c r="NBX22" s="559"/>
      <c r="NBY22" s="559"/>
      <c r="NBZ22" s="559"/>
      <c r="NCA22" s="559"/>
      <c r="NCB22" s="559"/>
      <c r="NCC22" s="559"/>
      <c r="NCD22" s="559"/>
      <c r="NCE22" s="559"/>
      <c r="NCF22" s="559"/>
      <c r="NCG22" s="559"/>
      <c r="NCH22" s="559"/>
      <c r="NCI22" s="559"/>
      <c r="NCJ22" s="559"/>
      <c r="NCK22" s="559"/>
      <c r="NCL22" s="559"/>
      <c r="NCM22" s="559"/>
      <c r="NCN22" s="559"/>
      <c r="NCO22" s="559"/>
      <c r="NCP22" s="559"/>
      <c r="NCQ22" s="559"/>
      <c r="NCR22" s="559"/>
      <c r="NCS22" s="559"/>
      <c r="NCT22" s="559"/>
      <c r="NCU22" s="559"/>
      <c r="NCV22" s="559"/>
      <c r="NCW22" s="559"/>
      <c r="NCX22" s="559"/>
      <c r="NCY22" s="559"/>
      <c r="NCZ22" s="559"/>
      <c r="NDA22" s="559"/>
      <c r="NDB22" s="559"/>
      <c r="NDC22" s="559"/>
      <c r="NDD22" s="559"/>
      <c r="NDE22" s="559"/>
      <c r="NDF22" s="559"/>
      <c r="NDG22" s="559"/>
      <c r="NDH22" s="559"/>
      <c r="NDI22" s="559"/>
      <c r="NDJ22" s="559"/>
      <c r="NDK22" s="559"/>
      <c r="NDL22" s="559"/>
      <c r="NDM22" s="559"/>
      <c r="NDN22" s="559"/>
      <c r="NDO22" s="559"/>
      <c r="NDP22" s="559"/>
      <c r="NDQ22" s="559"/>
      <c r="NDR22" s="559"/>
      <c r="NDS22" s="559"/>
      <c r="NDT22" s="559"/>
      <c r="NDU22" s="559"/>
      <c r="NDV22" s="559"/>
      <c r="NDW22" s="559"/>
      <c r="NDX22" s="559"/>
      <c r="NDY22" s="559"/>
      <c r="NDZ22" s="559"/>
      <c r="NEA22" s="559"/>
      <c r="NEB22" s="559"/>
      <c r="NEC22" s="559"/>
      <c r="NED22" s="559"/>
      <c r="NEE22" s="559"/>
      <c r="NEF22" s="559"/>
      <c r="NEG22" s="559"/>
      <c r="NEH22" s="559"/>
      <c r="NEI22" s="559"/>
      <c r="NEJ22" s="559"/>
      <c r="NEK22" s="559"/>
      <c r="NEL22" s="559"/>
      <c r="NEM22" s="559"/>
      <c r="NEN22" s="559"/>
      <c r="NEO22" s="559"/>
      <c r="NEP22" s="559"/>
      <c r="NEQ22" s="559"/>
      <c r="NER22" s="559"/>
      <c r="NES22" s="559"/>
      <c r="NET22" s="559"/>
      <c r="NEU22" s="559"/>
      <c r="NEV22" s="559"/>
      <c r="NEW22" s="559"/>
      <c r="NEX22" s="559"/>
      <c r="NEY22" s="559"/>
      <c r="NEZ22" s="559"/>
      <c r="NFA22" s="559"/>
      <c r="NFB22" s="559"/>
      <c r="NFC22" s="559"/>
      <c r="NFD22" s="559"/>
      <c r="NFE22" s="559"/>
      <c r="NFF22" s="559"/>
      <c r="NFG22" s="559"/>
      <c r="NFH22" s="559"/>
      <c r="NFI22" s="559"/>
      <c r="NFJ22" s="559"/>
      <c r="NFK22" s="559"/>
      <c r="NFL22" s="559"/>
      <c r="NFM22" s="559"/>
      <c r="NFN22" s="559"/>
      <c r="NFO22" s="559"/>
      <c r="NFP22" s="559"/>
      <c r="NFQ22" s="559"/>
      <c r="NFR22" s="559"/>
      <c r="NFS22" s="559"/>
      <c r="NFT22" s="559"/>
      <c r="NFU22" s="559"/>
      <c r="NFV22" s="559"/>
      <c r="NFW22" s="559"/>
      <c r="NFX22" s="559"/>
      <c r="NFY22" s="559"/>
      <c r="NFZ22" s="559"/>
      <c r="NGA22" s="559"/>
      <c r="NGB22" s="559"/>
      <c r="NGC22" s="559"/>
      <c r="NGD22" s="559"/>
      <c r="NGE22" s="559"/>
      <c r="NGF22" s="559"/>
      <c r="NGG22" s="559"/>
      <c r="NGH22" s="559"/>
      <c r="NGI22" s="559"/>
      <c r="NGJ22" s="559"/>
      <c r="NGK22" s="559"/>
      <c r="NGL22" s="559"/>
      <c r="NGM22" s="559"/>
      <c r="NGN22" s="559"/>
      <c r="NGO22" s="559"/>
      <c r="NGP22" s="559"/>
      <c r="NGQ22" s="559"/>
      <c r="NGR22" s="559"/>
      <c r="NGS22" s="559"/>
      <c r="NGT22" s="559"/>
      <c r="NGU22" s="559"/>
      <c r="NGV22" s="559"/>
      <c r="NGW22" s="559"/>
      <c r="NGX22" s="559"/>
      <c r="NGY22" s="559"/>
      <c r="NGZ22" s="559"/>
      <c r="NHA22" s="559"/>
      <c r="NHB22" s="559"/>
      <c r="NHC22" s="559"/>
      <c r="NHD22" s="559"/>
      <c r="NHE22" s="559"/>
      <c r="NHF22" s="559"/>
      <c r="NHG22" s="559"/>
      <c r="NHH22" s="559"/>
      <c r="NHI22" s="559"/>
      <c r="NHJ22" s="559"/>
      <c r="NHK22" s="559"/>
      <c r="NHL22" s="559"/>
      <c r="NHM22" s="559"/>
      <c r="NHN22" s="559"/>
      <c r="NHO22" s="559"/>
      <c r="NHP22" s="559"/>
      <c r="NHQ22" s="559"/>
      <c r="NHR22" s="559"/>
      <c r="NHS22" s="559"/>
      <c r="NHT22" s="559"/>
      <c r="NHU22" s="559"/>
      <c r="NHV22" s="559"/>
      <c r="NHW22" s="559"/>
      <c r="NHX22" s="559"/>
      <c r="NHY22" s="559"/>
      <c r="NHZ22" s="559"/>
      <c r="NIA22" s="559"/>
      <c r="NIB22" s="559"/>
      <c r="NIC22" s="559"/>
      <c r="NID22" s="559"/>
      <c r="NIE22" s="559"/>
      <c r="NIF22" s="559"/>
      <c r="NIG22" s="559"/>
      <c r="NIH22" s="559"/>
      <c r="NII22" s="559"/>
      <c r="NIJ22" s="559"/>
      <c r="NIK22" s="559"/>
      <c r="NIL22" s="559"/>
      <c r="NIM22" s="559"/>
      <c r="NIN22" s="559"/>
      <c r="NIO22" s="559"/>
      <c r="NIP22" s="559"/>
      <c r="NIQ22" s="559"/>
      <c r="NIR22" s="559"/>
      <c r="NIS22" s="559"/>
      <c r="NIT22" s="559"/>
      <c r="NIU22" s="559"/>
      <c r="NIV22" s="559"/>
      <c r="NIW22" s="559"/>
      <c r="NIX22" s="559"/>
      <c r="NIY22" s="559"/>
      <c r="NIZ22" s="559"/>
      <c r="NJA22" s="559"/>
      <c r="NJB22" s="559"/>
      <c r="NJC22" s="559"/>
      <c r="NJD22" s="559"/>
      <c r="NJE22" s="559"/>
      <c r="NJF22" s="559"/>
      <c r="NJG22" s="559"/>
      <c r="NJH22" s="559"/>
      <c r="NJI22" s="559"/>
      <c r="NJJ22" s="559"/>
      <c r="NJK22" s="559"/>
      <c r="NJL22" s="559"/>
      <c r="NJM22" s="559"/>
      <c r="NJN22" s="559"/>
      <c r="NJO22" s="559"/>
      <c r="NJP22" s="559"/>
      <c r="NJQ22" s="559"/>
      <c r="NJR22" s="559"/>
      <c r="NJS22" s="559"/>
      <c r="NJT22" s="559"/>
      <c r="NJU22" s="559"/>
      <c r="NJV22" s="559"/>
      <c r="NJW22" s="559"/>
      <c r="NJX22" s="559"/>
      <c r="NJY22" s="559"/>
      <c r="NJZ22" s="559"/>
      <c r="NKA22" s="559"/>
      <c r="NKB22" s="559"/>
      <c r="NKC22" s="559"/>
      <c r="NKD22" s="559"/>
      <c r="NKE22" s="559"/>
      <c r="NKF22" s="559"/>
      <c r="NKG22" s="559"/>
      <c r="NKH22" s="559"/>
      <c r="NKI22" s="559"/>
      <c r="NKJ22" s="559"/>
      <c r="NKK22" s="559"/>
      <c r="NKL22" s="559"/>
      <c r="NKM22" s="559"/>
      <c r="NKN22" s="559"/>
      <c r="NKO22" s="559"/>
      <c r="NKP22" s="559"/>
      <c r="NKQ22" s="559"/>
      <c r="NKR22" s="559"/>
      <c r="NKS22" s="559"/>
      <c r="NKT22" s="559"/>
      <c r="NKU22" s="559"/>
      <c r="NKV22" s="559"/>
      <c r="NKW22" s="559"/>
      <c r="NKX22" s="559"/>
      <c r="NKY22" s="559"/>
      <c r="NKZ22" s="559"/>
      <c r="NLA22" s="559"/>
      <c r="NLB22" s="559"/>
      <c r="NLC22" s="559"/>
      <c r="NLD22" s="559"/>
      <c r="NLE22" s="559"/>
      <c r="NLF22" s="559"/>
      <c r="NLG22" s="559"/>
      <c r="NLH22" s="559"/>
      <c r="NLI22" s="559"/>
      <c r="NLJ22" s="559"/>
      <c r="NLK22" s="559"/>
      <c r="NLL22" s="559"/>
      <c r="NLM22" s="559"/>
      <c r="NLN22" s="559"/>
      <c r="NLO22" s="559"/>
      <c r="NLP22" s="559"/>
      <c r="NLQ22" s="559"/>
      <c r="NLR22" s="559"/>
      <c r="NLS22" s="559"/>
      <c r="NLT22" s="559"/>
      <c r="NLU22" s="559"/>
      <c r="NLV22" s="559"/>
      <c r="NLW22" s="559"/>
      <c r="NLX22" s="559"/>
      <c r="NLY22" s="559"/>
      <c r="NLZ22" s="559"/>
      <c r="NMA22" s="559"/>
      <c r="NMB22" s="559"/>
      <c r="NMC22" s="559"/>
      <c r="NMD22" s="559"/>
      <c r="NME22" s="559"/>
      <c r="NMF22" s="559"/>
      <c r="NMG22" s="559"/>
      <c r="NMH22" s="559"/>
      <c r="NMI22" s="559"/>
      <c r="NMJ22" s="559"/>
      <c r="NMK22" s="559"/>
      <c r="NML22" s="559"/>
      <c r="NMM22" s="559"/>
      <c r="NMN22" s="559"/>
      <c r="NMO22" s="559"/>
      <c r="NMP22" s="559"/>
      <c r="NMQ22" s="559"/>
      <c r="NMR22" s="559"/>
      <c r="NMS22" s="559"/>
      <c r="NMT22" s="559"/>
      <c r="NMU22" s="559"/>
      <c r="NMV22" s="559"/>
      <c r="NMW22" s="559"/>
      <c r="NMX22" s="559"/>
      <c r="NMY22" s="559"/>
      <c r="NMZ22" s="559"/>
      <c r="NNA22" s="559"/>
      <c r="NNB22" s="559"/>
      <c r="NNC22" s="559"/>
      <c r="NND22" s="559"/>
      <c r="NNE22" s="559"/>
      <c r="NNF22" s="559"/>
      <c r="NNG22" s="559"/>
      <c r="NNH22" s="559"/>
      <c r="NNI22" s="559"/>
      <c r="NNJ22" s="559"/>
      <c r="NNK22" s="559"/>
      <c r="NNL22" s="559"/>
      <c r="NNM22" s="559"/>
      <c r="NNN22" s="559"/>
      <c r="NNO22" s="559"/>
      <c r="NNP22" s="559"/>
      <c r="NNQ22" s="559"/>
      <c r="NNR22" s="559"/>
      <c r="NNS22" s="559"/>
      <c r="NNT22" s="559"/>
      <c r="NNU22" s="559"/>
      <c r="NNV22" s="559"/>
      <c r="NNW22" s="559"/>
      <c r="NNX22" s="559"/>
      <c r="NNY22" s="559"/>
      <c r="NNZ22" s="559"/>
      <c r="NOA22" s="559"/>
      <c r="NOB22" s="559"/>
      <c r="NOC22" s="559"/>
      <c r="NOD22" s="559"/>
      <c r="NOE22" s="559"/>
      <c r="NOF22" s="559"/>
      <c r="NOG22" s="559"/>
      <c r="NOH22" s="559"/>
      <c r="NOI22" s="559"/>
      <c r="NOJ22" s="559"/>
      <c r="NOK22" s="559"/>
      <c r="NOL22" s="559"/>
      <c r="NOM22" s="559"/>
      <c r="NON22" s="559"/>
      <c r="NOO22" s="559"/>
      <c r="NOP22" s="559"/>
      <c r="NOQ22" s="559"/>
      <c r="NOR22" s="559"/>
      <c r="NOS22" s="559"/>
      <c r="NOT22" s="559"/>
      <c r="NOU22" s="559"/>
      <c r="NOV22" s="559"/>
      <c r="NOW22" s="559"/>
      <c r="NOX22" s="559"/>
      <c r="NOY22" s="559"/>
      <c r="NOZ22" s="559"/>
      <c r="NPA22" s="559"/>
      <c r="NPB22" s="559"/>
      <c r="NPC22" s="559"/>
      <c r="NPD22" s="559"/>
      <c r="NPE22" s="559"/>
      <c r="NPF22" s="559"/>
      <c r="NPG22" s="559"/>
      <c r="NPH22" s="559"/>
      <c r="NPI22" s="559"/>
      <c r="NPJ22" s="559"/>
      <c r="NPK22" s="559"/>
      <c r="NPL22" s="559"/>
      <c r="NPM22" s="559"/>
      <c r="NPN22" s="559"/>
      <c r="NPO22" s="559"/>
      <c r="NPP22" s="559"/>
      <c r="NPQ22" s="559"/>
      <c r="NPR22" s="559"/>
      <c r="NPS22" s="559"/>
      <c r="NPT22" s="559"/>
      <c r="NPU22" s="559"/>
      <c r="NPV22" s="559"/>
      <c r="NPW22" s="559"/>
      <c r="NPX22" s="559"/>
      <c r="NPY22" s="559"/>
      <c r="NPZ22" s="559"/>
      <c r="NQA22" s="559"/>
      <c r="NQB22" s="559"/>
      <c r="NQC22" s="559"/>
      <c r="NQD22" s="559"/>
      <c r="NQE22" s="559"/>
      <c r="NQF22" s="559"/>
      <c r="NQG22" s="559"/>
      <c r="NQH22" s="559"/>
      <c r="NQI22" s="559"/>
      <c r="NQJ22" s="559"/>
      <c r="NQK22" s="559"/>
      <c r="NQL22" s="559"/>
      <c r="NQM22" s="559"/>
      <c r="NQN22" s="559"/>
      <c r="NQO22" s="559"/>
      <c r="NQP22" s="559"/>
      <c r="NQQ22" s="559"/>
      <c r="NQR22" s="559"/>
      <c r="NQS22" s="559"/>
      <c r="NQT22" s="559"/>
      <c r="NQU22" s="559"/>
      <c r="NQV22" s="559"/>
      <c r="NQW22" s="559"/>
      <c r="NQX22" s="559"/>
      <c r="NQY22" s="559"/>
      <c r="NQZ22" s="559"/>
      <c r="NRA22" s="559"/>
      <c r="NRB22" s="559"/>
      <c r="NRC22" s="559"/>
      <c r="NRD22" s="559"/>
      <c r="NRE22" s="559"/>
      <c r="NRF22" s="559"/>
      <c r="NRG22" s="559"/>
      <c r="NRH22" s="559"/>
      <c r="NRI22" s="559"/>
      <c r="NRJ22" s="559"/>
      <c r="NRK22" s="559"/>
      <c r="NRL22" s="559"/>
      <c r="NRM22" s="559"/>
      <c r="NRN22" s="559"/>
      <c r="NRO22" s="559"/>
      <c r="NRP22" s="559"/>
      <c r="NRQ22" s="559"/>
      <c r="NRR22" s="559"/>
      <c r="NRS22" s="559"/>
      <c r="NRT22" s="559"/>
      <c r="NRU22" s="559"/>
      <c r="NRV22" s="559"/>
      <c r="NRW22" s="559"/>
      <c r="NRX22" s="559"/>
      <c r="NRY22" s="559"/>
      <c r="NRZ22" s="559"/>
      <c r="NSA22" s="559"/>
      <c r="NSB22" s="559"/>
      <c r="NSC22" s="559"/>
      <c r="NSD22" s="559"/>
      <c r="NSE22" s="559"/>
      <c r="NSF22" s="559"/>
      <c r="NSG22" s="559"/>
      <c r="NSH22" s="559"/>
      <c r="NSI22" s="559"/>
      <c r="NSJ22" s="559"/>
      <c r="NSK22" s="559"/>
      <c r="NSL22" s="559"/>
      <c r="NSM22" s="559"/>
      <c r="NSN22" s="559"/>
      <c r="NSO22" s="559"/>
      <c r="NSP22" s="559"/>
      <c r="NSQ22" s="559"/>
      <c r="NSR22" s="559"/>
      <c r="NSS22" s="559"/>
      <c r="NST22" s="559"/>
      <c r="NSU22" s="559"/>
      <c r="NSV22" s="559"/>
      <c r="NSW22" s="559"/>
      <c r="NSX22" s="559"/>
      <c r="NSY22" s="559"/>
      <c r="NSZ22" s="559"/>
      <c r="NTA22" s="559"/>
      <c r="NTB22" s="559"/>
      <c r="NTC22" s="559"/>
      <c r="NTD22" s="559"/>
      <c r="NTE22" s="559"/>
      <c r="NTF22" s="559"/>
      <c r="NTG22" s="559"/>
      <c r="NTH22" s="559"/>
      <c r="NTI22" s="559"/>
      <c r="NTJ22" s="559"/>
      <c r="NTK22" s="559"/>
      <c r="NTL22" s="559"/>
      <c r="NTM22" s="559"/>
      <c r="NTN22" s="559"/>
      <c r="NTO22" s="559"/>
      <c r="NTP22" s="559"/>
      <c r="NTQ22" s="559"/>
      <c r="NTR22" s="559"/>
      <c r="NTS22" s="559"/>
      <c r="NTT22" s="559"/>
      <c r="NTU22" s="559"/>
      <c r="NTV22" s="559"/>
      <c r="NTW22" s="559"/>
      <c r="NTX22" s="559"/>
      <c r="NTY22" s="559"/>
      <c r="NTZ22" s="559"/>
      <c r="NUA22" s="559"/>
      <c r="NUB22" s="559"/>
      <c r="NUC22" s="559"/>
      <c r="NUD22" s="559"/>
      <c r="NUE22" s="559"/>
      <c r="NUF22" s="559"/>
      <c r="NUG22" s="559"/>
      <c r="NUH22" s="559"/>
      <c r="NUI22" s="559"/>
      <c r="NUJ22" s="559"/>
      <c r="NUK22" s="559"/>
      <c r="NUL22" s="559"/>
      <c r="NUM22" s="559"/>
      <c r="NUN22" s="559"/>
      <c r="NUO22" s="559"/>
      <c r="NUP22" s="559"/>
      <c r="NUQ22" s="559"/>
      <c r="NUR22" s="559"/>
      <c r="NUS22" s="559"/>
      <c r="NUT22" s="559"/>
      <c r="NUU22" s="559"/>
      <c r="NUV22" s="559"/>
      <c r="NUW22" s="559"/>
      <c r="NUX22" s="559"/>
      <c r="NUY22" s="559"/>
      <c r="NUZ22" s="559"/>
      <c r="NVA22" s="559"/>
      <c r="NVB22" s="559"/>
      <c r="NVC22" s="559"/>
      <c r="NVD22" s="559"/>
      <c r="NVE22" s="559"/>
      <c r="NVF22" s="559"/>
      <c r="NVG22" s="559"/>
      <c r="NVH22" s="559"/>
      <c r="NVI22" s="559"/>
      <c r="NVJ22" s="559"/>
      <c r="NVK22" s="559"/>
      <c r="NVL22" s="559"/>
      <c r="NVM22" s="559"/>
      <c r="NVN22" s="559"/>
      <c r="NVO22" s="559"/>
      <c r="NVP22" s="559"/>
      <c r="NVQ22" s="559"/>
      <c r="NVR22" s="559"/>
      <c r="NVS22" s="559"/>
      <c r="NVT22" s="559"/>
      <c r="NVU22" s="559"/>
      <c r="NVV22" s="559"/>
      <c r="NVW22" s="559"/>
      <c r="NVX22" s="559"/>
      <c r="NVY22" s="559"/>
      <c r="NVZ22" s="559"/>
      <c r="NWA22" s="559"/>
      <c r="NWB22" s="559"/>
      <c r="NWC22" s="559"/>
      <c r="NWD22" s="559"/>
      <c r="NWE22" s="559"/>
      <c r="NWF22" s="559"/>
      <c r="NWG22" s="559"/>
      <c r="NWH22" s="559"/>
      <c r="NWI22" s="559"/>
      <c r="NWJ22" s="559"/>
      <c r="NWK22" s="559"/>
      <c r="NWL22" s="559"/>
      <c r="NWM22" s="559"/>
      <c r="NWN22" s="559"/>
      <c r="NWO22" s="559"/>
      <c r="NWP22" s="559"/>
      <c r="NWQ22" s="559"/>
      <c r="NWR22" s="559"/>
      <c r="NWS22" s="559"/>
      <c r="NWT22" s="559"/>
      <c r="NWU22" s="559"/>
      <c r="NWV22" s="559"/>
      <c r="NWW22" s="559"/>
      <c r="NWX22" s="559"/>
      <c r="NWY22" s="559"/>
      <c r="NWZ22" s="559"/>
      <c r="NXA22" s="559"/>
      <c r="NXB22" s="559"/>
      <c r="NXC22" s="559"/>
      <c r="NXD22" s="559"/>
      <c r="NXE22" s="559"/>
      <c r="NXF22" s="559"/>
      <c r="NXG22" s="559"/>
      <c r="NXH22" s="559"/>
      <c r="NXI22" s="559"/>
      <c r="NXJ22" s="559"/>
      <c r="NXK22" s="559"/>
      <c r="NXL22" s="559"/>
      <c r="NXM22" s="559"/>
      <c r="NXN22" s="559"/>
      <c r="NXO22" s="559"/>
      <c r="NXP22" s="559"/>
      <c r="NXQ22" s="559"/>
      <c r="NXR22" s="559"/>
      <c r="NXS22" s="559"/>
      <c r="NXT22" s="559"/>
      <c r="NXU22" s="559"/>
      <c r="NXV22" s="559"/>
      <c r="NXW22" s="559"/>
      <c r="NXX22" s="559"/>
      <c r="NXY22" s="559"/>
      <c r="NXZ22" s="559"/>
      <c r="NYA22" s="559"/>
      <c r="NYB22" s="559"/>
      <c r="NYC22" s="559"/>
      <c r="NYD22" s="559"/>
      <c r="NYE22" s="559"/>
      <c r="NYF22" s="559"/>
      <c r="NYG22" s="559"/>
      <c r="NYH22" s="559"/>
      <c r="NYI22" s="559"/>
      <c r="NYJ22" s="559"/>
      <c r="NYK22" s="559"/>
      <c r="NYL22" s="559"/>
      <c r="NYM22" s="559"/>
      <c r="NYN22" s="559"/>
      <c r="NYO22" s="559"/>
      <c r="NYP22" s="559"/>
      <c r="NYQ22" s="559"/>
      <c r="NYR22" s="559"/>
      <c r="NYS22" s="559"/>
      <c r="NYT22" s="559"/>
      <c r="NYU22" s="559"/>
      <c r="NYV22" s="559"/>
      <c r="NYW22" s="559"/>
      <c r="NYX22" s="559"/>
      <c r="NYY22" s="559"/>
      <c r="NYZ22" s="559"/>
      <c r="NZA22" s="559"/>
      <c r="NZB22" s="559"/>
      <c r="NZC22" s="559"/>
      <c r="NZD22" s="559"/>
      <c r="NZE22" s="559"/>
      <c r="NZF22" s="559"/>
      <c r="NZG22" s="559"/>
      <c r="NZH22" s="559"/>
      <c r="NZI22" s="559"/>
      <c r="NZJ22" s="559"/>
      <c r="NZK22" s="559"/>
      <c r="NZL22" s="559"/>
      <c r="NZM22" s="559"/>
      <c r="NZN22" s="559"/>
      <c r="NZO22" s="559"/>
      <c r="NZP22" s="559"/>
      <c r="NZQ22" s="559"/>
      <c r="NZR22" s="559"/>
      <c r="NZS22" s="559"/>
      <c r="NZT22" s="559"/>
      <c r="NZU22" s="559"/>
      <c r="NZV22" s="559"/>
      <c r="NZW22" s="559"/>
      <c r="NZX22" s="559"/>
      <c r="NZY22" s="559"/>
      <c r="NZZ22" s="559"/>
      <c r="OAA22" s="559"/>
      <c r="OAB22" s="559"/>
      <c r="OAC22" s="559"/>
      <c r="OAD22" s="559"/>
      <c r="OAE22" s="559"/>
      <c r="OAF22" s="559"/>
      <c r="OAG22" s="559"/>
      <c r="OAH22" s="559"/>
      <c r="OAI22" s="559"/>
      <c r="OAJ22" s="559"/>
      <c r="OAK22" s="559"/>
      <c r="OAL22" s="559"/>
      <c r="OAM22" s="559"/>
      <c r="OAN22" s="559"/>
      <c r="OAO22" s="559"/>
      <c r="OAP22" s="559"/>
      <c r="OAQ22" s="559"/>
      <c r="OAR22" s="559"/>
      <c r="OAS22" s="559"/>
      <c r="OAT22" s="559"/>
      <c r="OAU22" s="559"/>
      <c r="OAV22" s="559"/>
      <c r="OAW22" s="559"/>
      <c r="OAX22" s="559"/>
      <c r="OAY22" s="559"/>
      <c r="OAZ22" s="559"/>
      <c r="OBA22" s="559"/>
      <c r="OBB22" s="559"/>
      <c r="OBC22" s="559"/>
      <c r="OBD22" s="559"/>
      <c r="OBE22" s="559"/>
      <c r="OBF22" s="559"/>
      <c r="OBG22" s="559"/>
      <c r="OBH22" s="559"/>
      <c r="OBI22" s="559"/>
      <c r="OBJ22" s="559"/>
      <c r="OBK22" s="559"/>
      <c r="OBL22" s="559"/>
      <c r="OBM22" s="559"/>
      <c r="OBN22" s="559"/>
      <c r="OBO22" s="559"/>
      <c r="OBP22" s="559"/>
      <c r="OBQ22" s="559"/>
      <c r="OBR22" s="559"/>
      <c r="OBS22" s="559"/>
      <c r="OBT22" s="559"/>
      <c r="OBU22" s="559"/>
      <c r="OBV22" s="559"/>
      <c r="OBW22" s="559"/>
      <c r="OBX22" s="559"/>
      <c r="OBY22" s="559"/>
      <c r="OBZ22" s="559"/>
      <c r="OCA22" s="559"/>
      <c r="OCB22" s="559"/>
      <c r="OCC22" s="559"/>
      <c r="OCD22" s="559"/>
      <c r="OCE22" s="559"/>
      <c r="OCF22" s="559"/>
      <c r="OCG22" s="559"/>
      <c r="OCH22" s="559"/>
      <c r="OCI22" s="559"/>
      <c r="OCJ22" s="559"/>
      <c r="OCK22" s="559"/>
      <c r="OCL22" s="559"/>
      <c r="OCM22" s="559"/>
      <c r="OCN22" s="559"/>
      <c r="OCO22" s="559"/>
      <c r="OCP22" s="559"/>
      <c r="OCQ22" s="559"/>
      <c r="OCR22" s="559"/>
      <c r="OCS22" s="559"/>
      <c r="OCT22" s="559"/>
      <c r="OCU22" s="559"/>
      <c r="OCV22" s="559"/>
      <c r="OCW22" s="559"/>
      <c r="OCX22" s="559"/>
      <c r="OCY22" s="559"/>
      <c r="OCZ22" s="559"/>
      <c r="ODA22" s="559"/>
      <c r="ODB22" s="559"/>
      <c r="ODC22" s="559"/>
      <c r="ODD22" s="559"/>
      <c r="ODE22" s="559"/>
      <c r="ODF22" s="559"/>
      <c r="ODG22" s="559"/>
      <c r="ODH22" s="559"/>
      <c r="ODI22" s="559"/>
      <c r="ODJ22" s="559"/>
      <c r="ODK22" s="559"/>
      <c r="ODL22" s="559"/>
      <c r="ODM22" s="559"/>
      <c r="ODN22" s="559"/>
      <c r="ODO22" s="559"/>
      <c r="ODP22" s="559"/>
      <c r="ODQ22" s="559"/>
      <c r="ODR22" s="559"/>
      <c r="ODS22" s="559"/>
      <c r="ODT22" s="559"/>
      <c r="ODU22" s="559"/>
      <c r="ODV22" s="559"/>
      <c r="ODW22" s="559"/>
      <c r="ODX22" s="559"/>
      <c r="ODY22" s="559"/>
      <c r="ODZ22" s="559"/>
      <c r="OEA22" s="559"/>
      <c r="OEB22" s="559"/>
      <c r="OEC22" s="559"/>
      <c r="OED22" s="559"/>
      <c r="OEE22" s="559"/>
      <c r="OEF22" s="559"/>
      <c r="OEG22" s="559"/>
      <c r="OEH22" s="559"/>
      <c r="OEI22" s="559"/>
      <c r="OEJ22" s="559"/>
      <c r="OEK22" s="559"/>
      <c r="OEL22" s="559"/>
      <c r="OEM22" s="559"/>
      <c r="OEN22" s="559"/>
      <c r="OEO22" s="559"/>
      <c r="OEP22" s="559"/>
      <c r="OEQ22" s="559"/>
      <c r="OER22" s="559"/>
      <c r="OES22" s="559"/>
      <c r="OET22" s="559"/>
      <c r="OEU22" s="559"/>
      <c r="OEV22" s="559"/>
      <c r="OEW22" s="559"/>
      <c r="OEX22" s="559"/>
      <c r="OEY22" s="559"/>
      <c r="OEZ22" s="559"/>
      <c r="OFA22" s="559"/>
      <c r="OFB22" s="559"/>
      <c r="OFC22" s="559"/>
      <c r="OFD22" s="559"/>
      <c r="OFE22" s="559"/>
      <c r="OFF22" s="559"/>
      <c r="OFG22" s="559"/>
      <c r="OFH22" s="559"/>
      <c r="OFI22" s="559"/>
      <c r="OFJ22" s="559"/>
      <c r="OFK22" s="559"/>
      <c r="OFL22" s="559"/>
      <c r="OFM22" s="559"/>
      <c r="OFN22" s="559"/>
      <c r="OFO22" s="559"/>
      <c r="OFP22" s="559"/>
      <c r="OFQ22" s="559"/>
      <c r="OFR22" s="559"/>
      <c r="OFS22" s="559"/>
      <c r="OFT22" s="559"/>
      <c r="OFU22" s="559"/>
      <c r="OFV22" s="559"/>
      <c r="OFW22" s="559"/>
      <c r="OFX22" s="559"/>
      <c r="OFY22" s="559"/>
      <c r="OFZ22" s="559"/>
      <c r="OGA22" s="559"/>
      <c r="OGB22" s="559"/>
      <c r="OGC22" s="559"/>
      <c r="OGD22" s="559"/>
      <c r="OGE22" s="559"/>
      <c r="OGF22" s="559"/>
      <c r="OGG22" s="559"/>
      <c r="OGH22" s="559"/>
      <c r="OGI22" s="559"/>
      <c r="OGJ22" s="559"/>
      <c r="OGK22" s="559"/>
      <c r="OGL22" s="559"/>
      <c r="OGM22" s="559"/>
      <c r="OGN22" s="559"/>
      <c r="OGO22" s="559"/>
      <c r="OGP22" s="559"/>
      <c r="OGQ22" s="559"/>
      <c r="OGR22" s="559"/>
      <c r="OGS22" s="559"/>
      <c r="OGT22" s="559"/>
      <c r="OGU22" s="559"/>
      <c r="OGV22" s="559"/>
      <c r="OGW22" s="559"/>
      <c r="OGX22" s="559"/>
      <c r="OGY22" s="559"/>
      <c r="OGZ22" s="559"/>
      <c r="OHA22" s="559"/>
      <c r="OHB22" s="559"/>
      <c r="OHC22" s="559"/>
      <c r="OHD22" s="559"/>
      <c r="OHE22" s="559"/>
      <c r="OHF22" s="559"/>
      <c r="OHG22" s="559"/>
      <c r="OHH22" s="559"/>
      <c r="OHI22" s="559"/>
      <c r="OHJ22" s="559"/>
      <c r="OHK22" s="559"/>
      <c r="OHL22" s="559"/>
      <c r="OHM22" s="559"/>
      <c r="OHN22" s="559"/>
      <c r="OHO22" s="559"/>
      <c r="OHP22" s="559"/>
      <c r="OHQ22" s="559"/>
      <c r="OHR22" s="559"/>
      <c r="OHS22" s="559"/>
      <c r="OHT22" s="559"/>
      <c r="OHU22" s="559"/>
      <c r="OHV22" s="559"/>
      <c r="OHW22" s="559"/>
      <c r="OHX22" s="559"/>
      <c r="OHY22" s="559"/>
      <c r="OHZ22" s="559"/>
      <c r="OIA22" s="559"/>
      <c r="OIB22" s="559"/>
      <c r="OIC22" s="559"/>
      <c r="OID22" s="559"/>
      <c r="OIE22" s="559"/>
      <c r="OIF22" s="559"/>
      <c r="OIG22" s="559"/>
      <c r="OIH22" s="559"/>
      <c r="OII22" s="559"/>
      <c r="OIJ22" s="559"/>
      <c r="OIK22" s="559"/>
      <c r="OIL22" s="559"/>
      <c r="OIM22" s="559"/>
      <c r="OIN22" s="559"/>
      <c r="OIO22" s="559"/>
      <c r="OIP22" s="559"/>
      <c r="OIQ22" s="559"/>
      <c r="OIR22" s="559"/>
      <c r="OIS22" s="559"/>
      <c r="OIT22" s="559"/>
      <c r="OIU22" s="559"/>
      <c r="OIV22" s="559"/>
      <c r="OIW22" s="559"/>
      <c r="OIX22" s="559"/>
      <c r="OIY22" s="559"/>
      <c r="OIZ22" s="559"/>
      <c r="OJA22" s="559"/>
      <c r="OJB22" s="559"/>
      <c r="OJC22" s="559"/>
      <c r="OJD22" s="559"/>
      <c r="OJE22" s="559"/>
      <c r="OJF22" s="559"/>
      <c r="OJG22" s="559"/>
      <c r="OJH22" s="559"/>
      <c r="OJI22" s="559"/>
      <c r="OJJ22" s="559"/>
      <c r="OJK22" s="559"/>
      <c r="OJL22" s="559"/>
      <c r="OJM22" s="559"/>
      <c r="OJN22" s="559"/>
      <c r="OJO22" s="559"/>
      <c r="OJP22" s="559"/>
      <c r="OJQ22" s="559"/>
      <c r="OJR22" s="559"/>
      <c r="OJS22" s="559"/>
      <c r="OJT22" s="559"/>
      <c r="OJU22" s="559"/>
      <c r="OJV22" s="559"/>
      <c r="OJW22" s="559"/>
      <c r="OJX22" s="559"/>
      <c r="OJY22" s="559"/>
      <c r="OJZ22" s="559"/>
      <c r="OKA22" s="559"/>
      <c r="OKB22" s="559"/>
      <c r="OKC22" s="559"/>
      <c r="OKD22" s="559"/>
      <c r="OKE22" s="559"/>
      <c r="OKF22" s="559"/>
      <c r="OKG22" s="559"/>
      <c r="OKH22" s="559"/>
      <c r="OKI22" s="559"/>
      <c r="OKJ22" s="559"/>
      <c r="OKK22" s="559"/>
      <c r="OKL22" s="559"/>
      <c r="OKM22" s="559"/>
      <c r="OKN22" s="559"/>
      <c r="OKO22" s="559"/>
      <c r="OKP22" s="559"/>
      <c r="OKQ22" s="559"/>
      <c r="OKR22" s="559"/>
      <c r="OKS22" s="559"/>
      <c r="OKT22" s="559"/>
      <c r="OKU22" s="559"/>
      <c r="OKV22" s="559"/>
      <c r="OKW22" s="559"/>
      <c r="OKX22" s="559"/>
      <c r="OKY22" s="559"/>
      <c r="OKZ22" s="559"/>
      <c r="OLA22" s="559"/>
      <c r="OLB22" s="559"/>
      <c r="OLC22" s="559"/>
      <c r="OLD22" s="559"/>
      <c r="OLE22" s="559"/>
      <c r="OLF22" s="559"/>
      <c r="OLG22" s="559"/>
      <c r="OLH22" s="559"/>
      <c r="OLI22" s="559"/>
      <c r="OLJ22" s="559"/>
      <c r="OLK22" s="559"/>
      <c r="OLL22" s="559"/>
      <c r="OLM22" s="559"/>
      <c r="OLN22" s="559"/>
      <c r="OLO22" s="559"/>
      <c r="OLP22" s="559"/>
      <c r="OLQ22" s="559"/>
      <c r="OLR22" s="559"/>
      <c r="OLS22" s="559"/>
      <c r="OLT22" s="559"/>
      <c r="OLU22" s="559"/>
      <c r="OLV22" s="559"/>
      <c r="OLW22" s="559"/>
      <c r="OLX22" s="559"/>
      <c r="OLY22" s="559"/>
      <c r="OLZ22" s="559"/>
      <c r="OMA22" s="559"/>
      <c r="OMB22" s="559"/>
      <c r="OMC22" s="559"/>
      <c r="OMD22" s="559"/>
      <c r="OME22" s="559"/>
      <c r="OMF22" s="559"/>
      <c r="OMG22" s="559"/>
      <c r="OMH22" s="559"/>
      <c r="OMI22" s="559"/>
      <c r="OMJ22" s="559"/>
      <c r="OMK22" s="559"/>
      <c r="OML22" s="559"/>
      <c r="OMM22" s="559"/>
      <c r="OMN22" s="559"/>
      <c r="OMO22" s="559"/>
      <c r="OMP22" s="559"/>
      <c r="OMQ22" s="559"/>
      <c r="OMR22" s="559"/>
      <c r="OMS22" s="559"/>
      <c r="OMT22" s="559"/>
      <c r="OMU22" s="559"/>
      <c r="OMV22" s="559"/>
      <c r="OMW22" s="559"/>
      <c r="OMX22" s="559"/>
      <c r="OMY22" s="559"/>
      <c r="OMZ22" s="559"/>
      <c r="ONA22" s="559"/>
      <c r="ONB22" s="559"/>
      <c r="ONC22" s="559"/>
      <c r="OND22" s="559"/>
      <c r="ONE22" s="559"/>
      <c r="ONF22" s="559"/>
      <c r="ONG22" s="559"/>
      <c r="ONH22" s="559"/>
      <c r="ONI22" s="559"/>
      <c r="ONJ22" s="559"/>
      <c r="ONK22" s="559"/>
      <c r="ONL22" s="559"/>
      <c r="ONM22" s="559"/>
      <c r="ONN22" s="559"/>
      <c r="ONO22" s="559"/>
      <c r="ONP22" s="559"/>
      <c r="ONQ22" s="559"/>
      <c r="ONR22" s="559"/>
      <c r="ONS22" s="559"/>
      <c r="ONT22" s="559"/>
      <c r="ONU22" s="559"/>
      <c r="ONV22" s="559"/>
      <c r="ONW22" s="559"/>
      <c r="ONX22" s="559"/>
      <c r="ONY22" s="559"/>
      <c r="ONZ22" s="559"/>
      <c r="OOA22" s="559"/>
      <c r="OOB22" s="559"/>
      <c r="OOC22" s="559"/>
      <c r="OOD22" s="559"/>
      <c r="OOE22" s="559"/>
      <c r="OOF22" s="559"/>
      <c r="OOG22" s="559"/>
      <c r="OOH22" s="559"/>
      <c r="OOI22" s="559"/>
      <c r="OOJ22" s="559"/>
      <c r="OOK22" s="559"/>
      <c r="OOL22" s="559"/>
      <c r="OOM22" s="559"/>
      <c r="OON22" s="559"/>
      <c r="OOO22" s="559"/>
      <c r="OOP22" s="559"/>
      <c r="OOQ22" s="559"/>
      <c r="OOR22" s="559"/>
      <c r="OOS22" s="559"/>
      <c r="OOT22" s="559"/>
      <c r="OOU22" s="559"/>
      <c r="OOV22" s="559"/>
      <c r="OOW22" s="559"/>
      <c r="OOX22" s="559"/>
      <c r="OOY22" s="559"/>
      <c r="OOZ22" s="559"/>
      <c r="OPA22" s="559"/>
      <c r="OPB22" s="559"/>
      <c r="OPC22" s="559"/>
      <c r="OPD22" s="559"/>
      <c r="OPE22" s="559"/>
      <c r="OPF22" s="559"/>
      <c r="OPG22" s="559"/>
      <c r="OPH22" s="559"/>
      <c r="OPI22" s="559"/>
      <c r="OPJ22" s="559"/>
      <c r="OPK22" s="559"/>
      <c r="OPL22" s="559"/>
      <c r="OPM22" s="559"/>
      <c r="OPN22" s="559"/>
      <c r="OPO22" s="559"/>
      <c r="OPP22" s="559"/>
      <c r="OPQ22" s="559"/>
      <c r="OPR22" s="559"/>
      <c r="OPS22" s="559"/>
      <c r="OPT22" s="559"/>
      <c r="OPU22" s="559"/>
      <c r="OPV22" s="559"/>
      <c r="OPW22" s="559"/>
      <c r="OPX22" s="559"/>
      <c r="OPY22" s="559"/>
      <c r="OPZ22" s="559"/>
      <c r="OQA22" s="559"/>
      <c r="OQB22" s="559"/>
      <c r="OQC22" s="559"/>
      <c r="OQD22" s="559"/>
      <c r="OQE22" s="559"/>
      <c r="OQF22" s="559"/>
      <c r="OQG22" s="559"/>
      <c r="OQH22" s="559"/>
      <c r="OQI22" s="559"/>
      <c r="OQJ22" s="559"/>
      <c r="OQK22" s="559"/>
      <c r="OQL22" s="559"/>
      <c r="OQM22" s="559"/>
      <c r="OQN22" s="559"/>
      <c r="OQO22" s="559"/>
      <c r="OQP22" s="559"/>
      <c r="OQQ22" s="559"/>
      <c r="OQR22" s="559"/>
      <c r="OQS22" s="559"/>
      <c r="OQT22" s="559"/>
      <c r="OQU22" s="559"/>
      <c r="OQV22" s="559"/>
      <c r="OQW22" s="559"/>
      <c r="OQX22" s="559"/>
      <c r="OQY22" s="559"/>
      <c r="OQZ22" s="559"/>
      <c r="ORA22" s="559"/>
      <c r="ORB22" s="559"/>
      <c r="ORC22" s="559"/>
      <c r="ORD22" s="559"/>
      <c r="ORE22" s="559"/>
      <c r="ORF22" s="559"/>
      <c r="ORG22" s="559"/>
      <c r="ORH22" s="559"/>
      <c r="ORI22" s="559"/>
      <c r="ORJ22" s="559"/>
      <c r="ORK22" s="559"/>
      <c r="ORL22" s="559"/>
      <c r="ORM22" s="559"/>
      <c r="ORN22" s="559"/>
      <c r="ORO22" s="559"/>
      <c r="ORP22" s="559"/>
      <c r="ORQ22" s="559"/>
      <c r="ORR22" s="559"/>
      <c r="ORS22" s="559"/>
      <c r="ORT22" s="559"/>
      <c r="ORU22" s="559"/>
      <c r="ORV22" s="559"/>
      <c r="ORW22" s="559"/>
      <c r="ORX22" s="559"/>
      <c r="ORY22" s="559"/>
      <c r="ORZ22" s="559"/>
      <c r="OSA22" s="559"/>
      <c r="OSB22" s="559"/>
      <c r="OSC22" s="559"/>
      <c r="OSD22" s="559"/>
      <c r="OSE22" s="559"/>
      <c r="OSF22" s="559"/>
      <c r="OSG22" s="559"/>
      <c r="OSH22" s="559"/>
      <c r="OSI22" s="559"/>
      <c r="OSJ22" s="559"/>
      <c r="OSK22" s="559"/>
      <c r="OSL22" s="559"/>
      <c r="OSM22" s="559"/>
      <c r="OSN22" s="559"/>
      <c r="OSO22" s="559"/>
      <c r="OSP22" s="559"/>
      <c r="OSQ22" s="559"/>
      <c r="OSR22" s="559"/>
      <c r="OSS22" s="559"/>
      <c r="OST22" s="559"/>
      <c r="OSU22" s="559"/>
      <c r="OSV22" s="559"/>
      <c r="OSW22" s="559"/>
      <c r="OSX22" s="559"/>
      <c r="OSY22" s="559"/>
      <c r="OSZ22" s="559"/>
      <c r="OTA22" s="559"/>
      <c r="OTB22" s="559"/>
      <c r="OTC22" s="559"/>
      <c r="OTD22" s="559"/>
      <c r="OTE22" s="559"/>
      <c r="OTF22" s="559"/>
      <c r="OTG22" s="559"/>
      <c r="OTH22" s="559"/>
      <c r="OTI22" s="559"/>
      <c r="OTJ22" s="559"/>
      <c r="OTK22" s="559"/>
      <c r="OTL22" s="559"/>
      <c r="OTM22" s="559"/>
      <c r="OTN22" s="559"/>
      <c r="OTO22" s="559"/>
      <c r="OTP22" s="559"/>
      <c r="OTQ22" s="559"/>
      <c r="OTR22" s="559"/>
      <c r="OTS22" s="559"/>
      <c r="OTT22" s="559"/>
      <c r="OTU22" s="559"/>
      <c r="OTV22" s="559"/>
      <c r="OTW22" s="559"/>
      <c r="OTX22" s="559"/>
      <c r="OTY22" s="559"/>
      <c r="OTZ22" s="559"/>
      <c r="OUA22" s="559"/>
      <c r="OUB22" s="559"/>
      <c r="OUC22" s="559"/>
      <c r="OUD22" s="559"/>
      <c r="OUE22" s="559"/>
      <c r="OUF22" s="559"/>
      <c r="OUG22" s="559"/>
      <c r="OUH22" s="559"/>
      <c r="OUI22" s="559"/>
      <c r="OUJ22" s="559"/>
      <c r="OUK22" s="559"/>
      <c r="OUL22" s="559"/>
      <c r="OUM22" s="559"/>
      <c r="OUN22" s="559"/>
      <c r="OUO22" s="559"/>
      <c r="OUP22" s="559"/>
      <c r="OUQ22" s="559"/>
      <c r="OUR22" s="559"/>
      <c r="OUS22" s="559"/>
      <c r="OUT22" s="559"/>
      <c r="OUU22" s="559"/>
      <c r="OUV22" s="559"/>
      <c r="OUW22" s="559"/>
      <c r="OUX22" s="559"/>
      <c r="OUY22" s="559"/>
      <c r="OUZ22" s="559"/>
      <c r="OVA22" s="559"/>
      <c r="OVB22" s="559"/>
      <c r="OVC22" s="559"/>
      <c r="OVD22" s="559"/>
      <c r="OVE22" s="559"/>
      <c r="OVF22" s="559"/>
      <c r="OVG22" s="559"/>
      <c r="OVH22" s="559"/>
      <c r="OVI22" s="559"/>
      <c r="OVJ22" s="559"/>
      <c r="OVK22" s="559"/>
      <c r="OVL22" s="559"/>
      <c r="OVM22" s="559"/>
      <c r="OVN22" s="559"/>
      <c r="OVO22" s="559"/>
      <c r="OVP22" s="559"/>
      <c r="OVQ22" s="559"/>
      <c r="OVR22" s="559"/>
      <c r="OVS22" s="559"/>
      <c r="OVT22" s="559"/>
      <c r="OVU22" s="559"/>
      <c r="OVV22" s="559"/>
      <c r="OVW22" s="559"/>
      <c r="OVX22" s="559"/>
      <c r="OVY22" s="559"/>
      <c r="OVZ22" s="559"/>
      <c r="OWA22" s="559"/>
      <c r="OWB22" s="559"/>
      <c r="OWC22" s="559"/>
      <c r="OWD22" s="559"/>
      <c r="OWE22" s="559"/>
      <c r="OWF22" s="559"/>
      <c r="OWG22" s="559"/>
      <c r="OWH22" s="559"/>
      <c r="OWI22" s="559"/>
      <c r="OWJ22" s="559"/>
      <c r="OWK22" s="559"/>
      <c r="OWL22" s="559"/>
      <c r="OWM22" s="559"/>
      <c r="OWN22" s="559"/>
      <c r="OWO22" s="559"/>
      <c r="OWP22" s="559"/>
      <c r="OWQ22" s="559"/>
      <c r="OWR22" s="559"/>
      <c r="OWS22" s="559"/>
      <c r="OWT22" s="559"/>
      <c r="OWU22" s="559"/>
      <c r="OWV22" s="559"/>
      <c r="OWW22" s="559"/>
      <c r="OWX22" s="559"/>
      <c r="OWY22" s="559"/>
      <c r="OWZ22" s="559"/>
      <c r="OXA22" s="559"/>
      <c r="OXB22" s="559"/>
      <c r="OXC22" s="559"/>
      <c r="OXD22" s="559"/>
      <c r="OXE22" s="559"/>
      <c r="OXF22" s="559"/>
      <c r="OXG22" s="559"/>
      <c r="OXH22" s="559"/>
      <c r="OXI22" s="559"/>
      <c r="OXJ22" s="559"/>
      <c r="OXK22" s="559"/>
      <c r="OXL22" s="559"/>
      <c r="OXM22" s="559"/>
      <c r="OXN22" s="559"/>
      <c r="OXO22" s="559"/>
      <c r="OXP22" s="559"/>
      <c r="OXQ22" s="559"/>
      <c r="OXR22" s="559"/>
      <c r="OXS22" s="559"/>
      <c r="OXT22" s="559"/>
      <c r="OXU22" s="559"/>
      <c r="OXV22" s="559"/>
      <c r="OXW22" s="559"/>
      <c r="OXX22" s="559"/>
      <c r="OXY22" s="559"/>
      <c r="OXZ22" s="559"/>
      <c r="OYA22" s="559"/>
      <c r="OYB22" s="559"/>
      <c r="OYC22" s="559"/>
      <c r="OYD22" s="559"/>
      <c r="OYE22" s="559"/>
      <c r="OYF22" s="559"/>
      <c r="OYG22" s="559"/>
      <c r="OYH22" s="559"/>
      <c r="OYI22" s="559"/>
      <c r="OYJ22" s="559"/>
      <c r="OYK22" s="559"/>
      <c r="OYL22" s="559"/>
      <c r="OYM22" s="559"/>
      <c r="OYN22" s="559"/>
      <c r="OYO22" s="559"/>
      <c r="OYP22" s="559"/>
      <c r="OYQ22" s="559"/>
      <c r="OYR22" s="559"/>
      <c r="OYS22" s="559"/>
      <c r="OYT22" s="559"/>
      <c r="OYU22" s="559"/>
      <c r="OYV22" s="559"/>
      <c r="OYW22" s="559"/>
      <c r="OYX22" s="559"/>
      <c r="OYY22" s="559"/>
      <c r="OYZ22" s="559"/>
      <c r="OZA22" s="559"/>
      <c r="OZB22" s="559"/>
      <c r="OZC22" s="559"/>
      <c r="OZD22" s="559"/>
      <c r="OZE22" s="559"/>
      <c r="OZF22" s="559"/>
      <c r="OZG22" s="559"/>
      <c r="OZH22" s="559"/>
      <c r="OZI22" s="559"/>
      <c r="OZJ22" s="559"/>
      <c r="OZK22" s="559"/>
      <c r="OZL22" s="559"/>
      <c r="OZM22" s="559"/>
      <c r="OZN22" s="559"/>
      <c r="OZO22" s="559"/>
      <c r="OZP22" s="559"/>
      <c r="OZQ22" s="559"/>
      <c r="OZR22" s="559"/>
      <c r="OZS22" s="559"/>
      <c r="OZT22" s="559"/>
      <c r="OZU22" s="559"/>
      <c r="OZV22" s="559"/>
      <c r="OZW22" s="559"/>
      <c r="OZX22" s="559"/>
      <c r="OZY22" s="559"/>
      <c r="OZZ22" s="559"/>
      <c r="PAA22" s="559"/>
      <c r="PAB22" s="559"/>
      <c r="PAC22" s="559"/>
      <c r="PAD22" s="559"/>
      <c r="PAE22" s="559"/>
      <c r="PAF22" s="559"/>
      <c r="PAG22" s="559"/>
      <c r="PAH22" s="559"/>
      <c r="PAI22" s="559"/>
      <c r="PAJ22" s="559"/>
      <c r="PAK22" s="559"/>
      <c r="PAL22" s="559"/>
      <c r="PAM22" s="559"/>
      <c r="PAN22" s="559"/>
      <c r="PAO22" s="559"/>
      <c r="PAP22" s="559"/>
      <c r="PAQ22" s="559"/>
      <c r="PAR22" s="559"/>
      <c r="PAS22" s="559"/>
      <c r="PAT22" s="559"/>
      <c r="PAU22" s="559"/>
      <c r="PAV22" s="559"/>
      <c r="PAW22" s="559"/>
      <c r="PAX22" s="559"/>
      <c r="PAY22" s="559"/>
      <c r="PAZ22" s="559"/>
      <c r="PBA22" s="559"/>
      <c r="PBB22" s="559"/>
      <c r="PBC22" s="559"/>
      <c r="PBD22" s="559"/>
      <c r="PBE22" s="559"/>
      <c r="PBF22" s="559"/>
      <c r="PBG22" s="559"/>
      <c r="PBH22" s="559"/>
      <c r="PBI22" s="559"/>
      <c r="PBJ22" s="559"/>
      <c r="PBK22" s="559"/>
      <c r="PBL22" s="559"/>
      <c r="PBM22" s="559"/>
      <c r="PBN22" s="559"/>
      <c r="PBO22" s="559"/>
      <c r="PBP22" s="559"/>
      <c r="PBQ22" s="559"/>
      <c r="PBR22" s="559"/>
      <c r="PBS22" s="559"/>
      <c r="PBT22" s="559"/>
      <c r="PBU22" s="559"/>
      <c r="PBV22" s="559"/>
      <c r="PBW22" s="559"/>
      <c r="PBX22" s="559"/>
      <c r="PBY22" s="559"/>
      <c r="PBZ22" s="559"/>
      <c r="PCA22" s="559"/>
      <c r="PCB22" s="559"/>
      <c r="PCC22" s="559"/>
      <c r="PCD22" s="559"/>
      <c r="PCE22" s="559"/>
      <c r="PCF22" s="559"/>
      <c r="PCG22" s="559"/>
      <c r="PCH22" s="559"/>
      <c r="PCI22" s="559"/>
      <c r="PCJ22" s="559"/>
      <c r="PCK22" s="559"/>
      <c r="PCL22" s="559"/>
      <c r="PCM22" s="559"/>
      <c r="PCN22" s="559"/>
      <c r="PCO22" s="559"/>
      <c r="PCP22" s="559"/>
      <c r="PCQ22" s="559"/>
      <c r="PCR22" s="559"/>
      <c r="PCS22" s="559"/>
      <c r="PCT22" s="559"/>
      <c r="PCU22" s="559"/>
      <c r="PCV22" s="559"/>
      <c r="PCW22" s="559"/>
      <c r="PCX22" s="559"/>
      <c r="PCY22" s="559"/>
      <c r="PCZ22" s="559"/>
      <c r="PDA22" s="559"/>
      <c r="PDB22" s="559"/>
      <c r="PDC22" s="559"/>
      <c r="PDD22" s="559"/>
      <c r="PDE22" s="559"/>
      <c r="PDF22" s="559"/>
      <c r="PDG22" s="559"/>
      <c r="PDH22" s="559"/>
      <c r="PDI22" s="559"/>
      <c r="PDJ22" s="559"/>
      <c r="PDK22" s="559"/>
      <c r="PDL22" s="559"/>
      <c r="PDM22" s="559"/>
      <c r="PDN22" s="559"/>
      <c r="PDO22" s="559"/>
      <c r="PDP22" s="559"/>
      <c r="PDQ22" s="559"/>
      <c r="PDR22" s="559"/>
      <c r="PDS22" s="559"/>
      <c r="PDT22" s="559"/>
      <c r="PDU22" s="559"/>
      <c r="PDV22" s="559"/>
      <c r="PDW22" s="559"/>
      <c r="PDX22" s="559"/>
      <c r="PDY22" s="559"/>
      <c r="PDZ22" s="559"/>
      <c r="PEA22" s="559"/>
      <c r="PEB22" s="559"/>
      <c r="PEC22" s="559"/>
      <c r="PED22" s="559"/>
      <c r="PEE22" s="559"/>
      <c r="PEF22" s="559"/>
      <c r="PEG22" s="559"/>
      <c r="PEH22" s="559"/>
      <c r="PEI22" s="559"/>
      <c r="PEJ22" s="559"/>
      <c r="PEK22" s="559"/>
      <c r="PEL22" s="559"/>
      <c r="PEM22" s="559"/>
      <c r="PEN22" s="559"/>
      <c r="PEO22" s="559"/>
      <c r="PEP22" s="559"/>
      <c r="PEQ22" s="559"/>
      <c r="PER22" s="559"/>
      <c r="PES22" s="559"/>
      <c r="PET22" s="559"/>
      <c r="PEU22" s="559"/>
      <c r="PEV22" s="559"/>
      <c r="PEW22" s="559"/>
      <c r="PEX22" s="559"/>
      <c r="PEY22" s="559"/>
      <c r="PEZ22" s="559"/>
      <c r="PFA22" s="559"/>
      <c r="PFB22" s="559"/>
      <c r="PFC22" s="559"/>
      <c r="PFD22" s="559"/>
      <c r="PFE22" s="559"/>
      <c r="PFF22" s="559"/>
      <c r="PFG22" s="559"/>
      <c r="PFH22" s="559"/>
      <c r="PFI22" s="559"/>
      <c r="PFJ22" s="559"/>
      <c r="PFK22" s="559"/>
      <c r="PFL22" s="559"/>
      <c r="PFM22" s="559"/>
      <c r="PFN22" s="559"/>
      <c r="PFO22" s="559"/>
      <c r="PFP22" s="559"/>
      <c r="PFQ22" s="559"/>
      <c r="PFR22" s="559"/>
      <c r="PFS22" s="559"/>
      <c r="PFT22" s="559"/>
      <c r="PFU22" s="559"/>
      <c r="PFV22" s="559"/>
      <c r="PFW22" s="559"/>
      <c r="PFX22" s="559"/>
      <c r="PFY22" s="559"/>
      <c r="PFZ22" s="559"/>
      <c r="PGA22" s="559"/>
      <c r="PGB22" s="559"/>
      <c r="PGC22" s="559"/>
      <c r="PGD22" s="559"/>
      <c r="PGE22" s="559"/>
      <c r="PGF22" s="559"/>
      <c r="PGG22" s="559"/>
      <c r="PGH22" s="559"/>
      <c r="PGI22" s="559"/>
      <c r="PGJ22" s="559"/>
      <c r="PGK22" s="559"/>
      <c r="PGL22" s="559"/>
      <c r="PGM22" s="559"/>
      <c r="PGN22" s="559"/>
      <c r="PGO22" s="559"/>
      <c r="PGP22" s="559"/>
      <c r="PGQ22" s="559"/>
      <c r="PGR22" s="559"/>
      <c r="PGS22" s="559"/>
      <c r="PGT22" s="559"/>
      <c r="PGU22" s="559"/>
      <c r="PGV22" s="559"/>
      <c r="PGW22" s="559"/>
      <c r="PGX22" s="559"/>
      <c r="PGY22" s="559"/>
      <c r="PGZ22" s="559"/>
      <c r="PHA22" s="559"/>
      <c r="PHB22" s="559"/>
      <c r="PHC22" s="559"/>
      <c r="PHD22" s="559"/>
      <c r="PHE22" s="559"/>
      <c r="PHF22" s="559"/>
      <c r="PHG22" s="559"/>
      <c r="PHH22" s="559"/>
      <c r="PHI22" s="559"/>
      <c r="PHJ22" s="559"/>
      <c r="PHK22" s="559"/>
      <c r="PHL22" s="559"/>
      <c r="PHM22" s="559"/>
      <c r="PHN22" s="559"/>
      <c r="PHO22" s="559"/>
      <c r="PHP22" s="559"/>
      <c r="PHQ22" s="559"/>
      <c r="PHR22" s="559"/>
      <c r="PHS22" s="559"/>
      <c r="PHT22" s="559"/>
      <c r="PHU22" s="559"/>
      <c r="PHV22" s="559"/>
      <c r="PHW22" s="559"/>
      <c r="PHX22" s="559"/>
      <c r="PHY22" s="559"/>
      <c r="PHZ22" s="559"/>
      <c r="PIA22" s="559"/>
      <c r="PIB22" s="559"/>
      <c r="PIC22" s="559"/>
      <c r="PID22" s="559"/>
      <c r="PIE22" s="559"/>
      <c r="PIF22" s="559"/>
      <c r="PIG22" s="559"/>
      <c r="PIH22" s="559"/>
      <c r="PII22" s="559"/>
      <c r="PIJ22" s="559"/>
      <c r="PIK22" s="559"/>
      <c r="PIL22" s="559"/>
      <c r="PIM22" s="559"/>
      <c r="PIN22" s="559"/>
      <c r="PIO22" s="559"/>
      <c r="PIP22" s="559"/>
      <c r="PIQ22" s="559"/>
      <c r="PIR22" s="559"/>
      <c r="PIS22" s="559"/>
      <c r="PIT22" s="559"/>
      <c r="PIU22" s="559"/>
      <c r="PIV22" s="559"/>
      <c r="PIW22" s="559"/>
      <c r="PIX22" s="559"/>
      <c r="PIY22" s="559"/>
      <c r="PIZ22" s="559"/>
      <c r="PJA22" s="559"/>
      <c r="PJB22" s="559"/>
      <c r="PJC22" s="559"/>
      <c r="PJD22" s="559"/>
      <c r="PJE22" s="559"/>
      <c r="PJF22" s="559"/>
      <c r="PJG22" s="559"/>
      <c r="PJH22" s="559"/>
      <c r="PJI22" s="559"/>
      <c r="PJJ22" s="559"/>
      <c r="PJK22" s="559"/>
      <c r="PJL22" s="559"/>
      <c r="PJM22" s="559"/>
      <c r="PJN22" s="559"/>
      <c r="PJO22" s="559"/>
      <c r="PJP22" s="559"/>
      <c r="PJQ22" s="559"/>
      <c r="PJR22" s="559"/>
      <c r="PJS22" s="559"/>
      <c r="PJT22" s="559"/>
      <c r="PJU22" s="559"/>
      <c r="PJV22" s="559"/>
      <c r="PJW22" s="559"/>
      <c r="PJX22" s="559"/>
      <c r="PJY22" s="559"/>
      <c r="PJZ22" s="559"/>
      <c r="PKA22" s="559"/>
      <c r="PKB22" s="559"/>
      <c r="PKC22" s="559"/>
      <c r="PKD22" s="559"/>
      <c r="PKE22" s="559"/>
      <c r="PKF22" s="559"/>
      <c r="PKG22" s="559"/>
      <c r="PKH22" s="559"/>
      <c r="PKI22" s="559"/>
      <c r="PKJ22" s="559"/>
      <c r="PKK22" s="559"/>
      <c r="PKL22" s="559"/>
      <c r="PKM22" s="559"/>
      <c r="PKN22" s="559"/>
      <c r="PKO22" s="559"/>
      <c r="PKP22" s="559"/>
      <c r="PKQ22" s="559"/>
      <c r="PKR22" s="559"/>
      <c r="PKS22" s="559"/>
      <c r="PKT22" s="559"/>
      <c r="PKU22" s="559"/>
      <c r="PKV22" s="559"/>
      <c r="PKW22" s="559"/>
      <c r="PKX22" s="559"/>
      <c r="PKY22" s="559"/>
      <c r="PKZ22" s="559"/>
      <c r="PLA22" s="559"/>
      <c r="PLB22" s="559"/>
      <c r="PLC22" s="559"/>
      <c r="PLD22" s="559"/>
      <c r="PLE22" s="559"/>
      <c r="PLF22" s="559"/>
      <c r="PLG22" s="559"/>
      <c r="PLH22" s="559"/>
      <c r="PLI22" s="559"/>
      <c r="PLJ22" s="559"/>
      <c r="PLK22" s="559"/>
      <c r="PLL22" s="559"/>
      <c r="PLM22" s="559"/>
      <c r="PLN22" s="559"/>
      <c r="PLO22" s="559"/>
      <c r="PLP22" s="559"/>
      <c r="PLQ22" s="559"/>
      <c r="PLR22" s="559"/>
      <c r="PLS22" s="559"/>
      <c r="PLT22" s="559"/>
      <c r="PLU22" s="559"/>
      <c r="PLV22" s="559"/>
      <c r="PLW22" s="559"/>
      <c r="PLX22" s="559"/>
      <c r="PLY22" s="559"/>
      <c r="PLZ22" s="559"/>
      <c r="PMA22" s="559"/>
      <c r="PMB22" s="559"/>
      <c r="PMC22" s="559"/>
      <c r="PMD22" s="559"/>
      <c r="PME22" s="559"/>
      <c r="PMF22" s="559"/>
      <c r="PMG22" s="559"/>
      <c r="PMH22" s="559"/>
      <c r="PMI22" s="559"/>
      <c r="PMJ22" s="559"/>
      <c r="PMK22" s="559"/>
      <c r="PML22" s="559"/>
      <c r="PMM22" s="559"/>
      <c r="PMN22" s="559"/>
      <c r="PMO22" s="559"/>
      <c r="PMP22" s="559"/>
      <c r="PMQ22" s="559"/>
      <c r="PMR22" s="559"/>
      <c r="PMS22" s="559"/>
      <c r="PMT22" s="559"/>
      <c r="PMU22" s="559"/>
      <c r="PMV22" s="559"/>
      <c r="PMW22" s="559"/>
      <c r="PMX22" s="559"/>
      <c r="PMY22" s="559"/>
      <c r="PMZ22" s="559"/>
      <c r="PNA22" s="559"/>
      <c r="PNB22" s="559"/>
      <c r="PNC22" s="559"/>
      <c r="PND22" s="559"/>
      <c r="PNE22" s="559"/>
      <c r="PNF22" s="559"/>
      <c r="PNG22" s="559"/>
      <c r="PNH22" s="559"/>
      <c r="PNI22" s="559"/>
      <c r="PNJ22" s="559"/>
      <c r="PNK22" s="559"/>
      <c r="PNL22" s="559"/>
      <c r="PNM22" s="559"/>
      <c r="PNN22" s="559"/>
      <c r="PNO22" s="559"/>
      <c r="PNP22" s="559"/>
      <c r="PNQ22" s="559"/>
      <c r="PNR22" s="559"/>
      <c r="PNS22" s="559"/>
      <c r="PNT22" s="559"/>
      <c r="PNU22" s="559"/>
      <c r="PNV22" s="559"/>
      <c r="PNW22" s="559"/>
      <c r="PNX22" s="559"/>
      <c r="PNY22" s="559"/>
      <c r="PNZ22" s="559"/>
      <c r="POA22" s="559"/>
      <c r="POB22" s="559"/>
      <c r="POC22" s="559"/>
      <c r="POD22" s="559"/>
      <c r="POE22" s="559"/>
      <c r="POF22" s="559"/>
      <c r="POG22" s="559"/>
      <c r="POH22" s="559"/>
      <c r="POI22" s="559"/>
      <c r="POJ22" s="559"/>
      <c r="POK22" s="559"/>
      <c r="POL22" s="559"/>
      <c r="POM22" s="559"/>
      <c r="PON22" s="559"/>
      <c r="POO22" s="559"/>
      <c r="POP22" s="559"/>
      <c r="POQ22" s="559"/>
      <c r="POR22" s="559"/>
      <c r="POS22" s="559"/>
      <c r="POT22" s="559"/>
      <c r="POU22" s="559"/>
      <c r="POV22" s="559"/>
      <c r="POW22" s="559"/>
      <c r="POX22" s="559"/>
      <c r="POY22" s="559"/>
      <c r="POZ22" s="559"/>
      <c r="PPA22" s="559"/>
      <c r="PPB22" s="559"/>
      <c r="PPC22" s="559"/>
      <c r="PPD22" s="559"/>
      <c r="PPE22" s="559"/>
      <c r="PPF22" s="559"/>
      <c r="PPG22" s="559"/>
      <c r="PPH22" s="559"/>
      <c r="PPI22" s="559"/>
      <c r="PPJ22" s="559"/>
      <c r="PPK22" s="559"/>
      <c r="PPL22" s="559"/>
      <c r="PPM22" s="559"/>
      <c r="PPN22" s="559"/>
      <c r="PPO22" s="559"/>
      <c r="PPP22" s="559"/>
      <c r="PPQ22" s="559"/>
      <c r="PPR22" s="559"/>
      <c r="PPS22" s="559"/>
      <c r="PPT22" s="559"/>
      <c r="PPU22" s="559"/>
      <c r="PPV22" s="559"/>
      <c r="PPW22" s="559"/>
      <c r="PPX22" s="559"/>
      <c r="PPY22" s="559"/>
      <c r="PPZ22" s="559"/>
      <c r="PQA22" s="559"/>
      <c r="PQB22" s="559"/>
      <c r="PQC22" s="559"/>
      <c r="PQD22" s="559"/>
      <c r="PQE22" s="559"/>
      <c r="PQF22" s="559"/>
      <c r="PQG22" s="559"/>
      <c r="PQH22" s="559"/>
      <c r="PQI22" s="559"/>
      <c r="PQJ22" s="559"/>
      <c r="PQK22" s="559"/>
      <c r="PQL22" s="559"/>
      <c r="PQM22" s="559"/>
      <c r="PQN22" s="559"/>
      <c r="PQO22" s="559"/>
      <c r="PQP22" s="559"/>
      <c r="PQQ22" s="559"/>
      <c r="PQR22" s="559"/>
      <c r="PQS22" s="559"/>
      <c r="PQT22" s="559"/>
      <c r="PQU22" s="559"/>
      <c r="PQV22" s="559"/>
      <c r="PQW22" s="559"/>
      <c r="PQX22" s="559"/>
      <c r="PQY22" s="559"/>
      <c r="PQZ22" s="559"/>
      <c r="PRA22" s="559"/>
      <c r="PRB22" s="559"/>
      <c r="PRC22" s="559"/>
      <c r="PRD22" s="559"/>
      <c r="PRE22" s="559"/>
      <c r="PRF22" s="559"/>
      <c r="PRG22" s="559"/>
      <c r="PRH22" s="559"/>
      <c r="PRI22" s="559"/>
      <c r="PRJ22" s="559"/>
      <c r="PRK22" s="559"/>
      <c r="PRL22" s="559"/>
      <c r="PRM22" s="559"/>
      <c r="PRN22" s="559"/>
      <c r="PRO22" s="559"/>
      <c r="PRP22" s="559"/>
      <c r="PRQ22" s="559"/>
      <c r="PRR22" s="559"/>
      <c r="PRS22" s="559"/>
      <c r="PRT22" s="559"/>
      <c r="PRU22" s="559"/>
      <c r="PRV22" s="559"/>
      <c r="PRW22" s="559"/>
      <c r="PRX22" s="559"/>
      <c r="PRY22" s="559"/>
      <c r="PRZ22" s="559"/>
      <c r="PSA22" s="559"/>
      <c r="PSB22" s="559"/>
      <c r="PSC22" s="559"/>
      <c r="PSD22" s="559"/>
      <c r="PSE22" s="559"/>
      <c r="PSF22" s="559"/>
      <c r="PSG22" s="559"/>
      <c r="PSH22" s="559"/>
      <c r="PSI22" s="559"/>
      <c r="PSJ22" s="559"/>
      <c r="PSK22" s="559"/>
      <c r="PSL22" s="559"/>
      <c r="PSM22" s="559"/>
      <c r="PSN22" s="559"/>
      <c r="PSO22" s="559"/>
      <c r="PSP22" s="559"/>
      <c r="PSQ22" s="559"/>
      <c r="PSR22" s="559"/>
      <c r="PSS22" s="559"/>
      <c r="PST22" s="559"/>
      <c r="PSU22" s="559"/>
      <c r="PSV22" s="559"/>
      <c r="PSW22" s="559"/>
      <c r="PSX22" s="559"/>
      <c r="PSY22" s="559"/>
      <c r="PSZ22" s="559"/>
      <c r="PTA22" s="559"/>
      <c r="PTB22" s="559"/>
      <c r="PTC22" s="559"/>
      <c r="PTD22" s="559"/>
      <c r="PTE22" s="559"/>
      <c r="PTF22" s="559"/>
      <c r="PTG22" s="559"/>
      <c r="PTH22" s="559"/>
      <c r="PTI22" s="559"/>
      <c r="PTJ22" s="559"/>
      <c r="PTK22" s="559"/>
      <c r="PTL22" s="559"/>
      <c r="PTM22" s="559"/>
      <c r="PTN22" s="559"/>
      <c r="PTO22" s="559"/>
      <c r="PTP22" s="559"/>
      <c r="PTQ22" s="559"/>
      <c r="PTR22" s="559"/>
      <c r="PTS22" s="559"/>
      <c r="PTT22" s="559"/>
      <c r="PTU22" s="559"/>
      <c r="PTV22" s="559"/>
      <c r="PTW22" s="559"/>
      <c r="PTX22" s="559"/>
      <c r="PTY22" s="559"/>
      <c r="PTZ22" s="559"/>
      <c r="PUA22" s="559"/>
      <c r="PUB22" s="559"/>
      <c r="PUC22" s="559"/>
      <c r="PUD22" s="559"/>
      <c r="PUE22" s="559"/>
      <c r="PUF22" s="559"/>
      <c r="PUG22" s="559"/>
      <c r="PUH22" s="559"/>
      <c r="PUI22" s="559"/>
      <c r="PUJ22" s="559"/>
      <c r="PUK22" s="559"/>
      <c r="PUL22" s="559"/>
      <c r="PUM22" s="559"/>
      <c r="PUN22" s="559"/>
      <c r="PUO22" s="559"/>
      <c r="PUP22" s="559"/>
      <c r="PUQ22" s="559"/>
      <c r="PUR22" s="559"/>
      <c r="PUS22" s="559"/>
      <c r="PUT22" s="559"/>
      <c r="PUU22" s="559"/>
      <c r="PUV22" s="559"/>
      <c r="PUW22" s="559"/>
      <c r="PUX22" s="559"/>
      <c r="PUY22" s="559"/>
      <c r="PUZ22" s="559"/>
      <c r="PVA22" s="559"/>
      <c r="PVB22" s="559"/>
      <c r="PVC22" s="559"/>
      <c r="PVD22" s="559"/>
      <c r="PVE22" s="559"/>
      <c r="PVF22" s="559"/>
      <c r="PVG22" s="559"/>
      <c r="PVH22" s="559"/>
      <c r="PVI22" s="559"/>
      <c r="PVJ22" s="559"/>
      <c r="PVK22" s="559"/>
      <c r="PVL22" s="559"/>
      <c r="PVM22" s="559"/>
      <c r="PVN22" s="559"/>
      <c r="PVO22" s="559"/>
      <c r="PVP22" s="559"/>
      <c r="PVQ22" s="559"/>
      <c r="PVR22" s="559"/>
      <c r="PVS22" s="559"/>
      <c r="PVT22" s="559"/>
      <c r="PVU22" s="559"/>
      <c r="PVV22" s="559"/>
      <c r="PVW22" s="559"/>
      <c r="PVX22" s="559"/>
      <c r="PVY22" s="559"/>
      <c r="PVZ22" s="559"/>
      <c r="PWA22" s="559"/>
      <c r="PWB22" s="559"/>
      <c r="PWC22" s="559"/>
      <c r="PWD22" s="559"/>
      <c r="PWE22" s="559"/>
      <c r="PWF22" s="559"/>
      <c r="PWG22" s="559"/>
      <c r="PWH22" s="559"/>
      <c r="PWI22" s="559"/>
      <c r="PWJ22" s="559"/>
      <c r="PWK22" s="559"/>
      <c r="PWL22" s="559"/>
      <c r="PWM22" s="559"/>
      <c r="PWN22" s="559"/>
      <c r="PWO22" s="559"/>
      <c r="PWP22" s="559"/>
      <c r="PWQ22" s="559"/>
      <c r="PWR22" s="559"/>
      <c r="PWS22" s="559"/>
      <c r="PWT22" s="559"/>
      <c r="PWU22" s="559"/>
      <c r="PWV22" s="559"/>
      <c r="PWW22" s="559"/>
      <c r="PWX22" s="559"/>
      <c r="PWY22" s="559"/>
      <c r="PWZ22" s="559"/>
      <c r="PXA22" s="559"/>
      <c r="PXB22" s="559"/>
      <c r="PXC22" s="559"/>
      <c r="PXD22" s="559"/>
      <c r="PXE22" s="559"/>
      <c r="PXF22" s="559"/>
      <c r="PXG22" s="559"/>
      <c r="PXH22" s="559"/>
      <c r="PXI22" s="559"/>
      <c r="PXJ22" s="559"/>
      <c r="PXK22" s="559"/>
      <c r="PXL22" s="559"/>
      <c r="PXM22" s="559"/>
      <c r="PXN22" s="559"/>
      <c r="PXO22" s="559"/>
      <c r="PXP22" s="559"/>
      <c r="PXQ22" s="559"/>
      <c r="PXR22" s="559"/>
      <c r="PXS22" s="559"/>
      <c r="PXT22" s="559"/>
      <c r="PXU22" s="559"/>
      <c r="PXV22" s="559"/>
      <c r="PXW22" s="559"/>
      <c r="PXX22" s="559"/>
      <c r="PXY22" s="559"/>
      <c r="PXZ22" s="559"/>
      <c r="PYA22" s="559"/>
      <c r="PYB22" s="559"/>
      <c r="PYC22" s="559"/>
      <c r="PYD22" s="559"/>
      <c r="PYE22" s="559"/>
      <c r="PYF22" s="559"/>
      <c r="PYG22" s="559"/>
      <c r="PYH22" s="559"/>
      <c r="PYI22" s="559"/>
      <c r="PYJ22" s="559"/>
      <c r="PYK22" s="559"/>
      <c r="PYL22" s="559"/>
      <c r="PYM22" s="559"/>
      <c r="PYN22" s="559"/>
      <c r="PYO22" s="559"/>
      <c r="PYP22" s="559"/>
      <c r="PYQ22" s="559"/>
      <c r="PYR22" s="559"/>
      <c r="PYS22" s="559"/>
      <c r="PYT22" s="559"/>
      <c r="PYU22" s="559"/>
      <c r="PYV22" s="559"/>
      <c r="PYW22" s="559"/>
      <c r="PYX22" s="559"/>
      <c r="PYY22" s="559"/>
      <c r="PYZ22" s="559"/>
      <c r="PZA22" s="559"/>
      <c r="PZB22" s="559"/>
      <c r="PZC22" s="559"/>
      <c r="PZD22" s="559"/>
      <c r="PZE22" s="559"/>
      <c r="PZF22" s="559"/>
      <c r="PZG22" s="559"/>
      <c r="PZH22" s="559"/>
      <c r="PZI22" s="559"/>
      <c r="PZJ22" s="559"/>
      <c r="PZK22" s="559"/>
      <c r="PZL22" s="559"/>
      <c r="PZM22" s="559"/>
      <c r="PZN22" s="559"/>
      <c r="PZO22" s="559"/>
      <c r="PZP22" s="559"/>
      <c r="PZQ22" s="559"/>
      <c r="PZR22" s="559"/>
      <c r="PZS22" s="559"/>
      <c r="PZT22" s="559"/>
      <c r="PZU22" s="559"/>
      <c r="PZV22" s="559"/>
      <c r="PZW22" s="559"/>
      <c r="PZX22" s="559"/>
      <c r="PZY22" s="559"/>
      <c r="PZZ22" s="559"/>
      <c r="QAA22" s="559"/>
      <c r="QAB22" s="559"/>
      <c r="QAC22" s="559"/>
      <c r="QAD22" s="559"/>
      <c r="QAE22" s="559"/>
      <c r="QAF22" s="559"/>
      <c r="QAG22" s="559"/>
      <c r="QAH22" s="559"/>
      <c r="QAI22" s="559"/>
      <c r="QAJ22" s="559"/>
      <c r="QAK22" s="559"/>
      <c r="QAL22" s="559"/>
      <c r="QAM22" s="559"/>
      <c r="QAN22" s="559"/>
      <c r="QAO22" s="559"/>
      <c r="QAP22" s="559"/>
      <c r="QAQ22" s="559"/>
      <c r="QAR22" s="559"/>
      <c r="QAS22" s="559"/>
      <c r="QAT22" s="559"/>
      <c r="QAU22" s="559"/>
      <c r="QAV22" s="559"/>
      <c r="QAW22" s="559"/>
      <c r="QAX22" s="559"/>
      <c r="QAY22" s="559"/>
      <c r="QAZ22" s="559"/>
      <c r="QBA22" s="559"/>
      <c r="QBB22" s="559"/>
      <c r="QBC22" s="559"/>
      <c r="QBD22" s="559"/>
      <c r="QBE22" s="559"/>
      <c r="QBF22" s="559"/>
      <c r="QBG22" s="559"/>
      <c r="QBH22" s="559"/>
      <c r="QBI22" s="559"/>
      <c r="QBJ22" s="559"/>
      <c r="QBK22" s="559"/>
      <c r="QBL22" s="559"/>
      <c r="QBM22" s="559"/>
      <c r="QBN22" s="559"/>
      <c r="QBO22" s="559"/>
      <c r="QBP22" s="559"/>
      <c r="QBQ22" s="559"/>
      <c r="QBR22" s="559"/>
      <c r="QBS22" s="559"/>
      <c r="QBT22" s="559"/>
      <c r="QBU22" s="559"/>
      <c r="QBV22" s="559"/>
      <c r="QBW22" s="559"/>
      <c r="QBX22" s="559"/>
      <c r="QBY22" s="559"/>
      <c r="QBZ22" s="559"/>
      <c r="QCA22" s="559"/>
      <c r="QCB22" s="559"/>
      <c r="QCC22" s="559"/>
      <c r="QCD22" s="559"/>
      <c r="QCE22" s="559"/>
      <c r="QCF22" s="559"/>
      <c r="QCG22" s="559"/>
      <c r="QCH22" s="559"/>
      <c r="QCI22" s="559"/>
      <c r="QCJ22" s="559"/>
      <c r="QCK22" s="559"/>
      <c r="QCL22" s="559"/>
      <c r="QCM22" s="559"/>
      <c r="QCN22" s="559"/>
      <c r="QCO22" s="559"/>
      <c r="QCP22" s="559"/>
      <c r="QCQ22" s="559"/>
      <c r="QCR22" s="559"/>
      <c r="QCS22" s="559"/>
      <c r="QCT22" s="559"/>
      <c r="QCU22" s="559"/>
      <c r="QCV22" s="559"/>
      <c r="QCW22" s="559"/>
      <c r="QCX22" s="559"/>
      <c r="QCY22" s="559"/>
      <c r="QCZ22" s="559"/>
      <c r="QDA22" s="559"/>
      <c r="QDB22" s="559"/>
      <c r="QDC22" s="559"/>
      <c r="QDD22" s="559"/>
      <c r="QDE22" s="559"/>
      <c r="QDF22" s="559"/>
      <c r="QDG22" s="559"/>
      <c r="QDH22" s="559"/>
      <c r="QDI22" s="559"/>
      <c r="QDJ22" s="559"/>
      <c r="QDK22" s="559"/>
      <c r="QDL22" s="559"/>
      <c r="QDM22" s="559"/>
      <c r="QDN22" s="559"/>
      <c r="QDO22" s="559"/>
      <c r="QDP22" s="559"/>
      <c r="QDQ22" s="559"/>
      <c r="QDR22" s="559"/>
      <c r="QDS22" s="559"/>
      <c r="QDT22" s="559"/>
      <c r="QDU22" s="559"/>
      <c r="QDV22" s="559"/>
      <c r="QDW22" s="559"/>
      <c r="QDX22" s="559"/>
      <c r="QDY22" s="559"/>
      <c r="QDZ22" s="559"/>
      <c r="QEA22" s="559"/>
      <c r="QEB22" s="559"/>
      <c r="QEC22" s="559"/>
      <c r="QED22" s="559"/>
      <c r="QEE22" s="559"/>
      <c r="QEF22" s="559"/>
      <c r="QEG22" s="559"/>
      <c r="QEH22" s="559"/>
      <c r="QEI22" s="559"/>
      <c r="QEJ22" s="559"/>
      <c r="QEK22" s="559"/>
      <c r="QEL22" s="559"/>
      <c r="QEM22" s="559"/>
      <c r="QEN22" s="559"/>
      <c r="QEO22" s="559"/>
      <c r="QEP22" s="559"/>
      <c r="QEQ22" s="559"/>
      <c r="QER22" s="559"/>
      <c r="QES22" s="559"/>
      <c r="QET22" s="559"/>
      <c r="QEU22" s="559"/>
      <c r="QEV22" s="559"/>
      <c r="QEW22" s="559"/>
      <c r="QEX22" s="559"/>
      <c r="QEY22" s="559"/>
      <c r="QEZ22" s="559"/>
      <c r="QFA22" s="559"/>
      <c r="QFB22" s="559"/>
      <c r="QFC22" s="559"/>
      <c r="QFD22" s="559"/>
      <c r="QFE22" s="559"/>
      <c r="QFF22" s="559"/>
      <c r="QFG22" s="559"/>
      <c r="QFH22" s="559"/>
      <c r="QFI22" s="559"/>
      <c r="QFJ22" s="559"/>
      <c r="QFK22" s="559"/>
      <c r="QFL22" s="559"/>
      <c r="QFM22" s="559"/>
      <c r="QFN22" s="559"/>
      <c r="QFO22" s="559"/>
      <c r="QFP22" s="559"/>
      <c r="QFQ22" s="559"/>
      <c r="QFR22" s="559"/>
      <c r="QFS22" s="559"/>
      <c r="QFT22" s="559"/>
      <c r="QFU22" s="559"/>
      <c r="QFV22" s="559"/>
      <c r="QFW22" s="559"/>
      <c r="QFX22" s="559"/>
      <c r="QFY22" s="559"/>
      <c r="QFZ22" s="559"/>
      <c r="QGA22" s="559"/>
      <c r="QGB22" s="559"/>
      <c r="QGC22" s="559"/>
      <c r="QGD22" s="559"/>
      <c r="QGE22" s="559"/>
      <c r="QGF22" s="559"/>
      <c r="QGG22" s="559"/>
      <c r="QGH22" s="559"/>
      <c r="QGI22" s="559"/>
      <c r="QGJ22" s="559"/>
      <c r="QGK22" s="559"/>
      <c r="QGL22" s="559"/>
      <c r="QGM22" s="559"/>
      <c r="QGN22" s="559"/>
      <c r="QGO22" s="559"/>
      <c r="QGP22" s="559"/>
      <c r="QGQ22" s="559"/>
      <c r="QGR22" s="559"/>
      <c r="QGS22" s="559"/>
      <c r="QGT22" s="559"/>
      <c r="QGU22" s="559"/>
      <c r="QGV22" s="559"/>
      <c r="QGW22" s="559"/>
      <c r="QGX22" s="559"/>
      <c r="QGY22" s="559"/>
      <c r="QGZ22" s="559"/>
      <c r="QHA22" s="559"/>
      <c r="QHB22" s="559"/>
      <c r="QHC22" s="559"/>
      <c r="QHD22" s="559"/>
      <c r="QHE22" s="559"/>
      <c r="QHF22" s="559"/>
      <c r="QHG22" s="559"/>
      <c r="QHH22" s="559"/>
      <c r="QHI22" s="559"/>
      <c r="QHJ22" s="559"/>
      <c r="QHK22" s="559"/>
      <c r="QHL22" s="559"/>
      <c r="QHM22" s="559"/>
      <c r="QHN22" s="559"/>
      <c r="QHO22" s="559"/>
      <c r="QHP22" s="559"/>
      <c r="QHQ22" s="559"/>
      <c r="QHR22" s="559"/>
      <c r="QHS22" s="559"/>
      <c r="QHT22" s="559"/>
      <c r="QHU22" s="559"/>
      <c r="QHV22" s="559"/>
      <c r="QHW22" s="559"/>
      <c r="QHX22" s="559"/>
      <c r="QHY22" s="559"/>
      <c r="QHZ22" s="559"/>
      <c r="QIA22" s="559"/>
      <c r="QIB22" s="559"/>
      <c r="QIC22" s="559"/>
      <c r="QID22" s="559"/>
      <c r="QIE22" s="559"/>
      <c r="QIF22" s="559"/>
      <c r="QIG22" s="559"/>
      <c r="QIH22" s="559"/>
      <c r="QII22" s="559"/>
      <c r="QIJ22" s="559"/>
      <c r="QIK22" s="559"/>
      <c r="QIL22" s="559"/>
      <c r="QIM22" s="559"/>
      <c r="QIN22" s="559"/>
      <c r="QIO22" s="559"/>
      <c r="QIP22" s="559"/>
      <c r="QIQ22" s="559"/>
      <c r="QIR22" s="559"/>
      <c r="QIS22" s="559"/>
      <c r="QIT22" s="559"/>
      <c r="QIU22" s="559"/>
      <c r="QIV22" s="559"/>
      <c r="QIW22" s="559"/>
      <c r="QIX22" s="559"/>
      <c r="QIY22" s="559"/>
      <c r="QIZ22" s="559"/>
      <c r="QJA22" s="559"/>
      <c r="QJB22" s="559"/>
      <c r="QJC22" s="559"/>
      <c r="QJD22" s="559"/>
      <c r="QJE22" s="559"/>
      <c r="QJF22" s="559"/>
      <c r="QJG22" s="559"/>
      <c r="QJH22" s="559"/>
      <c r="QJI22" s="559"/>
      <c r="QJJ22" s="559"/>
      <c r="QJK22" s="559"/>
      <c r="QJL22" s="559"/>
      <c r="QJM22" s="559"/>
      <c r="QJN22" s="559"/>
      <c r="QJO22" s="559"/>
      <c r="QJP22" s="559"/>
      <c r="QJQ22" s="559"/>
      <c r="QJR22" s="559"/>
      <c r="QJS22" s="559"/>
      <c r="QJT22" s="559"/>
      <c r="QJU22" s="559"/>
      <c r="QJV22" s="559"/>
      <c r="QJW22" s="559"/>
      <c r="QJX22" s="559"/>
      <c r="QJY22" s="559"/>
      <c r="QJZ22" s="559"/>
      <c r="QKA22" s="559"/>
      <c r="QKB22" s="559"/>
      <c r="QKC22" s="559"/>
      <c r="QKD22" s="559"/>
      <c r="QKE22" s="559"/>
      <c r="QKF22" s="559"/>
      <c r="QKG22" s="559"/>
      <c r="QKH22" s="559"/>
      <c r="QKI22" s="559"/>
      <c r="QKJ22" s="559"/>
      <c r="QKK22" s="559"/>
      <c r="QKL22" s="559"/>
      <c r="QKM22" s="559"/>
      <c r="QKN22" s="559"/>
      <c r="QKO22" s="559"/>
      <c r="QKP22" s="559"/>
      <c r="QKQ22" s="559"/>
      <c r="QKR22" s="559"/>
      <c r="QKS22" s="559"/>
      <c r="QKT22" s="559"/>
      <c r="QKU22" s="559"/>
      <c r="QKV22" s="559"/>
      <c r="QKW22" s="559"/>
      <c r="QKX22" s="559"/>
      <c r="QKY22" s="559"/>
      <c r="QKZ22" s="559"/>
      <c r="QLA22" s="559"/>
      <c r="QLB22" s="559"/>
      <c r="QLC22" s="559"/>
      <c r="QLD22" s="559"/>
      <c r="QLE22" s="559"/>
      <c r="QLF22" s="559"/>
      <c r="QLG22" s="559"/>
      <c r="QLH22" s="559"/>
      <c r="QLI22" s="559"/>
      <c r="QLJ22" s="559"/>
      <c r="QLK22" s="559"/>
      <c r="QLL22" s="559"/>
      <c r="QLM22" s="559"/>
      <c r="QLN22" s="559"/>
      <c r="QLO22" s="559"/>
      <c r="QLP22" s="559"/>
      <c r="QLQ22" s="559"/>
      <c r="QLR22" s="559"/>
      <c r="QLS22" s="559"/>
      <c r="QLT22" s="559"/>
      <c r="QLU22" s="559"/>
      <c r="QLV22" s="559"/>
      <c r="QLW22" s="559"/>
      <c r="QLX22" s="559"/>
      <c r="QLY22" s="559"/>
      <c r="QLZ22" s="559"/>
      <c r="QMA22" s="559"/>
      <c r="QMB22" s="559"/>
      <c r="QMC22" s="559"/>
      <c r="QMD22" s="559"/>
      <c r="QME22" s="559"/>
      <c r="QMF22" s="559"/>
      <c r="QMG22" s="559"/>
      <c r="QMH22" s="559"/>
      <c r="QMI22" s="559"/>
      <c r="QMJ22" s="559"/>
      <c r="QMK22" s="559"/>
      <c r="QML22" s="559"/>
      <c r="QMM22" s="559"/>
      <c r="QMN22" s="559"/>
      <c r="QMO22" s="559"/>
      <c r="QMP22" s="559"/>
      <c r="QMQ22" s="559"/>
      <c r="QMR22" s="559"/>
      <c r="QMS22" s="559"/>
      <c r="QMT22" s="559"/>
      <c r="QMU22" s="559"/>
      <c r="QMV22" s="559"/>
      <c r="QMW22" s="559"/>
      <c r="QMX22" s="559"/>
      <c r="QMY22" s="559"/>
      <c r="QMZ22" s="559"/>
      <c r="QNA22" s="559"/>
      <c r="QNB22" s="559"/>
      <c r="QNC22" s="559"/>
      <c r="QND22" s="559"/>
      <c r="QNE22" s="559"/>
      <c r="QNF22" s="559"/>
      <c r="QNG22" s="559"/>
      <c r="QNH22" s="559"/>
      <c r="QNI22" s="559"/>
      <c r="QNJ22" s="559"/>
      <c r="QNK22" s="559"/>
      <c r="QNL22" s="559"/>
      <c r="QNM22" s="559"/>
      <c r="QNN22" s="559"/>
      <c r="QNO22" s="559"/>
      <c r="QNP22" s="559"/>
      <c r="QNQ22" s="559"/>
      <c r="QNR22" s="559"/>
      <c r="QNS22" s="559"/>
      <c r="QNT22" s="559"/>
      <c r="QNU22" s="559"/>
      <c r="QNV22" s="559"/>
      <c r="QNW22" s="559"/>
      <c r="QNX22" s="559"/>
      <c r="QNY22" s="559"/>
      <c r="QNZ22" s="559"/>
      <c r="QOA22" s="559"/>
      <c r="QOB22" s="559"/>
      <c r="QOC22" s="559"/>
      <c r="QOD22" s="559"/>
      <c r="QOE22" s="559"/>
      <c r="QOF22" s="559"/>
      <c r="QOG22" s="559"/>
      <c r="QOH22" s="559"/>
      <c r="QOI22" s="559"/>
      <c r="QOJ22" s="559"/>
      <c r="QOK22" s="559"/>
      <c r="QOL22" s="559"/>
      <c r="QOM22" s="559"/>
      <c r="QON22" s="559"/>
      <c r="QOO22" s="559"/>
      <c r="QOP22" s="559"/>
      <c r="QOQ22" s="559"/>
      <c r="QOR22" s="559"/>
      <c r="QOS22" s="559"/>
      <c r="QOT22" s="559"/>
      <c r="QOU22" s="559"/>
      <c r="QOV22" s="559"/>
      <c r="QOW22" s="559"/>
      <c r="QOX22" s="559"/>
      <c r="QOY22" s="559"/>
      <c r="QOZ22" s="559"/>
      <c r="QPA22" s="559"/>
      <c r="QPB22" s="559"/>
      <c r="QPC22" s="559"/>
      <c r="QPD22" s="559"/>
      <c r="QPE22" s="559"/>
      <c r="QPF22" s="559"/>
      <c r="QPG22" s="559"/>
      <c r="QPH22" s="559"/>
      <c r="QPI22" s="559"/>
      <c r="QPJ22" s="559"/>
      <c r="QPK22" s="559"/>
      <c r="QPL22" s="559"/>
      <c r="QPM22" s="559"/>
      <c r="QPN22" s="559"/>
      <c r="QPO22" s="559"/>
      <c r="QPP22" s="559"/>
      <c r="QPQ22" s="559"/>
      <c r="QPR22" s="559"/>
      <c r="QPS22" s="559"/>
      <c r="QPT22" s="559"/>
      <c r="QPU22" s="559"/>
      <c r="QPV22" s="559"/>
      <c r="QPW22" s="559"/>
      <c r="QPX22" s="559"/>
      <c r="QPY22" s="559"/>
      <c r="QPZ22" s="559"/>
      <c r="QQA22" s="559"/>
      <c r="QQB22" s="559"/>
      <c r="QQC22" s="559"/>
      <c r="QQD22" s="559"/>
      <c r="QQE22" s="559"/>
      <c r="QQF22" s="559"/>
      <c r="QQG22" s="559"/>
      <c r="QQH22" s="559"/>
      <c r="QQI22" s="559"/>
      <c r="QQJ22" s="559"/>
      <c r="QQK22" s="559"/>
      <c r="QQL22" s="559"/>
      <c r="QQM22" s="559"/>
      <c r="QQN22" s="559"/>
      <c r="QQO22" s="559"/>
      <c r="QQP22" s="559"/>
      <c r="QQQ22" s="559"/>
      <c r="QQR22" s="559"/>
      <c r="QQS22" s="559"/>
      <c r="QQT22" s="559"/>
      <c r="QQU22" s="559"/>
      <c r="QQV22" s="559"/>
      <c r="QQW22" s="559"/>
      <c r="QQX22" s="559"/>
      <c r="QQY22" s="559"/>
      <c r="QQZ22" s="559"/>
      <c r="QRA22" s="559"/>
      <c r="QRB22" s="559"/>
      <c r="QRC22" s="559"/>
      <c r="QRD22" s="559"/>
      <c r="QRE22" s="559"/>
      <c r="QRF22" s="559"/>
      <c r="QRG22" s="559"/>
      <c r="QRH22" s="559"/>
      <c r="QRI22" s="559"/>
      <c r="QRJ22" s="559"/>
      <c r="QRK22" s="559"/>
      <c r="QRL22" s="559"/>
      <c r="QRM22" s="559"/>
      <c r="QRN22" s="559"/>
      <c r="QRO22" s="559"/>
      <c r="QRP22" s="559"/>
      <c r="QRQ22" s="559"/>
      <c r="QRR22" s="559"/>
      <c r="QRS22" s="559"/>
      <c r="QRT22" s="559"/>
      <c r="QRU22" s="559"/>
      <c r="QRV22" s="559"/>
      <c r="QRW22" s="559"/>
      <c r="QRX22" s="559"/>
      <c r="QRY22" s="559"/>
      <c r="QRZ22" s="559"/>
      <c r="QSA22" s="559"/>
      <c r="QSB22" s="559"/>
      <c r="QSC22" s="559"/>
      <c r="QSD22" s="559"/>
      <c r="QSE22" s="559"/>
      <c r="QSF22" s="559"/>
      <c r="QSG22" s="559"/>
      <c r="QSH22" s="559"/>
      <c r="QSI22" s="559"/>
      <c r="QSJ22" s="559"/>
      <c r="QSK22" s="559"/>
      <c r="QSL22" s="559"/>
      <c r="QSM22" s="559"/>
      <c r="QSN22" s="559"/>
      <c r="QSO22" s="559"/>
      <c r="QSP22" s="559"/>
      <c r="QSQ22" s="559"/>
      <c r="QSR22" s="559"/>
      <c r="QSS22" s="559"/>
      <c r="QST22" s="559"/>
      <c r="QSU22" s="559"/>
      <c r="QSV22" s="559"/>
      <c r="QSW22" s="559"/>
      <c r="QSX22" s="559"/>
      <c r="QSY22" s="559"/>
      <c r="QSZ22" s="559"/>
      <c r="QTA22" s="559"/>
      <c r="QTB22" s="559"/>
      <c r="QTC22" s="559"/>
      <c r="QTD22" s="559"/>
      <c r="QTE22" s="559"/>
      <c r="QTF22" s="559"/>
      <c r="QTG22" s="559"/>
      <c r="QTH22" s="559"/>
      <c r="QTI22" s="559"/>
      <c r="QTJ22" s="559"/>
      <c r="QTK22" s="559"/>
      <c r="QTL22" s="559"/>
      <c r="QTM22" s="559"/>
      <c r="QTN22" s="559"/>
      <c r="QTO22" s="559"/>
      <c r="QTP22" s="559"/>
      <c r="QTQ22" s="559"/>
      <c r="QTR22" s="559"/>
      <c r="QTS22" s="559"/>
      <c r="QTT22" s="559"/>
      <c r="QTU22" s="559"/>
      <c r="QTV22" s="559"/>
      <c r="QTW22" s="559"/>
      <c r="QTX22" s="559"/>
      <c r="QTY22" s="559"/>
      <c r="QTZ22" s="559"/>
      <c r="QUA22" s="559"/>
      <c r="QUB22" s="559"/>
      <c r="QUC22" s="559"/>
      <c r="QUD22" s="559"/>
      <c r="QUE22" s="559"/>
      <c r="QUF22" s="559"/>
      <c r="QUG22" s="559"/>
      <c r="QUH22" s="559"/>
      <c r="QUI22" s="559"/>
      <c r="QUJ22" s="559"/>
      <c r="QUK22" s="559"/>
      <c r="QUL22" s="559"/>
      <c r="QUM22" s="559"/>
      <c r="QUN22" s="559"/>
      <c r="QUO22" s="559"/>
      <c r="QUP22" s="559"/>
      <c r="QUQ22" s="559"/>
      <c r="QUR22" s="559"/>
      <c r="QUS22" s="559"/>
      <c r="QUT22" s="559"/>
      <c r="QUU22" s="559"/>
      <c r="QUV22" s="559"/>
      <c r="QUW22" s="559"/>
      <c r="QUX22" s="559"/>
      <c r="QUY22" s="559"/>
      <c r="QUZ22" s="559"/>
      <c r="QVA22" s="559"/>
      <c r="QVB22" s="559"/>
      <c r="QVC22" s="559"/>
      <c r="QVD22" s="559"/>
      <c r="QVE22" s="559"/>
      <c r="QVF22" s="559"/>
      <c r="QVG22" s="559"/>
      <c r="QVH22" s="559"/>
      <c r="QVI22" s="559"/>
      <c r="QVJ22" s="559"/>
      <c r="QVK22" s="559"/>
      <c r="QVL22" s="559"/>
      <c r="QVM22" s="559"/>
      <c r="QVN22" s="559"/>
      <c r="QVO22" s="559"/>
      <c r="QVP22" s="559"/>
      <c r="QVQ22" s="559"/>
      <c r="QVR22" s="559"/>
      <c r="QVS22" s="559"/>
      <c r="QVT22" s="559"/>
      <c r="QVU22" s="559"/>
      <c r="QVV22" s="559"/>
      <c r="QVW22" s="559"/>
      <c r="QVX22" s="559"/>
      <c r="QVY22" s="559"/>
      <c r="QVZ22" s="559"/>
      <c r="QWA22" s="559"/>
      <c r="QWB22" s="559"/>
      <c r="QWC22" s="559"/>
      <c r="QWD22" s="559"/>
      <c r="QWE22" s="559"/>
      <c r="QWF22" s="559"/>
      <c r="QWG22" s="559"/>
      <c r="QWH22" s="559"/>
      <c r="QWI22" s="559"/>
      <c r="QWJ22" s="559"/>
      <c r="QWK22" s="559"/>
      <c r="QWL22" s="559"/>
      <c r="QWM22" s="559"/>
      <c r="QWN22" s="559"/>
      <c r="QWO22" s="559"/>
      <c r="QWP22" s="559"/>
      <c r="QWQ22" s="559"/>
      <c r="QWR22" s="559"/>
      <c r="QWS22" s="559"/>
      <c r="QWT22" s="559"/>
      <c r="QWU22" s="559"/>
      <c r="QWV22" s="559"/>
      <c r="QWW22" s="559"/>
      <c r="QWX22" s="559"/>
      <c r="QWY22" s="559"/>
      <c r="QWZ22" s="559"/>
      <c r="QXA22" s="559"/>
      <c r="QXB22" s="559"/>
      <c r="QXC22" s="559"/>
      <c r="QXD22" s="559"/>
      <c r="QXE22" s="559"/>
      <c r="QXF22" s="559"/>
      <c r="QXG22" s="559"/>
      <c r="QXH22" s="559"/>
      <c r="QXI22" s="559"/>
      <c r="QXJ22" s="559"/>
      <c r="QXK22" s="559"/>
      <c r="QXL22" s="559"/>
      <c r="QXM22" s="559"/>
      <c r="QXN22" s="559"/>
      <c r="QXO22" s="559"/>
      <c r="QXP22" s="559"/>
      <c r="QXQ22" s="559"/>
      <c r="QXR22" s="559"/>
      <c r="QXS22" s="559"/>
      <c r="QXT22" s="559"/>
      <c r="QXU22" s="559"/>
      <c r="QXV22" s="559"/>
      <c r="QXW22" s="559"/>
      <c r="QXX22" s="559"/>
      <c r="QXY22" s="559"/>
      <c r="QXZ22" s="559"/>
      <c r="QYA22" s="559"/>
      <c r="QYB22" s="559"/>
      <c r="QYC22" s="559"/>
      <c r="QYD22" s="559"/>
      <c r="QYE22" s="559"/>
      <c r="QYF22" s="559"/>
      <c r="QYG22" s="559"/>
      <c r="QYH22" s="559"/>
      <c r="QYI22" s="559"/>
      <c r="QYJ22" s="559"/>
      <c r="QYK22" s="559"/>
      <c r="QYL22" s="559"/>
      <c r="QYM22" s="559"/>
      <c r="QYN22" s="559"/>
      <c r="QYO22" s="559"/>
      <c r="QYP22" s="559"/>
      <c r="QYQ22" s="559"/>
      <c r="QYR22" s="559"/>
      <c r="QYS22" s="559"/>
      <c r="QYT22" s="559"/>
      <c r="QYU22" s="559"/>
      <c r="QYV22" s="559"/>
      <c r="QYW22" s="559"/>
      <c r="QYX22" s="559"/>
      <c r="QYY22" s="559"/>
      <c r="QYZ22" s="559"/>
      <c r="QZA22" s="559"/>
      <c r="QZB22" s="559"/>
      <c r="QZC22" s="559"/>
      <c r="QZD22" s="559"/>
      <c r="QZE22" s="559"/>
      <c r="QZF22" s="559"/>
      <c r="QZG22" s="559"/>
      <c r="QZH22" s="559"/>
      <c r="QZI22" s="559"/>
      <c r="QZJ22" s="559"/>
      <c r="QZK22" s="559"/>
      <c r="QZL22" s="559"/>
      <c r="QZM22" s="559"/>
      <c r="QZN22" s="559"/>
      <c r="QZO22" s="559"/>
      <c r="QZP22" s="559"/>
      <c r="QZQ22" s="559"/>
      <c r="QZR22" s="559"/>
      <c r="QZS22" s="559"/>
      <c r="QZT22" s="559"/>
      <c r="QZU22" s="559"/>
      <c r="QZV22" s="559"/>
      <c r="QZW22" s="559"/>
      <c r="QZX22" s="559"/>
      <c r="QZY22" s="559"/>
      <c r="QZZ22" s="559"/>
      <c r="RAA22" s="559"/>
      <c r="RAB22" s="559"/>
      <c r="RAC22" s="559"/>
      <c r="RAD22" s="559"/>
      <c r="RAE22" s="559"/>
      <c r="RAF22" s="559"/>
      <c r="RAG22" s="559"/>
      <c r="RAH22" s="559"/>
      <c r="RAI22" s="559"/>
      <c r="RAJ22" s="559"/>
      <c r="RAK22" s="559"/>
      <c r="RAL22" s="559"/>
      <c r="RAM22" s="559"/>
      <c r="RAN22" s="559"/>
      <c r="RAO22" s="559"/>
      <c r="RAP22" s="559"/>
      <c r="RAQ22" s="559"/>
      <c r="RAR22" s="559"/>
      <c r="RAS22" s="559"/>
      <c r="RAT22" s="559"/>
      <c r="RAU22" s="559"/>
      <c r="RAV22" s="559"/>
      <c r="RAW22" s="559"/>
      <c r="RAX22" s="559"/>
      <c r="RAY22" s="559"/>
      <c r="RAZ22" s="559"/>
      <c r="RBA22" s="559"/>
      <c r="RBB22" s="559"/>
      <c r="RBC22" s="559"/>
      <c r="RBD22" s="559"/>
      <c r="RBE22" s="559"/>
      <c r="RBF22" s="559"/>
      <c r="RBG22" s="559"/>
      <c r="RBH22" s="559"/>
      <c r="RBI22" s="559"/>
      <c r="RBJ22" s="559"/>
      <c r="RBK22" s="559"/>
      <c r="RBL22" s="559"/>
      <c r="RBM22" s="559"/>
      <c r="RBN22" s="559"/>
      <c r="RBO22" s="559"/>
      <c r="RBP22" s="559"/>
      <c r="RBQ22" s="559"/>
      <c r="RBR22" s="559"/>
      <c r="RBS22" s="559"/>
      <c r="RBT22" s="559"/>
      <c r="RBU22" s="559"/>
      <c r="RBV22" s="559"/>
      <c r="RBW22" s="559"/>
      <c r="RBX22" s="559"/>
      <c r="RBY22" s="559"/>
      <c r="RBZ22" s="559"/>
      <c r="RCA22" s="559"/>
      <c r="RCB22" s="559"/>
      <c r="RCC22" s="559"/>
      <c r="RCD22" s="559"/>
      <c r="RCE22" s="559"/>
      <c r="RCF22" s="559"/>
      <c r="RCG22" s="559"/>
      <c r="RCH22" s="559"/>
      <c r="RCI22" s="559"/>
      <c r="RCJ22" s="559"/>
      <c r="RCK22" s="559"/>
      <c r="RCL22" s="559"/>
      <c r="RCM22" s="559"/>
      <c r="RCN22" s="559"/>
      <c r="RCO22" s="559"/>
      <c r="RCP22" s="559"/>
      <c r="RCQ22" s="559"/>
      <c r="RCR22" s="559"/>
      <c r="RCS22" s="559"/>
      <c r="RCT22" s="559"/>
      <c r="RCU22" s="559"/>
      <c r="RCV22" s="559"/>
      <c r="RCW22" s="559"/>
      <c r="RCX22" s="559"/>
      <c r="RCY22" s="559"/>
      <c r="RCZ22" s="559"/>
      <c r="RDA22" s="559"/>
      <c r="RDB22" s="559"/>
      <c r="RDC22" s="559"/>
      <c r="RDD22" s="559"/>
      <c r="RDE22" s="559"/>
      <c r="RDF22" s="559"/>
      <c r="RDG22" s="559"/>
      <c r="RDH22" s="559"/>
      <c r="RDI22" s="559"/>
      <c r="RDJ22" s="559"/>
      <c r="RDK22" s="559"/>
      <c r="RDL22" s="559"/>
      <c r="RDM22" s="559"/>
      <c r="RDN22" s="559"/>
      <c r="RDO22" s="559"/>
      <c r="RDP22" s="559"/>
      <c r="RDQ22" s="559"/>
      <c r="RDR22" s="559"/>
      <c r="RDS22" s="559"/>
      <c r="RDT22" s="559"/>
      <c r="RDU22" s="559"/>
      <c r="RDV22" s="559"/>
      <c r="RDW22" s="559"/>
      <c r="RDX22" s="559"/>
      <c r="RDY22" s="559"/>
      <c r="RDZ22" s="559"/>
      <c r="REA22" s="559"/>
      <c r="REB22" s="559"/>
      <c r="REC22" s="559"/>
      <c r="RED22" s="559"/>
      <c r="REE22" s="559"/>
      <c r="REF22" s="559"/>
      <c r="REG22" s="559"/>
      <c r="REH22" s="559"/>
      <c r="REI22" s="559"/>
      <c r="REJ22" s="559"/>
      <c r="REK22" s="559"/>
      <c r="REL22" s="559"/>
      <c r="REM22" s="559"/>
      <c r="REN22" s="559"/>
      <c r="REO22" s="559"/>
      <c r="REP22" s="559"/>
      <c r="REQ22" s="559"/>
      <c r="RER22" s="559"/>
      <c r="RES22" s="559"/>
      <c r="RET22" s="559"/>
      <c r="REU22" s="559"/>
      <c r="REV22" s="559"/>
      <c r="REW22" s="559"/>
      <c r="REX22" s="559"/>
      <c r="REY22" s="559"/>
      <c r="REZ22" s="559"/>
      <c r="RFA22" s="559"/>
      <c r="RFB22" s="559"/>
      <c r="RFC22" s="559"/>
      <c r="RFD22" s="559"/>
      <c r="RFE22" s="559"/>
      <c r="RFF22" s="559"/>
      <c r="RFG22" s="559"/>
      <c r="RFH22" s="559"/>
      <c r="RFI22" s="559"/>
      <c r="RFJ22" s="559"/>
      <c r="RFK22" s="559"/>
      <c r="RFL22" s="559"/>
      <c r="RFM22" s="559"/>
      <c r="RFN22" s="559"/>
      <c r="RFO22" s="559"/>
      <c r="RFP22" s="559"/>
      <c r="RFQ22" s="559"/>
      <c r="RFR22" s="559"/>
      <c r="RFS22" s="559"/>
      <c r="RFT22" s="559"/>
      <c r="RFU22" s="559"/>
      <c r="RFV22" s="559"/>
      <c r="RFW22" s="559"/>
      <c r="RFX22" s="559"/>
      <c r="RFY22" s="559"/>
      <c r="RFZ22" s="559"/>
      <c r="RGA22" s="559"/>
      <c r="RGB22" s="559"/>
      <c r="RGC22" s="559"/>
      <c r="RGD22" s="559"/>
      <c r="RGE22" s="559"/>
      <c r="RGF22" s="559"/>
      <c r="RGG22" s="559"/>
      <c r="RGH22" s="559"/>
      <c r="RGI22" s="559"/>
      <c r="RGJ22" s="559"/>
      <c r="RGK22" s="559"/>
      <c r="RGL22" s="559"/>
      <c r="RGM22" s="559"/>
      <c r="RGN22" s="559"/>
      <c r="RGO22" s="559"/>
      <c r="RGP22" s="559"/>
      <c r="RGQ22" s="559"/>
      <c r="RGR22" s="559"/>
      <c r="RGS22" s="559"/>
      <c r="RGT22" s="559"/>
      <c r="RGU22" s="559"/>
      <c r="RGV22" s="559"/>
      <c r="RGW22" s="559"/>
      <c r="RGX22" s="559"/>
      <c r="RGY22" s="559"/>
      <c r="RGZ22" s="559"/>
      <c r="RHA22" s="559"/>
      <c r="RHB22" s="559"/>
      <c r="RHC22" s="559"/>
      <c r="RHD22" s="559"/>
      <c r="RHE22" s="559"/>
      <c r="RHF22" s="559"/>
      <c r="RHG22" s="559"/>
      <c r="RHH22" s="559"/>
      <c r="RHI22" s="559"/>
      <c r="RHJ22" s="559"/>
      <c r="RHK22" s="559"/>
      <c r="RHL22" s="559"/>
      <c r="RHM22" s="559"/>
      <c r="RHN22" s="559"/>
      <c r="RHO22" s="559"/>
      <c r="RHP22" s="559"/>
      <c r="RHQ22" s="559"/>
      <c r="RHR22" s="559"/>
      <c r="RHS22" s="559"/>
      <c r="RHT22" s="559"/>
      <c r="RHU22" s="559"/>
      <c r="RHV22" s="559"/>
      <c r="RHW22" s="559"/>
      <c r="RHX22" s="559"/>
      <c r="RHY22" s="559"/>
      <c r="RHZ22" s="559"/>
      <c r="RIA22" s="559"/>
      <c r="RIB22" s="559"/>
      <c r="RIC22" s="559"/>
      <c r="RID22" s="559"/>
      <c r="RIE22" s="559"/>
      <c r="RIF22" s="559"/>
      <c r="RIG22" s="559"/>
      <c r="RIH22" s="559"/>
      <c r="RII22" s="559"/>
      <c r="RIJ22" s="559"/>
      <c r="RIK22" s="559"/>
      <c r="RIL22" s="559"/>
      <c r="RIM22" s="559"/>
      <c r="RIN22" s="559"/>
      <c r="RIO22" s="559"/>
      <c r="RIP22" s="559"/>
      <c r="RIQ22" s="559"/>
      <c r="RIR22" s="559"/>
      <c r="RIS22" s="559"/>
      <c r="RIT22" s="559"/>
      <c r="RIU22" s="559"/>
      <c r="RIV22" s="559"/>
      <c r="RIW22" s="559"/>
      <c r="RIX22" s="559"/>
      <c r="RIY22" s="559"/>
      <c r="RIZ22" s="559"/>
      <c r="RJA22" s="559"/>
      <c r="RJB22" s="559"/>
      <c r="RJC22" s="559"/>
      <c r="RJD22" s="559"/>
      <c r="RJE22" s="559"/>
      <c r="RJF22" s="559"/>
      <c r="RJG22" s="559"/>
      <c r="RJH22" s="559"/>
      <c r="RJI22" s="559"/>
      <c r="RJJ22" s="559"/>
      <c r="RJK22" s="559"/>
      <c r="RJL22" s="559"/>
      <c r="RJM22" s="559"/>
      <c r="RJN22" s="559"/>
      <c r="RJO22" s="559"/>
      <c r="RJP22" s="559"/>
      <c r="RJQ22" s="559"/>
      <c r="RJR22" s="559"/>
      <c r="RJS22" s="559"/>
      <c r="RJT22" s="559"/>
      <c r="RJU22" s="559"/>
      <c r="RJV22" s="559"/>
      <c r="RJW22" s="559"/>
      <c r="RJX22" s="559"/>
      <c r="RJY22" s="559"/>
      <c r="RJZ22" s="559"/>
      <c r="RKA22" s="559"/>
      <c r="RKB22" s="559"/>
      <c r="RKC22" s="559"/>
      <c r="RKD22" s="559"/>
      <c r="RKE22" s="559"/>
      <c r="RKF22" s="559"/>
      <c r="RKG22" s="559"/>
      <c r="RKH22" s="559"/>
      <c r="RKI22" s="559"/>
      <c r="RKJ22" s="559"/>
      <c r="RKK22" s="559"/>
      <c r="RKL22" s="559"/>
      <c r="RKM22" s="559"/>
      <c r="RKN22" s="559"/>
      <c r="RKO22" s="559"/>
      <c r="RKP22" s="559"/>
      <c r="RKQ22" s="559"/>
      <c r="RKR22" s="559"/>
      <c r="RKS22" s="559"/>
      <c r="RKT22" s="559"/>
      <c r="RKU22" s="559"/>
      <c r="RKV22" s="559"/>
      <c r="RKW22" s="559"/>
      <c r="RKX22" s="559"/>
      <c r="RKY22" s="559"/>
      <c r="RKZ22" s="559"/>
      <c r="RLA22" s="559"/>
      <c r="RLB22" s="559"/>
      <c r="RLC22" s="559"/>
      <c r="RLD22" s="559"/>
      <c r="RLE22" s="559"/>
      <c r="RLF22" s="559"/>
      <c r="RLG22" s="559"/>
      <c r="RLH22" s="559"/>
      <c r="RLI22" s="559"/>
      <c r="RLJ22" s="559"/>
      <c r="RLK22" s="559"/>
      <c r="RLL22" s="559"/>
      <c r="RLM22" s="559"/>
      <c r="RLN22" s="559"/>
      <c r="RLO22" s="559"/>
      <c r="RLP22" s="559"/>
      <c r="RLQ22" s="559"/>
      <c r="RLR22" s="559"/>
      <c r="RLS22" s="559"/>
      <c r="RLT22" s="559"/>
      <c r="RLU22" s="559"/>
      <c r="RLV22" s="559"/>
      <c r="RLW22" s="559"/>
      <c r="RLX22" s="559"/>
      <c r="RLY22" s="559"/>
      <c r="RLZ22" s="559"/>
      <c r="RMA22" s="559"/>
      <c r="RMB22" s="559"/>
      <c r="RMC22" s="559"/>
      <c r="RMD22" s="559"/>
      <c r="RME22" s="559"/>
      <c r="RMF22" s="559"/>
      <c r="RMG22" s="559"/>
      <c r="RMH22" s="559"/>
      <c r="RMI22" s="559"/>
      <c r="RMJ22" s="559"/>
      <c r="RMK22" s="559"/>
      <c r="RML22" s="559"/>
      <c r="RMM22" s="559"/>
      <c r="RMN22" s="559"/>
      <c r="RMO22" s="559"/>
      <c r="RMP22" s="559"/>
      <c r="RMQ22" s="559"/>
      <c r="RMR22" s="559"/>
      <c r="RMS22" s="559"/>
      <c r="RMT22" s="559"/>
      <c r="RMU22" s="559"/>
      <c r="RMV22" s="559"/>
      <c r="RMW22" s="559"/>
      <c r="RMX22" s="559"/>
      <c r="RMY22" s="559"/>
      <c r="RMZ22" s="559"/>
      <c r="RNA22" s="559"/>
      <c r="RNB22" s="559"/>
      <c r="RNC22" s="559"/>
      <c r="RND22" s="559"/>
      <c r="RNE22" s="559"/>
      <c r="RNF22" s="559"/>
      <c r="RNG22" s="559"/>
      <c r="RNH22" s="559"/>
      <c r="RNI22" s="559"/>
      <c r="RNJ22" s="559"/>
      <c r="RNK22" s="559"/>
      <c r="RNL22" s="559"/>
      <c r="RNM22" s="559"/>
      <c r="RNN22" s="559"/>
      <c r="RNO22" s="559"/>
      <c r="RNP22" s="559"/>
      <c r="RNQ22" s="559"/>
      <c r="RNR22" s="559"/>
      <c r="RNS22" s="559"/>
      <c r="RNT22" s="559"/>
      <c r="RNU22" s="559"/>
      <c r="RNV22" s="559"/>
      <c r="RNW22" s="559"/>
      <c r="RNX22" s="559"/>
      <c r="RNY22" s="559"/>
      <c r="RNZ22" s="559"/>
      <c r="ROA22" s="559"/>
      <c r="ROB22" s="559"/>
      <c r="ROC22" s="559"/>
      <c r="ROD22" s="559"/>
      <c r="ROE22" s="559"/>
      <c r="ROF22" s="559"/>
      <c r="ROG22" s="559"/>
      <c r="ROH22" s="559"/>
      <c r="ROI22" s="559"/>
      <c r="ROJ22" s="559"/>
      <c r="ROK22" s="559"/>
      <c r="ROL22" s="559"/>
      <c r="ROM22" s="559"/>
      <c r="RON22" s="559"/>
      <c r="ROO22" s="559"/>
      <c r="ROP22" s="559"/>
      <c r="ROQ22" s="559"/>
      <c r="ROR22" s="559"/>
      <c r="ROS22" s="559"/>
      <c r="ROT22" s="559"/>
      <c r="ROU22" s="559"/>
      <c r="ROV22" s="559"/>
      <c r="ROW22" s="559"/>
      <c r="ROX22" s="559"/>
      <c r="ROY22" s="559"/>
      <c r="ROZ22" s="559"/>
      <c r="RPA22" s="559"/>
      <c r="RPB22" s="559"/>
      <c r="RPC22" s="559"/>
      <c r="RPD22" s="559"/>
      <c r="RPE22" s="559"/>
      <c r="RPF22" s="559"/>
      <c r="RPG22" s="559"/>
      <c r="RPH22" s="559"/>
      <c r="RPI22" s="559"/>
      <c r="RPJ22" s="559"/>
      <c r="RPK22" s="559"/>
      <c r="RPL22" s="559"/>
      <c r="RPM22" s="559"/>
      <c r="RPN22" s="559"/>
      <c r="RPO22" s="559"/>
      <c r="RPP22" s="559"/>
      <c r="RPQ22" s="559"/>
      <c r="RPR22" s="559"/>
      <c r="RPS22" s="559"/>
      <c r="RPT22" s="559"/>
      <c r="RPU22" s="559"/>
      <c r="RPV22" s="559"/>
      <c r="RPW22" s="559"/>
      <c r="RPX22" s="559"/>
      <c r="RPY22" s="559"/>
      <c r="RPZ22" s="559"/>
      <c r="RQA22" s="559"/>
      <c r="RQB22" s="559"/>
      <c r="RQC22" s="559"/>
      <c r="RQD22" s="559"/>
      <c r="RQE22" s="559"/>
      <c r="RQF22" s="559"/>
      <c r="RQG22" s="559"/>
      <c r="RQH22" s="559"/>
      <c r="RQI22" s="559"/>
      <c r="RQJ22" s="559"/>
      <c r="RQK22" s="559"/>
      <c r="RQL22" s="559"/>
      <c r="RQM22" s="559"/>
      <c r="RQN22" s="559"/>
      <c r="RQO22" s="559"/>
      <c r="RQP22" s="559"/>
      <c r="RQQ22" s="559"/>
      <c r="RQR22" s="559"/>
      <c r="RQS22" s="559"/>
      <c r="RQT22" s="559"/>
      <c r="RQU22" s="559"/>
      <c r="RQV22" s="559"/>
      <c r="RQW22" s="559"/>
      <c r="RQX22" s="559"/>
      <c r="RQY22" s="559"/>
      <c r="RQZ22" s="559"/>
      <c r="RRA22" s="559"/>
      <c r="RRB22" s="559"/>
      <c r="RRC22" s="559"/>
      <c r="RRD22" s="559"/>
      <c r="RRE22" s="559"/>
      <c r="RRF22" s="559"/>
      <c r="RRG22" s="559"/>
      <c r="RRH22" s="559"/>
      <c r="RRI22" s="559"/>
      <c r="RRJ22" s="559"/>
      <c r="RRK22" s="559"/>
      <c r="RRL22" s="559"/>
      <c r="RRM22" s="559"/>
      <c r="RRN22" s="559"/>
      <c r="RRO22" s="559"/>
      <c r="RRP22" s="559"/>
      <c r="RRQ22" s="559"/>
      <c r="RRR22" s="559"/>
      <c r="RRS22" s="559"/>
      <c r="RRT22" s="559"/>
      <c r="RRU22" s="559"/>
      <c r="RRV22" s="559"/>
      <c r="RRW22" s="559"/>
      <c r="RRX22" s="559"/>
      <c r="RRY22" s="559"/>
      <c r="RRZ22" s="559"/>
      <c r="RSA22" s="559"/>
      <c r="RSB22" s="559"/>
      <c r="RSC22" s="559"/>
      <c r="RSD22" s="559"/>
      <c r="RSE22" s="559"/>
      <c r="RSF22" s="559"/>
      <c r="RSG22" s="559"/>
      <c r="RSH22" s="559"/>
      <c r="RSI22" s="559"/>
      <c r="RSJ22" s="559"/>
      <c r="RSK22" s="559"/>
      <c r="RSL22" s="559"/>
      <c r="RSM22" s="559"/>
      <c r="RSN22" s="559"/>
      <c r="RSO22" s="559"/>
      <c r="RSP22" s="559"/>
      <c r="RSQ22" s="559"/>
      <c r="RSR22" s="559"/>
      <c r="RSS22" s="559"/>
      <c r="RST22" s="559"/>
      <c r="RSU22" s="559"/>
      <c r="RSV22" s="559"/>
      <c r="RSW22" s="559"/>
      <c r="RSX22" s="559"/>
      <c r="RSY22" s="559"/>
      <c r="RSZ22" s="559"/>
      <c r="RTA22" s="559"/>
      <c r="RTB22" s="559"/>
      <c r="RTC22" s="559"/>
      <c r="RTD22" s="559"/>
      <c r="RTE22" s="559"/>
      <c r="RTF22" s="559"/>
      <c r="RTG22" s="559"/>
      <c r="RTH22" s="559"/>
      <c r="RTI22" s="559"/>
      <c r="RTJ22" s="559"/>
      <c r="RTK22" s="559"/>
      <c r="RTL22" s="559"/>
      <c r="RTM22" s="559"/>
      <c r="RTN22" s="559"/>
      <c r="RTO22" s="559"/>
      <c r="RTP22" s="559"/>
      <c r="RTQ22" s="559"/>
      <c r="RTR22" s="559"/>
      <c r="RTS22" s="559"/>
      <c r="RTT22" s="559"/>
      <c r="RTU22" s="559"/>
      <c r="RTV22" s="559"/>
      <c r="RTW22" s="559"/>
      <c r="RTX22" s="559"/>
      <c r="RTY22" s="559"/>
      <c r="RTZ22" s="559"/>
      <c r="RUA22" s="559"/>
      <c r="RUB22" s="559"/>
      <c r="RUC22" s="559"/>
      <c r="RUD22" s="559"/>
      <c r="RUE22" s="559"/>
      <c r="RUF22" s="559"/>
      <c r="RUG22" s="559"/>
      <c r="RUH22" s="559"/>
      <c r="RUI22" s="559"/>
      <c r="RUJ22" s="559"/>
      <c r="RUK22" s="559"/>
      <c r="RUL22" s="559"/>
      <c r="RUM22" s="559"/>
      <c r="RUN22" s="559"/>
      <c r="RUO22" s="559"/>
      <c r="RUP22" s="559"/>
      <c r="RUQ22" s="559"/>
      <c r="RUR22" s="559"/>
      <c r="RUS22" s="559"/>
      <c r="RUT22" s="559"/>
      <c r="RUU22" s="559"/>
      <c r="RUV22" s="559"/>
      <c r="RUW22" s="559"/>
      <c r="RUX22" s="559"/>
      <c r="RUY22" s="559"/>
      <c r="RUZ22" s="559"/>
      <c r="RVA22" s="559"/>
      <c r="RVB22" s="559"/>
      <c r="RVC22" s="559"/>
      <c r="RVD22" s="559"/>
      <c r="RVE22" s="559"/>
      <c r="RVF22" s="559"/>
      <c r="RVG22" s="559"/>
      <c r="RVH22" s="559"/>
      <c r="RVI22" s="559"/>
      <c r="RVJ22" s="559"/>
      <c r="RVK22" s="559"/>
      <c r="RVL22" s="559"/>
      <c r="RVM22" s="559"/>
      <c r="RVN22" s="559"/>
      <c r="RVO22" s="559"/>
      <c r="RVP22" s="559"/>
      <c r="RVQ22" s="559"/>
      <c r="RVR22" s="559"/>
      <c r="RVS22" s="559"/>
      <c r="RVT22" s="559"/>
      <c r="RVU22" s="559"/>
      <c r="RVV22" s="559"/>
      <c r="RVW22" s="559"/>
      <c r="RVX22" s="559"/>
      <c r="RVY22" s="559"/>
      <c r="RVZ22" s="559"/>
      <c r="RWA22" s="559"/>
      <c r="RWB22" s="559"/>
      <c r="RWC22" s="559"/>
      <c r="RWD22" s="559"/>
      <c r="RWE22" s="559"/>
      <c r="RWF22" s="559"/>
      <c r="RWG22" s="559"/>
      <c r="RWH22" s="559"/>
      <c r="RWI22" s="559"/>
      <c r="RWJ22" s="559"/>
      <c r="RWK22" s="559"/>
      <c r="RWL22" s="559"/>
      <c r="RWM22" s="559"/>
      <c r="RWN22" s="559"/>
      <c r="RWO22" s="559"/>
      <c r="RWP22" s="559"/>
      <c r="RWQ22" s="559"/>
      <c r="RWR22" s="559"/>
      <c r="RWS22" s="559"/>
      <c r="RWT22" s="559"/>
      <c r="RWU22" s="559"/>
      <c r="RWV22" s="559"/>
      <c r="RWW22" s="559"/>
      <c r="RWX22" s="559"/>
      <c r="RWY22" s="559"/>
      <c r="RWZ22" s="559"/>
      <c r="RXA22" s="559"/>
      <c r="RXB22" s="559"/>
      <c r="RXC22" s="559"/>
      <c r="RXD22" s="559"/>
      <c r="RXE22" s="559"/>
      <c r="RXF22" s="559"/>
      <c r="RXG22" s="559"/>
      <c r="RXH22" s="559"/>
      <c r="RXI22" s="559"/>
      <c r="RXJ22" s="559"/>
      <c r="RXK22" s="559"/>
      <c r="RXL22" s="559"/>
      <c r="RXM22" s="559"/>
      <c r="RXN22" s="559"/>
      <c r="RXO22" s="559"/>
      <c r="RXP22" s="559"/>
      <c r="RXQ22" s="559"/>
      <c r="RXR22" s="559"/>
      <c r="RXS22" s="559"/>
      <c r="RXT22" s="559"/>
      <c r="RXU22" s="559"/>
      <c r="RXV22" s="559"/>
      <c r="RXW22" s="559"/>
      <c r="RXX22" s="559"/>
      <c r="RXY22" s="559"/>
      <c r="RXZ22" s="559"/>
      <c r="RYA22" s="559"/>
      <c r="RYB22" s="559"/>
      <c r="RYC22" s="559"/>
      <c r="RYD22" s="559"/>
      <c r="RYE22" s="559"/>
      <c r="RYF22" s="559"/>
      <c r="RYG22" s="559"/>
      <c r="RYH22" s="559"/>
      <c r="RYI22" s="559"/>
      <c r="RYJ22" s="559"/>
      <c r="RYK22" s="559"/>
      <c r="RYL22" s="559"/>
      <c r="RYM22" s="559"/>
      <c r="RYN22" s="559"/>
      <c r="RYO22" s="559"/>
      <c r="RYP22" s="559"/>
      <c r="RYQ22" s="559"/>
      <c r="RYR22" s="559"/>
      <c r="RYS22" s="559"/>
      <c r="RYT22" s="559"/>
      <c r="RYU22" s="559"/>
      <c r="RYV22" s="559"/>
      <c r="RYW22" s="559"/>
      <c r="RYX22" s="559"/>
      <c r="RYY22" s="559"/>
      <c r="RYZ22" s="559"/>
      <c r="RZA22" s="559"/>
      <c r="RZB22" s="559"/>
      <c r="RZC22" s="559"/>
      <c r="RZD22" s="559"/>
      <c r="RZE22" s="559"/>
      <c r="RZF22" s="559"/>
      <c r="RZG22" s="559"/>
      <c r="RZH22" s="559"/>
      <c r="RZI22" s="559"/>
      <c r="RZJ22" s="559"/>
      <c r="RZK22" s="559"/>
      <c r="RZL22" s="559"/>
      <c r="RZM22" s="559"/>
      <c r="RZN22" s="559"/>
      <c r="RZO22" s="559"/>
      <c r="RZP22" s="559"/>
      <c r="RZQ22" s="559"/>
      <c r="RZR22" s="559"/>
      <c r="RZS22" s="559"/>
      <c r="RZT22" s="559"/>
      <c r="RZU22" s="559"/>
      <c r="RZV22" s="559"/>
      <c r="RZW22" s="559"/>
      <c r="RZX22" s="559"/>
      <c r="RZY22" s="559"/>
      <c r="RZZ22" s="559"/>
      <c r="SAA22" s="559"/>
      <c r="SAB22" s="559"/>
      <c r="SAC22" s="559"/>
      <c r="SAD22" s="559"/>
      <c r="SAE22" s="559"/>
      <c r="SAF22" s="559"/>
      <c r="SAG22" s="559"/>
      <c r="SAH22" s="559"/>
      <c r="SAI22" s="559"/>
      <c r="SAJ22" s="559"/>
      <c r="SAK22" s="559"/>
      <c r="SAL22" s="559"/>
      <c r="SAM22" s="559"/>
      <c r="SAN22" s="559"/>
      <c r="SAO22" s="559"/>
      <c r="SAP22" s="559"/>
      <c r="SAQ22" s="559"/>
      <c r="SAR22" s="559"/>
      <c r="SAS22" s="559"/>
      <c r="SAT22" s="559"/>
      <c r="SAU22" s="559"/>
      <c r="SAV22" s="559"/>
      <c r="SAW22" s="559"/>
      <c r="SAX22" s="559"/>
      <c r="SAY22" s="559"/>
      <c r="SAZ22" s="559"/>
      <c r="SBA22" s="559"/>
      <c r="SBB22" s="559"/>
      <c r="SBC22" s="559"/>
      <c r="SBD22" s="559"/>
      <c r="SBE22" s="559"/>
      <c r="SBF22" s="559"/>
      <c r="SBG22" s="559"/>
      <c r="SBH22" s="559"/>
      <c r="SBI22" s="559"/>
      <c r="SBJ22" s="559"/>
      <c r="SBK22" s="559"/>
      <c r="SBL22" s="559"/>
      <c r="SBM22" s="559"/>
      <c r="SBN22" s="559"/>
      <c r="SBO22" s="559"/>
      <c r="SBP22" s="559"/>
      <c r="SBQ22" s="559"/>
      <c r="SBR22" s="559"/>
      <c r="SBS22" s="559"/>
      <c r="SBT22" s="559"/>
      <c r="SBU22" s="559"/>
      <c r="SBV22" s="559"/>
      <c r="SBW22" s="559"/>
      <c r="SBX22" s="559"/>
      <c r="SBY22" s="559"/>
      <c r="SBZ22" s="559"/>
      <c r="SCA22" s="559"/>
      <c r="SCB22" s="559"/>
      <c r="SCC22" s="559"/>
      <c r="SCD22" s="559"/>
      <c r="SCE22" s="559"/>
      <c r="SCF22" s="559"/>
      <c r="SCG22" s="559"/>
      <c r="SCH22" s="559"/>
      <c r="SCI22" s="559"/>
      <c r="SCJ22" s="559"/>
      <c r="SCK22" s="559"/>
      <c r="SCL22" s="559"/>
      <c r="SCM22" s="559"/>
      <c r="SCN22" s="559"/>
      <c r="SCO22" s="559"/>
      <c r="SCP22" s="559"/>
      <c r="SCQ22" s="559"/>
      <c r="SCR22" s="559"/>
      <c r="SCS22" s="559"/>
      <c r="SCT22" s="559"/>
      <c r="SCU22" s="559"/>
      <c r="SCV22" s="559"/>
      <c r="SCW22" s="559"/>
      <c r="SCX22" s="559"/>
      <c r="SCY22" s="559"/>
      <c r="SCZ22" s="559"/>
      <c r="SDA22" s="559"/>
      <c r="SDB22" s="559"/>
      <c r="SDC22" s="559"/>
      <c r="SDD22" s="559"/>
      <c r="SDE22" s="559"/>
      <c r="SDF22" s="559"/>
      <c r="SDG22" s="559"/>
      <c r="SDH22" s="559"/>
      <c r="SDI22" s="559"/>
      <c r="SDJ22" s="559"/>
      <c r="SDK22" s="559"/>
      <c r="SDL22" s="559"/>
      <c r="SDM22" s="559"/>
      <c r="SDN22" s="559"/>
      <c r="SDO22" s="559"/>
      <c r="SDP22" s="559"/>
      <c r="SDQ22" s="559"/>
      <c r="SDR22" s="559"/>
      <c r="SDS22" s="559"/>
      <c r="SDT22" s="559"/>
      <c r="SDU22" s="559"/>
      <c r="SDV22" s="559"/>
      <c r="SDW22" s="559"/>
      <c r="SDX22" s="559"/>
      <c r="SDY22" s="559"/>
      <c r="SDZ22" s="559"/>
      <c r="SEA22" s="559"/>
      <c r="SEB22" s="559"/>
      <c r="SEC22" s="559"/>
      <c r="SED22" s="559"/>
      <c r="SEE22" s="559"/>
      <c r="SEF22" s="559"/>
      <c r="SEG22" s="559"/>
      <c r="SEH22" s="559"/>
      <c r="SEI22" s="559"/>
      <c r="SEJ22" s="559"/>
      <c r="SEK22" s="559"/>
      <c r="SEL22" s="559"/>
      <c r="SEM22" s="559"/>
      <c r="SEN22" s="559"/>
      <c r="SEO22" s="559"/>
      <c r="SEP22" s="559"/>
      <c r="SEQ22" s="559"/>
      <c r="SER22" s="559"/>
      <c r="SES22" s="559"/>
      <c r="SET22" s="559"/>
      <c r="SEU22" s="559"/>
      <c r="SEV22" s="559"/>
      <c r="SEW22" s="559"/>
      <c r="SEX22" s="559"/>
      <c r="SEY22" s="559"/>
      <c r="SEZ22" s="559"/>
      <c r="SFA22" s="559"/>
      <c r="SFB22" s="559"/>
      <c r="SFC22" s="559"/>
      <c r="SFD22" s="559"/>
      <c r="SFE22" s="559"/>
      <c r="SFF22" s="559"/>
      <c r="SFG22" s="559"/>
      <c r="SFH22" s="559"/>
      <c r="SFI22" s="559"/>
      <c r="SFJ22" s="559"/>
      <c r="SFK22" s="559"/>
      <c r="SFL22" s="559"/>
      <c r="SFM22" s="559"/>
      <c r="SFN22" s="559"/>
      <c r="SFO22" s="559"/>
      <c r="SFP22" s="559"/>
      <c r="SFQ22" s="559"/>
      <c r="SFR22" s="559"/>
      <c r="SFS22" s="559"/>
      <c r="SFT22" s="559"/>
      <c r="SFU22" s="559"/>
      <c r="SFV22" s="559"/>
      <c r="SFW22" s="559"/>
      <c r="SFX22" s="559"/>
      <c r="SFY22" s="559"/>
      <c r="SFZ22" s="559"/>
      <c r="SGA22" s="559"/>
      <c r="SGB22" s="559"/>
      <c r="SGC22" s="559"/>
      <c r="SGD22" s="559"/>
      <c r="SGE22" s="559"/>
      <c r="SGF22" s="559"/>
      <c r="SGG22" s="559"/>
      <c r="SGH22" s="559"/>
      <c r="SGI22" s="559"/>
      <c r="SGJ22" s="559"/>
      <c r="SGK22" s="559"/>
      <c r="SGL22" s="559"/>
      <c r="SGM22" s="559"/>
      <c r="SGN22" s="559"/>
      <c r="SGO22" s="559"/>
      <c r="SGP22" s="559"/>
      <c r="SGQ22" s="559"/>
      <c r="SGR22" s="559"/>
      <c r="SGS22" s="559"/>
      <c r="SGT22" s="559"/>
      <c r="SGU22" s="559"/>
      <c r="SGV22" s="559"/>
      <c r="SGW22" s="559"/>
      <c r="SGX22" s="559"/>
      <c r="SGY22" s="559"/>
      <c r="SGZ22" s="559"/>
      <c r="SHA22" s="559"/>
      <c r="SHB22" s="559"/>
      <c r="SHC22" s="559"/>
      <c r="SHD22" s="559"/>
      <c r="SHE22" s="559"/>
      <c r="SHF22" s="559"/>
      <c r="SHG22" s="559"/>
      <c r="SHH22" s="559"/>
      <c r="SHI22" s="559"/>
      <c r="SHJ22" s="559"/>
      <c r="SHK22" s="559"/>
      <c r="SHL22" s="559"/>
      <c r="SHM22" s="559"/>
      <c r="SHN22" s="559"/>
      <c r="SHO22" s="559"/>
      <c r="SHP22" s="559"/>
      <c r="SHQ22" s="559"/>
      <c r="SHR22" s="559"/>
      <c r="SHS22" s="559"/>
      <c r="SHT22" s="559"/>
      <c r="SHU22" s="559"/>
      <c r="SHV22" s="559"/>
      <c r="SHW22" s="559"/>
      <c r="SHX22" s="559"/>
      <c r="SHY22" s="559"/>
      <c r="SHZ22" s="559"/>
      <c r="SIA22" s="559"/>
      <c r="SIB22" s="559"/>
      <c r="SIC22" s="559"/>
      <c r="SID22" s="559"/>
      <c r="SIE22" s="559"/>
      <c r="SIF22" s="559"/>
      <c r="SIG22" s="559"/>
      <c r="SIH22" s="559"/>
      <c r="SII22" s="559"/>
      <c r="SIJ22" s="559"/>
      <c r="SIK22" s="559"/>
      <c r="SIL22" s="559"/>
      <c r="SIM22" s="559"/>
      <c r="SIN22" s="559"/>
      <c r="SIO22" s="559"/>
      <c r="SIP22" s="559"/>
      <c r="SIQ22" s="559"/>
      <c r="SIR22" s="559"/>
      <c r="SIS22" s="559"/>
      <c r="SIT22" s="559"/>
      <c r="SIU22" s="559"/>
      <c r="SIV22" s="559"/>
      <c r="SIW22" s="559"/>
      <c r="SIX22" s="559"/>
      <c r="SIY22" s="559"/>
      <c r="SIZ22" s="559"/>
      <c r="SJA22" s="559"/>
      <c r="SJB22" s="559"/>
      <c r="SJC22" s="559"/>
      <c r="SJD22" s="559"/>
      <c r="SJE22" s="559"/>
      <c r="SJF22" s="559"/>
      <c r="SJG22" s="559"/>
      <c r="SJH22" s="559"/>
      <c r="SJI22" s="559"/>
      <c r="SJJ22" s="559"/>
      <c r="SJK22" s="559"/>
      <c r="SJL22" s="559"/>
      <c r="SJM22" s="559"/>
      <c r="SJN22" s="559"/>
      <c r="SJO22" s="559"/>
      <c r="SJP22" s="559"/>
      <c r="SJQ22" s="559"/>
      <c r="SJR22" s="559"/>
      <c r="SJS22" s="559"/>
      <c r="SJT22" s="559"/>
      <c r="SJU22" s="559"/>
      <c r="SJV22" s="559"/>
      <c r="SJW22" s="559"/>
      <c r="SJX22" s="559"/>
      <c r="SJY22" s="559"/>
      <c r="SJZ22" s="559"/>
      <c r="SKA22" s="559"/>
      <c r="SKB22" s="559"/>
      <c r="SKC22" s="559"/>
      <c r="SKD22" s="559"/>
      <c r="SKE22" s="559"/>
      <c r="SKF22" s="559"/>
      <c r="SKG22" s="559"/>
      <c r="SKH22" s="559"/>
      <c r="SKI22" s="559"/>
      <c r="SKJ22" s="559"/>
      <c r="SKK22" s="559"/>
      <c r="SKL22" s="559"/>
      <c r="SKM22" s="559"/>
      <c r="SKN22" s="559"/>
      <c r="SKO22" s="559"/>
      <c r="SKP22" s="559"/>
      <c r="SKQ22" s="559"/>
      <c r="SKR22" s="559"/>
      <c r="SKS22" s="559"/>
      <c r="SKT22" s="559"/>
      <c r="SKU22" s="559"/>
      <c r="SKV22" s="559"/>
      <c r="SKW22" s="559"/>
      <c r="SKX22" s="559"/>
      <c r="SKY22" s="559"/>
      <c r="SKZ22" s="559"/>
      <c r="SLA22" s="559"/>
      <c r="SLB22" s="559"/>
      <c r="SLC22" s="559"/>
      <c r="SLD22" s="559"/>
      <c r="SLE22" s="559"/>
      <c r="SLF22" s="559"/>
      <c r="SLG22" s="559"/>
      <c r="SLH22" s="559"/>
      <c r="SLI22" s="559"/>
      <c r="SLJ22" s="559"/>
      <c r="SLK22" s="559"/>
      <c r="SLL22" s="559"/>
      <c r="SLM22" s="559"/>
      <c r="SLN22" s="559"/>
      <c r="SLO22" s="559"/>
      <c r="SLP22" s="559"/>
      <c r="SLQ22" s="559"/>
      <c r="SLR22" s="559"/>
      <c r="SLS22" s="559"/>
      <c r="SLT22" s="559"/>
      <c r="SLU22" s="559"/>
      <c r="SLV22" s="559"/>
      <c r="SLW22" s="559"/>
      <c r="SLX22" s="559"/>
      <c r="SLY22" s="559"/>
      <c r="SLZ22" s="559"/>
      <c r="SMA22" s="559"/>
      <c r="SMB22" s="559"/>
      <c r="SMC22" s="559"/>
      <c r="SMD22" s="559"/>
      <c r="SME22" s="559"/>
      <c r="SMF22" s="559"/>
      <c r="SMG22" s="559"/>
      <c r="SMH22" s="559"/>
      <c r="SMI22" s="559"/>
      <c r="SMJ22" s="559"/>
      <c r="SMK22" s="559"/>
      <c r="SML22" s="559"/>
      <c r="SMM22" s="559"/>
      <c r="SMN22" s="559"/>
      <c r="SMO22" s="559"/>
      <c r="SMP22" s="559"/>
      <c r="SMQ22" s="559"/>
      <c r="SMR22" s="559"/>
      <c r="SMS22" s="559"/>
      <c r="SMT22" s="559"/>
      <c r="SMU22" s="559"/>
      <c r="SMV22" s="559"/>
      <c r="SMW22" s="559"/>
      <c r="SMX22" s="559"/>
      <c r="SMY22" s="559"/>
      <c r="SMZ22" s="559"/>
      <c r="SNA22" s="559"/>
      <c r="SNB22" s="559"/>
      <c r="SNC22" s="559"/>
      <c r="SND22" s="559"/>
      <c r="SNE22" s="559"/>
      <c r="SNF22" s="559"/>
      <c r="SNG22" s="559"/>
      <c r="SNH22" s="559"/>
      <c r="SNI22" s="559"/>
      <c r="SNJ22" s="559"/>
      <c r="SNK22" s="559"/>
      <c r="SNL22" s="559"/>
      <c r="SNM22" s="559"/>
      <c r="SNN22" s="559"/>
      <c r="SNO22" s="559"/>
      <c r="SNP22" s="559"/>
      <c r="SNQ22" s="559"/>
      <c r="SNR22" s="559"/>
      <c r="SNS22" s="559"/>
      <c r="SNT22" s="559"/>
      <c r="SNU22" s="559"/>
      <c r="SNV22" s="559"/>
      <c r="SNW22" s="559"/>
      <c r="SNX22" s="559"/>
      <c r="SNY22" s="559"/>
      <c r="SNZ22" s="559"/>
      <c r="SOA22" s="559"/>
      <c r="SOB22" s="559"/>
      <c r="SOC22" s="559"/>
      <c r="SOD22" s="559"/>
      <c r="SOE22" s="559"/>
      <c r="SOF22" s="559"/>
      <c r="SOG22" s="559"/>
      <c r="SOH22" s="559"/>
      <c r="SOI22" s="559"/>
      <c r="SOJ22" s="559"/>
      <c r="SOK22" s="559"/>
      <c r="SOL22" s="559"/>
      <c r="SOM22" s="559"/>
      <c r="SON22" s="559"/>
      <c r="SOO22" s="559"/>
      <c r="SOP22" s="559"/>
      <c r="SOQ22" s="559"/>
      <c r="SOR22" s="559"/>
      <c r="SOS22" s="559"/>
      <c r="SOT22" s="559"/>
      <c r="SOU22" s="559"/>
      <c r="SOV22" s="559"/>
      <c r="SOW22" s="559"/>
      <c r="SOX22" s="559"/>
      <c r="SOY22" s="559"/>
      <c r="SOZ22" s="559"/>
      <c r="SPA22" s="559"/>
      <c r="SPB22" s="559"/>
      <c r="SPC22" s="559"/>
      <c r="SPD22" s="559"/>
      <c r="SPE22" s="559"/>
      <c r="SPF22" s="559"/>
      <c r="SPG22" s="559"/>
      <c r="SPH22" s="559"/>
      <c r="SPI22" s="559"/>
      <c r="SPJ22" s="559"/>
      <c r="SPK22" s="559"/>
      <c r="SPL22" s="559"/>
      <c r="SPM22" s="559"/>
      <c r="SPN22" s="559"/>
      <c r="SPO22" s="559"/>
      <c r="SPP22" s="559"/>
      <c r="SPQ22" s="559"/>
      <c r="SPR22" s="559"/>
      <c r="SPS22" s="559"/>
      <c r="SPT22" s="559"/>
      <c r="SPU22" s="559"/>
      <c r="SPV22" s="559"/>
      <c r="SPW22" s="559"/>
      <c r="SPX22" s="559"/>
      <c r="SPY22" s="559"/>
      <c r="SPZ22" s="559"/>
      <c r="SQA22" s="559"/>
      <c r="SQB22" s="559"/>
      <c r="SQC22" s="559"/>
      <c r="SQD22" s="559"/>
      <c r="SQE22" s="559"/>
      <c r="SQF22" s="559"/>
      <c r="SQG22" s="559"/>
      <c r="SQH22" s="559"/>
      <c r="SQI22" s="559"/>
      <c r="SQJ22" s="559"/>
      <c r="SQK22" s="559"/>
      <c r="SQL22" s="559"/>
      <c r="SQM22" s="559"/>
      <c r="SQN22" s="559"/>
      <c r="SQO22" s="559"/>
      <c r="SQP22" s="559"/>
      <c r="SQQ22" s="559"/>
      <c r="SQR22" s="559"/>
      <c r="SQS22" s="559"/>
      <c r="SQT22" s="559"/>
      <c r="SQU22" s="559"/>
      <c r="SQV22" s="559"/>
      <c r="SQW22" s="559"/>
      <c r="SQX22" s="559"/>
      <c r="SQY22" s="559"/>
      <c r="SQZ22" s="559"/>
      <c r="SRA22" s="559"/>
      <c r="SRB22" s="559"/>
      <c r="SRC22" s="559"/>
      <c r="SRD22" s="559"/>
      <c r="SRE22" s="559"/>
      <c r="SRF22" s="559"/>
      <c r="SRG22" s="559"/>
      <c r="SRH22" s="559"/>
      <c r="SRI22" s="559"/>
      <c r="SRJ22" s="559"/>
      <c r="SRK22" s="559"/>
      <c r="SRL22" s="559"/>
      <c r="SRM22" s="559"/>
      <c r="SRN22" s="559"/>
      <c r="SRO22" s="559"/>
      <c r="SRP22" s="559"/>
      <c r="SRQ22" s="559"/>
      <c r="SRR22" s="559"/>
      <c r="SRS22" s="559"/>
      <c r="SRT22" s="559"/>
      <c r="SRU22" s="559"/>
      <c r="SRV22" s="559"/>
      <c r="SRW22" s="559"/>
      <c r="SRX22" s="559"/>
      <c r="SRY22" s="559"/>
      <c r="SRZ22" s="559"/>
      <c r="SSA22" s="559"/>
      <c r="SSB22" s="559"/>
      <c r="SSC22" s="559"/>
      <c r="SSD22" s="559"/>
      <c r="SSE22" s="559"/>
      <c r="SSF22" s="559"/>
      <c r="SSG22" s="559"/>
      <c r="SSH22" s="559"/>
      <c r="SSI22" s="559"/>
      <c r="SSJ22" s="559"/>
      <c r="SSK22" s="559"/>
      <c r="SSL22" s="559"/>
      <c r="SSM22" s="559"/>
      <c r="SSN22" s="559"/>
      <c r="SSO22" s="559"/>
      <c r="SSP22" s="559"/>
      <c r="SSQ22" s="559"/>
      <c r="SSR22" s="559"/>
      <c r="SSS22" s="559"/>
      <c r="SST22" s="559"/>
      <c r="SSU22" s="559"/>
      <c r="SSV22" s="559"/>
      <c r="SSW22" s="559"/>
      <c r="SSX22" s="559"/>
      <c r="SSY22" s="559"/>
      <c r="SSZ22" s="559"/>
      <c r="STA22" s="559"/>
      <c r="STB22" s="559"/>
      <c r="STC22" s="559"/>
      <c r="STD22" s="559"/>
      <c r="STE22" s="559"/>
      <c r="STF22" s="559"/>
      <c r="STG22" s="559"/>
      <c r="STH22" s="559"/>
      <c r="STI22" s="559"/>
      <c r="STJ22" s="559"/>
      <c r="STK22" s="559"/>
      <c r="STL22" s="559"/>
      <c r="STM22" s="559"/>
      <c r="STN22" s="559"/>
      <c r="STO22" s="559"/>
      <c r="STP22" s="559"/>
      <c r="STQ22" s="559"/>
      <c r="STR22" s="559"/>
      <c r="STS22" s="559"/>
      <c r="STT22" s="559"/>
      <c r="STU22" s="559"/>
      <c r="STV22" s="559"/>
      <c r="STW22" s="559"/>
      <c r="STX22" s="559"/>
      <c r="STY22" s="559"/>
      <c r="STZ22" s="559"/>
      <c r="SUA22" s="559"/>
      <c r="SUB22" s="559"/>
      <c r="SUC22" s="559"/>
      <c r="SUD22" s="559"/>
      <c r="SUE22" s="559"/>
      <c r="SUF22" s="559"/>
      <c r="SUG22" s="559"/>
      <c r="SUH22" s="559"/>
      <c r="SUI22" s="559"/>
      <c r="SUJ22" s="559"/>
      <c r="SUK22" s="559"/>
      <c r="SUL22" s="559"/>
      <c r="SUM22" s="559"/>
      <c r="SUN22" s="559"/>
      <c r="SUO22" s="559"/>
      <c r="SUP22" s="559"/>
      <c r="SUQ22" s="559"/>
      <c r="SUR22" s="559"/>
      <c r="SUS22" s="559"/>
      <c r="SUT22" s="559"/>
      <c r="SUU22" s="559"/>
      <c r="SUV22" s="559"/>
      <c r="SUW22" s="559"/>
      <c r="SUX22" s="559"/>
      <c r="SUY22" s="559"/>
      <c r="SUZ22" s="559"/>
      <c r="SVA22" s="559"/>
      <c r="SVB22" s="559"/>
      <c r="SVC22" s="559"/>
      <c r="SVD22" s="559"/>
      <c r="SVE22" s="559"/>
      <c r="SVF22" s="559"/>
      <c r="SVG22" s="559"/>
      <c r="SVH22" s="559"/>
      <c r="SVI22" s="559"/>
      <c r="SVJ22" s="559"/>
      <c r="SVK22" s="559"/>
      <c r="SVL22" s="559"/>
      <c r="SVM22" s="559"/>
      <c r="SVN22" s="559"/>
      <c r="SVO22" s="559"/>
      <c r="SVP22" s="559"/>
      <c r="SVQ22" s="559"/>
      <c r="SVR22" s="559"/>
      <c r="SVS22" s="559"/>
      <c r="SVT22" s="559"/>
      <c r="SVU22" s="559"/>
      <c r="SVV22" s="559"/>
      <c r="SVW22" s="559"/>
      <c r="SVX22" s="559"/>
      <c r="SVY22" s="559"/>
      <c r="SVZ22" s="559"/>
      <c r="SWA22" s="559"/>
      <c r="SWB22" s="559"/>
      <c r="SWC22" s="559"/>
      <c r="SWD22" s="559"/>
      <c r="SWE22" s="559"/>
      <c r="SWF22" s="559"/>
      <c r="SWG22" s="559"/>
      <c r="SWH22" s="559"/>
      <c r="SWI22" s="559"/>
      <c r="SWJ22" s="559"/>
      <c r="SWK22" s="559"/>
      <c r="SWL22" s="559"/>
      <c r="SWM22" s="559"/>
      <c r="SWN22" s="559"/>
      <c r="SWO22" s="559"/>
      <c r="SWP22" s="559"/>
      <c r="SWQ22" s="559"/>
      <c r="SWR22" s="559"/>
      <c r="SWS22" s="559"/>
      <c r="SWT22" s="559"/>
      <c r="SWU22" s="559"/>
      <c r="SWV22" s="559"/>
      <c r="SWW22" s="559"/>
      <c r="SWX22" s="559"/>
      <c r="SWY22" s="559"/>
      <c r="SWZ22" s="559"/>
      <c r="SXA22" s="559"/>
      <c r="SXB22" s="559"/>
      <c r="SXC22" s="559"/>
      <c r="SXD22" s="559"/>
      <c r="SXE22" s="559"/>
      <c r="SXF22" s="559"/>
      <c r="SXG22" s="559"/>
      <c r="SXH22" s="559"/>
      <c r="SXI22" s="559"/>
      <c r="SXJ22" s="559"/>
      <c r="SXK22" s="559"/>
      <c r="SXL22" s="559"/>
      <c r="SXM22" s="559"/>
      <c r="SXN22" s="559"/>
      <c r="SXO22" s="559"/>
      <c r="SXP22" s="559"/>
      <c r="SXQ22" s="559"/>
      <c r="SXR22" s="559"/>
      <c r="SXS22" s="559"/>
      <c r="SXT22" s="559"/>
      <c r="SXU22" s="559"/>
      <c r="SXV22" s="559"/>
      <c r="SXW22" s="559"/>
      <c r="SXX22" s="559"/>
      <c r="SXY22" s="559"/>
      <c r="SXZ22" s="559"/>
      <c r="SYA22" s="559"/>
      <c r="SYB22" s="559"/>
      <c r="SYC22" s="559"/>
      <c r="SYD22" s="559"/>
      <c r="SYE22" s="559"/>
      <c r="SYF22" s="559"/>
      <c r="SYG22" s="559"/>
      <c r="SYH22" s="559"/>
      <c r="SYI22" s="559"/>
      <c r="SYJ22" s="559"/>
      <c r="SYK22" s="559"/>
      <c r="SYL22" s="559"/>
      <c r="SYM22" s="559"/>
      <c r="SYN22" s="559"/>
      <c r="SYO22" s="559"/>
      <c r="SYP22" s="559"/>
      <c r="SYQ22" s="559"/>
      <c r="SYR22" s="559"/>
      <c r="SYS22" s="559"/>
      <c r="SYT22" s="559"/>
      <c r="SYU22" s="559"/>
      <c r="SYV22" s="559"/>
      <c r="SYW22" s="559"/>
      <c r="SYX22" s="559"/>
      <c r="SYY22" s="559"/>
      <c r="SYZ22" s="559"/>
      <c r="SZA22" s="559"/>
      <c r="SZB22" s="559"/>
      <c r="SZC22" s="559"/>
      <c r="SZD22" s="559"/>
      <c r="SZE22" s="559"/>
      <c r="SZF22" s="559"/>
      <c r="SZG22" s="559"/>
      <c r="SZH22" s="559"/>
      <c r="SZI22" s="559"/>
      <c r="SZJ22" s="559"/>
      <c r="SZK22" s="559"/>
      <c r="SZL22" s="559"/>
      <c r="SZM22" s="559"/>
      <c r="SZN22" s="559"/>
      <c r="SZO22" s="559"/>
      <c r="SZP22" s="559"/>
      <c r="SZQ22" s="559"/>
      <c r="SZR22" s="559"/>
      <c r="SZS22" s="559"/>
      <c r="SZT22" s="559"/>
      <c r="SZU22" s="559"/>
      <c r="SZV22" s="559"/>
      <c r="SZW22" s="559"/>
      <c r="SZX22" s="559"/>
      <c r="SZY22" s="559"/>
      <c r="SZZ22" s="559"/>
      <c r="TAA22" s="559"/>
      <c r="TAB22" s="559"/>
      <c r="TAC22" s="559"/>
      <c r="TAD22" s="559"/>
      <c r="TAE22" s="559"/>
      <c r="TAF22" s="559"/>
      <c r="TAG22" s="559"/>
      <c r="TAH22" s="559"/>
      <c r="TAI22" s="559"/>
      <c r="TAJ22" s="559"/>
      <c r="TAK22" s="559"/>
      <c r="TAL22" s="559"/>
      <c r="TAM22" s="559"/>
      <c r="TAN22" s="559"/>
      <c r="TAO22" s="559"/>
      <c r="TAP22" s="559"/>
      <c r="TAQ22" s="559"/>
      <c r="TAR22" s="559"/>
      <c r="TAS22" s="559"/>
      <c r="TAT22" s="559"/>
      <c r="TAU22" s="559"/>
      <c r="TAV22" s="559"/>
      <c r="TAW22" s="559"/>
      <c r="TAX22" s="559"/>
      <c r="TAY22" s="559"/>
      <c r="TAZ22" s="559"/>
      <c r="TBA22" s="559"/>
      <c r="TBB22" s="559"/>
      <c r="TBC22" s="559"/>
      <c r="TBD22" s="559"/>
      <c r="TBE22" s="559"/>
      <c r="TBF22" s="559"/>
      <c r="TBG22" s="559"/>
      <c r="TBH22" s="559"/>
      <c r="TBI22" s="559"/>
      <c r="TBJ22" s="559"/>
      <c r="TBK22" s="559"/>
      <c r="TBL22" s="559"/>
      <c r="TBM22" s="559"/>
      <c r="TBN22" s="559"/>
      <c r="TBO22" s="559"/>
      <c r="TBP22" s="559"/>
      <c r="TBQ22" s="559"/>
      <c r="TBR22" s="559"/>
      <c r="TBS22" s="559"/>
      <c r="TBT22" s="559"/>
      <c r="TBU22" s="559"/>
      <c r="TBV22" s="559"/>
      <c r="TBW22" s="559"/>
      <c r="TBX22" s="559"/>
      <c r="TBY22" s="559"/>
      <c r="TBZ22" s="559"/>
      <c r="TCA22" s="559"/>
      <c r="TCB22" s="559"/>
      <c r="TCC22" s="559"/>
      <c r="TCD22" s="559"/>
      <c r="TCE22" s="559"/>
      <c r="TCF22" s="559"/>
      <c r="TCG22" s="559"/>
      <c r="TCH22" s="559"/>
      <c r="TCI22" s="559"/>
      <c r="TCJ22" s="559"/>
      <c r="TCK22" s="559"/>
      <c r="TCL22" s="559"/>
      <c r="TCM22" s="559"/>
      <c r="TCN22" s="559"/>
      <c r="TCO22" s="559"/>
      <c r="TCP22" s="559"/>
      <c r="TCQ22" s="559"/>
      <c r="TCR22" s="559"/>
      <c r="TCS22" s="559"/>
      <c r="TCT22" s="559"/>
      <c r="TCU22" s="559"/>
      <c r="TCV22" s="559"/>
      <c r="TCW22" s="559"/>
      <c r="TCX22" s="559"/>
      <c r="TCY22" s="559"/>
      <c r="TCZ22" s="559"/>
      <c r="TDA22" s="559"/>
      <c r="TDB22" s="559"/>
      <c r="TDC22" s="559"/>
      <c r="TDD22" s="559"/>
      <c r="TDE22" s="559"/>
      <c r="TDF22" s="559"/>
      <c r="TDG22" s="559"/>
      <c r="TDH22" s="559"/>
      <c r="TDI22" s="559"/>
      <c r="TDJ22" s="559"/>
      <c r="TDK22" s="559"/>
      <c r="TDL22" s="559"/>
      <c r="TDM22" s="559"/>
      <c r="TDN22" s="559"/>
      <c r="TDO22" s="559"/>
      <c r="TDP22" s="559"/>
      <c r="TDQ22" s="559"/>
      <c r="TDR22" s="559"/>
      <c r="TDS22" s="559"/>
      <c r="TDT22" s="559"/>
      <c r="TDU22" s="559"/>
      <c r="TDV22" s="559"/>
      <c r="TDW22" s="559"/>
      <c r="TDX22" s="559"/>
      <c r="TDY22" s="559"/>
      <c r="TDZ22" s="559"/>
      <c r="TEA22" s="559"/>
      <c r="TEB22" s="559"/>
      <c r="TEC22" s="559"/>
      <c r="TED22" s="559"/>
      <c r="TEE22" s="559"/>
      <c r="TEF22" s="559"/>
      <c r="TEG22" s="559"/>
      <c r="TEH22" s="559"/>
      <c r="TEI22" s="559"/>
      <c r="TEJ22" s="559"/>
      <c r="TEK22" s="559"/>
      <c r="TEL22" s="559"/>
      <c r="TEM22" s="559"/>
      <c r="TEN22" s="559"/>
      <c r="TEO22" s="559"/>
      <c r="TEP22" s="559"/>
      <c r="TEQ22" s="559"/>
      <c r="TER22" s="559"/>
      <c r="TES22" s="559"/>
      <c r="TET22" s="559"/>
      <c r="TEU22" s="559"/>
      <c r="TEV22" s="559"/>
      <c r="TEW22" s="559"/>
      <c r="TEX22" s="559"/>
      <c r="TEY22" s="559"/>
      <c r="TEZ22" s="559"/>
      <c r="TFA22" s="559"/>
      <c r="TFB22" s="559"/>
      <c r="TFC22" s="559"/>
      <c r="TFD22" s="559"/>
      <c r="TFE22" s="559"/>
      <c r="TFF22" s="559"/>
      <c r="TFG22" s="559"/>
      <c r="TFH22" s="559"/>
      <c r="TFI22" s="559"/>
      <c r="TFJ22" s="559"/>
      <c r="TFK22" s="559"/>
      <c r="TFL22" s="559"/>
      <c r="TFM22" s="559"/>
      <c r="TFN22" s="559"/>
      <c r="TFO22" s="559"/>
      <c r="TFP22" s="559"/>
      <c r="TFQ22" s="559"/>
      <c r="TFR22" s="559"/>
      <c r="TFS22" s="559"/>
      <c r="TFT22" s="559"/>
      <c r="TFU22" s="559"/>
      <c r="TFV22" s="559"/>
      <c r="TFW22" s="559"/>
      <c r="TFX22" s="559"/>
      <c r="TFY22" s="559"/>
      <c r="TFZ22" s="559"/>
      <c r="TGA22" s="559"/>
      <c r="TGB22" s="559"/>
      <c r="TGC22" s="559"/>
      <c r="TGD22" s="559"/>
      <c r="TGE22" s="559"/>
      <c r="TGF22" s="559"/>
      <c r="TGG22" s="559"/>
      <c r="TGH22" s="559"/>
      <c r="TGI22" s="559"/>
      <c r="TGJ22" s="559"/>
      <c r="TGK22" s="559"/>
      <c r="TGL22" s="559"/>
      <c r="TGM22" s="559"/>
      <c r="TGN22" s="559"/>
      <c r="TGO22" s="559"/>
      <c r="TGP22" s="559"/>
      <c r="TGQ22" s="559"/>
      <c r="TGR22" s="559"/>
      <c r="TGS22" s="559"/>
      <c r="TGT22" s="559"/>
      <c r="TGU22" s="559"/>
      <c r="TGV22" s="559"/>
      <c r="TGW22" s="559"/>
      <c r="TGX22" s="559"/>
      <c r="TGY22" s="559"/>
      <c r="TGZ22" s="559"/>
      <c r="THA22" s="559"/>
      <c r="THB22" s="559"/>
      <c r="THC22" s="559"/>
      <c r="THD22" s="559"/>
      <c r="THE22" s="559"/>
      <c r="THF22" s="559"/>
      <c r="THG22" s="559"/>
      <c r="THH22" s="559"/>
      <c r="THI22" s="559"/>
      <c r="THJ22" s="559"/>
      <c r="THK22" s="559"/>
      <c r="THL22" s="559"/>
      <c r="THM22" s="559"/>
      <c r="THN22" s="559"/>
      <c r="THO22" s="559"/>
      <c r="THP22" s="559"/>
      <c r="THQ22" s="559"/>
      <c r="THR22" s="559"/>
      <c r="THS22" s="559"/>
      <c r="THT22" s="559"/>
      <c r="THU22" s="559"/>
      <c r="THV22" s="559"/>
      <c r="THW22" s="559"/>
      <c r="THX22" s="559"/>
      <c r="THY22" s="559"/>
      <c r="THZ22" s="559"/>
      <c r="TIA22" s="559"/>
      <c r="TIB22" s="559"/>
      <c r="TIC22" s="559"/>
      <c r="TID22" s="559"/>
      <c r="TIE22" s="559"/>
      <c r="TIF22" s="559"/>
      <c r="TIG22" s="559"/>
      <c r="TIH22" s="559"/>
      <c r="TII22" s="559"/>
      <c r="TIJ22" s="559"/>
      <c r="TIK22" s="559"/>
      <c r="TIL22" s="559"/>
      <c r="TIM22" s="559"/>
      <c r="TIN22" s="559"/>
      <c r="TIO22" s="559"/>
      <c r="TIP22" s="559"/>
      <c r="TIQ22" s="559"/>
      <c r="TIR22" s="559"/>
      <c r="TIS22" s="559"/>
      <c r="TIT22" s="559"/>
      <c r="TIU22" s="559"/>
      <c r="TIV22" s="559"/>
      <c r="TIW22" s="559"/>
      <c r="TIX22" s="559"/>
      <c r="TIY22" s="559"/>
      <c r="TIZ22" s="559"/>
      <c r="TJA22" s="559"/>
      <c r="TJB22" s="559"/>
      <c r="TJC22" s="559"/>
      <c r="TJD22" s="559"/>
      <c r="TJE22" s="559"/>
      <c r="TJF22" s="559"/>
      <c r="TJG22" s="559"/>
      <c r="TJH22" s="559"/>
      <c r="TJI22" s="559"/>
      <c r="TJJ22" s="559"/>
      <c r="TJK22" s="559"/>
      <c r="TJL22" s="559"/>
      <c r="TJM22" s="559"/>
      <c r="TJN22" s="559"/>
      <c r="TJO22" s="559"/>
      <c r="TJP22" s="559"/>
      <c r="TJQ22" s="559"/>
      <c r="TJR22" s="559"/>
      <c r="TJS22" s="559"/>
      <c r="TJT22" s="559"/>
      <c r="TJU22" s="559"/>
      <c r="TJV22" s="559"/>
      <c r="TJW22" s="559"/>
      <c r="TJX22" s="559"/>
      <c r="TJY22" s="559"/>
      <c r="TJZ22" s="559"/>
      <c r="TKA22" s="559"/>
      <c r="TKB22" s="559"/>
      <c r="TKC22" s="559"/>
      <c r="TKD22" s="559"/>
      <c r="TKE22" s="559"/>
      <c r="TKF22" s="559"/>
      <c r="TKG22" s="559"/>
      <c r="TKH22" s="559"/>
      <c r="TKI22" s="559"/>
      <c r="TKJ22" s="559"/>
      <c r="TKK22" s="559"/>
      <c r="TKL22" s="559"/>
      <c r="TKM22" s="559"/>
      <c r="TKN22" s="559"/>
      <c r="TKO22" s="559"/>
      <c r="TKP22" s="559"/>
      <c r="TKQ22" s="559"/>
      <c r="TKR22" s="559"/>
      <c r="TKS22" s="559"/>
      <c r="TKT22" s="559"/>
      <c r="TKU22" s="559"/>
      <c r="TKV22" s="559"/>
      <c r="TKW22" s="559"/>
      <c r="TKX22" s="559"/>
      <c r="TKY22" s="559"/>
      <c r="TKZ22" s="559"/>
      <c r="TLA22" s="559"/>
      <c r="TLB22" s="559"/>
      <c r="TLC22" s="559"/>
      <c r="TLD22" s="559"/>
      <c r="TLE22" s="559"/>
      <c r="TLF22" s="559"/>
      <c r="TLG22" s="559"/>
      <c r="TLH22" s="559"/>
      <c r="TLI22" s="559"/>
      <c r="TLJ22" s="559"/>
      <c r="TLK22" s="559"/>
      <c r="TLL22" s="559"/>
      <c r="TLM22" s="559"/>
      <c r="TLN22" s="559"/>
      <c r="TLO22" s="559"/>
      <c r="TLP22" s="559"/>
      <c r="TLQ22" s="559"/>
      <c r="TLR22" s="559"/>
      <c r="TLS22" s="559"/>
      <c r="TLT22" s="559"/>
      <c r="TLU22" s="559"/>
      <c r="TLV22" s="559"/>
      <c r="TLW22" s="559"/>
      <c r="TLX22" s="559"/>
      <c r="TLY22" s="559"/>
      <c r="TLZ22" s="559"/>
      <c r="TMA22" s="559"/>
      <c r="TMB22" s="559"/>
      <c r="TMC22" s="559"/>
      <c r="TMD22" s="559"/>
      <c r="TME22" s="559"/>
      <c r="TMF22" s="559"/>
      <c r="TMG22" s="559"/>
      <c r="TMH22" s="559"/>
      <c r="TMI22" s="559"/>
      <c r="TMJ22" s="559"/>
      <c r="TMK22" s="559"/>
      <c r="TML22" s="559"/>
      <c r="TMM22" s="559"/>
      <c r="TMN22" s="559"/>
      <c r="TMO22" s="559"/>
      <c r="TMP22" s="559"/>
      <c r="TMQ22" s="559"/>
      <c r="TMR22" s="559"/>
      <c r="TMS22" s="559"/>
      <c r="TMT22" s="559"/>
      <c r="TMU22" s="559"/>
      <c r="TMV22" s="559"/>
      <c r="TMW22" s="559"/>
      <c r="TMX22" s="559"/>
      <c r="TMY22" s="559"/>
      <c r="TMZ22" s="559"/>
      <c r="TNA22" s="559"/>
      <c r="TNB22" s="559"/>
      <c r="TNC22" s="559"/>
      <c r="TND22" s="559"/>
      <c r="TNE22" s="559"/>
      <c r="TNF22" s="559"/>
      <c r="TNG22" s="559"/>
      <c r="TNH22" s="559"/>
      <c r="TNI22" s="559"/>
      <c r="TNJ22" s="559"/>
      <c r="TNK22" s="559"/>
      <c r="TNL22" s="559"/>
      <c r="TNM22" s="559"/>
      <c r="TNN22" s="559"/>
      <c r="TNO22" s="559"/>
      <c r="TNP22" s="559"/>
      <c r="TNQ22" s="559"/>
      <c r="TNR22" s="559"/>
      <c r="TNS22" s="559"/>
      <c r="TNT22" s="559"/>
      <c r="TNU22" s="559"/>
      <c r="TNV22" s="559"/>
      <c r="TNW22" s="559"/>
      <c r="TNX22" s="559"/>
      <c r="TNY22" s="559"/>
      <c r="TNZ22" s="559"/>
      <c r="TOA22" s="559"/>
      <c r="TOB22" s="559"/>
      <c r="TOC22" s="559"/>
      <c r="TOD22" s="559"/>
      <c r="TOE22" s="559"/>
      <c r="TOF22" s="559"/>
      <c r="TOG22" s="559"/>
      <c r="TOH22" s="559"/>
      <c r="TOI22" s="559"/>
      <c r="TOJ22" s="559"/>
      <c r="TOK22" s="559"/>
      <c r="TOL22" s="559"/>
      <c r="TOM22" s="559"/>
      <c r="TON22" s="559"/>
      <c r="TOO22" s="559"/>
      <c r="TOP22" s="559"/>
      <c r="TOQ22" s="559"/>
      <c r="TOR22" s="559"/>
      <c r="TOS22" s="559"/>
      <c r="TOT22" s="559"/>
      <c r="TOU22" s="559"/>
      <c r="TOV22" s="559"/>
      <c r="TOW22" s="559"/>
      <c r="TOX22" s="559"/>
      <c r="TOY22" s="559"/>
      <c r="TOZ22" s="559"/>
      <c r="TPA22" s="559"/>
      <c r="TPB22" s="559"/>
      <c r="TPC22" s="559"/>
      <c r="TPD22" s="559"/>
      <c r="TPE22" s="559"/>
      <c r="TPF22" s="559"/>
      <c r="TPG22" s="559"/>
      <c r="TPH22" s="559"/>
      <c r="TPI22" s="559"/>
      <c r="TPJ22" s="559"/>
      <c r="TPK22" s="559"/>
      <c r="TPL22" s="559"/>
      <c r="TPM22" s="559"/>
      <c r="TPN22" s="559"/>
      <c r="TPO22" s="559"/>
      <c r="TPP22" s="559"/>
      <c r="TPQ22" s="559"/>
      <c r="TPR22" s="559"/>
      <c r="TPS22" s="559"/>
      <c r="TPT22" s="559"/>
      <c r="TPU22" s="559"/>
      <c r="TPV22" s="559"/>
      <c r="TPW22" s="559"/>
      <c r="TPX22" s="559"/>
      <c r="TPY22" s="559"/>
      <c r="TPZ22" s="559"/>
      <c r="TQA22" s="559"/>
      <c r="TQB22" s="559"/>
      <c r="TQC22" s="559"/>
      <c r="TQD22" s="559"/>
      <c r="TQE22" s="559"/>
      <c r="TQF22" s="559"/>
      <c r="TQG22" s="559"/>
      <c r="TQH22" s="559"/>
      <c r="TQI22" s="559"/>
      <c r="TQJ22" s="559"/>
      <c r="TQK22" s="559"/>
      <c r="TQL22" s="559"/>
      <c r="TQM22" s="559"/>
      <c r="TQN22" s="559"/>
      <c r="TQO22" s="559"/>
      <c r="TQP22" s="559"/>
      <c r="TQQ22" s="559"/>
      <c r="TQR22" s="559"/>
      <c r="TQS22" s="559"/>
      <c r="TQT22" s="559"/>
      <c r="TQU22" s="559"/>
      <c r="TQV22" s="559"/>
      <c r="TQW22" s="559"/>
      <c r="TQX22" s="559"/>
      <c r="TQY22" s="559"/>
      <c r="TQZ22" s="559"/>
      <c r="TRA22" s="559"/>
      <c r="TRB22" s="559"/>
      <c r="TRC22" s="559"/>
      <c r="TRD22" s="559"/>
      <c r="TRE22" s="559"/>
      <c r="TRF22" s="559"/>
      <c r="TRG22" s="559"/>
      <c r="TRH22" s="559"/>
      <c r="TRI22" s="559"/>
      <c r="TRJ22" s="559"/>
      <c r="TRK22" s="559"/>
      <c r="TRL22" s="559"/>
      <c r="TRM22" s="559"/>
      <c r="TRN22" s="559"/>
      <c r="TRO22" s="559"/>
      <c r="TRP22" s="559"/>
      <c r="TRQ22" s="559"/>
      <c r="TRR22" s="559"/>
      <c r="TRS22" s="559"/>
      <c r="TRT22" s="559"/>
      <c r="TRU22" s="559"/>
      <c r="TRV22" s="559"/>
      <c r="TRW22" s="559"/>
      <c r="TRX22" s="559"/>
      <c r="TRY22" s="559"/>
      <c r="TRZ22" s="559"/>
      <c r="TSA22" s="559"/>
      <c r="TSB22" s="559"/>
      <c r="TSC22" s="559"/>
      <c r="TSD22" s="559"/>
      <c r="TSE22" s="559"/>
      <c r="TSF22" s="559"/>
      <c r="TSG22" s="559"/>
      <c r="TSH22" s="559"/>
      <c r="TSI22" s="559"/>
      <c r="TSJ22" s="559"/>
      <c r="TSK22" s="559"/>
      <c r="TSL22" s="559"/>
      <c r="TSM22" s="559"/>
      <c r="TSN22" s="559"/>
      <c r="TSO22" s="559"/>
      <c r="TSP22" s="559"/>
      <c r="TSQ22" s="559"/>
      <c r="TSR22" s="559"/>
      <c r="TSS22" s="559"/>
      <c r="TST22" s="559"/>
      <c r="TSU22" s="559"/>
      <c r="TSV22" s="559"/>
      <c r="TSW22" s="559"/>
      <c r="TSX22" s="559"/>
      <c r="TSY22" s="559"/>
      <c r="TSZ22" s="559"/>
      <c r="TTA22" s="559"/>
      <c r="TTB22" s="559"/>
      <c r="TTC22" s="559"/>
      <c r="TTD22" s="559"/>
      <c r="TTE22" s="559"/>
      <c r="TTF22" s="559"/>
      <c r="TTG22" s="559"/>
      <c r="TTH22" s="559"/>
      <c r="TTI22" s="559"/>
      <c r="TTJ22" s="559"/>
      <c r="TTK22" s="559"/>
      <c r="TTL22" s="559"/>
      <c r="TTM22" s="559"/>
      <c r="TTN22" s="559"/>
      <c r="TTO22" s="559"/>
      <c r="TTP22" s="559"/>
      <c r="TTQ22" s="559"/>
      <c r="TTR22" s="559"/>
      <c r="TTS22" s="559"/>
      <c r="TTT22" s="559"/>
      <c r="TTU22" s="559"/>
      <c r="TTV22" s="559"/>
      <c r="TTW22" s="559"/>
      <c r="TTX22" s="559"/>
      <c r="TTY22" s="559"/>
      <c r="TTZ22" s="559"/>
      <c r="TUA22" s="559"/>
      <c r="TUB22" s="559"/>
      <c r="TUC22" s="559"/>
      <c r="TUD22" s="559"/>
      <c r="TUE22" s="559"/>
      <c r="TUF22" s="559"/>
      <c r="TUG22" s="559"/>
      <c r="TUH22" s="559"/>
      <c r="TUI22" s="559"/>
      <c r="TUJ22" s="559"/>
      <c r="TUK22" s="559"/>
      <c r="TUL22" s="559"/>
      <c r="TUM22" s="559"/>
      <c r="TUN22" s="559"/>
      <c r="TUO22" s="559"/>
      <c r="TUP22" s="559"/>
      <c r="TUQ22" s="559"/>
      <c r="TUR22" s="559"/>
      <c r="TUS22" s="559"/>
      <c r="TUT22" s="559"/>
      <c r="TUU22" s="559"/>
      <c r="TUV22" s="559"/>
      <c r="TUW22" s="559"/>
      <c r="TUX22" s="559"/>
      <c r="TUY22" s="559"/>
      <c r="TUZ22" s="559"/>
      <c r="TVA22" s="559"/>
      <c r="TVB22" s="559"/>
      <c r="TVC22" s="559"/>
      <c r="TVD22" s="559"/>
      <c r="TVE22" s="559"/>
      <c r="TVF22" s="559"/>
      <c r="TVG22" s="559"/>
      <c r="TVH22" s="559"/>
      <c r="TVI22" s="559"/>
      <c r="TVJ22" s="559"/>
      <c r="TVK22" s="559"/>
      <c r="TVL22" s="559"/>
      <c r="TVM22" s="559"/>
      <c r="TVN22" s="559"/>
      <c r="TVO22" s="559"/>
      <c r="TVP22" s="559"/>
      <c r="TVQ22" s="559"/>
      <c r="TVR22" s="559"/>
      <c r="TVS22" s="559"/>
      <c r="TVT22" s="559"/>
      <c r="TVU22" s="559"/>
      <c r="TVV22" s="559"/>
      <c r="TVW22" s="559"/>
      <c r="TVX22" s="559"/>
      <c r="TVY22" s="559"/>
      <c r="TVZ22" s="559"/>
      <c r="TWA22" s="559"/>
      <c r="TWB22" s="559"/>
      <c r="TWC22" s="559"/>
      <c r="TWD22" s="559"/>
      <c r="TWE22" s="559"/>
      <c r="TWF22" s="559"/>
      <c r="TWG22" s="559"/>
      <c r="TWH22" s="559"/>
      <c r="TWI22" s="559"/>
      <c r="TWJ22" s="559"/>
      <c r="TWK22" s="559"/>
      <c r="TWL22" s="559"/>
      <c r="TWM22" s="559"/>
      <c r="TWN22" s="559"/>
      <c r="TWO22" s="559"/>
      <c r="TWP22" s="559"/>
      <c r="TWQ22" s="559"/>
      <c r="TWR22" s="559"/>
      <c r="TWS22" s="559"/>
      <c r="TWT22" s="559"/>
      <c r="TWU22" s="559"/>
      <c r="TWV22" s="559"/>
      <c r="TWW22" s="559"/>
      <c r="TWX22" s="559"/>
      <c r="TWY22" s="559"/>
      <c r="TWZ22" s="559"/>
      <c r="TXA22" s="559"/>
      <c r="TXB22" s="559"/>
      <c r="TXC22" s="559"/>
      <c r="TXD22" s="559"/>
      <c r="TXE22" s="559"/>
      <c r="TXF22" s="559"/>
      <c r="TXG22" s="559"/>
      <c r="TXH22" s="559"/>
      <c r="TXI22" s="559"/>
      <c r="TXJ22" s="559"/>
      <c r="TXK22" s="559"/>
      <c r="TXL22" s="559"/>
      <c r="TXM22" s="559"/>
      <c r="TXN22" s="559"/>
      <c r="TXO22" s="559"/>
      <c r="TXP22" s="559"/>
      <c r="TXQ22" s="559"/>
      <c r="TXR22" s="559"/>
      <c r="TXS22" s="559"/>
      <c r="TXT22" s="559"/>
      <c r="TXU22" s="559"/>
      <c r="TXV22" s="559"/>
      <c r="TXW22" s="559"/>
      <c r="TXX22" s="559"/>
      <c r="TXY22" s="559"/>
      <c r="TXZ22" s="559"/>
      <c r="TYA22" s="559"/>
      <c r="TYB22" s="559"/>
      <c r="TYC22" s="559"/>
      <c r="TYD22" s="559"/>
      <c r="TYE22" s="559"/>
      <c r="TYF22" s="559"/>
      <c r="TYG22" s="559"/>
      <c r="TYH22" s="559"/>
      <c r="TYI22" s="559"/>
      <c r="TYJ22" s="559"/>
      <c r="TYK22" s="559"/>
      <c r="TYL22" s="559"/>
      <c r="TYM22" s="559"/>
      <c r="TYN22" s="559"/>
      <c r="TYO22" s="559"/>
      <c r="TYP22" s="559"/>
      <c r="TYQ22" s="559"/>
      <c r="TYR22" s="559"/>
      <c r="TYS22" s="559"/>
      <c r="TYT22" s="559"/>
      <c r="TYU22" s="559"/>
      <c r="TYV22" s="559"/>
      <c r="TYW22" s="559"/>
      <c r="TYX22" s="559"/>
      <c r="TYY22" s="559"/>
      <c r="TYZ22" s="559"/>
      <c r="TZA22" s="559"/>
      <c r="TZB22" s="559"/>
      <c r="TZC22" s="559"/>
      <c r="TZD22" s="559"/>
      <c r="TZE22" s="559"/>
      <c r="TZF22" s="559"/>
      <c r="TZG22" s="559"/>
      <c r="TZH22" s="559"/>
      <c r="TZI22" s="559"/>
      <c r="TZJ22" s="559"/>
      <c r="TZK22" s="559"/>
      <c r="TZL22" s="559"/>
      <c r="TZM22" s="559"/>
      <c r="TZN22" s="559"/>
      <c r="TZO22" s="559"/>
      <c r="TZP22" s="559"/>
      <c r="TZQ22" s="559"/>
      <c r="TZR22" s="559"/>
      <c r="TZS22" s="559"/>
      <c r="TZT22" s="559"/>
      <c r="TZU22" s="559"/>
      <c r="TZV22" s="559"/>
      <c r="TZW22" s="559"/>
      <c r="TZX22" s="559"/>
      <c r="TZY22" s="559"/>
      <c r="TZZ22" s="559"/>
      <c r="UAA22" s="559"/>
      <c r="UAB22" s="559"/>
      <c r="UAC22" s="559"/>
      <c r="UAD22" s="559"/>
      <c r="UAE22" s="559"/>
      <c r="UAF22" s="559"/>
      <c r="UAG22" s="559"/>
      <c r="UAH22" s="559"/>
      <c r="UAI22" s="559"/>
      <c r="UAJ22" s="559"/>
      <c r="UAK22" s="559"/>
      <c r="UAL22" s="559"/>
      <c r="UAM22" s="559"/>
      <c r="UAN22" s="559"/>
      <c r="UAO22" s="559"/>
      <c r="UAP22" s="559"/>
      <c r="UAQ22" s="559"/>
      <c r="UAR22" s="559"/>
      <c r="UAS22" s="559"/>
      <c r="UAT22" s="559"/>
      <c r="UAU22" s="559"/>
      <c r="UAV22" s="559"/>
      <c r="UAW22" s="559"/>
      <c r="UAX22" s="559"/>
      <c r="UAY22" s="559"/>
      <c r="UAZ22" s="559"/>
      <c r="UBA22" s="559"/>
      <c r="UBB22" s="559"/>
      <c r="UBC22" s="559"/>
      <c r="UBD22" s="559"/>
      <c r="UBE22" s="559"/>
      <c r="UBF22" s="559"/>
      <c r="UBG22" s="559"/>
      <c r="UBH22" s="559"/>
      <c r="UBI22" s="559"/>
      <c r="UBJ22" s="559"/>
      <c r="UBK22" s="559"/>
      <c r="UBL22" s="559"/>
      <c r="UBM22" s="559"/>
      <c r="UBN22" s="559"/>
      <c r="UBO22" s="559"/>
      <c r="UBP22" s="559"/>
      <c r="UBQ22" s="559"/>
      <c r="UBR22" s="559"/>
      <c r="UBS22" s="559"/>
      <c r="UBT22" s="559"/>
      <c r="UBU22" s="559"/>
      <c r="UBV22" s="559"/>
      <c r="UBW22" s="559"/>
      <c r="UBX22" s="559"/>
      <c r="UBY22" s="559"/>
      <c r="UBZ22" s="559"/>
      <c r="UCA22" s="559"/>
      <c r="UCB22" s="559"/>
      <c r="UCC22" s="559"/>
      <c r="UCD22" s="559"/>
      <c r="UCE22" s="559"/>
      <c r="UCF22" s="559"/>
      <c r="UCG22" s="559"/>
      <c r="UCH22" s="559"/>
      <c r="UCI22" s="559"/>
      <c r="UCJ22" s="559"/>
      <c r="UCK22" s="559"/>
      <c r="UCL22" s="559"/>
      <c r="UCM22" s="559"/>
      <c r="UCN22" s="559"/>
      <c r="UCO22" s="559"/>
      <c r="UCP22" s="559"/>
      <c r="UCQ22" s="559"/>
      <c r="UCR22" s="559"/>
      <c r="UCS22" s="559"/>
      <c r="UCT22" s="559"/>
      <c r="UCU22" s="559"/>
      <c r="UCV22" s="559"/>
      <c r="UCW22" s="559"/>
      <c r="UCX22" s="559"/>
      <c r="UCY22" s="559"/>
      <c r="UCZ22" s="559"/>
      <c r="UDA22" s="559"/>
      <c r="UDB22" s="559"/>
      <c r="UDC22" s="559"/>
      <c r="UDD22" s="559"/>
      <c r="UDE22" s="559"/>
      <c r="UDF22" s="559"/>
      <c r="UDG22" s="559"/>
      <c r="UDH22" s="559"/>
      <c r="UDI22" s="559"/>
      <c r="UDJ22" s="559"/>
      <c r="UDK22" s="559"/>
      <c r="UDL22" s="559"/>
      <c r="UDM22" s="559"/>
      <c r="UDN22" s="559"/>
      <c r="UDO22" s="559"/>
      <c r="UDP22" s="559"/>
      <c r="UDQ22" s="559"/>
      <c r="UDR22" s="559"/>
      <c r="UDS22" s="559"/>
      <c r="UDT22" s="559"/>
      <c r="UDU22" s="559"/>
      <c r="UDV22" s="559"/>
      <c r="UDW22" s="559"/>
      <c r="UDX22" s="559"/>
      <c r="UDY22" s="559"/>
      <c r="UDZ22" s="559"/>
      <c r="UEA22" s="559"/>
      <c r="UEB22" s="559"/>
      <c r="UEC22" s="559"/>
      <c r="UED22" s="559"/>
      <c r="UEE22" s="559"/>
      <c r="UEF22" s="559"/>
      <c r="UEG22" s="559"/>
      <c r="UEH22" s="559"/>
      <c r="UEI22" s="559"/>
      <c r="UEJ22" s="559"/>
      <c r="UEK22" s="559"/>
      <c r="UEL22" s="559"/>
      <c r="UEM22" s="559"/>
      <c r="UEN22" s="559"/>
      <c r="UEO22" s="559"/>
      <c r="UEP22" s="559"/>
      <c r="UEQ22" s="559"/>
      <c r="UER22" s="559"/>
      <c r="UES22" s="559"/>
      <c r="UET22" s="559"/>
      <c r="UEU22" s="559"/>
      <c r="UEV22" s="559"/>
      <c r="UEW22" s="559"/>
      <c r="UEX22" s="559"/>
      <c r="UEY22" s="559"/>
      <c r="UEZ22" s="559"/>
      <c r="UFA22" s="559"/>
      <c r="UFB22" s="559"/>
      <c r="UFC22" s="559"/>
      <c r="UFD22" s="559"/>
      <c r="UFE22" s="559"/>
      <c r="UFF22" s="559"/>
      <c r="UFG22" s="559"/>
      <c r="UFH22" s="559"/>
      <c r="UFI22" s="559"/>
      <c r="UFJ22" s="559"/>
      <c r="UFK22" s="559"/>
      <c r="UFL22" s="559"/>
      <c r="UFM22" s="559"/>
      <c r="UFN22" s="559"/>
      <c r="UFO22" s="559"/>
      <c r="UFP22" s="559"/>
      <c r="UFQ22" s="559"/>
      <c r="UFR22" s="559"/>
      <c r="UFS22" s="559"/>
      <c r="UFT22" s="559"/>
      <c r="UFU22" s="559"/>
      <c r="UFV22" s="559"/>
      <c r="UFW22" s="559"/>
      <c r="UFX22" s="559"/>
      <c r="UFY22" s="559"/>
      <c r="UFZ22" s="559"/>
      <c r="UGA22" s="559"/>
      <c r="UGB22" s="559"/>
      <c r="UGC22" s="559"/>
      <c r="UGD22" s="559"/>
      <c r="UGE22" s="559"/>
      <c r="UGF22" s="559"/>
      <c r="UGG22" s="559"/>
      <c r="UGH22" s="559"/>
      <c r="UGI22" s="559"/>
      <c r="UGJ22" s="559"/>
      <c r="UGK22" s="559"/>
      <c r="UGL22" s="559"/>
      <c r="UGM22" s="559"/>
      <c r="UGN22" s="559"/>
      <c r="UGO22" s="559"/>
      <c r="UGP22" s="559"/>
      <c r="UGQ22" s="559"/>
      <c r="UGR22" s="559"/>
      <c r="UGS22" s="559"/>
      <c r="UGT22" s="559"/>
      <c r="UGU22" s="559"/>
      <c r="UGV22" s="559"/>
      <c r="UGW22" s="559"/>
      <c r="UGX22" s="559"/>
      <c r="UGY22" s="559"/>
      <c r="UGZ22" s="559"/>
      <c r="UHA22" s="559"/>
      <c r="UHB22" s="559"/>
      <c r="UHC22" s="559"/>
      <c r="UHD22" s="559"/>
      <c r="UHE22" s="559"/>
      <c r="UHF22" s="559"/>
      <c r="UHG22" s="559"/>
      <c r="UHH22" s="559"/>
      <c r="UHI22" s="559"/>
      <c r="UHJ22" s="559"/>
      <c r="UHK22" s="559"/>
      <c r="UHL22" s="559"/>
      <c r="UHM22" s="559"/>
      <c r="UHN22" s="559"/>
      <c r="UHO22" s="559"/>
      <c r="UHP22" s="559"/>
      <c r="UHQ22" s="559"/>
      <c r="UHR22" s="559"/>
      <c r="UHS22" s="559"/>
      <c r="UHT22" s="559"/>
      <c r="UHU22" s="559"/>
      <c r="UHV22" s="559"/>
      <c r="UHW22" s="559"/>
      <c r="UHX22" s="559"/>
      <c r="UHY22" s="559"/>
      <c r="UHZ22" s="559"/>
      <c r="UIA22" s="559"/>
      <c r="UIB22" s="559"/>
      <c r="UIC22" s="559"/>
      <c r="UID22" s="559"/>
      <c r="UIE22" s="559"/>
      <c r="UIF22" s="559"/>
      <c r="UIG22" s="559"/>
      <c r="UIH22" s="559"/>
      <c r="UII22" s="559"/>
      <c r="UIJ22" s="559"/>
      <c r="UIK22" s="559"/>
      <c r="UIL22" s="559"/>
      <c r="UIM22" s="559"/>
      <c r="UIN22" s="559"/>
      <c r="UIO22" s="559"/>
      <c r="UIP22" s="559"/>
      <c r="UIQ22" s="559"/>
      <c r="UIR22" s="559"/>
      <c r="UIS22" s="559"/>
      <c r="UIT22" s="559"/>
      <c r="UIU22" s="559"/>
      <c r="UIV22" s="559"/>
      <c r="UIW22" s="559"/>
      <c r="UIX22" s="559"/>
      <c r="UIY22" s="559"/>
      <c r="UIZ22" s="559"/>
      <c r="UJA22" s="559"/>
      <c r="UJB22" s="559"/>
      <c r="UJC22" s="559"/>
      <c r="UJD22" s="559"/>
      <c r="UJE22" s="559"/>
      <c r="UJF22" s="559"/>
      <c r="UJG22" s="559"/>
      <c r="UJH22" s="559"/>
      <c r="UJI22" s="559"/>
      <c r="UJJ22" s="559"/>
      <c r="UJK22" s="559"/>
      <c r="UJL22" s="559"/>
      <c r="UJM22" s="559"/>
      <c r="UJN22" s="559"/>
      <c r="UJO22" s="559"/>
      <c r="UJP22" s="559"/>
      <c r="UJQ22" s="559"/>
      <c r="UJR22" s="559"/>
      <c r="UJS22" s="559"/>
      <c r="UJT22" s="559"/>
      <c r="UJU22" s="559"/>
      <c r="UJV22" s="559"/>
      <c r="UJW22" s="559"/>
      <c r="UJX22" s="559"/>
      <c r="UJY22" s="559"/>
      <c r="UJZ22" s="559"/>
      <c r="UKA22" s="559"/>
      <c r="UKB22" s="559"/>
      <c r="UKC22" s="559"/>
      <c r="UKD22" s="559"/>
      <c r="UKE22" s="559"/>
      <c r="UKF22" s="559"/>
      <c r="UKG22" s="559"/>
      <c r="UKH22" s="559"/>
      <c r="UKI22" s="559"/>
      <c r="UKJ22" s="559"/>
      <c r="UKK22" s="559"/>
      <c r="UKL22" s="559"/>
      <c r="UKM22" s="559"/>
      <c r="UKN22" s="559"/>
      <c r="UKO22" s="559"/>
      <c r="UKP22" s="559"/>
      <c r="UKQ22" s="559"/>
      <c r="UKR22" s="559"/>
      <c r="UKS22" s="559"/>
      <c r="UKT22" s="559"/>
      <c r="UKU22" s="559"/>
      <c r="UKV22" s="559"/>
      <c r="UKW22" s="559"/>
      <c r="UKX22" s="559"/>
      <c r="UKY22" s="559"/>
      <c r="UKZ22" s="559"/>
      <c r="ULA22" s="559"/>
      <c r="ULB22" s="559"/>
      <c r="ULC22" s="559"/>
      <c r="ULD22" s="559"/>
      <c r="ULE22" s="559"/>
      <c r="ULF22" s="559"/>
      <c r="ULG22" s="559"/>
      <c r="ULH22" s="559"/>
      <c r="ULI22" s="559"/>
      <c r="ULJ22" s="559"/>
      <c r="ULK22" s="559"/>
      <c r="ULL22" s="559"/>
      <c r="ULM22" s="559"/>
      <c r="ULN22" s="559"/>
      <c r="ULO22" s="559"/>
      <c r="ULP22" s="559"/>
      <c r="ULQ22" s="559"/>
      <c r="ULR22" s="559"/>
      <c r="ULS22" s="559"/>
      <c r="ULT22" s="559"/>
      <c r="ULU22" s="559"/>
      <c r="ULV22" s="559"/>
      <c r="ULW22" s="559"/>
      <c r="ULX22" s="559"/>
      <c r="ULY22" s="559"/>
      <c r="ULZ22" s="559"/>
      <c r="UMA22" s="559"/>
      <c r="UMB22" s="559"/>
      <c r="UMC22" s="559"/>
      <c r="UMD22" s="559"/>
      <c r="UME22" s="559"/>
      <c r="UMF22" s="559"/>
      <c r="UMG22" s="559"/>
      <c r="UMH22" s="559"/>
      <c r="UMI22" s="559"/>
      <c r="UMJ22" s="559"/>
      <c r="UMK22" s="559"/>
      <c r="UML22" s="559"/>
      <c r="UMM22" s="559"/>
      <c r="UMN22" s="559"/>
      <c r="UMO22" s="559"/>
      <c r="UMP22" s="559"/>
      <c r="UMQ22" s="559"/>
      <c r="UMR22" s="559"/>
      <c r="UMS22" s="559"/>
      <c r="UMT22" s="559"/>
      <c r="UMU22" s="559"/>
      <c r="UMV22" s="559"/>
      <c r="UMW22" s="559"/>
      <c r="UMX22" s="559"/>
      <c r="UMY22" s="559"/>
      <c r="UMZ22" s="559"/>
      <c r="UNA22" s="559"/>
      <c r="UNB22" s="559"/>
      <c r="UNC22" s="559"/>
      <c r="UND22" s="559"/>
      <c r="UNE22" s="559"/>
      <c r="UNF22" s="559"/>
      <c r="UNG22" s="559"/>
      <c r="UNH22" s="559"/>
      <c r="UNI22" s="559"/>
      <c r="UNJ22" s="559"/>
      <c r="UNK22" s="559"/>
      <c r="UNL22" s="559"/>
      <c r="UNM22" s="559"/>
      <c r="UNN22" s="559"/>
      <c r="UNO22" s="559"/>
      <c r="UNP22" s="559"/>
      <c r="UNQ22" s="559"/>
      <c r="UNR22" s="559"/>
      <c r="UNS22" s="559"/>
      <c r="UNT22" s="559"/>
      <c r="UNU22" s="559"/>
      <c r="UNV22" s="559"/>
      <c r="UNW22" s="559"/>
      <c r="UNX22" s="559"/>
      <c r="UNY22" s="559"/>
      <c r="UNZ22" s="559"/>
      <c r="UOA22" s="559"/>
      <c r="UOB22" s="559"/>
      <c r="UOC22" s="559"/>
      <c r="UOD22" s="559"/>
      <c r="UOE22" s="559"/>
      <c r="UOF22" s="559"/>
      <c r="UOG22" s="559"/>
      <c r="UOH22" s="559"/>
      <c r="UOI22" s="559"/>
      <c r="UOJ22" s="559"/>
      <c r="UOK22" s="559"/>
      <c r="UOL22" s="559"/>
      <c r="UOM22" s="559"/>
      <c r="UON22" s="559"/>
      <c r="UOO22" s="559"/>
      <c r="UOP22" s="559"/>
      <c r="UOQ22" s="559"/>
      <c r="UOR22" s="559"/>
      <c r="UOS22" s="559"/>
      <c r="UOT22" s="559"/>
      <c r="UOU22" s="559"/>
      <c r="UOV22" s="559"/>
      <c r="UOW22" s="559"/>
      <c r="UOX22" s="559"/>
      <c r="UOY22" s="559"/>
      <c r="UOZ22" s="559"/>
      <c r="UPA22" s="559"/>
      <c r="UPB22" s="559"/>
      <c r="UPC22" s="559"/>
      <c r="UPD22" s="559"/>
      <c r="UPE22" s="559"/>
      <c r="UPF22" s="559"/>
      <c r="UPG22" s="559"/>
      <c r="UPH22" s="559"/>
      <c r="UPI22" s="559"/>
      <c r="UPJ22" s="559"/>
      <c r="UPK22" s="559"/>
      <c r="UPL22" s="559"/>
      <c r="UPM22" s="559"/>
      <c r="UPN22" s="559"/>
      <c r="UPO22" s="559"/>
      <c r="UPP22" s="559"/>
      <c r="UPQ22" s="559"/>
      <c r="UPR22" s="559"/>
      <c r="UPS22" s="559"/>
      <c r="UPT22" s="559"/>
      <c r="UPU22" s="559"/>
      <c r="UPV22" s="559"/>
      <c r="UPW22" s="559"/>
      <c r="UPX22" s="559"/>
      <c r="UPY22" s="559"/>
      <c r="UPZ22" s="559"/>
      <c r="UQA22" s="559"/>
      <c r="UQB22" s="559"/>
      <c r="UQC22" s="559"/>
      <c r="UQD22" s="559"/>
      <c r="UQE22" s="559"/>
      <c r="UQF22" s="559"/>
      <c r="UQG22" s="559"/>
      <c r="UQH22" s="559"/>
      <c r="UQI22" s="559"/>
      <c r="UQJ22" s="559"/>
      <c r="UQK22" s="559"/>
      <c r="UQL22" s="559"/>
      <c r="UQM22" s="559"/>
      <c r="UQN22" s="559"/>
      <c r="UQO22" s="559"/>
      <c r="UQP22" s="559"/>
      <c r="UQQ22" s="559"/>
      <c r="UQR22" s="559"/>
      <c r="UQS22" s="559"/>
      <c r="UQT22" s="559"/>
      <c r="UQU22" s="559"/>
      <c r="UQV22" s="559"/>
      <c r="UQW22" s="559"/>
      <c r="UQX22" s="559"/>
      <c r="UQY22" s="559"/>
      <c r="UQZ22" s="559"/>
      <c r="URA22" s="559"/>
      <c r="URB22" s="559"/>
      <c r="URC22" s="559"/>
      <c r="URD22" s="559"/>
      <c r="URE22" s="559"/>
      <c r="URF22" s="559"/>
      <c r="URG22" s="559"/>
      <c r="URH22" s="559"/>
      <c r="URI22" s="559"/>
      <c r="URJ22" s="559"/>
      <c r="URK22" s="559"/>
      <c r="URL22" s="559"/>
      <c r="URM22" s="559"/>
      <c r="URN22" s="559"/>
      <c r="URO22" s="559"/>
      <c r="URP22" s="559"/>
      <c r="URQ22" s="559"/>
      <c r="URR22" s="559"/>
      <c r="URS22" s="559"/>
      <c r="URT22" s="559"/>
      <c r="URU22" s="559"/>
      <c r="URV22" s="559"/>
      <c r="URW22" s="559"/>
      <c r="URX22" s="559"/>
      <c r="URY22" s="559"/>
      <c r="URZ22" s="559"/>
      <c r="USA22" s="559"/>
      <c r="USB22" s="559"/>
      <c r="USC22" s="559"/>
      <c r="USD22" s="559"/>
      <c r="USE22" s="559"/>
      <c r="USF22" s="559"/>
      <c r="USG22" s="559"/>
      <c r="USH22" s="559"/>
      <c r="USI22" s="559"/>
      <c r="USJ22" s="559"/>
      <c r="USK22" s="559"/>
      <c r="USL22" s="559"/>
      <c r="USM22" s="559"/>
      <c r="USN22" s="559"/>
      <c r="USO22" s="559"/>
      <c r="USP22" s="559"/>
      <c r="USQ22" s="559"/>
      <c r="USR22" s="559"/>
      <c r="USS22" s="559"/>
      <c r="UST22" s="559"/>
      <c r="USU22" s="559"/>
      <c r="USV22" s="559"/>
      <c r="USW22" s="559"/>
      <c r="USX22" s="559"/>
      <c r="USY22" s="559"/>
      <c r="USZ22" s="559"/>
      <c r="UTA22" s="559"/>
      <c r="UTB22" s="559"/>
      <c r="UTC22" s="559"/>
      <c r="UTD22" s="559"/>
      <c r="UTE22" s="559"/>
      <c r="UTF22" s="559"/>
      <c r="UTG22" s="559"/>
      <c r="UTH22" s="559"/>
      <c r="UTI22" s="559"/>
      <c r="UTJ22" s="559"/>
      <c r="UTK22" s="559"/>
      <c r="UTL22" s="559"/>
      <c r="UTM22" s="559"/>
      <c r="UTN22" s="559"/>
      <c r="UTO22" s="559"/>
      <c r="UTP22" s="559"/>
      <c r="UTQ22" s="559"/>
      <c r="UTR22" s="559"/>
      <c r="UTS22" s="559"/>
      <c r="UTT22" s="559"/>
      <c r="UTU22" s="559"/>
      <c r="UTV22" s="559"/>
      <c r="UTW22" s="559"/>
      <c r="UTX22" s="559"/>
      <c r="UTY22" s="559"/>
      <c r="UTZ22" s="559"/>
      <c r="UUA22" s="559"/>
      <c r="UUB22" s="559"/>
      <c r="UUC22" s="559"/>
      <c r="UUD22" s="559"/>
      <c r="UUE22" s="559"/>
      <c r="UUF22" s="559"/>
      <c r="UUG22" s="559"/>
      <c r="UUH22" s="559"/>
      <c r="UUI22" s="559"/>
      <c r="UUJ22" s="559"/>
      <c r="UUK22" s="559"/>
      <c r="UUL22" s="559"/>
      <c r="UUM22" s="559"/>
      <c r="UUN22" s="559"/>
      <c r="UUO22" s="559"/>
      <c r="UUP22" s="559"/>
      <c r="UUQ22" s="559"/>
      <c r="UUR22" s="559"/>
      <c r="UUS22" s="559"/>
      <c r="UUT22" s="559"/>
      <c r="UUU22" s="559"/>
      <c r="UUV22" s="559"/>
      <c r="UUW22" s="559"/>
      <c r="UUX22" s="559"/>
      <c r="UUY22" s="559"/>
      <c r="UUZ22" s="559"/>
      <c r="UVA22" s="559"/>
      <c r="UVB22" s="559"/>
      <c r="UVC22" s="559"/>
      <c r="UVD22" s="559"/>
      <c r="UVE22" s="559"/>
      <c r="UVF22" s="559"/>
      <c r="UVG22" s="559"/>
      <c r="UVH22" s="559"/>
      <c r="UVI22" s="559"/>
      <c r="UVJ22" s="559"/>
      <c r="UVK22" s="559"/>
      <c r="UVL22" s="559"/>
      <c r="UVM22" s="559"/>
      <c r="UVN22" s="559"/>
      <c r="UVO22" s="559"/>
      <c r="UVP22" s="559"/>
      <c r="UVQ22" s="559"/>
      <c r="UVR22" s="559"/>
      <c r="UVS22" s="559"/>
      <c r="UVT22" s="559"/>
      <c r="UVU22" s="559"/>
      <c r="UVV22" s="559"/>
      <c r="UVW22" s="559"/>
      <c r="UVX22" s="559"/>
      <c r="UVY22" s="559"/>
      <c r="UVZ22" s="559"/>
      <c r="UWA22" s="559"/>
      <c r="UWB22" s="559"/>
      <c r="UWC22" s="559"/>
      <c r="UWD22" s="559"/>
      <c r="UWE22" s="559"/>
      <c r="UWF22" s="559"/>
      <c r="UWG22" s="559"/>
      <c r="UWH22" s="559"/>
      <c r="UWI22" s="559"/>
      <c r="UWJ22" s="559"/>
      <c r="UWK22" s="559"/>
      <c r="UWL22" s="559"/>
      <c r="UWM22" s="559"/>
      <c r="UWN22" s="559"/>
      <c r="UWO22" s="559"/>
      <c r="UWP22" s="559"/>
      <c r="UWQ22" s="559"/>
      <c r="UWR22" s="559"/>
      <c r="UWS22" s="559"/>
      <c r="UWT22" s="559"/>
      <c r="UWU22" s="559"/>
      <c r="UWV22" s="559"/>
      <c r="UWW22" s="559"/>
      <c r="UWX22" s="559"/>
      <c r="UWY22" s="559"/>
      <c r="UWZ22" s="559"/>
      <c r="UXA22" s="559"/>
      <c r="UXB22" s="559"/>
      <c r="UXC22" s="559"/>
      <c r="UXD22" s="559"/>
      <c r="UXE22" s="559"/>
      <c r="UXF22" s="559"/>
      <c r="UXG22" s="559"/>
      <c r="UXH22" s="559"/>
      <c r="UXI22" s="559"/>
      <c r="UXJ22" s="559"/>
      <c r="UXK22" s="559"/>
      <c r="UXL22" s="559"/>
      <c r="UXM22" s="559"/>
      <c r="UXN22" s="559"/>
      <c r="UXO22" s="559"/>
      <c r="UXP22" s="559"/>
      <c r="UXQ22" s="559"/>
      <c r="UXR22" s="559"/>
      <c r="UXS22" s="559"/>
      <c r="UXT22" s="559"/>
      <c r="UXU22" s="559"/>
      <c r="UXV22" s="559"/>
      <c r="UXW22" s="559"/>
      <c r="UXX22" s="559"/>
      <c r="UXY22" s="559"/>
      <c r="UXZ22" s="559"/>
      <c r="UYA22" s="559"/>
      <c r="UYB22" s="559"/>
      <c r="UYC22" s="559"/>
      <c r="UYD22" s="559"/>
      <c r="UYE22" s="559"/>
      <c r="UYF22" s="559"/>
      <c r="UYG22" s="559"/>
      <c r="UYH22" s="559"/>
      <c r="UYI22" s="559"/>
      <c r="UYJ22" s="559"/>
      <c r="UYK22" s="559"/>
      <c r="UYL22" s="559"/>
      <c r="UYM22" s="559"/>
      <c r="UYN22" s="559"/>
      <c r="UYO22" s="559"/>
      <c r="UYP22" s="559"/>
      <c r="UYQ22" s="559"/>
      <c r="UYR22" s="559"/>
      <c r="UYS22" s="559"/>
      <c r="UYT22" s="559"/>
      <c r="UYU22" s="559"/>
      <c r="UYV22" s="559"/>
      <c r="UYW22" s="559"/>
      <c r="UYX22" s="559"/>
      <c r="UYY22" s="559"/>
      <c r="UYZ22" s="559"/>
      <c r="UZA22" s="559"/>
      <c r="UZB22" s="559"/>
      <c r="UZC22" s="559"/>
      <c r="UZD22" s="559"/>
      <c r="UZE22" s="559"/>
      <c r="UZF22" s="559"/>
      <c r="UZG22" s="559"/>
      <c r="UZH22" s="559"/>
      <c r="UZI22" s="559"/>
      <c r="UZJ22" s="559"/>
      <c r="UZK22" s="559"/>
      <c r="UZL22" s="559"/>
      <c r="UZM22" s="559"/>
      <c r="UZN22" s="559"/>
      <c r="UZO22" s="559"/>
      <c r="UZP22" s="559"/>
      <c r="UZQ22" s="559"/>
      <c r="UZR22" s="559"/>
      <c r="UZS22" s="559"/>
      <c r="UZT22" s="559"/>
      <c r="UZU22" s="559"/>
      <c r="UZV22" s="559"/>
      <c r="UZW22" s="559"/>
      <c r="UZX22" s="559"/>
      <c r="UZY22" s="559"/>
      <c r="UZZ22" s="559"/>
      <c r="VAA22" s="559"/>
      <c r="VAB22" s="559"/>
      <c r="VAC22" s="559"/>
      <c r="VAD22" s="559"/>
      <c r="VAE22" s="559"/>
      <c r="VAF22" s="559"/>
      <c r="VAG22" s="559"/>
      <c r="VAH22" s="559"/>
      <c r="VAI22" s="559"/>
      <c r="VAJ22" s="559"/>
      <c r="VAK22" s="559"/>
      <c r="VAL22" s="559"/>
      <c r="VAM22" s="559"/>
      <c r="VAN22" s="559"/>
      <c r="VAO22" s="559"/>
      <c r="VAP22" s="559"/>
      <c r="VAQ22" s="559"/>
      <c r="VAR22" s="559"/>
      <c r="VAS22" s="559"/>
      <c r="VAT22" s="559"/>
      <c r="VAU22" s="559"/>
      <c r="VAV22" s="559"/>
      <c r="VAW22" s="559"/>
      <c r="VAX22" s="559"/>
      <c r="VAY22" s="559"/>
      <c r="VAZ22" s="559"/>
      <c r="VBA22" s="559"/>
      <c r="VBB22" s="559"/>
      <c r="VBC22" s="559"/>
      <c r="VBD22" s="559"/>
      <c r="VBE22" s="559"/>
      <c r="VBF22" s="559"/>
      <c r="VBG22" s="559"/>
      <c r="VBH22" s="559"/>
      <c r="VBI22" s="559"/>
      <c r="VBJ22" s="559"/>
      <c r="VBK22" s="559"/>
      <c r="VBL22" s="559"/>
      <c r="VBM22" s="559"/>
      <c r="VBN22" s="559"/>
      <c r="VBO22" s="559"/>
      <c r="VBP22" s="559"/>
      <c r="VBQ22" s="559"/>
      <c r="VBR22" s="559"/>
      <c r="VBS22" s="559"/>
      <c r="VBT22" s="559"/>
      <c r="VBU22" s="559"/>
      <c r="VBV22" s="559"/>
      <c r="VBW22" s="559"/>
      <c r="VBX22" s="559"/>
      <c r="VBY22" s="559"/>
      <c r="VBZ22" s="559"/>
      <c r="VCA22" s="559"/>
      <c r="VCB22" s="559"/>
      <c r="VCC22" s="559"/>
      <c r="VCD22" s="559"/>
      <c r="VCE22" s="559"/>
      <c r="VCF22" s="559"/>
      <c r="VCG22" s="559"/>
      <c r="VCH22" s="559"/>
      <c r="VCI22" s="559"/>
      <c r="VCJ22" s="559"/>
      <c r="VCK22" s="559"/>
      <c r="VCL22" s="559"/>
      <c r="VCM22" s="559"/>
      <c r="VCN22" s="559"/>
      <c r="VCO22" s="559"/>
      <c r="VCP22" s="559"/>
      <c r="VCQ22" s="559"/>
      <c r="VCR22" s="559"/>
      <c r="VCS22" s="559"/>
      <c r="VCT22" s="559"/>
      <c r="VCU22" s="559"/>
      <c r="VCV22" s="559"/>
      <c r="VCW22" s="559"/>
      <c r="VCX22" s="559"/>
      <c r="VCY22" s="559"/>
      <c r="VCZ22" s="559"/>
      <c r="VDA22" s="559"/>
      <c r="VDB22" s="559"/>
      <c r="VDC22" s="559"/>
      <c r="VDD22" s="559"/>
      <c r="VDE22" s="559"/>
      <c r="VDF22" s="559"/>
      <c r="VDG22" s="559"/>
      <c r="VDH22" s="559"/>
      <c r="VDI22" s="559"/>
      <c r="VDJ22" s="559"/>
      <c r="VDK22" s="559"/>
      <c r="VDL22" s="559"/>
      <c r="VDM22" s="559"/>
      <c r="VDN22" s="559"/>
      <c r="VDO22" s="559"/>
      <c r="VDP22" s="559"/>
      <c r="VDQ22" s="559"/>
      <c r="VDR22" s="559"/>
      <c r="VDS22" s="559"/>
      <c r="VDT22" s="559"/>
      <c r="VDU22" s="559"/>
      <c r="VDV22" s="559"/>
      <c r="VDW22" s="559"/>
      <c r="VDX22" s="559"/>
      <c r="VDY22" s="559"/>
      <c r="VDZ22" s="559"/>
      <c r="VEA22" s="559"/>
      <c r="VEB22" s="559"/>
      <c r="VEC22" s="559"/>
      <c r="VED22" s="559"/>
      <c r="VEE22" s="559"/>
      <c r="VEF22" s="559"/>
      <c r="VEG22" s="559"/>
      <c r="VEH22" s="559"/>
      <c r="VEI22" s="559"/>
      <c r="VEJ22" s="559"/>
      <c r="VEK22" s="559"/>
      <c r="VEL22" s="559"/>
      <c r="VEM22" s="559"/>
      <c r="VEN22" s="559"/>
      <c r="VEO22" s="559"/>
      <c r="VEP22" s="559"/>
      <c r="VEQ22" s="559"/>
      <c r="VER22" s="559"/>
      <c r="VES22" s="559"/>
      <c r="VET22" s="559"/>
      <c r="VEU22" s="559"/>
      <c r="VEV22" s="559"/>
      <c r="VEW22" s="559"/>
      <c r="VEX22" s="559"/>
      <c r="VEY22" s="559"/>
      <c r="VEZ22" s="559"/>
      <c r="VFA22" s="559"/>
      <c r="VFB22" s="559"/>
      <c r="VFC22" s="559"/>
      <c r="VFD22" s="559"/>
      <c r="VFE22" s="559"/>
      <c r="VFF22" s="559"/>
      <c r="VFG22" s="559"/>
      <c r="VFH22" s="559"/>
      <c r="VFI22" s="559"/>
      <c r="VFJ22" s="559"/>
      <c r="VFK22" s="559"/>
      <c r="VFL22" s="559"/>
      <c r="VFM22" s="559"/>
      <c r="VFN22" s="559"/>
      <c r="VFO22" s="559"/>
      <c r="VFP22" s="559"/>
      <c r="VFQ22" s="559"/>
      <c r="VFR22" s="559"/>
      <c r="VFS22" s="559"/>
      <c r="VFT22" s="559"/>
      <c r="VFU22" s="559"/>
      <c r="VFV22" s="559"/>
      <c r="VFW22" s="559"/>
      <c r="VFX22" s="559"/>
      <c r="VFY22" s="559"/>
      <c r="VFZ22" s="559"/>
      <c r="VGA22" s="559"/>
      <c r="VGB22" s="559"/>
      <c r="VGC22" s="559"/>
      <c r="VGD22" s="559"/>
      <c r="VGE22" s="559"/>
      <c r="VGF22" s="559"/>
      <c r="VGG22" s="559"/>
      <c r="VGH22" s="559"/>
      <c r="VGI22" s="559"/>
      <c r="VGJ22" s="559"/>
      <c r="VGK22" s="559"/>
      <c r="VGL22" s="559"/>
      <c r="VGM22" s="559"/>
      <c r="VGN22" s="559"/>
      <c r="VGO22" s="559"/>
      <c r="VGP22" s="559"/>
      <c r="VGQ22" s="559"/>
      <c r="VGR22" s="559"/>
      <c r="VGS22" s="559"/>
      <c r="VGT22" s="559"/>
      <c r="VGU22" s="559"/>
      <c r="VGV22" s="559"/>
      <c r="VGW22" s="559"/>
      <c r="VGX22" s="559"/>
      <c r="VGY22" s="559"/>
      <c r="VGZ22" s="559"/>
      <c r="VHA22" s="559"/>
      <c r="VHB22" s="559"/>
      <c r="VHC22" s="559"/>
      <c r="VHD22" s="559"/>
      <c r="VHE22" s="559"/>
      <c r="VHF22" s="559"/>
      <c r="VHG22" s="559"/>
      <c r="VHH22" s="559"/>
      <c r="VHI22" s="559"/>
      <c r="VHJ22" s="559"/>
      <c r="VHK22" s="559"/>
      <c r="VHL22" s="559"/>
      <c r="VHM22" s="559"/>
      <c r="VHN22" s="559"/>
      <c r="VHO22" s="559"/>
      <c r="VHP22" s="559"/>
      <c r="VHQ22" s="559"/>
      <c r="VHR22" s="559"/>
      <c r="VHS22" s="559"/>
      <c r="VHT22" s="559"/>
      <c r="VHU22" s="559"/>
      <c r="VHV22" s="559"/>
      <c r="VHW22" s="559"/>
      <c r="VHX22" s="559"/>
      <c r="VHY22" s="559"/>
      <c r="VHZ22" s="559"/>
      <c r="VIA22" s="559"/>
      <c r="VIB22" s="559"/>
      <c r="VIC22" s="559"/>
      <c r="VID22" s="559"/>
      <c r="VIE22" s="559"/>
      <c r="VIF22" s="559"/>
      <c r="VIG22" s="559"/>
      <c r="VIH22" s="559"/>
      <c r="VII22" s="559"/>
      <c r="VIJ22" s="559"/>
      <c r="VIK22" s="559"/>
      <c r="VIL22" s="559"/>
      <c r="VIM22" s="559"/>
      <c r="VIN22" s="559"/>
      <c r="VIO22" s="559"/>
      <c r="VIP22" s="559"/>
      <c r="VIQ22" s="559"/>
      <c r="VIR22" s="559"/>
      <c r="VIS22" s="559"/>
      <c r="VIT22" s="559"/>
      <c r="VIU22" s="559"/>
      <c r="VIV22" s="559"/>
      <c r="VIW22" s="559"/>
      <c r="VIX22" s="559"/>
      <c r="VIY22" s="559"/>
      <c r="VIZ22" s="559"/>
      <c r="VJA22" s="559"/>
      <c r="VJB22" s="559"/>
      <c r="VJC22" s="559"/>
      <c r="VJD22" s="559"/>
      <c r="VJE22" s="559"/>
      <c r="VJF22" s="559"/>
      <c r="VJG22" s="559"/>
      <c r="VJH22" s="559"/>
      <c r="VJI22" s="559"/>
      <c r="VJJ22" s="559"/>
      <c r="VJK22" s="559"/>
      <c r="VJL22" s="559"/>
      <c r="VJM22" s="559"/>
      <c r="VJN22" s="559"/>
      <c r="VJO22" s="559"/>
      <c r="VJP22" s="559"/>
      <c r="VJQ22" s="559"/>
      <c r="VJR22" s="559"/>
      <c r="VJS22" s="559"/>
      <c r="VJT22" s="559"/>
      <c r="VJU22" s="559"/>
      <c r="VJV22" s="559"/>
      <c r="VJW22" s="559"/>
      <c r="VJX22" s="559"/>
      <c r="VJY22" s="559"/>
      <c r="VJZ22" s="559"/>
      <c r="VKA22" s="559"/>
      <c r="VKB22" s="559"/>
      <c r="VKC22" s="559"/>
      <c r="VKD22" s="559"/>
      <c r="VKE22" s="559"/>
      <c r="VKF22" s="559"/>
      <c r="VKG22" s="559"/>
      <c r="VKH22" s="559"/>
      <c r="VKI22" s="559"/>
      <c r="VKJ22" s="559"/>
      <c r="VKK22" s="559"/>
      <c r="VKL22" s="559"/>
      <c r="VKM22" s="559"/>
      <c r="VKN22" s="559"/>
      <c r="VKO22" s="559"/>
      <c r="VKP22" s="559"/>
      <c r="VKQ22" s="559"/>
      <c r="VKR22" s="559"/>
      <c r="VKS22" s="559"/>
      <c r="VKT22" s="559"/>
      <c r="VKU22" s="559"/>
      <c r="VKV22" s="559"/>
      <c r="VKW22" s="559"/>
      <c r="VKX22" s="559"/>
      <c r="VKY22" s="559"/>
      <c r="VKZ22" s="559"/>
      <c r="VLA22" s="559"/>
      <c r="VLB22" s="559"/>
      <c r="VLC22" s="559"/>
      <c r="VLD22" s="559"/>
      <c r="VLE22" s="559"/>
      <c r="VLF22" s="559"/>
      <c r="VLG22" s="559"/>
      <c r="VLH22" s="559"/>
      <c r="VLI22" s="559"/>
      <c r="VLJ22" s="559"/>
      <c r="VLK22" s="559"/>
      <c r="VLL22" s="559"/>
      <c r="VLM22" s="559"/>
      <c r="VLN22" s="559"/>
      <c r="VLO22" s="559"/>
      <c r="VLP22" s="559"/>
      <c r="VLQ22" s="559"/>
      <c r="VLR22" s="559"/>
      <c r="VLS22" s="559"/>
      <c r="VLT22" s="559"/>
      <c r="VLU22" s="559"/>
      <c r="VLV22" s="559"/>
      <c r="VLW22" s="559"/>
      <c r="VLX22" s="559"/>
      <c r="VLY22" s="559"/>
      <c r="VLZ22" s="559"/>
      <c r="VMA22" s="559"/>
      <c r="VMB22" s="559"/>
      <c r="VMC22" s="559"/>
      <c r="VMD22" s="559"/>
      <c r="VME22" s="559"/>
      <c r="VMF22" s="559"/>
      <c r="VMG22" s="559"/>
      <c r="VMH22" s="559"/>
      <c r="VMI22" s="559"/>
      <c r="VMJ22" s="559"/>
      <c r="VMK22" s="559"/>
      <c r="VML22" s="559"/>
      <c r="VMM22" s="559"/>
      <c r="VMN22" s="559"/>
      <c r="VMO22" s="559"/>
      <c r="VMP22" s="559"/>
      <c r="VMQ22" s="559"/>
      <c r="VMR22" s="559"/>
      <c r="VMS22" s="559"/>
      <c r="VMT22" s="559"/>
      <c r="VMU22" s="559"/>
      <c r="VMV22" s="559"/>
      <c r="VMW22" s="559"/>
      <c r="VMX22" s="559"/>
      <c r="VMY22" s="559"/>
      <c r="VMZ22" s="559"/>
      <c r="VNA22" s="559"/>
      <c r="VNB22" s="559"/>
      <c r="VNC22" s="559"/>
      <c r="VND22" s="559"/>
      <c r="VNE22" s="559"/>
      <c r="VNF22" s="559"/>
      <c r="VNG22" s="559"/>
      <c r="VNH22" s="559"/>
      <c r="VNI22" s="559"/>
      <c r="VNJ22" s="559"/>
      <c r="VNK22" s="559"/>
      <c r="VNL22" s="559"/>
      <c r="VNM22" s="559"/>
      <c r="VNN22" s="559"/>
      <c r="VNO22" s="559"/>
      <c r="VNP22" s="559"/>
      <c r="VNQ22" s="559"/>
      <c r="VNR22" s="559"/>
      <c r="VNS22" s="559"/>
      <c r="VNT22" s="559"/>
      <c r="VNU22" s="559"/>
      <c r="VNV22" s="559"/>
      <c r="VNW22" s="559"/>
      <c r="VNX22" s="559"/>
      <c r="VNY22" s="559"/>
      <c r="VNZ22" s="559"/>
      <c r="VOA22" s="559"/>
      <c r="VOB22" s="559"/>
      <c r="VOC22" s="559"/>
      <c r="VOD22" s="559"/>
      <c r="VOE22" s="559"/>
      <c r="VOF22" s="559"/>
      <c r="VOG22" s="559"/>
      <c r="VOH22" s="559"/>
      <c r="VOI22" s="559"/>
      <c r="VOJ22" s="559"/>
      <c r="VOK22" s="559"/>
      <c r="VOL22" s="559"/>
      <c r="VOM22" s="559"/>
      <c r="VON22" s="559"/>
      <c r="VOO22" s="559"/>
      <c r="VOP22" s="559"/>
      <c r="VOQ22" s="559"/>
      <c r="VOR22" s="559"/>
      <c r="VOS22" s="559"/>
      <c r="VOT22" s="559"/>
      <c r="VOU22" s="559"/>
      <c r="VOV22" s="559"/>
      <c r="VOW22" s="559"/>
      <c r="VOX22" s="559"/>
      <c r="VOY22" s="559"/>
      <c r="VOZ22" s="559"/>
      <c r="VPA22" s="559"/>
      <c r="VPB22" s="559"/>
      <c r="VPC22" s="559"/>
      <c r="VPD22" s="559"/>
      <c r="VPE22" s="559"/>
      <c r="VPF22" s="559"/>
      <c r="VPG22" s="559"/>
      <c r="VPH22" s="559"/>
      <c r="VPI22" s="559"/>
      <c r="VPJ22" s="559"/>
      <c r="VPK22" s="559"/>
      <c r="VPL22" s="559"/>
      <c r="VPM22" s="559"/>
      <c r="VPN22" s="559"/>
      <c r="VPO22" s="559"/>
      <c r="VPP22" s="559"/>
      <c r="VPQ22" s="559"/>
      <c r="VPR22" s="559"/>
      <c r="VPS22" s="559"/>
      <c r="VPT22" s="559"/>
      <c r="VPU22" s="559"/>
      <c r="VPV22" s="559"/>
      <c r="VPW22" s="559"/>
      <c r="VPX22" s="559"/>
      <c r="VPY22" s="559"/>
      <c r="VPZ22" s="559"/>
      <c r="VQA22" s="559"/>
      <c r="VQB22" s="559"/>
      <c r="VQC22" s="559"/>
      <c r="VQD22" s="559"/>
      <c r="VQE22" s="559"/>
      <c r="VQF22" s="559"/>
      <c r="VQG22" s="559"/>
      <c r="VQH22" s="559"/>
      <c r="VQI22" s="559"/>
      <c r="VQJ22" s="559"/>
      <c r="VQK22" s="559"/>
      <c r="VQL22" s="559"/>
      <c r="VQM22" s="559"/>
      <c r="VQN22" s="559"/>
      <c r="VQO22" s="559"/>
      <c r="VQP22" s="559"/>
      <c r="VQQ22" s="559"/>
      <c r="VQR22" s="559"/>
      <c r="VQS22" s="559"/>
      <c r="VQT22" s="559"/>
      <c r="VQU22" s="559"/>
      <c r="VQV22" s="559"/>
      <c r="VQW22" s="559"/>
      <c r="VQX22" s="559"/>
      <c r="VQY22" s="559"/>
      <c r="VQZ22" s="559"/>
      <c r="VRA22" s="559"/>
      <c r="VRB22" s="559"/>
      <c r="VRC22" s="559"/>
      <c r="VRD22" s="559"/>
      <c r="VRE22" s="559"/>
      <c r="VRF22" s="559"/>
      <c r="VRG22" s="559"/>
      <c r="VRH22" s="559"/>
      <c r="VRI22" s="559"/>
      <c r="VRJ22" s="559"/>
      <c r="VRK22" s="559"/>
      <c r="VRL22" s="559"/>
      <c r="VRM22" s="559"/>
      <c r="VRN22" s="559"/>
      <c r="VRO22" s="559"/>
      <c r="VRP22" s="559"/>
      <c r="VRQ22" s="559"/>
      <c r="VRR22" s="559"/>
      <c r="VRS22" s="559"/>
      <c r="VRT22" s="559"/>
      <c r="VRU22" s="559"/>
      <c r="VRV22" s="559"/>
      <c r="VRW22" s="559"/>
      <c r="VRX22" s="559"/>
      <c r="VRY22" s="559"/>
      <c r="VRZ22" s="559"/>
      <c r="VSA22" s="559"/>
      <c r="VSB22" s="559"/>
      <c r="VSC22" s="559"/>
      <c r="VSD22" s="559"/>
      <c r="VSE22" s="559"/>
      <c r="VSF22" s="559"/>
      <c r="VSG22" s="559"/>
      <c r="VSH22" s="559"/>
      <c r="VSI22" s="559"/>
      <c r="VSJ22" s="559"/>
      <c r="VSK22" s="559"/>
      <c r="VSL22" s="559"/>
      <c r="VSM22" s="559"/>
      <c r="VSN22" s="559"/>
      <c r="VSO22" s="559"/>
      <c r="VSP22" s="559"/>
      <c r="VSQ22" s="559"/>
      <c r="VSR22" s="559"/>
      <c r="VSS22" s="559"/>
      <c r="VST22" s="559"/>
      <c r="VSU22" s="559"/>
      <c r="VSV22" s="559"/>
      <c r="VSW22" s="559"/>
      <c r="VSX22" s="559"/>
      <c r="VSY22" s="559"/>
      <c r="VSZ22" s="559"/>
      <c r="VTA22" s="559"/>
      <c r="VTB22" s="559"/>
      <c r="VTC22" s="559"/>
      <c r="VTD22" s="559"/>
      <c r="VTE22" s="559"/>
      <c r="VTF22" s="559"/>
      <c r="VTG22" s="559"/>
      <c r="VTH22" s="559"/>
      <c r="VTI22" s="559"/>
      <c r="VTJ22" s="559"/>
      <c r="VTK22" s="559"/>
      <c r="VTL22" s="559"/>
      <c r="VTM22" s="559"/>
      <c r="VTN22" s="559"/>
      <c r="VTO22" s="559"/>
      <c r="VTP22" s="559"/>
      <c r="VTQ22" s="559"/>
      <c r="VTR22" s="559"/>
      <c r="VTS22" s="559"/>
      <c r="VTT22" s="559"/>
      <c r="VTU22" s="559"/>
      <c r="VTV22" s="559"/>
      <c r="VTW22" s="559"/>
      <c r="VTX22" s="559"/>
      <c r="VTY22" s="559"/>
      <c r="VTZ22" s="559"/>
      <c r="VUA22" s="559"/>
      <c r="VUB22" s="559"/>
      <c r="VUC22" s="559"/>
      <c r="VUD22" s="559"/>
      <c r="VUE22" s="559"/>
      <c r="VUF22" s="559"/>
      <c r="VUG22" s="559"/>
      <c r="VUH22" s="559"/>
      <c r="VUI22" s="559"/>
      <c r="VUJ22" s="559"/>
      <c r="VUK22" s="559"/>
      <c r="VUL22" s="559"/>
      <c r="VUM22" s="559"/>
      <c r="VUN22" s="559"/>
      <c r="VUO22" s="559"/>
      <c r="VUP22" s="559"/>
      <c r="VUQ22" s="559"/>
      <c r="VUR22" s="559"/>
      <c r="VUS22" s="559"/>
      <c r="VUT22" s="559"/>
      <c r="VUU22" s="559"/>
      <c r="VUV22" s="559"/>
      <c r="VUW22" s="559"/>
      <c r="VUX22" s="559"/>
      <c r="VUY22" s="559"/>
      <c r="VUZ22" s="559"/>
      <c r="VVA22" s="559"/>
      <c r="VVB22" s="559"/>
      <c r="VVC22" s="559"/>
      <c r="VVD22" s="559"/>
      <c r="VVE22" s="559"/>
      <c r="VVF22" s="559"/>
      <c r="VVG22" s="559"/>
      <c r="VVH22" s="559"/>
      <c r="VVI22" s="559"/>
      <c r="VVJ22" s="559"/>
      <c r="VVK22" s="559"/>
      <c r="VVL22" s="559"/>
      <c r="VVM22" s="559"/>
      <c r="VVN22" s="559"/>
      <c r="VVO22" s="559"/>
      <c r="VVP22" s="559"/>
      <c r="VVQ22" s="559"/>
      <c r="VVR22" s="559"/>
      <c r="VVS22" s="559"/>
      <c r="VVT22" s="559"/>
      <c r="VVU22" s="559"/>
      <c r="VVV22" s="559"/>
      <c r="VVW22" s="559"/>
      <c r="VVX22" s="559"/>
      <c r="VVY22" s="559"/>
      <c r="VVZ22" s="559"/>
      <c r="VWA22" s="559"/>
      <c r="VWB22" s="559"/>
      <c r="VWC22" s="559"/>
      <c r="VWD22" s="559"/>
      <c r="VWE22" s="559"/>
      <c r="VWF22" s="559"/>
      <c r="VWG22" s="559"/>
      <c r="VWH22" s="559"/>
      <c r="VWI22" s="559"/>
      <c r="VWJ22" s="559"/>
      <c r="VWK22" s="559"/>
      <c r="VWL22" s="559"/>
      <c r="VWM22" s="559"/>
      <c r="VWN22" s="559"/>
      <c r="VWO22" s="559"/>
      <c r="VWP22" s="559"/>
      <c r="VWQ22" s="559"/>
      <c r="VWR22" s="559"/>
      <c r="VWS22" s="559"/>
      <c r="VWT22" s="559"/>
      <c r="VWU22" s="559"/>
      <c r="VWV22" s="559"/>
      <c r="VWW22" s="559"/>
      <c r="VWX22" s="559"/>
      <c r="VWY22" s="559"/>
      <c r="VWZ22" s="559"/>
      <c r="VXA22" s="559"/>
      <c r="VXB22" s="559"/>
      <c r="VXC22" s="559"/>
      <c r="VXD22" s="559"/>
      <c r="VXE22" s="559"/>
      <c r="VXF22" s="559"/>
      <c r="VXG22" s="559"/>
      <c r="VXH22" s="559"/>
      <c r="VXI22" s="559"/>
      <c r="VXJ22" s="559"/>
      <c r="VXK22" s="559"/>
      <c r="VXL22" s="559"/>
      <c r="VXM22" s="559"/>
      <c r="VXN22" s="559"/>
      <c r="VXO22" s="559"/>
      <c r="VXP22" s="559"/>
      <c r="VXQ22" s="559"/>
      <c r="VXR22" s="559"/>
      <c r="VXS22" s="559"/>
      <c r="VXT22" s="559"/>
      <c r="VXU22" s="559"/>
      <c r="VXV22" s="559"/>
      <c r="VXW22" s="559"/>
      <c r="VXX22" s="559"/>
      <c r="VXY22" s="559"/>
      <c r="VXZ22" s="559"/>
      <c r="VYA22" s="559"/>
      <c r="VYB22" s="559"/>
      <c r="VYC22" s="559"/>
      <c r="VYD22" s="559"/>
      <c r="VYE22" s="559"/>
      <c r="VYF22" s="559"/>
      <c r="VYG22" s="559"/>
      <c r="VYH22" s="559"/>
      <c r="VYI22" s="559"/>
      <c r="VYJ22" s="559"/>
      <c r="VYK22" s="559"/>
      <c r="VYL22" s="559"/>
      <c r="VYM22" s="559"/>
      <c r="VYN22" s="559"/>
      <c r="VYO22" s="559"/>
      <c r="VYP22" s="559"/>
      <c r="VYQ22" s="559"/>
      <c r="VYR22" s="559"/>
      <c r="VYS22" s="559"/>
      <c r="VYT22" s="559"/>
      <c r="VYU22" s="559"/>
      <c r="VYV22" s="559"/>
      <c r="VYW22" s="559"/>
      <c r="VYX22" s="559"/>
      <c r="VYY22" s="559"/>
      <c r="VYZ22" s="559"/>
      <c r="VZA22" s="559"/>
      <c r="VZB22" s="559"/>
      <c r="VZC22" s="559"/>
      <c r="VZD22" s="559"/>
      <c r="VZE22" s="559"/>
      <c r="VZF22" s="559"/>
      <c r="VZG22" s="559"/>
      <c r="VZH22" s="559"/>
      <c r="VZI22" s="559"/>
      <c r="VZJ22" s="559"/>
      <c r="VZK22" s="559"/>
      <c r="VZL22" s="559"/>
      <c r="VZM22" s="559"/>
      <c r="VZN22" s="559"/>
      <c r="VZO22" s="559"/>
      <c r="VZP22" s="559"/>
      <c r="VZQ22" s="559"/>
      <c r="VZR22" s="559"/>
      <c r="VZS22" s="559"/>
      <c r="VZT22" s="559"/>
      <c r="VZU22" s="559"/>
      <c r="VZV22" s="559"/>
      <c r="VZW22" s="559"/>
      <c r="VZX22" s="559"/>
      <c r="VZY22" s="559"/>
      <c r="VZZ22" s="559"/>
      <c r="WAA22" s="559"/>
      <c r="WAB22" s="559"/>
      <c r="WAC22" s="559"/>
      <c r="WAD22" s="559"/>
      <c r="WAE22" s="559"/>
      <c r="WAF22" s="559"/>
      <c r="WAG22" s="559"/>
      <c r="WAH22" s="559"/>
      <c r="WAI22" s="559"/>
      <c r="WAJ22" s="559"/>
      <c r="WAK22" s="559"/>
      <c r="WAL22" s="559"/>
      <c r="WAM22" s="559"/>
      <c r="WAN22" s="559"/>
      <c r="WAO22" s="559"/>
      <c r="WAP22" s="559"/>
      <c r="WAQ22" s="559"/>
      <c r="WAR22" s="559"/>
      <c r="WAS22" s="559"/>
      <c r="WAT22" s="559"/>
      <c r="WAU22" s="559"/>
      <c r="WAV22" s="559"/>
      <c r="WAW22" s="559"/>
      <c r="WAX22" s="559"/>
      <c r="WAY22" s="559"/>
      <c r="WAZ22" s="559"/>
      <c r="WBA22" s="559"/>
      <c r="WBB22" s="559"/>
      <c r="WBC22" s="559"/>
      <c r="WBD22" s="559"/>
      <c r="WBE22" s="559"/>
      <c r="WBF22" s="559"/>
      <c r="WBG22" s="559"/>
      <c r="WBH22" s="559"/>
      <c r="WBI22" s="559"/>
      <c r="WBJ22" s="559"/>
      <c r="WBK22" s="559"/>
      <c r="WBL22" s="559"/>
      <c r="WBM22" s="559"/>
      <c r="WBN22" s="559"/>
      <c r="WBO22" s="559"/>
      <c r="WBP22" s="559"/>
      <c r="WBQ22" s="559"/>
      <c r="WBR22" s="559"/>
      <c r="WBS22" s="559"/>
      <c r="WBT22" s="559"/>
      <c r="WBU22" s="559"/>
      <c r="WBV22" s="559"/>
      <c r="WBW22" s="559"/>
      <c r="WBX22" s="559"/>
      <c r="WBY22" s="559"/>
      <c r="WBZ22" s="559"/>
      <c r="WCA22" s="559"/>
      <c r="WCB22" s="559"/>
      <c r="WCC22" s="559"/>
      <c r="WCD22" s="559"/>
      <c r="WCE22" s="559"/>
      <c r="WCF22" s="559"/>
      <c r="WCG22" s="559"/>
      <c r="WCH22" s="559"/>
      <c r="WCI22" s="559"/>
      <c r="WCJ22" s="559"/>
      <c r="WCK22" s="559"/>
      <c r="WCL22" s="559"/>
      <c r="WCM22" s="559"/>
      <c r="WCN22" s="559"/>
      <c r="WCO22" s="559"/>
      <c r="WCP22" s="559"/>
      <c r="WCQ22" s="559"/>
      <c r="WCR22" s="559"/>
      <c r="WCS22" s="559"/>
      <c r="WCT22" s="559"/>
      <c r="WCU22" s="559"/>
      <c r="WCV22" s="559"/>
      <c r="WCW22" s="559"/>
      <c r="WCX22" s="559"/>
      <c r="WCY22" s="559"/>
      <c r="WCZ22" s="559"/>
      <c r="WDA22" s="559"/>
      <c r="WDB22" s="559"/>
      <c r="WDC22" s="559"/>
      <c r="WDD22" s="559"/>
      <c r="WDE22" s="559"/>
      <c r="WDF22" s="559"/>
      <c r="WDG22" s="559"/>
      <c r="WDH22" s="559"/>
      <c r="WDI22" s="559"/>
      <c r="WDJ22" s="559"/>
      <c r="WDK22" s="559"/>
      <c r="WDL22" s="559"/>
      <c r="WDM22" s="559"/>
      <c r="WDN22" s="559"/>
      <c r="WDO22" s="559"/>
      <c r="WDP22" s="559"/>
      <c r="WDQ22" s="559"/>
      <c r="WDR22" s="559"/>
      <c r="WDS22" s="559"/>
      <c r="WDT22" s="559"/>
      <c r="WDU22" s="559"/>
      <c r="WDV22" s="559"/>
      <c r="WDW22" s="559"/>
      <c r="WDX22" s="559"/>
      <c r="WDY22" s="559"/>
      <c r="WDZ22" s="559"/>
      <c r="WEA22" s="559"/>
      <c r="WEB22" s="559"/>
      <c r="WEC22" s="559"/>
      <c r="WED22" s="559"/>
      <c r="WEE22" s="559"/>
      <c r="WEF22" s="559"/>
      <c r="WEG22" s="559"/>
      <c r="WEH22" s="559"/>
      <c r="WEI22" s="559"/>
      <c r="WEJ22" s="559"/>
      <c r="WEK22" s="559"/>
      <c r="WEL22" s="559"/>
      <c r="WEM22" s="559"/>
      <c r="WEN22" s="559"/>
      <c r="WEO22" s="559"/>
      <c r="WEP22" s="559"/>
      <c r="WEQ22" s="559"/>
      <c r="WER22" s="559"/>
      <c r="WES22" s="559"/>
      <c r="WET22" s="559"/>
      <c r="WEU22" s="559"/>
      <c r="WEV22" s="559"/>
      <c r="WEW22" s="559"/>
      <c r="WEX22" s="559"/>
      <c r="WEY22" s="559"/>
      <c r="WEZ22" s="559"/>
      <c r="WFA22" s="559"/>
      <c r="WFB22" s="559"/>
      <c r="WFC22" s="559"/>
      <c r="WFD22" s="559"/>
      <c r="WFE22" s="559"/>
      <c r="WFF22" s="559"/>
      <c r="WFG22" s="559"/>
      <c r="WFH22" s="559"/>
      <c r="WFI22" s="559"/>
      <c r="WFJ22" s="559"/>
      <c r="WFK22" s="559"/>
      <c r="WFL22" s="559"/>
      <c r="WFM22" s="559"/>
      <c r="WFN22" s="559"/>
      <c r="WFO22" s="559"/>
      <c r="WFP22" s="559"/>
      <c r="WFQ22" s="559"/>
      <c r="WFR22" s="559"/>
      <c r="WFS22" s="559"/>
      <c r="WFT22" s="559"/>
      <c r="WFU22" s="559"/>
      <c r="WFV22" s="559"/>
      <c r="WFW22" s="559"/>
      <c r="WFX22" s="559"/>
      <c r="WFY22" s="559"/>
      <c r="WFZ22" s="559"/>
      <c r="WGA22" s="559"/>
      <c r="WGB22" s="559"/>
      <c r="WGC22" s="559"/>
      <c r="WGD22" s="559"/>
      <c r="WGE22" s="559"/>
      <c r="WGF22" s="559"/>
      <c r="WGG22" s="559"/>
      <c r="WGH22" s="559"/>
      <c r="WGI22" s="559"/>
      <c r="WGJ22" s="559"/>
      <c r="WGK22" s="559"/>
      <c r="WGL22" s="559"/>
      <c r="WGM22" s="559"/>
      <c r="WGN22" s="559"/>
      <c r="WGO22" s="559"/>
      <c r="WGP22" s="559"/>
      <c r="WGQ22" s="559"/>
      <c r="WGR22" s="559"/>
      <c r="WGS22" s="559"/>
      <c r="WGT22" s="559"/>
      <c r="WGU22" s="559"/>
      <c r="WGV22" s="559"/>
      <c r="WGW22" s="559"/>
      <c r="WGX22" s="559"/>
      <c r="WGY22" s="559"/>
      <c r="WGZ22" s="559"/>
      <c r="WHA22" s="559"/>
      <c r="WHB22" s="559"/>
      <c r="WHC22" s="559"/>
      <c r="WHD22" s="559"/>
      <c r="WHE22" s="559"/>
      <c r="WHF22" s="559"/>
      <c r="WHG22" s="559"/>
      <c r="WHH22" s="559"/>
      <c r="WHI22" s="559"/>
      <c r="WHJ22" s="559"/>
      <c r="WHK22" s="559"/>
      <c r="WHL22" s="559"/>
      <c r="WHM22" s="559"/>
      <c r="WHN22" s="559"/>
      <c r="WHO22" s="559"/>
      <c r="WHP22" s="559"/>
      <c r="WHQ22" s="559"/>
      <c r="WHR22" s="559"/>
      <c r="WHS22" s="559"/>
      <c r="WHT22" s="559"/>
      <c r="WHU22" s="559"/>
      <c r="WHV22" s="559"/>
      <c r="WHW22" s="559"/>
      <c r="WHX22" s="559"/>
      <c r="WHY22" s="559"/>
      <c r="WHZ22" s="559"/>
      <c r="WIA22" s="559"/>
      <c r="WIB22" s="559"/>
      <c r="WIC22" s="559"/>
      <c r="WID22" s="559"/>
      <c r="WIE22" s="559"/>
      <c r="WIF22" s="559"/>
      <c r="WIG22" s="559"/>
      <c r="WIH22" s="559"/>
      <c r="WII22" s="559"/>
      <c r="WIJ22" s="559"/>
      <c r="WIK22" s="559"/>
      <c r="WIL22" s="559"/>
      <c r="WIM22" s="559"/>
      <c r="WIN22" s="559"/>
      <c r="WIO22" s="559"/>
      <c r="WIP22" s="559"/>
      <c r="WIQ22" s="559"/>
      <c r="WIR22" s="559"/>
      <c r="WIS22" s="559"/>
      <c r="WIT22" s="559"/>
      <c r="WIU22" s="559"/>
      <c r="WIV22" s="559"/>
      <c r="WIW22" s="559"/>
      <c r="WIX22" s="559"/>
      <c r="WIY22" s="559"/>
      <c r="WIZ22" s="559"/>
      <c r="WJA22" s="559"/>
      <c r="WJB22" s="559"/>
      <c r="WJC22" s="559"/>
      <c r="WJD22" s="559"/>
      <c r="WJE22" s="559"/>
      <c r="WJF22" s="559"/>
      <c r="WJG22" s="559"/>
      <c r="WJH22" s="559"/>
      <c r="WJI22" s="559"/>
      <c r="WJJ22" s="559"/>
      <c r="WJK22" s="559"/>
      <c r="WJL22" s="559"/>
      <c r="WJM22" s="559"/>
      <c r="WJN22" s="559"/>
      <c r="WJO22" s="559"/>
      <c r="WJP22" s="559"/>
      <c r="WJQ22" s="559"/>
      <c r="WJR22" s="559"/>
      <c r="WJS22" s="559"/>
      <c r="WJT22" s="559"/>
      <c r="WJU22" s="559"/>
      <c r="WJV22" s="559"/>
      <c r="WJW22" s="559"/>
      <c r="WJX22" s="559"/>
      <c r="WJY22" s="559"/>
      <c r="WJZ22" s="559"/>
      <c r="WKA22" s="559"/>
      <c r="WKB22" s="559"/>
      <c r="WKC22" s="559"/>
      <c r="WKD22" s="559"/>
      <c r="WKE22" s="559"/>
      <c r="WKF22" s="559"/>
      <c r="WKG22" s="559"/>
      <c r="WKH22" s="559"/>
      <c r="WKI22" s="559"/>
      <c r="WKJ22" s="559"/>
      <c r="WKK22" s="559"/>
      <c r="WKL22" s="559"/>
      <c r="WKM22" s="559"/>
      <c r="WKN22" s="559"/>
      <c r="WKO22" s="559"/>
      <c r="WKP22" s="559"/>
      <c r="WKQ22" s="559"/>
      <c r="WKR22" s="559"/>
      <c r="WKS22" s="559"/>
      <c r="WKT22" s="559"/>
      <c r="WKU22" s="559"/>
      <c r="WKV22" s="559"/>
      <c r="WKW22" s="559"/>
      <c r="WKX22" s="559"/>
      <c r="WKY22" s="559"/>
      <c r="WKZ22" s="559"/>
      <c r="WLA22" s="559"/>
      <c r="WLB22" s="559"/>
      <c r="WLC22" s="559"/>
      <c r="WLD22" s="559"/>
      <c r="WLE22" s="559"/>
      <c r="WLF22" s="559"/>
      <c r="WLG22" s="559"/>
      <c r="WLH22" s="559"/>
      <c r="WLI22" s="559"/>
      <c r="WLJ22" s="559"/>
      <c r="WLK22" s="559"/>
      <c r="WLL22" s="559"/>
      <c r="WLM22" s="559"/>
      <c r="WLN22" s="559"/>
      <c r="WLO22" s="559"/>
      <c r="WLP22" s="559"/>
      <c r="WLQ22" s="559"/>
      <c r="WLR22" s="559"/>
      <c r="WLS22" s="559"/>
      <c r="WLT22" s="559"/>
      <c r="WLU22" s="559"/>
      <c r="WLV22" s="559"/>
      <c r="WLW22" s="559"/>
      <c r="WLX22" s="559"/>
      <c r="WLY22" s="559"/>
      <c r="WLZ22" s="559"/>
      <c r="WMA22" s="559"/>
      <c r="WMB22" s="559"/>
      <c r="WMC22" s="559"/>
      <c r="WMD22" s="559"/>
      <c r="WME22" s="559"/>
      <c r="WMF22" s="559"/>
      <c r="WMG22" s="559"/>
      <c r="WMH22" s="559"/>
      <c r="WMI22" s="559"/>
      <c r="WMJ22" s="559"/>
      <c r="WMK22" s="559"/>
      <c r="WML22" s="559"/>
      <c r="WMM22" s="559"/>
      <c r="WMN22" s="559"/>
      <c r="WMO22" s="559"/>
      <c r="WMP22" s="559"/>
      <c r="WMQ22" s="559"/>
      <c r="WMR22" s="559"/>
      <c r="WMS22" s="559"/>
      <c r="WMT22" s="559"/>
      <c r="WMU22" s="559"/>
      <c r="WMV22" s="559"/>
      <c r="WMW22" s="559"/>
      <c r="WMX22" s="559"/>
      <c r="WMY22" s="559"/>
      <c r="WMZ22" s="559"/>
      <c r="WNA22" s="559"/>
      <c r="WNB22" s="559"/>
      <c r="WNC22" s="559"/>
      <c r="WND22" s="559"/>
      <c r="WNE22" s="559"/>
      <c r="WNF22" s="559"/>
      <c r="WNG22" s="559"/>
      <c r="WNH22" s="559"/>
      <c r="WNI22" s="559"/>
      <c r="WNJ22" s="559"/>
      <c r="WNK22" s="559"/>
      <c r="WNL22" s="559"/>
      <c r="WNM22" s="559"/>
      <c r="WNN22" s="559"/>
      <c r="WNO22" s="559"/>
      <c r="WNP22" s="559"/>
      <c r="WNQ22" s="559"/>
      <c r="WNR22" s="559"/>
      <c r="WNS22" s="559"/>
      <c r="WNT22" s="559"/>
      <c r="WNU22" s="559"/>
      <c r="WNV22" s="559"/>
      <c r="WNW22" s="559"/>
      <c r="WNX22" s="559"/>
      <c r="WNY22" s="559"/>
      <c r="WNZ22" s="559"/>
      <c r="WOA22" s="559"/>
      <c r="WOB22" s="559"/>
      <c r="WOC22" s="559"/>
      <c r="WOD22" s="559"/>
      <c r="WOE22" s="559"/>
      <c r="WOF22" s="559"/>
      <c r="WOG22" s="559"/>
      <c r="WOH22" s="559"/>
      <c r="WOI22" s="559"/>
      <c r="WOJ22" s="559"/>
      <c r="WOK22" s="559"/>
      <c r="WOL22" s="559"/>
      <c r="WOM22" s="559"/>
      <c r="WON22" s="559"/>
      <c r="WOO22" s="559"/>
      <c r="WOP22" s="559"/>
      <c r="WOQ22" s="559"/>
      <c r="WOR22" s="559"/>
      <c r="WOS22" s="559"/>
      <c r="WOT22" s="559"/>
      <c r="WOU22" s="559"/>
      <c r="WOV22" s="559"/>
      <c r="WOW22" s="559"/>
      <c r="WOX22" s="559"/>
      <c r="WOY22" s="559"/>
      <c r="WOZ22" s="559"/>
      <c r="WPA22" s="559"/>
      <c r="WPB22" s="559"/>
      <c r="WPC22" s="559"/>
      <c r="WPD22" s="559"/>
      <c r="WPE22" s="559"/>
      <c r="WPF22" s="559"/>
      <c r="WPG22" s="559"/>
      <c r="WPH22" s="559"/>
      <c r="WPI22" s="559"/>
      <c r="WPJ22" s="559"/>
      <c r="WPK22" s="559"/>
      <c r="WPL22" s="559"/>
      <c r="WPM22" s="559"/>
      <c r="WPN22" s="559"/>
      <c r="WPO22" s="559"/>
      <c r="WPP22" s="559"/>
      <c r="WPQ22" s="559"/>
      <c r="WPR22" s="559"/>
      <c r="WPS22" s="559"/>
      <c r="WPT22" s="559"/>
      <c r="WPU22" s="559"/>
      <c r="WPV22" s="559"/>
      <c r="WPW22" s="559"/>
      <c r="WPX22" s="559"/>
      <c r="WPY22" s="559"/>
      <c r="WPZ22" s="559"/>
      <c r="WQA22" s="559"/>
      <c r="WQB22" s="559"/>
      <c r="WQC22" s="559"/>
      <c r="WQD22" s="559"/>
      <c r="WQE22" s="559"/>
      <c r="WQF22" s="559"/>
      <c r="WQG22" s="559"/>
      <c r="WQH22" s="559"/>
      <c r="WQI22" s="559"/>
      <c r="WQJ22" s="559"/>
      <c r="WQK22" s="559"/>
      <c r="WQL22" s="559"/>
      <c r="WQM22" s="559"/>
      <c r="WQN22" s="559"/>
      <c r="WQO22" s="559"/>
      <c r="WQP22" s="559"/>
      <c r="WQQ22" s="559"/>
      <c r="WQR22" s="559"/>
      <c r="WQS22" s="559"/>
      <c r="WQT22" s="559"/>
      <c r="WQU22" s="559"/>
      <c r="WQV22" s="559"/>
      <c r="WQW22" s="559"/>
      <c r="WQX22" s="559"/>
      <c r="WQY22" s="559"/>
      <c r="WQZ22" s="559"/>
      <c r="WRA22" s="559"/>
      <c r="WRB22" s="559"/>
      <c r="WRC22" s="559"/>
      <c r="WRD22" s="559"/>
      <c r="WRE22" s="559"/>
      <c r="WRF22" s="559"/>
      <c r="WRG22" s="559"/>
      <c r="WRH22" s="559"/>
      <c r="WRI22" s="559"/>
      <c r="WRJ22" s="559"/>
      <c r="WRK22" s="559"/>
      <c r="WRL22" s="559"/>
      <c r="WRM22" s="559"/>
      <c r="WRN22" s="559"/>
      <c r="WRO22" s="559"/>
      <c r="WRP22" s="559"/>
      <c r="WRQ22" s="559"/>
      <c r="WRR22" s="559"/>
      <c r="WRS22" s="559"/>
      <c r="WRT22" s="559"/>
      <c r="WRU22" s="559"/>
      <c r="WRV22" s="559"/>
      <c r="WRW22" s="559"/>
      <c r="WRX22" s="559"/>
      <c r="WRY22" s="559"/>
      <c r="WRZ22" s="559"/>
      <c r="WSA22" s="559"/>
      <c r="WSB22" s="559"/>
      <c r="WSC22" s="559"/>
      <c r="WSD22" s="559"/>
      <c r="WSE22" s="559"/>
      <c r="WSF22" s="559"/>
      <c r="WSG22" s="559"/>
      <c r="WSH22" s="559"/>
      <c r="WSI22" s="559"/>
      <c r="WSJ22" s="559"/>
      <c r="WSK22" s="559"/>
      <c r="WSL22" s="559"/>
      <c r="WSM22" s="559"/>
      <c r="WSN22" s="559"/>
      <c r="WSO22" s="559"/>
      <c r="WSP22" s="559"/>
      <c r="WSQ22" s="559"/>
      <c r="WSR22" s="559"/>
      <c r="WSS22" s="559"/>
      <c r="WST22" s="559"/>
      <c r="WSU22" s="559"/>
      <c r="WSV22" s="559"/>
      <c r="WSW22" s="559"/>
      <c r="WSX22" s="559"/>
      <c r="WSY22" s="559"/>
      <c r="WSZ22" s="559"/>
      <c r="WTA22" s="559"/>
      <c r="WTB22" s="559"/>
      <c r="WTC22" s="559"/>
      <c r="WTD22" s="559"/>
      <c r="WTE22" s="559"/>
      <c r="WTF22" s="559"/>
      <c r="WTG22" s="559"/>
      <c r="WTH22" s="559"/>
      <c r="WTI22" s="559"/>
      <c r="WTJ22" s="559"/>
      <c r="WTK22" s="559"/>
      <c r="WTL22" s="559"/>
      <c r="WTM22" s="559"/>
      <c r="WTN22" s="559"/>
      <c r="WTO22" s="559"/>
      <c r="WTP22" s="559"/>
      <c r="WTQ22" s="559"/>
      <c r="WTR22" s="559"/>
      <c r="WTS22" s="559"/>
      <c r="WTT22" s="559"/>
      <c r="WTU22" s="559"/>
      <c r="WTV22" s="559"/>
      <c r="WTW22" s="559"/>
      <c r="WTX22" s="559"/>
      <c r="WTY22" s="559"/>
      <c r="WTZ22" s="559"/>
      <c r="WUA22" s="559"/>
      <c r="WUB22" s="559"/>
      <c r="WUC22" s="559"/>
      <c r="WUD22" s="559"/>
      <c r="WUE22" s="559"/>
      <c r="WUF22" s="559"/>
      <c r="WUG22" s="559"/>
      <c r="WUH22" s="559"/>
      <c r="WUI22" s="559"/>
      <c r="WUJ22" s="559"/>
      <c r="WUK22" s="559"/>
      <c r="WUL22" s="559"/>
      <c r="WUM22" s="559"/>
      <c r="WUN22" s="559"/>
      <c r="WUO22" s="559"/>
      <c r="WUP22" s="559"/>
      <c r="WUQ22" s="559"/>
      <c r="WUR22" s="559"/>
      <c r="WUS22" s="559"/>
      <c r="WUT22" s="559"/>
      <c r="WUU22" s="559"/>
      <c r="WUV22" s="559"/>
      <c r="WUW22" s="559"/>
      <c r="WUX22" s="559"/>
      <c r="WUY22" s="559"/>
      <c r="WUZ22" s="559"/>
      <c r="WVA22" s="559"/>
      <c r="WVB22" s="559"/>
      <c r="WVC22" s="559"/>
      <c r="WVD22" s="559"/>
      <c r="WVE22" s="559"/>
      <c r="WVF22" s="559"/>
      <c r="WVG22" s="559"/>
      <c r="WVH22" s="559"/>
      <c r="WVI22" s="559"/>
      <c r="WVJ22" s="559"/>
      <c r="WVK22" s="559"/>
      <c r="WVL22" s="559"/>
      <c r="WVM22" s="559"/>
      <c r="WVN22" s="559"/>
      <c r="WVO22" s="559"/>
      <c r="WVP22" s="559"/>
      <c r="WVQ22" s="559"/>
      <c r="WVR22" s="559"/>
      <c r="WVS22" s="559"/>
      <c r="WVT22" s="559"/>
      <c r="WVU22" s="559"/>
      <c r="WVV22" s="559"/>
      <c r="WVW22" s="559"/>
      <c r="WVX22" s="559"/>
      <c r="WVY22" s="559"/>
      <c r="WVZ22" s="559"/>
      <c r="WWA22" s="559"/>
      <c r="WWB22" s="559"/>
      <c r="WWC22" s="559"/>
      <c r="WWD22" s="559"/>
      <c r="WWE22" s="559"/>
      <c r="WWF22" s="559"/>
      <c r="WWG22" s="559"/>
      <c r="WWH22" s="559"/>
      <c r="WWI22" s="559"/>
      <c r="WWJ22" s="559"/>
      <c r="WWK22" s="559"/>
      <c r="WWL22" s="559"/>
      <c r="WWM22" s="559"/>
      <c r="WWN22" s="559"/>
      <c r="WWO22" s="559"/>
      <c r="WWP22" s="559"/>
      <c r="WWQ22" s="559"/>
      <c r="WWR22" s="559"/>
      <c r="WWS22" s="559"/>
      <c r="WWT22" s="559"/>
      <c r="WWU22" s="559"/>
      <c r="WWV22" s="559"/>
      <c r="WWW22" s="559"/>
      <c r="WWX22" s="559"/>
      <c r="WWY22" s="559"/>
      <c r="WWZ22" s="559"/>
      <c r="WXA22" s="559"/>
      <c r="WXB22" s="559"/>
      <c r="WXC22" s="559"/>
      <c r="WXD22" s="559"/>
      <c r="WXE22" s="559"/>
      <c r="WXF22" s="559"/>
      <c r="WXG22" s="559"/>
      <c r="WXH22" s="559"/>
      <c r="WXI22" s="559"/>
      <c r="WXJ22" s="559"/>
      <c r="WXK22" s="559"/>
      <c r="WXL22" s="559"/>
      <c r="WXM22" s="559"/>
      <c r="WXN22" s="559"/>
      <c r="WXO22" s="559"/>
      <c r="WXP22" s="559"/>
      <c r="WXQ22" s="559"/>
      <c r="WXR22" s="559"/>
      <c r="WXS22" s="559"/>
      <c r="WXT22" s="559"/>
      <c r="WXU22" s="559"/>
      <c r="WXV22" s="559"/>
      <c r="WXW22" s="559"/>
      <c r="WXX22" s="559"/>
      <c r="WXY22" s="559"/>
      <c r="WXZ22" s="559"/>
      <c r="WYA22" s="559"/>
      <c r="WYB22" s="559"/>
      <c r="WYC22" s="559"/>
      <c r="WYD22" s="559"/>
      <c r="WYE22" s="559"/>
      <c r="WYF22" s="559"/>
      <c r="WYG22" s="559"/>
      <c r="WYH22" s="559"/>
      <c r="WYI22" s="559"/>
      <c r="WYJ22" s="559"/>
      <c r="WYK22" s="559"/>
      <c r="WYL22" s="559"/>
      <c r="WYM22" s="559"/>
      <c r="WYN22" s="559"/>
      <c r="WYO22" s="559"/>
      <c r="WYP22" s="559"/>
      <c r="WYQ22" s="559"/>
      <c r="WYR22" s="559"/>
      <c r="WYS22" s="559"/>
      <c r="WYT22" s="559"/>
      <c r="WYU22" s="559"/>
      <c r="WYV22" s="559"/>
      <c r="WYW22" s="559"/>
      <c r="WYX22" s="559"/>
      <c r="WYY22" s="559"/>
      <c r="WYZ22" s="559"/>
      <c r="WZA22" s="559"/>
      <c r="WZB22" s="559"/>
      <c r="WZC22" s="559"/>
      <c r="WZD22" s="559"/>
      <c r="WZE22" s="559"/>
      <c r="WZF22" s="559"/>
      <c r="WZG22" s="559"/>
      <c r="WZH22" s="559"/>
      <c r="WZI22" s="559"/>
      <c r="WZJ22" s="559"/>
      <c r="WZK22" s="559"/>
      <c r="WZL22" s="559"/>
      <c r="WZM22" s="559"/>
      <c r="WZN22" s="559"/>
      <c r="WZO22" s="559"/>
      <c r="WZP22" s="559"/>
      <c r="WZQ22" s="559"/>
      <c r="WZR22" s="559"/>
      <c r="WZS22" s="559"/>
      <c r="WZT22" s="559"/>
      <c r="WZU22" s="559"/>
      <c r="WZV22" s="559"/>
      <c r="WZW22" s="559"/>
      <c r="WZX22" s="559"/>
      <c r="WZY22" s="559"/>
      <c r="WZZ22" s="559"/>
      <c r="XAA22" s="559"/>
      <c r="XAB22" s="559"/>
      <c r="XAC22" s="559"/>
      <c r="XAD22" s="559"/>
      <c r="XAE22" s="559"/>
      <c r="XAF22" s="559"/>
      <c r="XAG22" s="559"/>
      <c r="XAH22" s="559"/>
      <c r="XAI22" s="559"/>
      <c r="XAJ22" s="559"/>
      <c r="XAK22" s="559"/>
      <c r="XAL22" s="559"/>
      <c r="XAM22" s="559"/>
      <c r="XAN22" s="559"/>
      <c r="XAO22" s="559"/>
      <c r="XAP22" s="559"/>
      <c r="XAQ22" s="559"/>
      <c r="XAR22" s="559"/>
      <c r="XAS22" s="559"/>
      <c r="XAT22" s="559"/>
      <c r="XAU22" s="559"/>
      <c r="XAV22" s="559"/>
      <c r="XAW22" s="559"/>
      <c r="XAX22" s="559"/>
      <c r="XAY22" s="559"/>
      <c r="XAZ22" s="559"/>
      <c r="XBA22" s="559"/>
      <c r="XBB22" s="559"/>
      <c r="XBC22" s="559"/>
      <c r="XBD22" s="559"/>
      <c r="XBE22" s="559"/>
      <c r="XBF22" s="559"/>
      <c r="XBG22" s="559"/>
      <c r="XBH22" s="559"/>
      <c r="XBI22" s="559"/>
      <c r="XBJ22" s="559"/>
      <c r="XBK22" s="559"/>
      <c r="XBL22" s="559"/>
      <c r="XBM22" s="559"/>
      <c r="XBN22" s="559"/>
      <c r="XBO22" s="559"/>
      <c r="XBP22" s="559"/>
      <c r="XBQ22" s="559"/>
      <c r="XBR22" s="559"/>
      <c r="XBS22" s="559"/>
      <c r="XBT22" s="559"/>
      <c r="XBU22" s="559"/>
      <c r="XBV22" s="559"/>
      <c r="XBW22" s="559"/>
      <c r="XBX22" s="559"/>
      <c r="XBY22" s="559"/>
      <c r="XBZ22" s="559"/>
      <c r="XCA22" s="559"/>
      <c r="XCB22" s="559"/>
      <c r="XCC22" s="559"/>
      <c r="XCD22" s="559"/>
      <c r="XCE22" s="559"/>
      <c r="XCF22" s="559"/>
      <c r="XCG22" s="559"/>
      <c r="XCH22" s="559"/>
      <c r="XCI22" s="559"/>
      <c r="XCJ22" s="559"/>
      <c r="XCK22" s="559"/>
      <c r="XCL22" s="559"/>
      <c r="XCM22" s="559"/>
      <c r="XCN22" s="559"/>
      <c r="XCO22" s="559"/>
      <c r="XCP22" s="559"/>
      <c r="XCQ22" s="559"/>
      <c r="XCR22" s="559"/>
      <c r="XCS22" s="559"/>
      <c r="XCT22" s="559"/>
      <c r="XCU22" s="559"/>
      <c r="XCV22" s="559"/>
      <c r="XCW22" s="559"/>
      <c r="XCX22" s="559"/>
      <c r="XCY22" s="559"/>
      <c r="XCZ22" s="559"/>
      <c r="XDA22" s="559"/>
      <c r="XDB22" s="559"/>
      <c r="XDC22" s="559"/>
      <c r="XDD22" s="559"/>
      <c r="XDE22" s="559"/>
      <c r="XDF22" s="559"/>
      <c r="XDG22" s="559"/>
      <c r="XDH22" s="559"/>
      <c r="XDI22" s="559"/>
      <c r="XDJ22" s="559"/>
      <c r="XDK22" s="559"/>
      <c r="XDL22" s="559"/>
      <c r="XDM22" s="559"/>
      <c r="XDN22" s="559"/>
      <c r="XDO22" s="559"/>
      <c r="XDP22" s="559"/>
      <c r="XDQ22" s="559"/>
      <c r="XDR22" s="559"/>
      <c r="XDS22" s="559"/>
      <c r="XDT22" s="559"/>
      <c r="XDU22" s="559"/>
      <c r="XDV22" s="559"/>
      <c r="XDW22" s="559"/>
      <c r="XDX22" s="559"/>
      <c r="XDY22" s="559"/>
      <c r="XDZ22" s="559"/>
      <c r="XEA22" s="559"/>
      <c r="XEB22" s="559"/>
      <c r="XEC22" s="559"/>
      <c r="XED22" s="559"/>
      <c r="XEE22" s="559"/>
      <c r="XEF22" s="559"/>
      <c r="XEG22" s="559"/>
      <c r="XEH22" s="559"/>
      <c r="XEI22" s="559"/>
      <c r="XEJ22" s="559"/>
      <c r="XEK22" s="559"/>
      <c r="XEL22" s="559"/>
      <c r="XEM22" s="559"/>
      <c r="XEN22" s="559"/>
      <c r="XEO22" s="559"/>
      <c r="XEP22" s="559"/>
      <c r="XEQ22" s="559"/>
      <c r="XER22" s="559"/>
      <c r="XES22" s="559"/>
      <c r="XET22" s="559"/>
      <c r="XEU22" s="559"/>
      <c r="XEV22" s="559"/>
      <c r="XEW22" s="559"/>
      <c r="XEX22" s="559"/>
      <c r="XEY22" s="559"/>
      <c r="XEZ22" s="559"/>
      <c r="XFA22" s="559"/>
      <c r="XFB22" s="559"/>
      <c r="XFC22" s="559"/>
    </row>
    <row r="23" spans="1:16383" s="562" customFormat="1">
      <c r="A23" s="7"/>
      <c r="B23" s="559"/>
      <c r="C23" s="559"/>
      <c r="D23" s="559"/>
      <c r="E23" s="559"/>
      <c r="F23" s="566" t="s">
        <v>458</v>
      </c>
      <c r="G23" s="563">
        <f>EOMONTH(C9,-1)+1</f>
        <v>46388</v>
      </c>
      <c r="H23" s="564">
        <f>EDATE(G23,1)</f>
        <v>46419</v>
      </c>
      <c r="I23" s="564">
        <f t="shared" ref="I23:BT23" si="7">EDATE(H23,1)</f>
        <v>46447</v>
      </c>
      <c r="J23" s="564">
        <f t="shared" si="7"/>
        <v>46478</v>
      </c>
      <c r="K23" s="564">
        <f t="shared" si="7"/>
        <v>46508</v>
      </c>
      <c r="L23" s="564">
        <f t="shared" si="7"/>
        <v>46539</v>
      </c>
      <c r="M23" s="564">
        <f t="shared" si="7"/>
        <v>46569</v>
      </c>
      <c r="N23" s="564">
        <f t="shared" si="7"/>
        <v>46600</v>
      </c>
      <c r="O23" s="564">
        <f t="shared" si="7"/>
        <v>46631</v>
      </c>
      <c r="P23" s="564">
        <f t="shared" si="7"/>
        <v>46661</v>
      </c>
      <c r="Q23" s="564">
        <f t="shared" si="7"/>
        <v>46692</v>
      </c>
      <c r="R23" s="564">
        <f t="shared" si="7"/>
        <v>46722</v>
      </c>
      <c r="S23" s="564">
        <f t="shared" si="7"/>
        <v>46753</v>
      </c>
      <c r="T23" s="564">
        <f t="shared" si="7"/>
        <v>46784</v>
      </c>
      <c r="U23" s="564">
        <f t="shared" si="7"/>
        <v>46813</v>
      </c>
      <c r="V23" s="564">
        <f t="shared" si="7"/>
        <v>46844</v>
      </c>
      <c r="W23" s="564">
        <f t="shared" si="7"/>
        <v>46874</v>
      </c>
      <c r="X23" s="564">
        <f t="shared" si="7"/>
        <v>46905</v>
      </c>
      <c r="Y23" s="564">
        <f t="shared" si="7"/>
        <v>46935</v>
      </c>
      <c r="Z23" s="564">
        <f t="shared" si="7"/>
        <v>46966</v>
      </c>
      <c r="AA23" s="564">
        <f t="shared" si="7"/>
        <v>46997</v>
      </c>
      <c r="AB23" s="564">
        <f t="shared" si="7"/>
        <v>47027</v>
      </c>
      <c r="AC23" s="564">
        <f t="shared" si="7"/>
        <v>47058</v>
      </c>
      <c r="AD23" s="564">
        <f t="shared" si="7"/>
        <v>47088</v>
      </c>
      <c r="AE23" s="564">
        <f t="shared" si="7"/>
        <v>47119</v>
      </c>
      <c r="AF23" s="564">
        <f t="shared" si="7"/>
        <v>47150</v>
      </c>
      <c r="AG23" s="564">
        <f t="shared" si="7"/>
        <v>47178</v>
      </c>
      <c r="AH23" s="564">
        <f t="shared" si="7"/>
        <v>47209</v>
      </c>
      <c r="AI23" s="564">
        <f t="shared" si="7"/>
        <v>47239</v>
      </c>
      <c r="AJ23" s="564">
        <f t="shared" si="7"/>
        <v>47270</v>
      </c>
      <c r="AK23" s="564">
        <f t="shared" si="7"/>
        <v>47300</v>
      </c>
      <c r="AL23" s="564">
        <f t="shared" si="7"/>
        <v>47331</v>
      </c>
      <c r="AM23" s="564">
        <f t="shared" si="7"/>
        <v>47362</v>
      </c>
      <c r="AN23" s="564">
        <f t="shared" si="7"/>
        <v>47392</v>
      </c>
      <c r="AO23" s="564">
        <f t="shared" si="7"/>
        <v>47423</v>
      </c>
      <c r="AP23" s="564">
        <f t="shared" si="7"/>
        <v>47453</v>
      </c>
      <c r="AQ23" s="564">
        <f t="shared" si="7"/>
        <v>47484</v>
      </c>
      <c r="AR23" s="564">
        <f t="shared" si="7"/>
        <v>47515</v>
      </c>
      <c r="AS23" s="564">
        <f t="shared" si="7"/>
        <v>47543</v>
      </c>
      <c r="AT23" s="564">
        <f t="shared" si="7"/>
        <v>47574</v>
      </c>
      <c r="AU23" s="564">
        <f t="shared" si="7"/>
        <v>47604</v>
      </c>
      <c r="AV23" s="564">
        <f t="shared" si="7"/>
        <v>47635</v>
      </c>
      <c r="AW23" s="564">
        <f t="shared" si="7"/>
        <v>47665</v>
      </c>
      <c r="AX23" s="564">
        <f t="shared" si="7"/>
        <v>47696</v>
      </c>
      <c r="AY23" s="564">
        <f t="shared" si="7"/>
        <v>47727</v>
      </c>
      <c r="AZ23" s="564">
        <f t="shared" si="7"/>
        <v>47757</v>
      </c>
      <c r="BA23" s="564">
        <f t="shared" si="7"/>
        <v>47788</v>
      </c>
      <c r="BB23" s="564">
        <f t="shared" si="7"/>
        <v>47818</v>
      </c>
      <c r="BC23" s="564">
        <f t="shared" si="7"/>
        <v>47849</v>
      </c>
      <c r="BD23" s="564">
        <f t="shared" si="7"/>
        <v>47880</v>
      </c>
      <c r="BE23" s="564">
        <f t="shared" si="7"/>
        <v>47908</v>
      </c>
      <c r="BF23" s="564">
        <f t="shared" si="7"/>
        <v>47939</v>
      </c>
      <c r="BG23" s="564">
        <f t="shared" si="7"/>
        <v>47969</v>
      </c>
      <c r="BH23" s="564">
        <f t="shared" si="7"/>
        <v>48000</v>
      </c>
      <c r="BI23" s="564">
        <f t="shared" si="7"/>
        <v>48030</v>
      </c>
      <c r="BJ23" s="564">
        <f t="shared" si="7"/>
        <v>48061</v>
      </c>
      <c r="BK23" s="564">
        <f t="shared" si="7"/>
        <v>48092</v>
      </c>
      <c r="BL23" s="564">
        <f t="shared" si="7"/>
        <v>48122</v>
      </c>
      <c r="BM23" s="564">
        <f t="shared" si="7"/>
        <v>48153</v>
      </c>
      <c r="BN23" s="564">
        <f t="shared" si="7"/>
        <v>48183</v>
      </c>
      <c r="BO23" s="564">
        <f t="shared" si="7"/>
        <v>48214</v>
      </c>
      <c r="BP23" s="564">
        <f t="shared" si="7"/>
        <v>48245</v>
      </c>
      <c r="BQ23" s="564">
        <f t="shared" si="7"/>
        <v>48274</v>
      </c>
      <c r="BR23" s="564">
        <f t="shared" si="7"/>
        <v>48305</v>
      </c>
      <c r="BS23" s="564">
        <f t="shared" si="7"/>
        <v>48335</v>
      </c>
      <c r="BT23" s="564">
        <f t="shared" si="7"/>
        <v>48366</v>
      </c>
      <c r="BU23" s="564">
        <f t="shared" ref="BU23:EF23" si="8">EDATE(BT23,1)</f>
        <v>48396</v>
      </c>
      <c r="BV23" s="564">
        <f t="shared" si="8"/>
        <v>48427</v>
      </c>
      <c r="BW23" s="564">
        <f t="shared" si="8"/>
        <v>48458</v>
      </c>
      <c r="BX23" s="564">
        <f t="shared" si="8"/>
        <v>48488</v>
      </c>
      <c r="BY23" s="564">
        <f t="shared" si="8"/>
        <v>48519</v>
      </c>
      <c r="BZ23" s="564">
        <f t="shared" si="8"/>
        <v>48549</v>
      </c>
      <c r="CA23" s="564">
        <f t="shared" si="8"/>
        <v>48580</v>
      </c>
      <c r="CB23" s="564">
        <f t="shared" si="8"/>
        <v>48611</v>
      </c>
      <c r="CC23" s="564">
        <f t="shared" si="8"/>
        <v>48639</v>
      </c>
      <c r="CD23" s="564">
        <f t="shared" si="8"/>
        <v>48670</v>
      </c>
      <c r="CE23" s="564">
        <f t="shared" si="8"/>
        <v>48700</v>
      </c>
      <c r="CF23" s="564">
        <f t="shared" si="8"/>
        <v>48731</v>
      </c>
      <c r="CG23" s="564">
        <f t="shared" si="8"/>
        <v>48761</v>
      </c>
      <c r="CH23" s="564">
        <f t="shared" si="8"/>
        <v>48792</v>
      </c>
      <c r="CI23" s="564">
        <f t="shared" si="8"/>
        <v>48823</v>
      </c>
      <c r="CJ23" s="564">
        <f t="shared" si="8"/>
        <v>48853</v>
      </c>
      <c r="CK23" s="564">
        <f t="shared" si="8"/>
        <v>48884</v>
      </c>
      <c r="CL23" s="564">
        <f t="shared" si="8"/>
        <v>48914</v>
      </c>
      <c r="CM23" s="564">
        <f t="shared" si="8"/>
        <v>48945</v>
      </c>
      <c r="CN23" s="564">
        <f t="shared" si="8"/>
        <v>48976</v>
      </c>
      <c r="CO23" s="564">
        <f t="shared" si="8"/>
        <v>49004</v>
      </c>
      <c r="CP23" s="564">
        <f t="shared" si="8"/>
        <v>49035</v>
      </c>
      <c r="CQ23" s="564">
        <f t="shared" si="8"/>
        <v>49065</v>
      </c>
      <c r="CR23" s="564">
        <f t="shared" si="8"/>
        <v>49096</v>
      </c>
      <c r="CS23" s="564">
        <f t="shared" si="8"/>
        <v>49126</v>
      </c>
      <c r="CT23" s="564">
        <f t="shared" si="8"/>
        <v>49157</v>
      </c>
      <c r="CU23" s="564">
        <f t="shared" si="8"/>
        <v>49188</v>
      </c>
      <c r="CV23" s="564">
        <f t="shared" si="8"/>
        <v>49218</v>
      </c>
      <c r="CW23" s="564">
        <f t="shared" si="8"/>
        <v>49249</v>
      </c>
      <c r="CX23" s="564">
        <f t="shared" si="8"/>
        <v>49279</v>
      </c>
      <c r="CY23" s="564">
        <f t="shared" si="8"/>
        <v>49310</v>
      </c>
      <c r="CZ23" s="564">
        <f t="shared" si="8"/>
        <v>49341</v>
      </c>
      <c r="DA23" s="564">
        <f t="shared" si="8"/>
        <v>49369</v>
      </c>
      <c r="DB23" s="564">
        <f t="shared" si="8"/>
        <v>49400</v>
      </c>
      <c r="DC23" s="564">
        <f t="shared" si="8"/>
        <v>49430</v>
      </c>
      <c r="DD23" s="564">
        <f t="shared" si="8"/>
        <v>49461</v>
      </c>
      <c r="DE23" s="564">
        <f t="shared" si="8"/>
        <v>49491</v>
      </c>
      <c r="DF23" s="564">
        <f t="shared" si="8"/>
        <v>49522</v>
      </c>
      <c r="DG23" s="564">
        <f t="shared" si="8"/>
        <v>49553</v>
      </c>
      <c r="DH23" s="564">
        <f t="shared" si="8"/>
        <v>49583</v>
      </c>
      <c r="DI23" s="564">
        <f t="shared" si="8"/>
        <v>49614</v>
      </c>
      <c r="DJ23" s="564">
        <f t="shared" si="8"/>
        <v>49644</v>
      </c>
      <c r="DK23" s="564">
        <f t="shared" si="8"/>
        <v>49675</v>
      </c>
      <c r="DL23" s="564">
        <f t="shared" si="8"/>
        <v>49706</v>
      </c>
      <c r="DM23" s="564">
        <f t="shared" si="8"/>
        <v>49735</v>
      </c>
      <c r="DN23" s="564">
        <f t="shared" si="8"/>
        <v>49766</v>
      </c>
      <c r="DO23" s="564">
        <f t="shared" si="8"/>
        <v>49796</v>
      </c>
      <c r="DP23" s="564">
        <f t="shared" si="8"/>
        <v>49827</v>
      </c>
      <c r="DQ23" s="564">
        <f t="shared" si="8"/>
        <v>49857</v>
      </c>
      <c r="DR23" s="564">
        <f t="shared" si="8"/>
        <v>49888</v>
      </c>
      <c r="DS23" s="564">
        <f t="shared" si="8"/>
        <v>49919</v>
      </c>
      <c r="DT23" s="564">
        <f t="shared" si="8"/>
        <v>49949</v>
      </c>
      <c r="DU23" s="564">
        <f t="shared" si="8"/>
        <v>49980</v>
      </c>
      <c r="DV23" s="564">
        <f t="shared" si="8"/>
        <v>50010</v>
      </c>
      <c r="DW23" s="564">
        <f t="shared" si="8"/>
        <v>50041</v>
      </c>
      <c r="DX23" s="564">
        <f t="shared" si="8"/>
        <v>50072</v>
      </c>
      <c r="DY23" s="564">
        <f t="shared" si="8"/>
        <v>50100</v>
      </c>
      <c r="DZ23" s="564">
        <f t="shared" si="8"/>
        <v>50131</v>
      </c>
      <c r="EA23" s="564">
        <f t="shared" si="8"/>
        <v>50161</v>
      </c>
      <c r="EB23" s="564">
        <f t="shared" si="8"/>
        <v>50192</v>
      </c>
      <c r="EC23" s="564">
        <f t="shared" si="8"/>
        <v>50222</v>
      </c>
      <c r="ED23" s="564">
        <f t="shared" si="8"/>
        <v>50253</v>
      </c>
      <c r="EE23" s="564">
        <f t="shared" si="8"/>
        <v>50284</v>
      </c>
      <c r="EF23" s="564">
        <f t="shared" si="8"/>
        <v>50314</v>
      </c>
      <c r="EG23" s="564">
        <f t="shared" ref="EG23:GR23" si="9">EDATE(EF23,1)</f>
        <v>50345</v>
      </c>
      <c r="EH23" s="564">
        <f t="shared" si="9"/>
        <v>50375</v>
      </c>
      <c r="EI23" s="564">
        <f t="shared" si="9"/>
        <v>50406</v>
      </c>
      <c r="EJ23" s="564">
        <f t="shared" si="9"/>
        <v>50437</v>
      </c>
      <c r="EK23" s="564">
        <f t="shared" si="9"/>
        <v>50465</v>
      </c>
      <c r="EL23" s="564">
        <f t="shared" si="9"/>
        <v>50496</v>
      </c>
      <c r="EM23" s="564">
        <f t="shared" si="9"/>
        <v>50526</v>
      </c>
      <c r="EN23" s="564">
        <f t="shared" si="9"/>
        <v>50557</v>
      </c>
      <c r="EO23" s="564">
        <f t="shared" si="9"/>
        <v>50587</v>
      </c>
      <c r="EP23" s="564">
        <f t="shared" si="9"/>
        <v>50618</v>
      </c>
      <c r="EQ23" s="564">
        <f t="shared" si="9"/>
        <v>50649</v>
      </c>
      <c r="ER23" s="564">
        <f t="shared" si="9"/>
        <v>50679</v>
      </c>
      <c r="ES23" s="564">
        <f t="shared" si="9"/>
        <v>50710</v>
      </c>
      <c r="ET23" s="564">
        <f t="shared" si="9"/>
        <v>50740</v>
      </c>
      <c r="EU23" s="564">
        <f t="shared" si="9"/>
        <v>50771</v>
      </c>
      <c r="EV23" s="564">
        <f t="shared" si="9"/>
        <v>50802</v>
      </c>
      <c r="EW23" s="564">
        <f t="shared" si="9"/>
        <v>50830</v>
      </c>
      <c r="EX23" s="564">
        <f t="shared" si="9"/>
        <v>50861</v>
      </c>
      <c r="EY23" s="564">
        <f t="shared" si="9"/>
        <v>50891</v>
      </c>
      <c r="EZ23" s="564">
        <f t="shared" si="9"/>
        <v>50922</v>
      </c>
      <c r="FA23" s="564">
        <f t="shared" si="9"/>
        <v>50952</v>
      </c>
      <c r="FB23" s="564">
        <f t="shared" si="9"/>
        <v>50983</v>
      </c>
      <c r="FC23" s="564">
        <f t="shared" si="9"/>
        <v>51014</v>
      </c>
      <c r="FD23" s="564">
        <f t="shared" si="9"/>
        <v>51044</v>
      </c>
      <c r="FE23" s="564">
        <f t="shared" si="9"/>
        <v>51075</v>
      </c>
      <c r="FF23" s="564">
        <f t="shared" si="9"/>
        <v>51105</v>
      </c>
      <c r="FG23" s="564">
        <f t="shared" si="9"/>
        <v>51136</v>
      </c>
      <c r="FH23" s="564">
        <f t="shared" si="9"/>
        <v>51167</v>
      </c>
      <c r="FI23" s="564">
        <f t="shared" si="9"/>
        <v>51196</v>
      </c>
      <c r="FJ23" s="564">
        <f t="shared" si="9"/>
        <v>51227</v>
      </c>
      <c r="FK23" s="564">
        <f t="shared" si="9"/>
        <v>51257</v>
      </c>
      <c r="FL23" s="564">
        <f t="shared" si="9"/>
        <v>51288</v>
      </c>
      <c r="FM23" s="564">
        <f t="shared" si="9"/>
        <v>51318</v>
      </c>
      <c r="FN23" s="564">
        <f t="shared" si="9"/>
        <v>51349</v>
      </c>
      <c r="FO23" s="564">
        <f t="shared" si="9"/>
        <v>51380</v>
      </c>
      <c r="FP23" s="564">
        <f t="shared" si="9"/>
        <v>51410</v>
      </c>
      <c r="FQ23" s="564">
        <f t="shared" si="9"/>
        <v>51441</v>
      </c>
      <c r="FR23" s="564">
        <f t="shared" si="9"/>
        <v>51471</v>
      </c>
      <c r="FS23" s="564">
        <f t="shared" si="9"/>
        <v>51502</v>
      </c>
      <c r="FT23" s="564">
        <f t="shared" si="9"/>
        <v>51533</v>
      </c>
      <c r="FU23" s="564">
        <f t="shared" si="9"/>
        <v>51561</v>
      </c>
      <c r="FV23" s="564">
        <f t="shared" si="9"/>
        <v>51592</v>
      </c>
      <c r="FW23" s="564">
        <f t="shared" si="9"/>
        <v>51622</v>
      </c>
      <c r="FX23" s="564">
        <f t="shared" si="9"/>
        <v>51653</v>
      </c>
      <c r="FY23" s="564">
        <f t="shared" si="9"/>
        <v>51683</v>
      </c>
      <c r="FZ23" s="564">
        <f t="shared" si="9"/>
        <v>51714</v>
      </c>
      <c r="GA23" s="564">
        <f t="shared" si="9"/>
        <v>51745</v>
      </c>
      <c r="GB23" s="564">
        <f t="shared" si="9"/>
        <v>51775</v>
      </c>
      <c r="GC23" s="564">
        <f t="shared" si="9"/>
        <v>51806</v>
      </c>
      <c r="GD23" s="564">
        <f t="shared" si="9"/>
        <v>51836</v>
      </c>
      <c r="GE23" s="564">
        <f t="shared" si="9"/>
        <v>51867</v>
      </c>
      <c r="GF23" s="564">
        <f t="shared" si="9"/>
        <v>51898</v>
      </c>
      <c r="GG23" s="564">
        <f t="shared" si="9"/>
        <v>51926</v>
      </c>
      <c r="GH23" s="564">
        <f t="shared" si="9"/>
        <v>51957</v>
      </c>
      <c r="GI23" s="564">
        <f t="shared" si="9"/>
        <v>51987</v>
      </c>
      <c r="GJ23" s="564">
        <f t="shared" si="9"/>
        <v>52018</v>
      </c>
      <c r="GK23" s="564">
        <f t="shared" si="9"/>
        <v>52048</v>
      </c>
      <c r="GL23" s="564">
        <f t="shared" si="9"/>
        <v>52079</v>
      </c>
      <c r="GM23" s="564">
        <f t="shared" si="9"/>
        <v>52110</v>
      </c>
      <c r="GN23" s="564">
        <f t="shared" si="9"/>
        <v>52140</v>
      </c>
      <c r="GO23" s="564">
        <f t="shared" si="9"/>
        <v>52171</v>
      </c>
      <c r="GP23" s="564">
        <f t="shared" si="9"/>
        <v>52201</v>
      </c>
      <c r="GQ23" s="564">
        <f t="shared" si="9"/>
        <v>52232</v>
      </c>
      <c r="GR23" s="564">
        <f t="shared" si="9"/>
        <v>52263</v>
      </c>
      <c r="GS23" s="564">
        <f t="shared" ref="GS23:JD23" si="10">EDATE(GR23,1)</f>
        <v>52291</v>
      </c>
      <c r="GT23" s="564">
        <f t="shared" si="10"/>
        <v>52322</v>
      </c>
      <c r="GU23" s="564">
        <f t="shared" si="10"/>
        <v>52352</v>
      </c>
      <c r="GV23" s="564">
        <f t="shared" si="10"/>
        <v>52383</v>
      </c>
      <c r="GW23" s="564">
        <f t="shared" si="10"/>
        <v>52413</v>
      </c>
      <c r="GX23" s="564">
        <f t="shared" si="10"/>
        <v>52444</v>
      </c>
      <c r="GY23" s="564">
        <f t="shared" si="10"/>
        <v>52475</v>
      </c>
      <c r="GZ23" s="564">
        <f t="shared" si="10"/>
        <v>52505</v>
      </c>
      <c r="HA23" s="564">
        <f t="shared" si="10"/>
        <v>52536</v>
      </c>
      <c r="HB23" s="564">
        <f t="shared" si="10"/>
        <v>52566</v>
      </c>
      <c r="HC23" s="564">
        <f t="shared" si="10"/>
        <v>52597</v>
      </c>
      <c r="HD23" s="564">
        <f t="shared" si="10"/>
        <v>52628</v>
      </c>
      <c r="HE23" s="564">
        <f t="shared" si="10"/>
        <v>52657</v>
      </c>
      <c r="HF23" s="564">
        <f t="shared" si="10"/>
        <v>52688</v>
      </c>
      <c r="HG23" s="564">
        <f t="shared" si="10"/>
        <v>52718</v>
      </c>
      <c r="HH23" s="564">
        <f t="shared" si="10"/>
        <v>52749</v>
      </c>
      <c r="HI23" s="564">
        <f t="shared" si="10"/>
        <v>52779</v>
      </c>
      <c r="HJ23" s="564">
        <f t="shared" si="10"/>
        <v>52810</v>
      </c>
      <c r="HK23" s="564">
        <f t="shared" si="10"/>
        <v>52841</v>
      </c>
      <c r="HL23" s="564">
        <f t="shared" si="10"/>
        <v>52871</v>
      </c>
      <c r="HM23" s="564">
        <f t="shared" si="10"/>
        <v>52902</v>
      </c>
      <c r="HN23" s="564">
        <f t="shared" si="10"/>
        <v>52932</v>
      </c>
      <c r="HO23" s="564">
        <f t="shared" si="10"/>
        <v>52963</v>
      </c>
      <c r="HP23" s="564">
        <f t="shared" si="10"/>
        <v>52994</v>
      </c>
      <c r="HQ23" s="564">
        <f t="shared" si="10"/>
        <v>53022</v>
      </c>
      <c r="HR23" s="564">
        <f t="shared" si="10"/>
        <v>53053</v>
      </c>
      <c r="HS23" s="564">
        <f t="shared" si="10"/>
        <v>53083</v>
      </c>
      <c r="HT23" s="564">
        <f t="shared" si="10"/>
        <v>53114</v>
      </c>
      <c r="HU23" s="564">
        <f t="shared" si="10"/>
        <v>53144</v>
      </c>
      <c r="HV23" s="564">
        <f t="shared" si="10"/>
        <v>53175</v>
      </c>
      <c r="HW23" s="564">
        <f t="shared" si="10"/>
        <v>53206</v>
      </c>
      <c r="HX23" s="564">
        <f t="shared" si="10"/>
        <v>53236</v>
      </c>
      <c r="HY23" s="564">
        <f t="shared" si="10"/>
        <v>53267</v>
      </c>
      <c r="HZ23" s="564">
        <f t="shared" si="10"/>
        <v>53297</v>
      </c>
      <c r="IA23" s="564">
        <f t="shared" si="10"/>
        <v>53328</v>
      </c>
      <c r="IB23" s="564">
        <f t="shared" si="10"/>
        <v>53359</v>
      </c>
      <c r="IC23" s="564">
        <f t="shared" si="10"/>
        <v>53387</v>
      </c>
      <c r="ID23" s="564">
        <f t="shared" si="10"/>
        <v>53418</v>
      </c>
      <c r="IE23" s="564">
        <f t="shared" si="10"/>
        <v>53448</v>
      </c>
      <c r="IF23" s="564">
        <f t="shared" si="10"/>
        <v>53479</v>
      </c>
      <c r="IG23" s="564">
        <f t="shared" si="10"/>
        <v>53509</v>
      </c>
      <c r="IH23" s="564">
        <f t="shared" si="10"/>
        <v>53540</v>
      </c>
      <c r="II23" s="564">
        <f t="shared" si="10"/>
        <v>53571</v>
      </c>
      <c r="IJ23" s="564">
        <f t="shared" si="10"/>
        <v>53601</v>
      </c>
      <c r="IK23" s="564">
        <f t="shared" si="10"/>
        <v>53632</v>
      </c>
      <c r="IL23" s="564">
        <f t="shared" si="10"/>
        <v>53662</v>
      </c>
      <c r="IM23" s="564">
        <f t="shared" si="10"/>
        <v>53693</v>
      </c>
      <c r="IN23" s="564">
        <f t="shared" si="10"/>
        <v>53724</v>
      </c>
      <c r="IO23" s="564">
        <f t="shared" si="10"/>
        <v>53752</v>
      </c>
      <c r="IP23" s="564">
        <f t="shared" si="10"/>
        <v>53783</v>
      </c>
      <c r="IQ23" s="564">
        <f t="shared" si="10"/>
        <v>53813</v>
      </c>
      <c r="IR23" s="564">
        <f t="shared" si="10"/>
        <v>53844</v>
      </c>
      <c r="IS23" s="564">
        <f t="shared" si="10"/>
        <v>53874</v>
      </c>
      <c r="IT23" s="564">
        <f t="shared" si="10"/>
        <v>53905</v>
      </c>
      <c r="IU23" s="564">
        <f t="shared" si="10"/>
        <v>53936</v>
      </c>
      <c r="IV23" s="564">
        <f t="shared" si="10"/>
        <v>53966</v>
      </c>
      <c r="IW23" s="564">
        <f t="shared" si="10"/>
        <v>53997</v>
      </c>
      <c r="IX23" s="564">
        <f t="shared" si="10"/>
        <v>54027</v>
      </c>
      <c r="IY23" s="564">
        <f t="shared" si="10"/>
        <v>54058</v>
      </c>
      <c r="IZ23" s="564">
        <f t="shared" si="10"/>
        <v>54089</v>
      </c>
      <c r="JA23" s="564">
        <f t="shared" si="10"/>
        <v>54118</v>
      </c>
      <c r="JB23" s="564">
        <f t="shared" si="10"/>
        <v>54149</v>
      </c>
      <c r="JC23" s="564">
        <f t="shared" si="10"/>
        <v>54179</v>
      </c>
      <c r="JD23" s="564">
        <f t="shared" si="10"/>
        <v>54210</v>
      </c>
      <c r="JE23" s="564">
        <f t="shared" ref="JE23:LP23" si="11">EDATE(JD23,1)</f>
        <v>54240</v>
      </c>
      <c r="JF23" s="564">
        <f t="shared" si="11"/>
        <v>54271</v>
      </c>
      <c r="JG23" s="564">
        <f t="shared" si="11"/>
        <v>54302</v>
      </c>
      <c r="JH23" s="564">
        <f t="shared" si="11"/>
        <v>54332</v>
      </c>
      <c r="JI23" s="564">
        <f t="shared" si="11"/>
        <v>54363</v>
      </c>
      <c r="JJ23" s="564">
        <f t="shared" si="11"/>
        <v>54393</v>
      </c>
      <c r="JK23" s="564">
        <f t="shared" si="11"/>
        <v>54424</v>
      </c>
      <c r="JL23" s="564">
        <f t="shared" si="11"/>
        <v>54455</v>
      </c>
      <c r="JM23" s="564">
        <f t="shared" si="11"/>
        <v>54483</v>
      </c>
      <c r="JN23" s="564">
        <f t="shared" si="11"/>
        <v>54514</v>
      </c>
      <c r="JO23" s="564">
        <f t="shared" si="11"/>
        <v>54544</v>
      </c>
      <c r="JP23" s="564">
        <f t="shared" si="11"/>
        <v>54575</v>
      </c>
      <c r="JQ23" s="564">
        <f t="shared" si="11"/>
        <v>54605</v>
      </c>
      <c r="JR23" s="564">
        <f t="shared" si="11"/>
        <v>54636</v>
      </c>
      <c r="JS23" s="564">
        <f t="shared" si="11"/>
        <v>54667</v>
      </c>
      <c r="JT23" s="564">
        <f t="shared" si="11"/>
        <v>54697</v>
      </c>
      <c r="JU23" s="564">
        <f t="shared" si="11"/>
        <v>54728</v>
      </c>
      <c r="JV23" s="564">
        <f t="shared" si="11"/>
        <v>54758</v>
      </c>
      <c r="JW23" s="564">
        <f t="shared" si="11"/>
        <v>54789</v>
      </c>
      <c r="JX23" s="564">
        <f t="shared" si="11"/>
        <v>54820</v>
      </c>
      <c r="JY23" s="564">
        <f t="shared" si="11"/>
        <v>54848</v>
      </c>
      <c r="JZ23" s="564">
        <f t="shared" si="11"/>
        <v>54879</v>
      </c>
      <c r="KA23" s="564">
        <f t="shared" si="11"/>
        <v>54909</v>
      </c>
      <c r="KB23" s="564">
        <f t="shared" si="11"/>
        <v>54940</v>
      </c>
      <c r="KC23" s="564">
        <f t="shared" si="11"/>
        <v>54970</v>
      </c>
      <c r="KD23" s="564">
        <f t="shared" si="11"/>
        <v>55001</v>
      </c>
      <c r="KE23" s="564">
        <f t="shared" si="11"/>
        <v>55032</v>
      </c>
      <c r="KF23" s="564">
        <f t="shared" si="11"/>
        <v>55062</v>
      </c>
      <c r="KG23" s="564">
        <f t="shared" si="11"/>
        <v>55093</v>
      </c>
      <c r="KH23" s="564">
        <f t="shared" si="11"/>
        <v>55123</v>
      </c>
      <c r="KI23" s="564">
        <f t="shared" si="11"/>
        <v>55154</v>
      </c>
      <c r="KJ23" s="564">
        <f t="shared" si="11"/>
        <v>55185</v>
      </c>
      <c r="KK23" s="564">
        <f t="shared" si="11"/>
        <v>55213</v>
      </c>
      <c r="KL23" s="564">
        <f t="shared" si="11"/>
        <v>55244</v>
      </c>
      <c r="KM23" s="564">
        <f t="shared" si="11"/>
        <v>55274</v>
      </c>
      <c r="KN23" s="564">
        <f t="shared" si="11"/>
        <v>55305</v>
      </c>
      <c r="KO23" s="564">
        <f t="shared" si="11"/>
        <v>55335</v>
      </c>
      <c r="KP23" s="564">
        <f t="shared" si="11"/>
        <v>55366</v>
      </c>
      <c r="KQ23" s="564">
        <f t="shared" si="11"/>
        <v>55397</v>
      </c>
      <c r="KR23" s="564">
        <f t="shared" si="11"/>
        <v>55427</v>
      </c>
      <c r="KS23" s="564">
        <f t="shared" si="11"/>
        <v>55458</v>
      </c>
      <c r="KT23" s="564">
        <f t="shared" si="11"/>
        <v>55488</v>
      </c>
      <c r="KU23" s="564">
        <f t="shared" si="11"/>
        <v>55519</v>
      </c>
      <c r="KV23" s="564">
        <f t="shared" si="11"/>
        <v>55550</v>
      </c>
      <c r="KW23" s="564">
        <f t="shared" si="11"/>
        <v>55579</v>
      </c>
      <c r="KX23" s="564">
        <f t="shared" si="11"/>
        <v>55610</v>
      </c>
      <c r="KY23" s="564">
        <f t="shared" si="11"/>
        <v>55640</v>
      </c>
      <c r="KZ23" s="564">
        <f t="shared" si="11"/>
        <v>55671</v>
      </c>
      <c r="LA23" s="564">
        <f t="shared" si="11"/>
        <v>55701</v>
      </c>
      <c r="LB23" s="564">
        <f t="shared" si="11"/>
        <v>55732</v>
      </c>
      <c r="LC23" s="564">
        <f t="shared" si="11"/>
        <v>55763</v>
      </c>
      <c r="LD23" s="564">
        <f t="shared" si="11"/>
        <v>55793</v>
      </c>
      <c r="LE23" s="564">
        <f t="shared" si="11"/>
        <v>55824</v>
      </c>
      <c r="LF23" s="564">
        <f t="shared" si="11"/>
        <v>55854</v>
      </c>
      <c r="LG23" s="564">
        <f t="shared" si="11"/>
        <v>55885</v>
      </c>
      <c r="LH23" s="564">
        <f t="shared" si="11"/>
        <v>55916</v>
      </c>
      <c r="LI23" s="564">
        <f t="shared" si="11"/>
        <v>55944</v>
      </c>
      <c r="LJ23" s="564">
        <f t="shared" si="11"/>
        <v>55975</v>
      </c>
      <c r="LK23" s="564">
        <f t="shared" si="11"/>
        <v>56005</v>
      </c>
      <c r="LL23" s="564">
        <f t="shared" si="11"/>
        <v>56036</v>
      </c>
      <c r="LM23" s="564">
        <f t="shared" si="11"/>
        <v>56066</v>
      </c>
      <c r="LN23" s="564">
        <f t="shared" si="11"/>
        <v>56097</v>
      </c>
      <c r="LO23" s="564">
        <f t="shared" si="11"/>
        <v>56128</v>
      </c>
      <c r="LP23" s="564">
        <f t="shared" si="11"/>
        <v>56158</v>
      </c>
      <c r="LQ23" s="564">
        <f t="shared" ref="LQ23:OB23" si="12">EDATE(LP23,1)</f>
        <v>56189</v>
      </c>
      <c r="LR23" s="564">
        <f t="shared" si="12"/>
        <v>56219</v>
      </c>
      <c r="LS23" s="564">
        <f t="shared" si="12"/>
        <v>56250</v>
      </c>
      <c r="LT23" s="564">
        <f t="shared" si="12"/>
        <v>56281</v>
      </c>
      <c r="LU23" s="564">
        <f t="shared" si="12"/>
        <v>56309</v>
      </c>
      <c r="LV23" s="564">
        <f t="shared" si="12"/>
        <v>56340</v>
      </c>
      <c r="LW23" s="564">
        <f t="shared" si="12"/>
        <v>56370</v>
      </c>
      <c r="LX23" s="564">
        <f t="shared" si="12"/>
        <v>56401</v>
      </c>
      <c r="LY23" s="564">
        <f t="shared" si="12"/>
        <v>56431</v>
      </c>
      <c r="LZ23" s="564">
        <f t="shared" si="12"/>
        <v>56462</v>
      </c>
      <c r="MA23" s="564">
        <f t="shared" si="12"/>
        <v>56493</v>
      </c>
      <c r="MB23" s="564">
        <f t="shared" si="12"/>
        <v>56523</v>
      </c>
      <c r="MC23" s="564">
        <f t="shared" si="12"/>
        <v>56554</v>
      </c>
      <c r="MD23" s="564">
        <f t="shared" si="12"/>
        <v>56584</v>
      </c>
      <c r="ME23" s="564">
        <f t="shared" si="12"/>
        <v>56615</v>
      </c>
      <c r="MF23" s="564">
        <f t="shared" si="12"/>
        <v>56646</v>
      </c>
      <c r="MG23" s="564">
        <f t="shared" si="12"/>
        <v>56674</v>
      </c>
      <c r="MH23" s="564">
        <f t="shared" si="12"/>
        <v>56705</v>
      </c>
      <c r="MI23" s="564">
        <f t="shared" si="12"/>
        <v>56735</v>
      </c>
      <c r="MJ23" s="564">
        <f t="shared" si="12"/>
        <v>56766</v>
      </c>
      <c r="MK23" s="564">
        <f t="shared" si="12"/>
        <v>56796</v>
      </c>
      <c r="ML23" s="564">
        <f t="shared" si="12"/>
        <v>56827</v>
      </c>
      <c r="MM23" s="564">
        <f t="shared" si="12"/>
        <v>56858</v>
      </c>
      <c r="MN23" s="564">
        <f t="shared" si="12"/>
        <v>56888</v>
      </c>
      <c r="MO23" s="564">
        <f t="shared" si="12"/>
        <v>56919</v>
      </c>
      <c r="MP23" s="564">
        <f t="shared" si="12"/>
        <v>56949</v>
      </c>
      <c r="MQ23" s="564">
        <f t="shared" si="12"/>
        <v>56980</v>
      </c>
      <c r="MR23" s="564">
        <f t="shared" si="12"/>
        <v>57011</v>
      </c>
      <c r="MS23" s="564">
        <f t="shared" si="12"/>
        <v>57040</v>
      </c>
      <c r="MT23" s="564">
        <f t="shared" si="12"/>
        <v>57071</v>
      </c>
      <c r="MU23" s="564">
        <f t="shared" si="12"/>
        <v>57101</v>
      </c>
      <c r="MV23" s="564">
        <f t="shared" si="12"/>
        <v>57132</v>
      </c>
      <c r="MW23" s="564">
        <f t="shared" si="12"/>
        <v>57162</v>
      </c>
      <c r="MX23" s="564">
        <f t="shared" si="12"/>
        <v>57193</v>
      </c>
      <c r="MY23" s="564">
        <f t="shared" si="12"/>
        <v>57224</v>
      </c>
      <c r="MZ23" s="564">
        <f t="shared" si="12"/>
        <v>57254</v>
      </c>
      <c r="NA23" s="564">
        <f t="shared" si="12"/>
        <v>57285</v>
      </c>
      <c r="NB23" s="564">
        <f t="shared" si="12"/>
        <v>57315</v>
      </c>
      <c r="NC23" s="564">
        <f t="shared" si="12"/>
        <v>57346</v>
      </c>
      <c r="ND23" s="564">
        <f t="shared" si="12"/>
        <v>57377</v>
      </c>
      <c r="NE23" s="564">
        <f t="shared" si="12"/>
        <v>57405</v>
      </c>
      <c r="NF23" s="564">
        <f t="shared" si="12"/>
        <v>57436</v>
      </c>
      <c r="NG23" s="564">
        <f t="shared" si="12"/>
        <v>57466</v>
      </c>
      <c r="NH23" s="564">
        <f t="shared" si="12"/>
        <v>57497</v>
      </c>
      <c r="NI23" s="564">
        <f t="shared" si="12"/>
        <v>57527</v>
      </c>
      <c r="NJ23" s="564">
        <f t="shared" si="12"/>
        <v>57558</v>
      </c>
      <c r="NK23" s="564">
        <f t="shared" si="12"/>
        <v>57589</v>
      </c>
      <c r="NL23" s="564">
        <f t="shared" si="12"/>
        <v>57619</v>
      </c>
      <c r="NM23" s="564">
        <f t="shared" si="12"/>
        <v>57650</v>
      </c>
      <c r="NN23" s="564">
        <f t="shared" si="12"/>
        <v>57680</v>
      </c>
      <c r="NO23" s="564">
        <f t="shared" si="12"/>
        <v>57711</v>
      </c>
      <c r="NP23" s="564">
        <f t="shared" si="12"/>
        <v>57742</v>
      </c>
      <c r="NQ23" s="564">
        <f t="shared" si="12"/>
        <v>57770</v>
      </c>
      <c r="NR23" s="564">
        <f t="shared" si="12"/>
        <v>57801</v>
      </c>
      <c r="NS23" s="564">
        <f t="shared" si="12"/>
        <v>57831</v>
      </c>
      <c r="NT23" s="564">
        <f t="shared" si="12"/>
        <v>57862</v>
      </c>
      <c r="NU23" s="564">
        <f t="shared" si="12"/>
        <v>57892</v>
      </c>
      <c r="NV23" s="564">
        <f t="shared" si="12"/>
        <v>57923</v>
      </c>
      <c r="NW23" s="564">
        <f t="shared" si="12"/>
        <v>57954</v>
      </c>
      <c r="NX23" s="564">
        <f t="shared" si="12"/>
        <v>57984</v>
      </c>
      <c r="NY23" s="564">
        <f t="shared" si="12"/>
        <v>58015</v>
      </c>
      <c r="NZ23" s="564">
        <f t="shared" si="12"/>
        <v>58045</v>
      </c>
      <c r="OA23" s="564">
        <f t="shared" si="12"/>
        <v>58076</v>
      </c>
      <c r="OB23" s="564">
        <f t="shared" si="12"/>
        <v>58107</v>
      </c>
      <c r="OC23" s="564">
        <f t="shared" ref="OC23:OG23" si="13">EDATE(OB23,1)</f>
        <v>58135</v>
      </c>
      <c r="OD23" s="564">
        <f t="shared" si="13"/>
        <v>58166</v>
      </c>
      <c r="OE23" s="564">
        <f t="shared" si="13"/>
        <v>58196</v>
      </c>
      <c r="OF23" s="564">
        <f t="shared" si="13"/>
        <v>58227</v>
      </c>
      <c r="OG23" s="564">
        <f t="shared" si="13"/>
        <v>58257</v>
      </c>
      <c r="OH23" s="559"/>
      <c r="OI23" s="559"/>
      <c r="OJ23" s="559"/>
      <c r="OK23" s="559"/>
      <c r="OL23" s="559"/>
      <c r="OM23" s="559"/>
      <c r="ON23" s="559"/>
      <c r="OO23" s="559"/>
      <c r="OP23" s="559"/>
      <c r="OQ23" s="559"/>
      <c r="OR23" s="559"/>
      <c r="OS23" s="559"/>
      <c r="OT23" s="559"/>
      <c r="OU23" s="559"/>
      <c r="OV23" s="559"/>
      <c r="OW23" s="559"/>
      <c r="OX23" s="559"/>
      <c r="OY23" s="559"/>
      <c r="OZ23" s="559"/>
      <c r="PA23" s="559"/>
      <c r="PB23" s="559"/>
      <c r="PC23" s="559"/>
      <c r="PD23" s="559"/>
      <c r="PE23" s="559"/>
      <c r="PF23" s="559"/>
      <c r="PG23" s="559"/>
      <c r="PH23" s="559"/>
      <c r="PI23" s="559"/>
      <c r="PJ23" s="559"/>
      <c r="PK23" s="559"/>
      <c r="PL23" s="559"/>
      <c r="PM23" s="559"/>
      <c r="PN23" s="559"/>
      <c r="PO23" s="559"/>
      <c r="PP23" s="559"/>
      <c r="PQ23" s="559"/>
      <c r="PR23" s="559"/>
      <c r="PS23" s="559"/>
      <c r="PT23" s="559"/>
      <c r="PU23" s="559"/>
      <c r="PV23" s="559"/>
      <c r="PW23" s="559"/>
      <c r="PX23" s="559"/>
      <c r="PY23" s="559"/>
      <c r="PZ23" s="559"/>
      <c r="QA23" s="559"/>
      <c r="QB23" s="559"/>
      <c r="QC23" s="559"/>
      <c r="QD23" s="559"/>
      <c r="QE23" s="559"/>
      <c r="QF23" s="559"/>
      <c r="QG23" s="559"/>
      <c r="QH23" s="559"/>
      <c r="QI23" s="559"/>
      <c r="QJ23" s="559"/>
      <c r="QK23" s="559"/>
      <c r="QL23" s="559"/>
      <c r="QM23" s="559"/>
      <c r="QN23" s="559"/>
      <c r="QO23" s="559"/>
      <c r="QP23" s="559"/>
      <c r="QQ23" s="559"/>
      <c r="QR23" s="559"/>
      <c r="QS23" s="559"/>
      <c r="QT23" s="559"/>
      <c r="QU23" s="559"/>
      <c r="QV23" s="559"/>
      <c r="QW23" s="559"/>
      <c r="QX23" s="559"/>
      <c r="QY23" s="559"/>
      <c r="QZ23" s="559"/>
      <c r="RA23" s="559"/>
      <c r="RB23" s="559"/>
      <c r="RC23" s="559"/>
      <c r="RD23" s="559"/>
      <c r="RE23" s="559"/>
      <c r="RF23" s="559"/>
      <c r="RG23" s="559"/>
      <c r="RH23" s="559"/>
      <c r="RI23" s="559"/>
      <c r="RJ23" s="559"/>
      <c r="RK23" s="559"/>
      <c r="RL23" s="559"/>
      <c r="RM23" s="559"/>
      <c r="RN23" s="559"/>
      <c r="RO23" s="559"/>
      <c r="RP23" s="559"/>
      <c r="RQ23" s="559"/>
      <c r="RR23" s="559"/>
      <c r="RS23" s="559"/>
      <c r="RT23" s="559"/>
      <c r="RU23" s="559"/>
      <c r="RV23" s="559"/>
      <c r="RW23" s="559"/>
      <c r="RX23" s="559"/>
      <c r="RY23" s="559"/>
      <c r="RZ23" s="559"/>
      <c r="SA23" s="559"/>
      <c r="SB23" s="559"/>
      <c r="SC23" s="559"/>
      <c r="SD23" s="559"/>
      <c r="SE23" s="559"/>
      <c r="SF23" s="559"/>
      <c r="SG23" s="559"/>
      <c r="SH23" s="559"/>
      <c r="SI23" s="559"/>
      <c r="SJ23" s="559"/>
      <c r="SK23" s="559"/>
      <c r="SL23" s="559"/>
      <c r="SM23" s="559"/>
      <c r="SN23" s="559"/>
      <c r="SO23" s="559"/>
      <c r="SP23" s="559"/>
      <c r="SQ23" s="559"/>
      <c r="SR23" s="559"/>
      <c r="SS23" s="559"/>
      <c r="ST23" s="559"/>
      <c r="SU23" s="559"/>
      <c r="SV23" s="559"/>
      <c r="SW23" s="559"/>
      <c r="SX23" s="559"/>
      <c r="SY23" s="559"/>
      <c r="SZ23" s="559"/>
      <c r="TA23" s="559"/>
      <c r="TB23" s="559"/>
      <c r="TC23" s="559"/>
      <c r="TD23" s="559"/>
      <c r="TE23" s="559"/>
      <c r="TF23" s="559"/>
      <c r="TG23" s="559"/>
      <c r="TH23" s="559"/>
      <c r="TI23" s="559"/>
      <c r="TJ23" s="559"/>
      <c r="TK23" s="559"/>
      <c r="TL23" s="559"/>
      <c r="TM23" s="559"/>
      <c r="TN23" s="559"/>
      <c r="TO23" s="559"/>
      <c r="TP23" s="559"/>
      <c r="TQ23" s="559"/>
      <c r="TR23" s="559"/>
      <c r="TS23" s="559"/>
      <c r="TT23" s="559"/>
      <c r="TU23" s="559"/>
      <c r="TV23" s="559"/>
      <c r="TW23" s="559"/>
      <c r="TX23" s="559"/>
      <c r="TY23" s="559"/>
      <c r="TZ23" s="559"/>
      <c r="UA23" s="559"/>
      <c r="UB23" s="559"/>
      <c r="UC23" s="559"/>
      <c r="UD23" s="559"/>
      <c r="UE23" s="559"/>
      <c r="UF23" s="559"/>
      <c r="UG23" s="559"/>
      <c r="UH23" s="559"/>
      <c r="UI23" s="559"/>
      <c r="UJ23" s="559"/>
      <c r="UK23" s="559"/>
      <c r="UL23" s="559"/>
      <c r="UM23" s="559"/>
      <c r="UN23" s="559"/>
      <c r="UO23" s="559"/>
      <c r="UP23" s="559"/>
      <c r="UQ23" s="559"/>
      <c r="UR23" s="559"/>
      <c r="US23" s="559"/>
      <c r="UT23" s="559"/>
      <c r="UU23" s="559"/>
      <c r="UV23" s="559"/>
      <c r="UW23" s="559"/>
      <c r="UX23" s="559"/>
      <c r="UY23" s="559"/>
      <c r="UZ23" s="559"/>
      <c r="VA23" s="559"/>
      <c r="VB23" s="559"/>
      <c r="VC23" s="559"/>
      <c r="VD23" s="559"/>
      <c r="VE23" s="559"/>
      <c r="VF23" s="559"/>
      <c r="VG23" s="559"/>
      <c r="VH23" s="559"/>
      <c r="VI23" s="559"/>
      <c r="VJ23" s="559"/>
      <c r="VK23" s="559"/>
      <c r="VL23" s="559"/>
      <c r="VM23" s="559"/>
      <c r="VN23" s="559"/>
      <c r="VO23" s="559"/>
      <c r="VP23" s="559"/>
      <c r="VQ23" s="559"/>
      <c r="VR23" s="559"/>
      <c r="VS23" s="559"/>
      <c r="VT23" s="559"/>
      <c r="VU23" s="559"/>
      <c r="VV23" s="559"/>
      <c r="VW23" s="559"/>
      <c r="VX23" s="559"/>
      <c r="VY23" s="559"/>
      <c r="VZ23" s="559"/>
      <c r="WA23" s="559"/>
      <c r="WB23" s="559"/>
      <c r="WC23" s="559"/>
      <c r="WD23" s="559"/>
      <c r="WE23" s="559"/>
      <c r="WF23" s="559"/>
      <c r="WG23" s="559"/>
      <c r="WH23" s="559"/>
      <c r="WI23" s="559"/>
      <c r="WJ23" s="559"/>
      <c r="WK23" s="559"/>
      <c r="WL23" s="559"/>
      <c r="WM23" s="559"/>
      <c r="WN23" s="559"/>
      <c r="WO23" s="559"/>
      <c r="WP23" s="559"/>
      <c r="WQ23" s="559"/>
      <c r="WR23" s="559"/>
      <c r="WS23" s="559"/>
      <c r="WT23" s="559"/>
      <c r="WU23" s="559"/>
      <c r="WV23" s="559"/>
      <c r="WW23" s="559"/>
      <c r="WX23" s="559"/>
      <c r="WY23" s="559"/>
      <c r="WZ23" s="559"/>
      <c r="XA23" s="559"/>
      <c r="XB23" s="559"/>
      <c r="XC23" s="559"/>
      <c r="XD23" s="559"/>
      <c r="XE23" s="559"/>
      <c r="XF23" s="559"/>
      <c r="XG23" s="559"/>
      <c r="XH23" s="559"/>
      <c r="XI23" s="559"/>
      <c r="XJ23" s="559"/>
      <c r="XK23" s="559"/>
      <c r="XL23" s="559"/>
      <c r="XM23" s="559"/>
      <c r="XN23" s="559"/>
      <c r="XO23" s="559"/>
      <c r="XP23" s="559"/>
      <c r="XQ23" s="559"/>
      <c r="XR23" s="559"/>
      <c r="XS23" s="559"/>
      <c r="XT23" s="559"/>
      <c r="XU23" s="559"/>
      <c r="XV23" s="559"/>
      <c r="XW23" s="559"/>
      <c r="XX23" s="559"/>
      <c r="XY23" s="559"/>
      <c r="XZ23" s="559"/>
      <c r="YA23" s="559"/>
      <c r="YB23" s="559"/>
      <c r="YC23" s="559"/>
      <c r="YD23" s="559"/>
      <c r="YE23" s="559"/>
      <c r="YF23" s="559"/>
      <c r="YG23" s="559"/>
      <c r="YH23" s="559"/>
      <c r="YI23" s="559"/>
      <c r="YJ23" s="559"/>
      <c r="YK23" s="559"/>
      <c r="YL23" s="559"/>
      <c r="YM23" s="559"/>
      <c r="YN23" s="559"/>
      <c r="YO23" s="559"/>
      <c r="YP23" s="559"/>
      <c r="YQ23" s="559"/>
      <c r="YR23" s="559"/>
      <c r="YS23" s="559"/>
      <c r="YT23" s="559"/>
      <c r="YU23" s="559"/>
      <c r="YV23" s="559"/>
      <c r="YW23" s="559"/>
      <c r="YX23" s="559"/>
      <c r="YY23" s="559"/>
      <c r="YZ23" s="559"/>
      <c r="ZA23" s="559"/>
      <c r="ZB23" s="559"/>
      <c r="ZC23" s="559"/>
      <c r="ZD23" s="559"/>
      <c r="ZE23" s="559"/>
      <c r="ZF23" s="559"/>
      <c r="ZG23" s="559"/>
      <c r="ZH23" s="559"/>
      <c r="ZI23" s="559"/>
      <c r="ZJ23" s="559"/>
      <c r="ZK23" s="559"/>
      <c r="ZL23" s="559"/>
      <c r="ZM23" s="559"/>
      <c r="ZN23" s="559"/>
      <c r="ZO23" s="559"/>
      <c r="ZP23" s="559"/>
      <c r="ZQ23" s="559"/>
      <c r="ZR23" s="559"/>
      <c r="ZS23" s="559"/>
      <c r="ZT23" s="559"/>
      <c r="ZU23" s="559"/>
      <c r="ZV23" s="559"/>
      <c r="ZW23" s="559"/>
      <c r="ZX23" s="559"/>
      <c r="ZY23" s="559"/>
      <c r="ZZ23" s="559"/>
      <c r="AAA23" s="559"/>
      <c r="AAB23" s="559"/>
      <c r="AAC23" s="559"/>
      <c r="AAD23" s="559"/>
      <c r="AAE23" s="559"/>
      <c r="AAF23" s="559"/>
      <c r="AAG23" s="559"/>
      <c r="AAH23" s="559"/>
      <c r="AAI23" s="559"/>
      <c r="AAJ23" s="559"/>
      <c r="AAK23" s="559"/>
      <c r="AAL23" s="559"/>
      <c r="AAM23" s="559"/>
      <c r="AAN23" s="559"/>
      <c r="AAO23" s="559"/>
      <c r="AAP23" s="559"/>
      <c r="AAQ23" s="559"/>
      <c r="AAR23" s="559"/>
      <c r="AAS23" s="559"/>
      <c r="AAT23" s="559"/>
      <c r="AAU23" s="559"/>
      <c r="AAV23" s="559"/>
      <c r="AAW23" s="559"/>
      <c r="AAX23" s="559"/>
      <c r="AAY23" s="559"/>
      <c r="AAZ23" s="559"/>
      <c r="ABA23" s="559"/>
      <c r="ABB23" s="559"/>
      <c r="ABC23" s="559"/>
      <c r="ABD23" s="559"/>
      <c r="ABE23" s="559"/>
      <c r="ABF23" s="559"/>
      <c r="ABG23" s="559"/>
      <c r="ABH23" s="559"/>
      <c r="ABI23" s="559"/>
      <c r="ABJ23" s="559"/>
      <c r="ABK23" s="559"/>
      <c r="ABL23" s="559"/>
      <c r="ABM23" s="559"/>
      <c r="ABN23" s="559"/>
      <c r="ABO23" s="559"/>
      <c r="ABP23" s="559"/>
      <c r="ABQ23" s="559"/>
      <c r="ABR23" s="559"/>
      <c r="ABS23" s="559"/>
      <c r="ABT23" s="559"/>
      <c r="ABU23" s="559"/>
      <c r="ABV23" s="559"/>
      <c r="ABW23" s="559"/>
      <c r="ABX23" s="559"/>
      <c r="ABY23" s="559"/>
      <c r="ABZ23" s="559"/>
      <c r="ACA23" s="559"/>
      <c r="ACB23" s="559"/>
      <c r="ACC23" s="559"/>
      <c r="ACD23" s="559"/>
      <c r="ACE23" s="559"/>
      <c r="ACF23" s="559"/>
      <c r="ACG23" s="559"/>
      <c r="ACH23" s="559"/>
      <c r="ACI23" s="559"/>
      <c r="ACJ23" s="559"/>
      <c r="ACK23" s="559"/>
      <c r="ACL23" s="559"/>
      <c r="ACM23" s="559"/>
      <c r="ACN23" s="559"/>
      <c r="ACO23" s="559"/>
      <c r="ACP23" s="559"/>
      <c r="ACQ23" s="559"/>
      <c r="ACR23" s="559"/>
      <c r="ACS23" s="559"/>
      <c r="ACT23" s="559"/>
      <c r="ACU23" s="559"/>
      <c r="ACV23" s="559"/>
      <c r="ACW23" s="559"/>
      <c r="ACX23" s="559"/>
      <c r="ACY23" s="559"/>
      <c r="ACZ23" s="559"/>
      <c r="ADA23" s="559"/>
      <c r="ADB23" s="559"/>
      <c r="ADC23" s="559"/>
      <c r="ADD23" s="559"/>
      <c r="ADE23" s="559"/>
      <c r="ADF23" s="559"/>
      <c r="ADG23" s="559"/>
      <c r="ADH23" s="559"/>
      <c r="ADI23" s="559"/>
      <c r="ADJ23" s="559"/>
      <c r="ADK23" s="559"/>
      <c r="ADL23" s="559"/>
      <c r="ADM23" s="559"/>
      <c r="ADN23" s="559"/>
      <c r="ADO23" s="559"/>
      <c r="ADP23" s="559"/>
      <c r="ADQ23" s="559"/>
      <c r="ADR23" s="559"/>
      <c r="ADS23" s="559"/>
      <c r="ADT23" s="559"/>
      <c r="ADU23" s="559"/>
      <c r="ADV23" s="559"/>
      <c r="ADW23" s="559"/>
      <c r="ADX23" s="559"/>
      <c r="ADY23" s="559"/>
      <c r="ADZ23" s="559"/>
      <c r="AEA23" s="559"/>
      <c r="AEB23" s="559"/>
      <c r="AEC23" s="559"/>
      <c r="AED23" s="559"/>
      <c r="AEE23" s="559"/>
      <c r="AEF23" s="559"/>
      <c r="AEG23" s="559"/>
      <c r="AEH23" s="559"/>
      <c r="AEI23" s="559"/>
      <c r="AEJ23" s="559"/>
      <c r="AEK23" s="559"/>
      <c r="AEL23" s="559"/>
      <c r="AEM23" s="559"/>
      <c r="AEN23" s="559"/>
      <c r="AEO23" s="559"/>
      <c r="AEP23" s="559"/>
      <c r="AEQ23" s="559"/>
      <c r="AER23" s="559"/>
      <c r="AES23" s="559"/>
      <c r="AET23" s="559"/>
      <c r="AEU23" s="559"/>
      <c r="AEV23" s="559"/>
      <c r="AEW23" s="559"/>
      <c r="AEX23" s="559"/>
      <c r="AEY23" s="559"/>
      <c r="AEZ23" s="559"/>
      <c r="AFA23" s="559"/>
      <c r="AFB23" s="559"/>
      <c r="AFC23" s="559"/>
      <c r="AFD23" s="559"/>
      <c r="AFE23" s="559"/>
      <c r="AFF23" s="559"/>
      <c r="AFG23" s="559"/>
      <c r="AFH23" s="559"/>
      <c r="AFI23" s="559"/>
      <c r="AFJ23" s="559"/>
      <c r="AFK23" s="559"/>
      <c r="AFL23" s="559"/>
      <c r="AFM23" s="559"/>
      <c r="AFN23" s="559"/>
      <c r="AFO23" s="559"/>
      <c r="AFP23" s="559"/>
      <c r="AFQ23" s="559"/>
      <c r="AFR23" s="559"/>
      <c r="AFS23" s="559"/>
      <c r="AFT23" s="559"/>
      <c r="AFU23" s="559"/>
      <c r="AFV23" s="559"/>
      <c r="AFW23" s="559"/>
      <c r="AFX23" s="559"/>
      <c r="AFY23" s="559"/>
      <c r="AFZ23" s="559"/>
      <c r="AGA23" s="559"/>
      <c r="AGB23" s="559"/>
      <c r="AGC23" s="559"/>
      <c r="AGD23" s="559"/>
      <c r="AGE23" s="559"/>
      <c r="AGF23" s="559"/>
      <c r="AGG23" s="559"/>
      <c r="AGH23" s="559"/>
      <c r="AGI23" s="559"/>
      <c r="AGJ23" s="559"/>
      <c r="AGK23" s="559"/>
      <c r="AGL23" s="559"/>
      <c r="AGM23" s="559"/>
      <c r="AGN23" s="559"/>
      <c r="AGO23" s="559"/>
      <c r="AGP23" s="559"/>
      <c r="AGQ23" s="559"/>
      <c r="AGR23" s="559"/>
      <c r="AGS23" s="559"/>
      <c r="AGT23" s="559"/>
      <c r="AGU23" s="559"/>
      <c r="AGV23" s="559"/>
      <c r="AGW23" s="559"/>
      <c r="AGX23" s="559"/>
      <c r="AGY23" s="559"/>
      <c r="AGZ23" s="559"/>
      <c r="AHA23" s="559"/>
      <c r="AHB23" s="559"/>
      <c r="AHC23" s="559"/>
      <c r="AHD23" s="559"/>
      <c r="AHE23" s="559"/>
      <c r="AHF23" s="559"/>
      <c r="AHG23" s="559"/>
      <c r="AHH23" s="559"/>
      <c r="AHI23" s="559"/>
      <c r="AHJ23" s="559"/>
      <c r="AHK23" s="559"/>
      <c r="AHL23" s="559"/>
      <c r="AHM23" s="559"/>
      <c r="AHN23" s="559"/>
      <c r="AHO23" s="559"/>
      <c r="AHP23" s="559"/>
      <c r="AHQ23" s="559"/>
      <c r="AHR23" s="559"/>
      <c r="AHS23" s="559"/>
      <c r="AHT23" s="559"/>
      <c r="AHU23" s="559"/>
      <c r="AHV23" s="559"/>
      <c r="AHW23" s="559"/>
      <c r="AHX23" s="559"/>
      <c r="AHY23" s="559"/>
      <c r="AHZ23" s="559"/>
      <c r="AIA23" s="559"/>
      <c r="AIB23" s="559"/>
      <c r="AIC23" s="559"/>
      <c r="AID23" s="559"/>
      <c r="AIE23" s="559"/>
      <c r="AIF23" s="559"/>
      <c r="AIG23" s="559"/>
      <c r="AIH23" s="559"/>
      <c r="AII23" s="559"/>
      <c r="AIJ23" s="559"/>
      <c r="AIK23" s="559"/>
      <c r="AIL23" s="559"/>
      <c r="AIM23" s="559"/>
      <c r="AIN23" s="559"/>
      <c r="AIO23" s="559"/>
      <c r="AIP23" s="559"/>
      <c r="AIQ23" s="559"/>
      <c r="AIR23" s="559"/>
      <c r="AIS23" s="559"/>
      <c r="AIT23" s="559"/>
      <c r="AIU23" s="559"/>
      <c r="AIV23" s="559"/>
      <c r="AIW23" s="559"/>
      <c r="AIX23" s="559"/>
      <c r="AIY23" s="559"/>
      <c r="AIZ23" s="559"/>
      <c r="AJA23" s="559"/>
      <c r="AJB23" s="559"/>
      <c r="AJC23" s="559"/>
      <c r="AJD23" s="559"/>
      <c r="AJE23" s="559"/>
      <c r="AJF23" s="559"/>
      <c r="AJG23" s="559"/>
      <c r="AJH23" s="559"/>
      <c r="AJI23" s="559"/>
      <c r="AJJ23" s="559"/>
      <c r="AJK23" s="559"/>
      <c r="AJL23" s="559"/>
      <c r="AJM23" s="559"/>
      <c r="AJN23" s="559"/>
      <c r="AJO23" s="559"/>
      <c r="AJP23" s="559"/>
      <c r="AJQ23" s="559"/>
      <c r="AJR23" s="559"/>
      <c r="AJS23" s="559"/>
      <c r="AJT23" s="559"/>
      <c r="AJU23" s="559"/>
      <c r="AJV23" s="559"/>
      <c r="AJW23" s="559"/>
      <c r="AJX23" s="559"/>
      <c r="AJY23" s="559"/>
      <c r="AJZ23" s="559"/>
      <c r="AKA23" s="559"/>
      <c r="AKB23" s="559"/>
      <c r="AKC23" s="559"/>
      <c r="AKD23" s="559"/>
      <c r="AKE23" s="559"/>
      <c r="AKF23" s="559"/>
      <c r="AKG23" s="559"/>
      <c r="AKH23" s="559"/>
      <c r="AKI23" s="559"/>
      <c r="AKJ23" s="559"/>
      <c r="AKK23" s="559"/>
      <c r="AKL23" s="559"/>
      <c r="AKM23" s="559"/>
      <c r="AKN23" s="559"/>
      <c r="AKO23" s="559"/>
      <c r="AKP23" s="559"/>
      <c r="AKQ23" s="559"/>
      <c r="AKR23" s="559"/>
      <c r="AKS23" s="559"/>
      <c r="AKT23" s="559"/>
      <c r="AKU23" s="559"/>
      <c r="AKV23" s="559"/>
      <c r="AKW23" s="559"/>
      <c r="AKX23" s="559"/>
      <c r="AKY23" s="559"/>
      <c r="AKZ23" s="559"/>
      <c r="ALA23" s="559"/>
      <c r="ALB23" s="559"/>
      <c r="ALC23" s="559"/>
      <c r="ALD23" s="559"/>
      <c r="ALE23" s="559"/>
      <c r="ALF23" s="559"/>
      <c r="ALG23" s="559"/>
      <c r="ALH23" s="559"/>
      <c r="ALI23" s="559"/>
      <c r="ALJ23" s="559"/>
      <c r="ALK23" s="559"/>
      <c r="ALL23" s="559"/>
      <c r="ALM23" s="559"/>
      <c r="ALN23" s="559"/>
      <c r="ALO23" s="559"/>
      <c r="ALP23" s="559"/>
      <c r="ALQ23" s="559"/>
      <c r="ALR23" s="559"/>
      <c r="ALS23" s="559"/>
      <c r="ALT23" s="559"/>
      <c r="ALU23" s="559"/>
      <c r="ALV23" s="559"/>
      <c r="ALW23" s="559"/>
      <c r="ALX23" s="559"/>
      <c r="ALY23" s="559"/>
      <c r="ALZ23" s="559"/>
      <c r="AMA23" s="559"/>
      <c r="AMB23" s="559"/>
      <c r="AMC23" s="559"/>
      <c r="AMD23" s="559"/>
      <c r="AME23" s="559"/>
      <c r="AMF23" s="559"/>
      <c r="AMG23" s="559"/>
      <c r="AMH23" s="559"/>
      <c r="AMI23" s="559"/>
      <c r="AMJ23" s="559"/>
      <c r="AMK23" s="559"/>
      <c r="AML23" s="559"/>
      <c r="AMM23" s="559"/>
      <c r="AMN23" s="559"/>
      <c r="AMO23" s="559"/>
      <c r="AMP23" s="559"/>
      <c r="AMQ23" s="559"/>
      <c r="AMR23" s="559"/>
      <c r="AMS23" s="559"/>
      <c r="AMT23" s="559"/>
      <c r="AMU23" s="559"/>
      <c r="AMV23" s="559"/>
      <c r="AMW23" s="559"/>
      <c r="AMX23" s="559"/>
      <c r="AMY23" s="559"/>
      <c r="AMZ23" s="559"/>
      <c r="ANA23" s="559"/>
      <c r="ANB23" s="559"/>
      <c r="ANC23" s="559"/>
      <c r="AND23" s="559"/>
      <c r="ANE23" s="559"/>
      <c r="ANF23" s="559"/>
      <c r="ANG23" s="559"/>
      <c r="ANH23" s="559"/>
      <c r="ANI23" s="559"/>
      <c r="ANJ23" s="559"/>
      <c r="ANK23" s="559"/>
      <c r="ANL23" s="559"/>
      <c r="ANM23" s="559"/>
      <c r="ANN23" s="559"/>
      <c r="ANO23" s="559"/>
      <c r="ANP23" s="559"/>
      <c r="ANQ23" s="559"/>
      <c r="ANR23" s="559"/>
      <c r="ANS23" s="559"/>
      <c r="ANT23" s="559"/>
      <c r="ANU23" s="559"/>
      <c r="ANV23" s="559"/>
      <c r="ANW23" s="559"/>
      <c r="ANX23" s="559"/>
      <c r="ANY23" s="559"/>
      <c r="ANZ23" s="559"/>
      <c r="AOA23" s="559"/>
      <c r="AOB23" s="559"/>
      <c r="AOC23" s="559"/>
      <c r="AOD23" s="559"/>
      <c r="AOE23" s="559"/>
      <c r="AOF23" s="559"/>
      <c r="AOG23" s="559"/>
      <c r="AOH23" s="559"/>
      <c r="AOI23" s="559"/>
      <c r="AOJ23" s="559"/>
      <c r="AOK23" s="559"/>
      <c r="AOL23" s="559"/>
      <c r="AOM23" s="559"/>
      <c r="AON23" s="559"/>
      <c r="AOO23" s="559"/>
      <c r="AOP23" s="559"/>
      <c r="AOQ23" s="559"/>
      <c r="AOR23" s="559"/>
      <c r="AOS23" s="559"/>
      <c r="AOT23" s="559"/>
      <c r="AOU23" s="559"/>
      <c r="AOV23" s="559"/>
      <c r="AOW23" s="559"/>
      <c r="AOX23" s="559"/>
      <c r="AOY23" s="559"/>
      <c r="AOZ23" s="559"/>
      <c r="APA23" s="559"/>
      <c r="APB23" s="559"/>
      <c r="APC23" s="559"/>
      <c r="APD23" s="559"/>
      <c r="APE23" s="559"/>
      <c r="APF23" s="559"/>
      <c r="APG23" s="559"/>
      <c r="APH23" s="559"/>
      <c r="API23" s="559"/>
      <c r="APJ23" s="559"/>
      <c r="APK23" s="559"/>
      <c r="APL23" s="559"/>
      <c r="APM23" s="559"/>
      <c r="APN23" s="559"/>
      <c r="APO23" s="559"/>
      <c r="APP23" s="559"/>
      <c r="APQ23" s="559"/>
      <c r="APR23" s="559"/>
      <c r="APS23" s="559"/>
      <c r="APT23" s="559"/>
      <c r="APU23" s="559"/>
      <c r="APV23" s="559"/>
      <c r="APW23" s="559"/>
      <c r="APX23" s="559"/>
      <c r="APY23" s="559"/>
      <c r="APZ23" s="559"/>
      <c r="AQA23" s="559"/>
      <c r="AQB23" s="559"/>
      <c r="AQC23" s="559"/>
      <c r="AQD23" s="559"/>
      <c r="AQE23" s="559"/>
      <c r="AQF23" s="559"/>
      <c r="AQG23" s="559"/>
      <c r="AQH23" s="559"/>
      <c r="AQI23" s="559"/>
      <c r="AQJ23" s="559"/>
      <c r="AQK23" s="559"/>
      <c r="AQL23" s="559"/>
      <c r="AQM23" s="559"/>
      <c r="AQN23" s="559"/>
      <c r="AQO23" s="559"/>
      <c r="AQP23" s="559"/>
      <c r="AQQ23" s="559"/>
      <c r="AQR23" s="559"/>
      <c r="AQS23" s="559"/>
      <c r="AQT23" s="559"/>
      <c r="AQU23" s="559"/>
      <c r="AQV23" s="559"/>
      <c r="AQW23" s="559"/>
      <c r="AQX23" s="559"/>
      <c r="AQY23" s="559"/>
      <c r="AQZ23" s="559"/>
      <c r="ARA23" s="559"/>
      <c r="ARB23" s="559"/>
      <c r="ARC23" s="559"/>
      <c r="ARD23" s="559"/>
      <c r="ARE23" s="559"/>
      <c r="ARF23" s="559"/>
      <c r="ARG23" s="559"/>
      <c r="ARH23" s="559"/>
      <c r="ARI23" s="559"/>
      <c r="ARJ23" s="559"/>
      <c r="ARK23" s="559"/>
      <c r="ARL23" s="559"/>
      <c r="ARM23" s="559"/>
      <c r="ARN23" s="559"/>
      <c r="ARO23" s="559"/>
      <c r="ARP23" s="559"/>
      <c r="ARQ23" s="559"/>
      <c r="ARR23" s="559"/>
      <c r="ARS23" s="559"/>
      <c r="ART23" s="559"/>
      <c r="ARU23" s="559"/>
      <c r="ARV23" s="559"/>
      <c r="ARW23" s="559"/>
      <c r="ARX23" s="559"/>
      <c r="ARY23" s="559"/>
      <c r="ARZ23" s="559"/>
      <c r="ASA23" s="559"/>
      <c r="ASB23" s="559"/>
      <c r="ASC23" s="559"/>
      <c r="ASD23" s="559"/>
      <c r="ASE23" s="559"/>
      <c r="ASF23" s="559"/>
      <c r="ASG23" s="559"/>
      <c r="ASH23" s="559"/>
      <c r="ASI23" s="559"/>
      <c r="ASJ23" s="559"/>
      <c r="ASK23" s="559"/>
      <c r="ASL23" s="559"/>
      <c r="ASM23" s="559"/>
      <c r="ASN23" s="559"/>
      <c r="ASO23" s="559"/>
      <c r="ASP23" s="559"/>
      <c r="ASQ23" s="559"/>
      <c r="ASR23" s="559"/>
      <c r="ASS23" s="559"/>
      <c r="AST23" s="559"/>
      <c r="ASU23" s="559"/>
      <c r="ASV23" s="559"/>
      <c r="ASW23" s="559"/>
      <c r="ASX23" s="559"/>
      <c r="ASY23" s="559"/>
      <c r="ASZ23" s="559"/>
      <c r="ATA23" s="559"/>
      <c r="ATB23" s="559"/>
      <c r="ATC23" s="559"/>
      <c r="ATD23" s="559"/>
      <c r="ATE23" s="559"/>
      <c r="ATF23" s="559"/>
      <c r="ATG23" s="559"/>
      <c r="ATH23" s="559"/>
      <c r="ATI23" s="559"/>
      <c r="ATJ23" s="559"/>
      <c r="ATK23" s="559"/>
      <c r="ATL23" s="559"/>
      <c r="ATM23" s="559"/>
      <c r="ATN23" s="559"/>
      <c r="ATO23" s="559"/>
      <c r="ATP23" s="559"/>
      <c r="ATQ23" s="559"/>
      <c r="ATR23" s="559"/>
      <c r="ATS23" s="559"/>
      <c r="ATT23" s="559"/>
      <c r="ATU23" s="559"/>
      <c r="ATV23" s="559"/>
      <c r="ATW23" s="559"/>
      <c r="ATX23" s="559"/>
      <c r="ATY23" s="559"/>
      <c r="ATZ23" s="559"/>
      <c r="AUA23" s="559"/>
      <c r="AUB23" s="559"/>
      <c r="AUC23" s="559"/>
      <c r="AUD23" s="559"/>
      <c r="AUE23" s="559"/>
      <c r="AUF23" s="559"/>
      <c r="AUG23" s="559"/>
      <c r="AUH23" s="559"/>
      <c r="AUI23" s="559"/>
      <c r="AUJ23" s="559"/>
      <c r="AUK23" s="559"/>
      <c r="AUL23" s="559"/>
      <c r="AUM23" s="559"/>
      <c r="AUN23" s="559"/>
      <c r="AUO23" s="559"/>
      <c r="AUP23" s="559"/>
      <c r="AUQ23" s="559"/>
      <c r="AUR23" s="559"/>
      <c r="AUS23" s="559"/>
      <c r="AUT23" s="559"/>
      <c r="AUU23" s="559"/>
      <c r="AUV23" s="559"/>
      <c r="AUW23" s="559"/>
      <c r="AUX23" s="559"/>
      <c r="AUY23" s="559"/>
      <c r="AUZ23" s="559"/>
      <c r="AVA23" s="559"/>
      <c r="AVB23" s="559"/>
      <c r="AVC23" s="559"/>
      <c r="AVD23" s="559"/>
      <c r="AVE23" s="559"/>
      <c r="AVF23" s="559"/>
      <c r="AVG23" s="559"/>
      <c r="AVH23" s="559"/>
      <c r="AVI23" s="559"/>
      <c r="AVJ23" s="559"/>
      <c r="AVK23" s="559"/>
      <c r="AVL23" s="559"/>
      <c r="AVM23" s="559"/>
      <c r="AVN23" s="559"/>
      <c r="AVO23" s="559"/>
      <c r="AVP23" s="559"/>
      <c r="AVQ23" s="559"/>
      <c r="AVR23" s="559"/>
      <c r="AVS23" s="559"/>
      <c r="AVT23" s="559"/>
      <c r="AVU23" s="559"/>
      <c r="AVV23" s="559"/>
      <c r="AVW23" s="559"/>
      <c r="AVX23" s="559"/>
      <c r="AVY23" s="559"/>
      <c r="AVZ23" s="559"/>
      <c r="AWA23" s="559"/>
      <c r="AWB23" s="559"/>
      <c r="AWC23" s="559"/>
      <c r="AWD23" s="559"/>
      <c r="AWE23" s="559"/>
      <c r="AWF23" s="559"/>
      <c r="AWG23" s="559"/>
      <c r="AWH23" s="559"/>
      <c r="AWI23" s="559"/>
      <c r="AWJ23" s="559"/>
      <c r="AWK23" s="559"/>
      <c r="AWL23" s="559"/>
      <c r="AWM23" s="559"/>
      <c r="AWN23" s="559"/>
      <c r="AWO23" s="559"/>
      <c r="AWP23" s="559"/>
      <c r="AWQ23" s="559"/>
      <c r="AWR23" s="559"/>
      <c r="AWS23" s="559"/>
      <c r="AWT23" s="559"/>
      <c r="AWU23" s="559"/>
      <c r="AWV23" s="559"/>
      <c r="AWW23" s="559"/>
      <c r="AWX23" s="559"/>
      <c r="AWY23" s="559"/>
      <c r="AWZ23" s="559"/>
      <c r="AXA23" s="559"/>
      <c r="AXB23" s="559"/>
      <c r="AXC23" s="559"/>
      <c r="AXD23" s="559"/>
      <c r="AXE23" s="559"/>
      <c r="AXF23" s="559"/>
      <c r="AXG23" s="559"/>
      <c r="AXH23" s="559"/>
      <c r="AXI23" s="559"/>
      <c r="AXJ23" s="559"/>
      <c r="AXK23" s="559"/>
      <c r="AXL23" s="559"/>
      <c r="AXM23" s="559"/>
      <c r="AXN23" s="559"/>
      <c r="AXO23" s="559"/>
      <c r="AXP23" s="559"/>
      <c r="AXQ23" s="559"/>
      <c r="AXR23" s="559"/>
      <c r="AXS23" s="559"/>
      <c r="AXT23" s="559"/>
      <c r="AXU23" s="559"/>
      <c r="AXV23" s="559"/>
      <c r="AXW23" s="559"/>
      <c r="AXX23" s="559"/>
      <c r="AXY23" s="559"/>
      <c r="AXZ23" s="559"/>
      <c r="AYA23" s="559"/>
      <c r="AYB23" s="559"/>
      <c r="AYC23" s="559"/>
      <c r="AYD23" s="559"/>
      <c r="AYE23" s="559"/>
      <c r="AYF23" s="559"/>
      <c r="AYG23" s="559"/>
      <c r="AYH23" s="559"/>
      <c r="AYI23" s="559"/>
      <c r="AYJ23" s="559"/>
      <c r="AYK23" s="559"/>
      <c r="AYL23" s="559"/>
      <c r="AYM23" s="559"/>
      <c r="AYN23" s="559"/>
      <c r="AYO23" s="559"/>
      <c r="AYP23" s="559"/>
      <c r="AYQ23" s="559"/>
      <c r="AYR23" s="559"/>
      <c r="AYS23" s="559"/>
      <c r="AYT23" s="559"/>
      <c r="AYU23" s="559"/>
      <c r="AYV23" s="559"/>
      <c r="AYW23" s="559"/>
      <c r="AYX23" s="559"/>
      <c r="AYY23" s="559"/>
      <c r="AYZ23" s="559"/>
      <c r="AZA23" s="559"/>
      <c r="AZB23" s="559"/>
      <c r="AZC23" s="559"/>
      <c r="AZD23" s="559"/>
      <c r="AZE23" s="559"/>
      <c r="AZF23" s="559"/>
      <c r="AZG23" s="559"/>
      <c r="AZH23" s="559"/>
      <c r="AZI23" s="559"/>
      <c r="AZJ23" s="559"/>
      <c r="AZK23" s="559"/>
      <c r="AZL23" s="559"/>
      <c r="AZM23" s="559"/>
      <c r="AZN23" s="559"/>
      <c r="AZO23" s="559"/>
      <c r="AZP23" s="559"/>
      <c r="AZQ23" s="559"/>
      <c r="AZR23" s="559"/>
      <c r="AZS23" s="559"/>
      <c r="AZT23" s="559"/>
      <c r="AZU23" s="559"/>
      <c r="AZV23" s="559"/>
      <c r="AZW23" s="559"/>
      <c r="AZX23" s="559"/>
      <c r="AZY23" s="559"/>
      <c r="AZZ23" s="559"/>
      <c r="BAA23" s="559"/>
      <c r="BAB23" s="559"/>
      <c r="BAC23" s="559"/>
      <c r="BAD23" s="559"/>
      <c r="BAE23" s="559"/>
      <c r="BAF23" s="559"/>
      <c r="BAG23" s="559"/>
      <c r="BAH23" s="559"/>
      <c r="BAI23" s="559"/>
      <c r="BAJ23" s="559"/>
      <c r="BAK23" s="559"/>
      <c r="BAL23" s="559"/>
      <c r="BAM23" s="559"/>
      <c r="BAN23" s="559"/>
      <c r="BAO23" s="559"/>
      <c r="BAP23" s="559"/>
      <c r="BAQ23" s="559"/>
      <c r="BAR23" s="559"/>
      <c r="BAS23" s="559"/>
      <c r="BAT23" s="559"/>
      <c r="BAU23" s="559"/>
      <c r="BAV23" s="559"/>
      <c r="BAW23" s="559"/>
      <c r="BAX23" s="559"/>
      <c r="BAY23" s="559"/>
      <c r="BAZ23" s="559"/>
      <c r="BBA23" s="559"/>
      <c r="BBB23" s="559"/>
      <c r="BBC23" s="559"/>
      <c r="BBD23" s="559"/>
      <c r="BBE23" s="559"/>
      <c r="BBF23" s="559"/>
      <c r="BBG23" s="559"/>
      <c r="BBH23" s="559"/>
      <c r="BBI23" s="559"/>
      <c r="BBJ23" s="559"/>
      <c r="BBK23" s="559"/>
      <c r="BBL23" s="559"/>
      <c r="BBM23" s="559"/>
      <c r="BBN23" s="559"/>
      <c r="BBO23" s="559"/>
      <c r="BBP23" s="559"/>
      <c r="BBQ23" s="559"/>
      <c r="BBR23" s="559"/>
      <c r="BBS23" s="559"/>
      <c r="BBT23" s="559"/>
      <c r="BBU23" s="559"/>
      <c r="BBV23" s="559"/>
      <c r="BBW23" s="559"/>
      <c r="BBX23" s="559"/>
      <c r="BBY23" s="559"/>
      <c r="BBZ23" s="559"/>
      <c r="BCA23" s="559"/>
      <c r="BCB23" s="559"/>
      <c r="BCC23" s="559"/>
      <c r="BCD23" s="559"/>
      <c r="BCE23" s="559"/>
      <c r="BCF23" s="559"/>
      <c r="BCG23" s="559"/>
      <c r="BCH23" s="559"/>
      <c r="BCI23" s="559"/>
      <c r="BCJ23" s="559"/>
      <c r="BCK23" s="559"/>
      <c r="BCL23" s="559"/>
      <c r="BCM23" s="559"/>
      <c r="BCN23" s="559"/>
      <c r="BCO23" s="559"/>
      <c r="BCP23" s="559"/>
      <c r="BCQ23" s="559"/>
      <c r="BCR23" s="559"/>
      <c r="BCS23" s="559"/>
      <c r="BCT23" s="559"/>
      <c r="BCU23" s="559"/>
      <c r="BCV23" s="559"/>
      <c r="BCW23" s="559"/>
      <c r="BCX23" s="559"/>
      <c r="BCY23" s="559"/>
      <c r="BCZ23" s="559"/>
      <c r="BDA23" s="559"/>
      <c r="BDB23" s="559"/>
      <c r="BDC23" s="559"/>
      <c r="BDD23" s="559"/>
      <c r="BDE23" s="559"/>
      <c r="BDF23" s="559"/>
      <c r="BDG23" s="559"/>
      <c r="BDH23" s="559"/>
      <c r="BDI23" s="559"/>
      <c r="BDJ23" s="559"/>
      <c r="BDK23" s="559"/>
      <c r="BDL23" s="559"/>
      <c r="BDM23" s="559"/>
      <c r="BDN23" s="559"/>
      <c r="BDO23" s="559"/>
      <c r="BDP23" s="559"/>
      <c r="BDQ23" s="559"/>
      <c r="BDR23" s="559"/>
      <c r="BDS23" s="559"/>
      <c r="BDT23" s="559"/>
      <c r="BDU23" s="559"/>
      <c r="BDV23" s="559"/>
      <c r="BDW23" s="559"/>
      <c r="BDX23" s="559"/>
      <c r="BDY23" s="559"/>
      <c r="BDZ23" s="559"/>
      <c r="BEA23" s="559"/>
      <c r="BEB23" s="559"/>
      <c r="BEC23" s="559"/>
      <c r="BED23" s="559"/>
      <c r="BEE23" s="559"/>
      <c r="BEF23" s="559"/>
      <c r="BEG23" s="559"/>
      <c r="BEH23" s="559"/>
      <c r="BEI23" s="559"/>
      <c r="BEJ23" s="559"/>
      <c r="BEK23" s="559"/>
      <c r="BEL23" s="559"/>
      <c r="BEM23" s="559"/>
      <c r="BEN23" s="559"/>
      <c r="BEO23" s="559"/>
      <c r="BEP23" s="559"/>
      <c r="BEQ23" s="559"/>
      <c r="BER23" s="559"/>
      <c r="BES23" s="559"/>
      <c r="BET23" s="559"/>
      <c r="BEU23" s="559"/>
      <c r="BEV23" s="559"/>
      <c r="BEW23" s="559"/>
      <c r="BEX23" s="559"/>
      <c r="BEY23" s="559"/>
      <c r="BEZ23" s="559"/>
      <c r="BFA23" s="559"/>
      <c r="BFB23" s="559"/>
      <c r="BFC23" s="559"/>
      <c r="BFD23" s="559"/>
      <c r="BFE23" s="559"/>
      <c r="BFF23" s="559"/>
      <c r="BFG23" s="559"/>
      <c r="BFH23" s="559"/>
      <c r="BFI23" s="559"/>
      <c r="BFJ23" s="559"/>
      <c r="BFK23" s="559"/>
      <c r="BFL23" s="559"/>
      <c r="BFM23" s="559"/>
      <c r="BFN23" s="559"/>
      <c r="BFO23" s="559"/>
      <c r="BFP23" s="559"/>
      <c r="BFQ23" s="559"/>
      <c r="BFR23" s="559"/>
      <c r="BFS23" s="559"/>
      <c r="BFT23" s="559"/>
      <c r="BFU23" s="559"/>
      <c r="BFV23" s="559"/>
      <c r="BFW23" s="559"/>
      <c r="BFX23" s="559"/>
      <c r="BFY23" s="559"/>
      <c r="BFZ23" s="559"/>
      <c r="BGA23" s="559"/>
      <c r="BGB23" s="559"/>
      <c r="BGC23" s="559"/>
      <c r="BGD23" s="559"/>
      <c r="BGE23" s="559"/>
      <c r="BGF23" s="559"/>
      <c r="BGG23" s="559"/>
      <c r="BGH23" s="559"/>
      <c r="BGI23" s="559"/>
      <c r="BGJ23" s="559"/>
      <c r="BGK23" s="559"/>
      <c r="BGL23" s="559"/>
      <c r="BGM23" s="559"/>
      <c r="BGN23" s="559"/>
      <c r="BGO23" s="559"/>
      <c r="BGP23" s="559"/>
      <c r="BGQ23" s="559"/>
      <c r="BGR23" s="559"/>
      <c r="BGS23" s="559"/>
      <c r="BGT23" s="559"/>
      <c r="BGU23" s="559"/>
      <c r="BGV23" s="559"/>
      <c r="BGW23" s="559"/>
      <c r="BGX23" s="559"/>
      <c r="BGY23" s="559"/>
      <c r="BGZ23" s="559"/>
      <c r="BHA23" s="559"/>
      <c r="BHB23" s="559"/>
      <c r="BHC23" s="559"/>
      <c r="BHD23" s="559"/>
      <c r="BHE23" s="559"/>
      <c r="BHF23" s="559"/>
      <c r="BHG23" s="559"/>
      <c r="BHH23" s="559"/>
      <c r="BHI23" s="559"/>
      <c r="BHJ23" s="559"/>
      <c r="BHK23" s="559"/>
      <c r="BHL23" s="559"/>
      <c r="BHM23" s="559"/>
      <c r="BHN23" s="559"/>
      <c r="BHO23" s="559"/>
      <c r="BHP23" s="559"/>
      <c r="BHQ23" s="559"/>
      <c r="BHR23" s="559"/>
      <c r="BHS23" s="559"/>
      <c r="BHT23" s="559"/>
      <c r="BHU23" s="559"/>
      <c r="BHV23" s="559"/>
      <c r="BHW23" s="559"/>
      <c r="BHX23" s="559"/>
      <c r="BHY23" s="559"/>
      <c r="BHZ23" s="559"/>
      <c r="BIA23" s="559"/>
      <c r="BIB23" s="559"/>
      <c r="BIC23" s="559"/>
      <c r="BID23" s="559"/>
      <c r="BIE23" s="559"/>
      <c r="BIF23" s="559"/>
      <c r="BIG23" s="559"/>
      <c r="BIH23" s="559"/>
      <c r="BII23" s="559"/>
      <c r="BIJ23" s="559"/>
      <c r="BIK23" s="559"/>
      <c r="BIL23" s="559"/>
      <c r="BIM23" s="559"/>
      <c r="BIN23" s="559"/>
      <c r="BIO23" s="559"/>
      <c r="BIP23" s="559"/>
      <c r="BIQ23" s="559"/>
      <c r="BIR23" s="559"/>
      <c r="BIS23" s="559"/>
      <c r="BIT23" s="559"/>
      <c r="BIU23" s="559"/>
      <c r="BIV23" s="559"/>
      <c r="BIW23" s="559"/>
      <c r="BIX23" s="559"/>
      <c r="BIY23" s="559"/>
      <c r="BIZ23" s="559"/>
      <c r="BJA23" s="559"/>
      <c r="BJB23" s="559"/>
      <c r="BJC23" s="559"/>
      <c r="BJD23" s="559"/>
      <c r="BJE23" s="559"/>
      <c r="BJF23" s="559"/>
      <c r="BJG23" s="559"/>
      <c r="BJH23" s="559"/>
      <c r="BJI23" s="559"/>
      <c r="BJJ23" s="559"/>
      <c r="BJK23" s="559"/>
      <c r="BJL23" s="559"/>
      <c r="BJM23" s="559"/>
      <c r="BJN23" s="559"/>
      <c r="BJO23" s="559"/>
      <c r="BJP23" s="559"/>
      <c r="BJQ23" s="559"/>
      <c r="BJR23" s="559"/>
      <c r="BJS23" s="559"/>
      <c r="BJT23" s="559"/>
      <c r="BJU23" s="559"/>
      <c r="BJV23" s="559"/>
      <c r="BJW23" s="559"/>
      <c r="BJX23" s="559"/>
      <c r="BJY23" s="559"/>
      <c r="BJZ23" s="559"/>
      <c r="BKA23" s="559"/>
      <c r="BKB23" s="559"/>
      <c r="BKC23" s="559"/>
      <c r="BKD23" s="559"/>
      <c r="BKE23" s="559"/>
      <c r="BKF23" s="559"/>
      <c r="BKG23" s="559"/>
      <c r="BKH23" s="559"/>
      <c r="BKI23" s="559"/>
      <c r="BKJ23" s="559"/>
      <c r="BKK23" s="559"/>
      <c r="BKL23" s="559"/>
      <c r="BKM23" s="559"/>
      <c r="BKN23" s="559"/>
      <c r="BKO23" s="559"/>
      <c r="BKP23" s="559"/>
      <c r="BKQ23" s="559"/>
      <c r="BKR23" s="559"/>
      <c r="BKS23" s="559"/>
      <c r="BKT23" s="559"/>
      <c r="BKU23" s="559"/>
      <c r="BKV23" s="559"/>
      <c r="BKW23" s="559"/>
      <c r="BKX23" s="559"/>
      <c r="BKY23" s="559"/>
      <c r="BKZ23" s="559"/>
      <c r="BLA23" s="559"/>
      <c r="BLB23" s="559"/>
      <c r="BLC23" s="559"/>
      <c r="BLD23" s="559"/>
      <c r="BLE23" s="559"/>
      <c r="BLF23" s="559"/>
      <c r="BLG23" s="559"/>
      <c r="BLH23" s="559"/>
      <c r="BLI23" s="559"/>
      <c r="BLJ23" s="559"/>
      <c r="BLK23" s="559"/>
      <c r="BLL23" s="559"/>
      <c r="BLM23" s="559"/>
      <c r="BLN23" s="559"/>
      <c r="BLO23" s="559"/>
      <c r="BLP23" s="559"/>
      <c r="BLQ23" s="559"/>
      <c r="BLR23" s="559"/>
      <c r="BLS23" s="559"/>
      <c r="BLT23" s="559"/>
      <c r="BLU23" s="559"/>
      <c r="BLV23" s="559"/>
      <c r="BLW23" s="559"/>
      <c r="BLX23" s="559"/>
      <c r="BLY23" s="559"/>
      <c r="BLZ23" s="559"/>
      <c r="BMA23" s="559"/>
      <c r="BMB23" s="559"/>
      <c r="BMC23" s="559"/>
      <c r="BMD23" s="559"/>
      <c r="BME23" s="559"/>
      <c r="BMF23" s="559"/>
      <c r="BMG23" s="559"/>
      <c r="BMH23" s="559"/>
      <c r="BMI23" s="559"/>
      <c r="BMJ23" s="559"/>
      <c r="BMK23" s="559"/>
      <c r="BML23" s="559"/>
      <c r="BMM23" s="559"/>
      <c r="BMN23" s="559"/>
      <c r="BMO23" s="559"/>
      <c r="BMP23" s="559"/>
      <c r="BMQ23" s="559"/>
      <c r="BMR23" s="559"/>
      <c r="BMS23" s="559"/>
      <c r="BMT23" s="559"/>
      <c r="BMU23" s="559"/>
      <c r="BMV23" s="559"/>
      <c r="BMW23" s="559"/>
      <c r="BMX23" s="559"/>
      <c r="BMY23" s="559"/>
      <c r="BMZ23" s="559"/>
      <c r="BNA23" s="559"/>
      <c r="BNB23" s="559"/>
      <c r="BNC23" s="559"/>
      <c r="BND23" s="559"/>
      <c r="BNE23" s="559"/>
      <c r="BNF23" s="559"/>
      <c r="BNG23" s="559"/>
      <c r="BNH23" s="559"/>
      <c r="BNI23" s="559"/>
      <c r="BNJ23" s="559"/>
      <c r="BNK23" s="559"/>
      <c r="BNL23" s="559"/>
      <c r="BNM23" s="559"/>
      <c r="BNN23" s="559"/>
      <c r="BNO23" s="559"/>
      <c r="BNP23" s="559"/>
      <c r="BNQ23" s="559"/>
      <c r="BNR23" s="559"/>
      <c r="BNS23" s="559"/>
      <c r="BNT23" s="559"/>
      <c r="BNU23" s="559"/>
      <c r="BNV23" s="559"/>
      <c r="BNW23" s="559"/>
      <c r="BNX23" s="559"/>
      <c r="BNY23" s="559"/>
      <c r="BNZ23" s="559"/>
      <c r="BOA23" s="559"/>
      <c r="BOB23" s="559"/>
      <c r="BOC23" s="559"/>
      <c r="BOD23" s="559"/>
      <c r="BOE23" s="559"/>
      <c r="BOF23" s="559"/>
      <c r="BOG23" s="559"/>
      <c r="BOH23" s="559"/>
      <c r="BOI23" s="559"/>
      <c r="BOJ23" s="559"/>
      <c r="BOK23" s="559"/>
      <c r="BOL23" s="559"/>
      <c r="BOM23" s="559"/>
      <c r="BON23" s="559"/>
      <c r="BOO23" s="559"/>
      <c r="BOP23" s="559"/>
      <c r="BOQ23" s="559"/>
      <c r="BOR23" s="559"/>
      <c r="BOS23" s="559"/>
      <c r="BOT23" s="559"/>
      <c r="BOU23" s="559"/>
      <c r="BOV23" s="559"/>
      <c r="BOW23" s="559"/>
      <c r="BOX23" s="559"/>
      <c r="BOY23" s="559"/>
      <c r="BOZ23" s="559"/>
      <c r="BPA23" s="559"/>
      <c r="BPB23" s="559"/>
      <c r="BPC23" s="559"/>
      <c r="BPD23" s="559"/>
      <c r="BPE23" s="559"/>
      <c r="BPF23" s="559"/>
      <c r="BPG23" s="559"/>
      <c r="BPH23" s="559"/>
      <c r="BPI23" s="559"/>
      <c r="BPJ23" s="559"/>
      <c r="BPK23" s="559"/>
      <c r="BPL23" s="559"/>
      <c r="BPM23" s="559"/>
      <c r="BPN23" s="559"/>
      <c r="BPO23" s="559"/>
      <c r="BPP23" s="559"/>
      <c r="BPQ23" s="559"/>
      <c r="BPR23" s="559"/>
      <c r="BPS23" s="559"/>
      <c r="BPT23" s="559"/>
      <c r="BPU23" s="559"/>
      <c r="BPV23" s="559"/>
      <c r="BPW23" s="559"/>
      <c r="BPX23" s="559"/>
      <c r="BPY23" s="559"/>
      <c r="BPZ23" s="559"/>
      <c r="BQA23" s="559"/>
      <c r="BQB23" s="559"/>
      <c r="BQC23" s="559"/>
      <c r="BQD23" s="559"/>
      <c r="BQE23" s="559"/>
      <c r="BQF23" s="559"/>
      <c r="BQG23" s="559"/>
      <c r="BQH23" s="559"/>
      <c r="BQI23" s="559"/>
      <c r="BQJ23" s="559"/>
      <c r="BQK23" s="559"/>
      <c r="BQL23" s="559"/>
      <c r="BQM23" s="559"/>
      <c r="BQN23" s="559"/>
      <c r="BQO23" s="559"/>
      <c r="BQP23" s="559"/>
      <c r="BQQ23" s="559"/>
      <c r="BQR23" s="559"/>
      <c r="BQS23" s="559"/>
      <c r="BQT23" s="559"/>
      <c r="BQU23" s="559"/>
      <c r="BQV23" s="559"/>
      <c r="BQW23" s="559"/>
      <c r="BQX23" s="559"/>
      <c r="BQY23" s="559"/>
      <c r="BQZ23" s="559"/>
      <c r="BRA23" s="559"/>
      <c r="BRB23" s="559"/>
      <c r="BRC23" s="559"/>
      <c r="BRD23" s="559"/>
      <c r="BRE23" s="559"/>
      <c r="BRF23" s="559"/>
      <c r="BRG23" s="559"/>
      <c r="BRH23" s="559"/>
      <c r="BRI23" s="559"/>
      <c r="BRJ23" s="559"/>
      <c r="BRK23" s="559"/>
      <c r="BRL23" s="559"/>
      <c r="BRM23" s="559"/>
      <c r="BRN23" s="559"/>
      <c r="BRO23" s="559"/>
      <c r="BRP23" s="559"/>
      <c r="BRQ23" s="559"/>
      <c r="BRR23" s="559"/>
      <c r="BRS23" s="559"/>
      <c r="BRT23" s="559"/>
      <c r="BRU23" s="559"/>
      <c r="BRV23" s="559"/>
      <c r="BRW23" s="559"/>
      <c r="BRX23" s="559"/>
      <c r="BRY23" s="559"/>
      <c r="BRZ23" s="559"/>
      <c r="BSA23" s="559"/>
      <c r="BSB23" s="559"/>
      <c r="BSC23" s="559"/>
      <c r="BSD23" s="559"/>
      <c r="BSE23" s="559"/>
      <c r="BSF23" s="559"/>
      <c r="BSG23" s="559"/>
      <c r="BSH23" s="559"/>
      <c r="BSI23" s="559"/>
      <c r="BSJ23" s="559"/>
      <c r="BSK23" s="559"/>
      <c r="BSL23" s="559"/>
      <c r="BSM23" s="559"/>
      <c r="BSN23" s="559"/>
      <c r="BSO23" s="559"/>
      <c r="BSP23" s="559"/>
      <c r="BSQ23" s="559"/>
      <c r="BSR23" s="559"/>
      <c r="BSS23" s="559"/>
      <c r="BST23" s="559"/>
      <c r="BSU23" s="559"/>
      <c r="BSV23" s="559"/>
      <c r="BSW23" s="559"/>
      <c r="BSX23" s="559"/>
      <c r="BSY23" s="559"/>
      <c r="BSZ23" s="559"/>
      <c r="BTA23" s="559"/>
      <c r="BTB23" s="559"/>
      <c r="BTC23" s="559"/>
      <c r="BTD23" s="559"/>
      <c r="BTE23" s="559"/>
      <c r="BTF23" s="559"/>
      <c r="BTG23" s="559"/>
      <c r="BTH23" s="559"/>
      <c r="BTI23" s="559"/>
      <c r="BTJ23" s="559"/>
      <c r="BTK23" s="559"/>
      <c r="BTL23" s="559"/>
      <c r="BTM23" s="559"/>
      <c r="BTN23" s="559"/>
      <c r="BTO23" s="559"/>
      <c r="BTP23" s="559"/>
      <c r="BTQ23" s="559"/>
      <c r="BTR23" s="559"/>
      <c r="BTS23" s="559"/>
      <c r="BTT23" s="559"/>
      <c r="BTU23" s="559"/>
      <c r="BTV23" s="559"/>
      <c r="BTW23" s="559"/>
      <c r="BTX23" s="559"/>
      <c r="BTY23" s="559"/>
      <c r="BTZ23" s="559"/>
      <c r="BUA23" s="559"/>
      <c r="BUB23" s="559"/>
      <c r="BUC23" s="559"/>
      <c r="BUD23" s="559"/>
      <c r="BUE23" s="559"/>
      <c r="BUF23" s="559"/>
      <c r="BUG23" s="559"/>
      <c r="BUH23" s="559"/>
      <c r="BUI23" s="559"/>
      <c r="BUJ23" s="559"/>
      <c r="BUK23" s="559"/>
      <c r="BUL23" s="559"/>
      <c r="BUM23" s="559"/>
      <c r="BUN23" s="559"/>
      <c r="BUO23" s="559"/>
      <c r="BUP23" s="559"/>
      <c r="BUQ23" s="559"/>
      <c r="BUR23" s="559"/>
      <c r="BUS23" s="559"/>
      <c r="BUT23" s="559"/>
      <c r="BUU23" s="559"/>
      <c r="BUV23" s="559"/>
      <c r="BUW23" s="559"/>
      <c r="BUX23" s="559"/>
      <c r="BUY23" s="559"/>
      <c r="BUZ23" s="559"/>
      <c r="BVA23" s="559"/>
      <c r="BVB23" s="559"/>
      <c r="BVC23" s="559"/>
      <c r="BVD23" s="559"/>
      <c r="BVE23" s="559"/>
      <c r="BVF23" s="559"/>
      <c r="BVG23" s="559"/>
      <c r="BVH23" s="559"/>
      <c r="BVI23" s="559"/>
      <c r="BVJ23" s="559"/>
      <c r="BVK23" s="559"/>
      <c r="BVL23" s="559"/>
      <c r="BVM23" s="559"/>
      <c r="BVN23" s="559"/>
      <c r="BVO23" s="559"/>
      <c r="BVP23" s="559"/>
      <c r="BVQ23" s="559"/>
      <c r="BVR23" s="559"/>
      <c r="BVS23" s="559"/>
      <c r="BVT23" s="559"/>
      <c r="BVU23" s="559"/>
      <c r="BVV23" s="559"/>
      <c r="BVW23" s="559"/>
      <c r="BVX23" s="559"/>
      <c r="BVY23" s="559"/>
      <c r="BVZ23" s="559"/>
      <c r="BWA23" s="559"/>
      <c r="BWB23" s="559"/>
      <c r="BWC23" s="559"/>
      <c r="BWD23" s="559"/>
      <c r="BWE23" s="559"/>
      <c r="BWF23" s="559"/>
      <c r="BWG23" s="559"/>
      <c r="BWH23" s="559"/>
      <c r="BWI23" s="559"/>
      <c r="BWJ23" s="559"/>
      <c r="BWK23" s="559"/>
      <c r="BWL23" s="559"/>
      <c r="BWM23" s="559"/>
      <c r="BWN23" s="559"/>
      <c r="BWO23" s="559"/>
      <c r="BWP23" s="559"/>
      <c r="BWQ23" s="559"/>
      <c r="BWR23" s="559"/>
      <c r="BWS23" s="559"/>
      <c r="BWT23" s="559"/>
      <c r="BWU23" s="559"/>
      <c r="BWV23" s="559"/>
      <c r="BWW23" s="559"/>
      <c r="BWX23" s="559"/>
      <c r="BWY23" s="559"/>
      <c r="BWZ23" s="559"/>
      <c r="BXA23" s="559"/>
      <c r="BXB23" s="559"/>
      <c r="BXC23" s="559"/>
      <c r="BXD23" s="559"/>
      <c r="BXE23" s="559"/>
      <c r="BXF23" s="559"/>
      <c r="BXG23" s="559"/>
      <c r="BXH23" s="559"/>
      <c r="BXI23" s="559"/>
      <c r="BXJ23" s="559"/>
      <c r="BXK23" s="559"/>
      <c r="BXL23" s="559"/>
      <c r="BXM23" s="559"/>
      <c r="BXN23" s="559"/>
      <c r="BXO23" s="559"/>
      <c r="BXP23" s="559"/>
      <c r="BXQ23" s="559"/>
      <c r="BXR23" s="559"/>
      <c r="BXS23" s="559"/>
      <c r="BXT23" s="559"/>
      <c r="BXU23" s="559"/>
      <c r="BXV23" s="559"/>
      <c r="BXW23" s="559"/>
      <c r="BXX23" s="559"/>
      <c r="BXY23" s="559"/>
      <c r="BXZ23" s="559"/>
      <c r="BYA23" s="559"/>
      <c r="BYB23" s="559"/>
      <c r="BYC23" s="559"/>
      <c r="BYD23" s="559"/>
      <c r="BYE23" s="559"/>
      <c r="BYF23" s="559"/>
      <c r="BYG23" s="559"/>
      <c r="BYH23" s="559"/>
      <c r="BYI23" s="559"/>
      <c r="BYJ23" s="559"/>
      <c r="BYK23" s="559"/>
      <c r="BYL23" s="559"/>
      <c r="BYM23" s="559"/>
      <c r="BYN23" s="559"/>
      <c r="BYO23" s="559"/>
      <c r="BYP23" s="559"/>
      <c r="BYQ23" s="559"/>
      <c r="BYR23" s="559"/>
      <c r="BYS23" s="559"/>
      <c r="BYT23" s="559"/>
      <c r="BYU23" s="559"/>
      <c r="BYV23" s="559"/>
      <c r="BYW23" s="559"/>
      <c r="BYX23" s="559"/>
      <c r="BYY23" s="559"/>
      <c r="BYZ23" s="559"/>
      <c r="BZA23" s="559"/>
      <c r="BZB23" s="559"/>
      <c r="BZC23" s="559"/>
      <c r="BZD23" s="559"/>
      <c r="BZE23" s="559"/>
      <c r="BZF23" s="559"/>
      <c r="BZG23" s="559"/>
      <c r="BZH23" s="559"/>
      <c r="BZI23" s="559"/>
      <c r="BZJ23" s="559"/>
      <c r="BZK23" s="559"/>
      <c r="BZL23" s="559"/>
      <c r="BZM23" s="559"/>
      <c r="BZN23" s="559"/>
      <c r="BZO23" s="559"/>
      <c r="BZP23" s="559"/>
      <c r="BZQ23" s="559"/>
      <c r="BZR23" s="559"/>
      <c r="BZS23" s="559"/>
      <c r="BZT23" s="559"/>
      <c r="BZU23" s="559"/>
      <c r="BZV23" s="559"/>
      <c r="BZW23" s="559"/>
      <c r="BZX23" s="559"/>
      <c r="BZY23" s="559"/>
      <c r="BZZ23" s="559"/>
      <c r="CAA23" s="559"/>
      <c r="CAB23" s="559"/>
      <c r="CAC23" s="559"/>
      <c r="CAD23" s="559"/>
      <c r="CAE23" s="559"/>
      <c r="CAF23" s="559"/>
      <c r="CAG23" s="559"/>
      <c r="CAH23" s="559"/>
      <c r="CAI23" s="559"/>
      <c r="CAJ23" s="559"/>
      <c r="CAK23" s="559"/>
      <c r="CAL23" s="559"/>
      <c r="CAM23" s="559"/>
      <c r="CAN23" s="559"/>
      <c r="CAO23" s="559"/>
      <c r="CAP23" s="559"/>
      <c r="CAQ23" s="559"/>
      <c r="CAR23" s="559"/>
      <c r="CAS23" s="559"/>
      <c r="CAT23" s="559"/>
      <c r="CAU23" s="559"/>
      <c r="CAV23" s="559"/>
      <c r="CAW23" s="559"/>
      <c r="CAX23" s="559"/>
      <c r="CAY23" s="559"/>
      <c r="CAZ23" s="559"/>
      <c r="CBA23" s="559"/>
      <c r="CBB23" s="559"/>
      <c r="CBC23" s="559"/>
      <c r="CBD23" s="559"/>
      <c r="CBE23" s="559"/>
      <c r="CBF23" s="559"/>
      <c r="CBG23" s="559"/>
      <c r="CBH23" s="559"/>
      <c r="CBI23" s="559"/>
      <c r="CBJ23" s="559"/>
      <c r="CBK23" s="559"/>
      <c r="CBL23" s="559"/>
      <c r="CBM23" s="559"/>
      <c r="CBN23" s="559"/>
      <c r="CBO23" s="559"/>
      <c r="CBP23" s="559"/>
      <c r="CBQ23" s="559"/>
      <c r="CBR23" s="559"/>
      <c r="CBS23" s="559"/>
      <c r="CBT23" s="559"/>
      <c r="CBU23" s="559"/>
      <c r="CBV23" s="559"/>
      <c r="CBW23" s="559"/>
      <c r="CBX23" s="559"/>
      <c r="CBY23" s="559"/>
      <c r="CBZ23" s="559"/>
      <c r="CCA23" s="559"/>
      <c r="CCB23" s="559"/>
      <c r="CCC23" s="559"/>
      <c r="CCD23" s="559"/>
      <c r="CCE23" s="559"/>
      <c r="CCF23" s="559"/>
      <c r="CCG23" s="559"/>
      <c r="CCH23" s="559"/>
      <c r="CCI23" s="559"/>
      <c r="CCJ23" s="559"/>
      <c r="CCK23" s="559"/>
      <c r="CCL23" s="559"/>
      <c r="CCM23" s="559"/>
      <c r="CCN23" s="559"/>
      <c r="CCO23" s="559"/>
      <c r="CCP23" s="559"/>
      <c r="CCQ23" s="559"/>
      <c r="CCR23" s="559"/>
      <c r="CCS23" s="559"/>
      <c r="CCT23" s="559"/>
      <c r="CCU23" s="559"/>
      <c r="CCV23" s="559"/>
      <c r="CCW23" s="559"/>
      <c r="CCX23" s="559"/>
      <c r="CCY23" s="559"/>
      <c r="CCZ23" s="559"/>
      <c r="CDA23" s="559"/>
      <c r="CDB23" s="559"/>
      <c r="CDC23" s="559"/>
      <c r="CDD23" s="559"/>
      <c r="CDE23" s="559"/>
      <c r="CDF23" s="559"/>
      <c r="CDG23" s="559"/>
      <c r="CDH23" s="559"/>
      <c r="CDI23" s="559"/>
      <c r="CDJ23" s="559"/>
      <c r="CDK23" s="559"/>
      <c r="CDL23" s="559"/>
      <c r="CDM23" s="559"/>
      <c r="CDN23" s="559"/>
      <c r="CDO23" s="559"/>
      <c r="CDP23" s="559"/>
      <c r="CDQ23" s="559"/>
      <c r="CDR23" s="559"/>
      <c r="CDS23" s="559"/>
      <c r="CDT23" s="559"/>
      <c r="CDU23" s="559"/>
      <c r="CDV23" s="559"/>
      <c r="CDW23" s="559"/>
      <c r="CDX23" s="559"/>
      <c r="CDY23" s="559"/>
      <c r="CDZ23" s="559"/>
      <c r="CEA23" s="559"/>
      <c r="CEB23" s="559"/>
      <c r="CEC23" s="559"/>
      <c r="CED23" s="559"/>
      <c r="CEE23" s="559"/>
      <c r="CEF23" s="559"/>
      <c r="CEG23" s="559"/>
      <c r="CEH23" s="559"/>
      <c r="CEI23" s="559"/>
      <c r="CEJ23" s="559"/>
      <c r="CEK23" s="559"/>
      <c r="CEL23" s="559"/>
      <c r="CEM23" s="559"/>
      <c r="CEN23" s="559"/>
      <c r="CEO23" s="559"/>
      <c r="CEP23" s="559"/>
      <c r="CEQ23" s="559"/>
      <c r="CER23" s="559"/>
      <c r="CES23" s="559"/>
      <c r="CET23" s="559"/>
      <c r="CEU23" s="559"/>
      <c r="CEV23" s="559"/>
      <c r="CEW23" s="559"/>
      <c r="CEX23" s="559"/>
      <c r="CEY23" s="559"/>
      <c r="CEZ23" s="559"/>
      <c r="CFA23" s="559"/>
      <c r="CFB23" s="559"/>
      <c r="CFC23" s="559"/>
      <c r="CFD23" s="559"/>
      <c r="CFE23" s="559"/>
      <c r="CFF23" s="559"/>
      <c r="CFG23" s="559"/>
      <c r="CFH23" s="559"/>
      <c r="CFI23" s="559"/>
      <c r="CFJ23" s="559"/>
      <c r="CFK23" s="559"/>
      <c r="CFL23" s="559"/>
      <c r="CFM23" s="559"/>
      <c r="CFN23" s="559"/>
      <c r="CFO23" s="559"/>
      <c r="CFP23" s="559"/>
      <c r="CFQ23" s="559"/>
      <c r="CFR23" s="559"/>
      <c r="CFS23" s="559"/>
      <c r="CFT23" s="559"/>
      <c r="CFU23" s="559"/>
      <c r="CFV23" s="559"/>
      <c r="CFW23" s="559"/>
      <c r="CFX23" s="559"/>
      <c r="CFY23" s="559"/>
      <c r="CFZ23" s="559"/>
      <c r="CGA23" s="559"/>
      <c r="CGB23" s="559"/>
      <c r="CGC23" s="559"/>
      <c r="CGD23" s="559"/>
      <c r="CGE23" s="559"/>
      <c r="CGF23" s="559"/>
      <c r="CGG23" s="559"/>
      <c r="CGH23" s="559"/>
      <c r="CGI23" s="559"/>
      <c r="CGJ23" s="559"/>
      <c r="CGK23" s="559"/>
      <c r="CGL23" s="559"/>
      <c r="CGM23" s="559"/>
      <c r="CGN23" s="559"/>
      <c r="CGO23" s="559"/>
      <c r="CGP23" s="559"/>
      <c r="CGQ23" s="559"/>
      <c r="CGR23" s="559"/>
      <c r="CGS23" s="559"/>
      <c r="CGT23" s="559"/>
      <c r="CGU23" s="559"/>
      <c r="CGV23" s="559"/>
      <c r="CGW23" s="559"/>
      <c r="CGX23" s="559"/>
      <c r="CGY23" s="559"/>
      <c r="CGZ23" s="559"/>
      <c r="CHA23" s="559"/>
      <c r="CHB23" s="559"/>
      <c r="CHC23" s="559"/>
      <c r="CHD23" s="559"/>
      <c r="CHE23" s="559"/>
      <c r="CHF23" s="559"/>
      <c r="CHG23" s="559"/>
      <c r="CHH23" s="559"/>
      <c r="CHI23" s="559"/>
      <c r="CHJ23" s="559"/>
      <c r="CHK23" s="559"/>
      <c r="CHL23" s="559"/>
      <c r="CHM23" s="559"/>
      <c r="CHN23" s="559"/>
      <c r="CHO23" s="559"/>
      <c r="CHP23" s="559"/>
      <c r="CHQ23" s="559"/>
      <c r="CHR23" s="559"/>
      <c r="CHS23" s="559"/>
      <c r="CHT23" s="559"/>
      <c r="CHU23" s="559"/>
      <c r="CHV23" s="559"/>
      <c r="CHW23" s="559"/>
      <c r="CHX23" s="559"/>
      <c r="CHY23" s="559"/>
      <c r="CHZ23" s="559"/>
      <c r="CIA23" s="559"/>
      <c r="CIB23" s="559"/>
      <c r="CIC23" s="559"/>
      <c r="CID23" s="559"/>
      <c r="CIE23" s="559"/>
      <c r="CIF23" s="559"/>
      <c r="CIG23" s="559"/>
      <c r="CIH23" s="559"/>
      <c r="CII23" s="559"/>
      <c r="CIJ23" s="559"/>
      <c r="CIK23" s="559"/>
      <c r="CIL23" s="559"/>
      <c r="CIM23" s="559"/>
      <c r="CIN23" s="559"/>
      <c r="CIO23" s="559"/>
      <c r="CIP23" s="559"/>
      <c r="CIQ23" s="559"/>
      <c r="CIR23" s="559"/>
      <c r="CIS23" s="559"/>
      <c r="CIT23" s="559"/>
      <c r="CIU23" s="559"/>
      <c r="CIV23" s="559"/>
      <c r="CIW23" s="559"/>
      <c r="CIX23" s="559"/>
      <c r="CIY23" s="559"/>
      <c r="CIZ23" s="559"/>
      <c r="CJA23" s="559"/>
      <c r="CJB23" s="559"/>
      <c r="CJC23" s="559"/>
      <c r="CJD23" s="559"/>
      <c r="CJE23" s="559"/>
      <c r="CJF23" s="559"/>
      <c r="CJG23" s="559"/>
      <c r="CJH23" s="559"/>
      <c r="CJI23" s="559"/>
      <c r="CJJ23" s="559"/>
      <c r="CJK23" s="559"/>
      <c r="CJL23" s="559"/>
      <c r="CJM23" s="559"/>
      <c r="CJN23" s="559"/>
      <c r="CJO23" s="559"/>
      <c r="CJP23" s="559"/>
      <c r="CJQ23" s="559"/>
      <c r="CJR23" s="559"/>
      <c r="CJS23" s="559"/>
      <c r="CJT23" s="559"/>
      <c r="CJU23" s="559"/>
      <c r="CJV23" s="559"/>
      <c r="CJW23" s="559"/>
      <c r="CJX23" s="559"/>
      <c r="CJY23" s="559"/>
      <c r="CJZ23" s="559"/>
      <c r="CKA23" s="559"/>
      <c r="CKB23" s="559"/>
      <c r="CKC23" s="559"/>
      <c r="CKD23" s="559"/>
      <c r="CKE23" s="559"/>
      <c r="CKF23" s="559"/>
      <c r="CKG23" s="559"/>
      <c r="CKH23" s="559"/>
      <c r="CKI23" s="559"/>
      <c r="CKJ23" s="559"/>
      <c r="CKK23" s="559"/>
      <c r="CKL23" s="559"/>
      <c r="CKM23" s="559"/>
      <c r="CKN23" s="559"/>
      <c r="CKO23" s="559"/>
      <c r="CKP23" s="559"/>
      <c r="CKQ23" s="559"/>
      <c r="CKR23" s="559"/>
      <c r="CKS23" s="559"/>
      <c r="CKT23" s="559"/>
      <c r="CKU23" s="559"/>
      <c r="CKV23" s="559"/>
      <c r="CKW23" s="559"/>
      <c r="CKX23" s="559"/>
      <c r="CKY23" s="559"/>
      <c r="CKZ23" s="559"/>
      <c r="CLA23" s="559"/>
      <c r="CLB23" s="559"/>
      <c r="CLC23" s="559"/>
      <c r="CLD23" s="559"/>
      <c r="CLE23" s="559"/>
      <c r="CLF23" s="559"/>
      <c r="CLG23" s="559"/>
      <c r="CLH23" s="559"/>
      <c r="CLI23" s="559"/>
      <c r="CLJ23" s="559"/>
      <c r="CLK23" s="559"/>
      <c r="CLL23" s="559"/>
      <c r="CLM23" s="559"/>
      <c r="CLN23" s="559"/>
      <c r="CLO23" s="559"/>
      <c r="CLP23" s="559"/>
      <c r="CLQ23" s="559"/>
      <c r="CLR23" s="559"/>
      <c r="CLS23" s="559"/>
      <c r="CLT23" s="559"/>
      <c r="CLU23" s="559"/>
      <c r="CLV23" s="559"/>
      <c r="CLW23" s="559"/>
      <c r="CLX23" s="559"/>
      <c r="CLY23" s="559"/>
      <c r="CLZ23" s="559"/>
      <c r="CMA23" s="559"/>
      <c r="CMB23" s="559"/>
      <c r="CMC23" s="559"/>
      <c r="CMD23" s="559"/>
      <c r="CME23" s="559"/>
      <c r="CMF23" s="559"/>
      <c r="CMG23" s="559"/>
      <c r="CMH23" s="559"/>
      <c r="CMI23" s="559"/>
      <c r="CMJ23" s="559"/>
      <c r="CMK23" s="559"/>
      <c r="CML23" s="559"/>
      <c r="CMM23" s="559"/>
      <c r="CMN23" s="559"/>
      <c r="CMO23" s="559"/>
      <c r="CMP23" s="559"/>
      <c r="CMQ23" s="559"/>
      <c r="CMR23" s="559"/>
      <c r="CMS23" s="559"/>
      <c r="CMT23" s="559"/>
      <c r="CMU23" s="559"/>
      <c r="CMV23" s="559"/>
      <c r="CMW23" s="559"/>
      <c r="CMX23" s="559"/>
      <c r="CMY23" s="559"/>
      <c r="CMZ23" s="559"/>
      <c r="CNA23" s="559"/>
      <c r="CNB23" s="559"/>
      <c r="CNC23" s="559"/>
      <c r="CND23" s="559"/>
      <c r="CNE23" s="559"/>
      <c r="CNF23" s="559"/>
      <c r="CNG23" s="559"/>
      <c r="CNH23" s="559"/>
      <c r="CNI23" s="559"/>
      <c r="CNJ23" s="559"/>
      <c r="CNK23" s="559"/>
      <c r="CNL23" s="559"/>
      <c r="CNM23" s="559"/>
      <c r="CNN23" s="559"/>
      <c r="CNO23" s="559"/>
      <c r="CNP23" s="559"/>
      <c r="CNQ23" s="559"/>
      <c r="CNR23" s="559"/>
      <c r="CNS23" s="559"/>
      <c r="CNT23" s="559"/>
      <c r="CNU23" s="559"/>
      <c r="CNV23" s="559"/>
      <c r="CNW23" s="559"/>
      <c r="CNX23" s="559"/>
      <c r="CNY23" s="559"/>
      <c r="CNZ23" s="559"/>
      <c r="COA23" s="559"/>
      <c r="COB23" s="559"/>
      <c r="COC23" s="559"/>
      <c r="COD23" s="559"/>
      <c r="COE23" s="559"/>
      <c r="COF23" s="559"/>
      <c r="COG23" s="559"/>
      <c r="COH23" s="559"/>
      <c r="COI23" s="559"/>
      <c r="COJ23" s="559"/>
      <c r="COK23" s="559"/>
      <c r="COL23" s="559"/>
      <c r="COM23" s="559"/>
      <c r="CON23" s="559"/>
      <c r="COO23" s="559"/>
      <c r="COP23" s="559"/>
      <c r="COQ23" s="559"/>
      <c r="COR23" s="559"/>
      <c r="COS23" s="559"/>
      <c r="COT23" s="559"/>
      <c r="COU23" s="559"/>
      <c r="COV23" s="559"/>
      <c r="COW23" s="559"/>
      <c r="COX23" s="559"/>
      <c r="COY23" s="559"/>
      <c r="COZ23" s="559"/>
      <c r="CPA23" s="559"/>
      <c r="CPB23" s="559"/>
      <c r="CPC23" s="559"/>
      <c r="CPD23" s="559"/>
      <c r="CPE23" s="559"/>
      <c r="CPF23" s="559"/>
      <c r="CPG23" s="559"/>
      <c r="CPH23" s="559"/>
      <c r="CPI23" s="559"/>
      <c r="CPJ23" s="559"/>
      <c r="CPK23" s="559"/>
      <c r="CPL23" s="559"/>
      <c r="CPM23" s="559"/>
      <c r="CPN23" s="559"/>
      <c r="CPO23" s="559"/>
      <c r="CPP23" s="559"/>
      <c r="CPQ23" s="559"/>
      <c r="CPR23" s="559"/>
      <c r="CPS23" s="559"/>
      <c r="CPT23" s="559"/>
      <c r="CPU23" s="559"/>
      <c r="CPV23" s="559"/>
      <c r="CPW23" s="559"/>
      <c r="CPX23" s="559"/>
      <c r="CPY23" s="559"/>
      <c r="CPZ23" s="559"/>
      <c r="CQA23" s="559"/>
      <c r="CQB23" s="559"/>
      <c r="CQC23" s="559"/>
      <c r="CQD23" s="559"/>
      <c r="CQE23" s="559"/>
      <c r="CQF23" s="559"/>
      <c r="CQG23" s="559"/>
      <c r="CQH23" s="559"/>
      <c r="CQI23" s="559"/>
      <c r="CQJ23" s="559"/>
      <c r="CQK23" s="559"/>
      <c r="CQL23" s="559"/>
      <c r="CQM23" s="559"/>
      <c r="CQN23" s="559"/>
      <c r="CQO23" s="559"/>
      <c r="CQP23" s="559"/>
      <c r="CQQ23" s="559"/>
      <c r="CQR23" s="559"/>
      <c r="CQS23" s="559"/>
      <c r="CQT23" s="559"/>
      <c r="CQU23" s="559"/>
      <c r="CQV23" s="559"/>
      <c r="CQW23" s="559"/>
      <c r="CQX23" s="559"/>
      <c r="CQY23" s="559"/>
      <c r="CQZ23" s="559"/>
      <c r="CRA23" s="559"/>
      <c r="CRB23" s="559"/>
      <c r="CRC23" s="559"/>
      <c r="CRD23" s="559"/>
      <c r="CRE23" s="559"/>
      <c r="CRF23" s="559"/>
      <c r="CRG23" s="559"/>
      <c r="CRH23" s="559"/>
      <c r="CRI23" s="559"/>
      <c r="CRJ23" s="559"/>
      <c r="CRK23" s="559"/>
      <c r="CRL23" s="559"/>
      <c r="CRM23" s="559"/>
      <c r="CRN23" s="559"/>
      <c r="CRO23" s="559"/>
      <c r="CRP23" s="559"/>
      <c r="CRQ23" s="559"/>
      <c r="CRR23" s="559"/>
      <c r="CRS23" s="559"/>
      <c r="CRT23" s="559"/>
      <c r="CRU23" s="559"/>
      <c r="CRV23" s="559"/>
      <c r="CRW23" s="559"/>
      <c r="CRX23" s="559"/>
      <c r="CRY23" s="559"/>
      <c r="CRZ23" s="559"/>
      <c r="CSA23" s="559"/>
      <c r="CSB23" s="559"/>
      <c r="CSC23" s="559"/>
      <c r="CSD23" s="559"/>
      <c r="CSE23" s="559"/>
      <c r="CSF23" s="559"/>
      <c r="CSG23" s="559"/>
      <c r="CSH23" s="559"/>
      <c r="CSI23" s="559"/>
      <c r="CSJ23" s="559"/>
      <c r="CSK23" s="559"/>
      <c r="CSL23" s="559"/>
      <c r="CSM23" s="559"/>
      <c r="CSN23" s="559"/>
      <c r="CSO23" s="559"/>
      <c r="CSP23" s="559"/>
      <c r="CSQ23" s="559"/>
      <c r="CSR23" s="559"/>
      <c r="CSS23" s="559"/>
      <c r="CST23" s="559"/>
      <c r="CSU23" s="559"/>
      <c r="CSV23" s="559"/>
      <c r="CSW23" s="559"/>
      <c r="CSX23" s="559"/>
      <c r="CSY23" s="559"/>
      <c r="CSZ23" s="559"/>
      <c r="CTA23" s="559"/>
      <c r="CTB23" s="559"/>
      <c r="CTC23" s="559"/>
      <c r="CTD23" s="559"/>
      <c r="CTE23" s="559"/>
      <c r="CTF23" s="559"/>
      <c r="CTG23" s="559"/>
      <c r="CTH23" s="559"/>
      <c r="CTI23" s="559"/>
      <c r="CTJ23" s="559"/>
      <c r="CTK23" s="559"/>
      <c r="CTL23" s="559"/>
      <c r="CTM23" s="559"/>
      <c r="CTN23" s="559"/>
      <c r="CTO23" s="559"/>
      <c r="CTP23" s="559"/>
      <c r="CTQ23" s="559"/>
      <c r="CTR23" s="559"/>
      <c r="CTS23" s="559"/>
      <c r="CTT23" s="559"/>
      <c r="CTU23" s="559"/>
      <c r="CTV23" s="559"/>
      <c r="CTW23" s="559"/>
      <c r="CTX23" s="559"/>
      <c r="CTY23" s="559"/>
      <c r="CTZ23" s="559"/>
      <c r="CUA23" s="559"/>
      <c r="CUB23" s="559"/>
      <c r="CUC23" s="559"/>
      <c r="CUD23" s="559"/>
      <c r="CUE23" s="559"/>
      <c r="CUF23" s="559"/>
      <c r="CUG23" s="559"/>
      <c r="CUH23" s="559"/>
      <c r="CUI23" s="559"/>
      <c r="CUJ23" s="559"/>
      <c r="CUK23" s="559"/>
      <c r="CUL23" s="559"/>
      <c r="CUM23" s="559"/>
      <c r="CUN23" s="559"/>
      <c r="CUO23" s="559"/>
      <c r="CUP23" s="559"/>
      <c r="CUQ23" s="559"/>
      <c r="CUR23" s="559"/>
      <c r="CUS23" s="559"/>
      <c r="CUT23" s="559"/>
      <c r="CUU23" s="559"/>
      <c r="CUV23" s="559"/>
      <c r="CUW23" s="559"/>
      <c r="CUX23" s="559"/>
      <c r="CUY23" s="559"/>
      <c r="CUZ23" s="559"/>
      <c r="CVA23" s="559"/>
      <c r="CVB23" s="559"/>
      <c r="CVC23" s="559"/>
      <c r="CVD23" s="559"/>
      <c r="CVE23" s="559"/>
      <c r="CVF23" s="559"/>
      <c r="CVG23" s="559"/>
      <c r="CVH23" s="559"/>
      <c r="CVI23" s="559"/>
      <c r="CVJ23" s="559"/>
      <c r="CVK23" s="559"/>
      <c r="CVL23" s="559"/>
      <c r="CVM23" s="559"/>
      <c r="CVN23" s="559"/>
      <c r="CVO23" s="559"/>
      <c r="CVP23" s="559"/>
      <c r="CVQ23" s="559"/>
      <c r="CVR23" s="559"/>
      <c r="CVS23" s="559"/>
      <c r="CVT23" s="559"/>
      <c r="CVU23" s="559"/>
      <c r="CVV23" s="559"/>
      <c r="CVW23" s="559"/>
      <c r="CVX23" s="559"/>
      <c r="CVY23" s="559"/>
      <c r="CVZ23" s="559"/>
      <c r="CWA23" s="559"/>
      <c r="CWB23" s="559"/>
      <c r="CWC23" s="559"/>
      <c r="CWD23" s="559"/>
      <c r="CWE23" s="559"/>
      <c r="CWF23" s="559"/>
      <c r="CWG23" s="559"/>
      <c r="CWH23" s="559"/>
      <c r="CWI23" s="559"/>
      <c r="CWJ23" s="559"/>
      <c r="CWK23" s="559"/>
      <c r="CWL23" s="559"/>
      <c r="CWM23" s="559"/>
      <c r="CWN23" s="559"/>
      <c r="CWO23" s="559"/>
      <c r="CWP23" s="559"/>
      <c r="CWQ23" s="559"/>
      <c r="CWR23" s="559"/>
      <c r="CWS23" s="559"/>
      <c r="CWT23" s="559"/>
      <c r="CWU23" s="559"/>
      <c r="CWV23" s="559"/>
      <c r="CWW23" s="559"/>
      <c r="CWX23" s="559"/>
      <c r="CWY23" s="559"/>
      <c r="CWZ23" s="559"/>
      <c r="CXA23" s="559"/>
      <c r="CXB23" s="559"/>
      <c r="CXC23" s="559"/>
      <c r="CXD23" s="559"/>
      <c r="CXE23" s="559"/>
      <c r="CXF23" s="559"/>
      <c r="CXG23" s="559"/>
      <c r="CXH23" s="559"/>
      <c r="CXI23" s="559"/>
      <c r="CXJ23" s="559"/>
      <c r="CXK23" s="559"/>
      <c r="CXL23" s="559"/>
      <c r="CXM23" s="559"/>
      <c r="CXN23" s="559"/>
      <c r="CXO23" s="559"/>
      <c r="CXP23" s="559"/>
      <c r="CXQ23" s="559"/>
      <c r="CXR23" s="559"/>
      <c r="CXS23" s="559"/>
      <c r="CXT23" s="559"/>
      <c r="CXU23" s="559"/>
      <c r="CXV23" s="559"/>
      <c r="CXW23" s="559"/>
      <c r="CXX23" s="559"/>
      <c r="CXY23" s="559"/>
      <c r="CXZ23" s="559"/>
      <c r="CYA23" s="559"/>
      <c r="CYB23" s="559"/>
      <c r="CYC23" s="559"/>
      <c r="CYD23" s="559"/>
      <c r="CYE23" s="559"/>
      <c r="CYF23" s="559"/>
      <c r="CYG23" s="559"/>
      <c r="CYH23" s="559"/>
      <c r="CYI23" s="559"/>
      <c r="CYJ23" s="559"/>
      <c r="CYK23" s="559"/>
      <c r="CYL23" s="559"/>
      <c r="CYM23" s="559"/>
      <c r="CYN23" s="559"/>
      <c r="CYO23" s="559"/>
      <c r="CYP23" s="559"/>
      <c r="CYQ23" s="559"/>
      <c r="CYR23" s="559"/>
      <c r="CYS23" s="559"/>
      <c r="CYT23" s="559"/>
      <c r="CYU23" s="559"/>
      <c r="CYV23" s="559"/>
      <c r="CYW23" s="559"/>
      <c r="CYX23" s="559"/>
      <c r="CYY23" s="559"/>
      <c r="CYZ23" s="559"/>
      <c r="CZA23" s="559"/>
      <c r="CZB23" s="559"/>
      <c r="CZC23" s="559"/>
      <c r="CZD23" s="559"/>
      <c r="CZE23" s="559"/>
      <c r="CZF23" s="559"/>
      <c r="CZG23" s="559"/>
      <c r="CZH23" s="559"/>
      <c r="CZI23" s="559"/>
      <c r="CZJ23" s="559"/>
      <c r="CZK23" s="559"/>
      <c r="CZL23" s="559"/>
      <c r="CZM23" s="559"/>
      <c r="CZN23" s="559"/>
      <c r="CZO23" s="559"/>
      <c r="CZP23" s="559"/>
      <c r="CZQ23" s="559"/>
      <c r="CZR23" s="559"/>
      <c r="CZS23" s="559"/>
      <c r="CZT23" s="559"/>
      <c r="CZU23" s="559"/>
      <c r="CZV23" s="559"/>
      <c r="CZW23" s="559"/>
      <c r="CZX23" s="559"/>
      <c r="CZY23" s="559"/>
      <c r="CZZ23" s="559"/>
      <c r="DAA23" s="559"/>
      <c r="DAB23" s="559"/>
      <c r="DAC23" s="559"/>
      <c r="DAD23" s="559"/>
      <c r="DAE23" s="559"/>
      <c r="DAF23" s="559"/>
      <c r="DAG23" s="559"/>
      <c r="DAH23" s="559"/>
      <c r="DAI23" s="559"/>
      <c r="DAJ23" s="559"/>
      <c r="DAK23" s="559"/>
      <c r="DAL23" s="559"/>
      <c r="DAM23" s="559"/>
      <c r="DAN23" s="559"/>
      <c r="DAO23" s="559"/>
      <c r="DAP23" s="559"/>
      <c r="DAQ23" s="559"/>
      <c r="DAR23" s="559"/>
      <c r="DAS23" s="559"/>
      <c r="DAT23" s="559"/>
      <c r="DAU23" s="559"/>
      <c r="DAV23" s="559"/>
      <c r="DAW23" s="559"/>
      <c r="DAX23" s="559"/>
      <c r="DAY23" s="559"/>
      <c r="DAZ23" s="559"/>
      <c r="DBA23" s="559"/>
      <c r="DBB23" s="559"/>
      <c r="DBC23" s="559"/>
      <c r="DBD23" s="559"/>
      <c r="DBE23" s="559"/>
      <c r="DBF23" s="559"/>
      <c r="DBG23" s="559"/>
      <c r="DBH23" s="559"/>
      <c r="DBI23" s="559"/>
      <c r="DBJ23" s="559"/>
      <c r="DBK23" s="559"/>
      <c r="DBL23" s="559"/>
      <c r="DBM23" s="559"/>
      <c r="DBN23" s="559"/>
      <c r="DBO23" s="559"/>
      <c r="DBP23" s="559"/>
      <c r="DBQ23" s="559"/>
      <c r="DBR23" s="559"/>
      <c r="DBS23" s="559"/>
      <c r="DBT23" s="559"/>
      <c r="DBU23" s="559"/>
      <c r="DBV23" s="559"/>
      <c r="DBW23" s="559"/>
      <c r="DBX23" s="559"/>
      <c r="DBY23" s="559"/>
      <c r="DBZ23" s="559"/>
      <c r="DCA23" s="559"/>
      <c r="DCB23" s="559"/>
      <c r="DCC23" s="559"/>
      <c r="DCD23" s="559"/>
      <c r="DCE23" s="559"/>
      <c r="DCF23" s="559"/>
      <c r="DCG23" s="559"/>
      <c r="DCH23" s="559"/>
      <c r="DCI23" s="559"/>
      <c r="DCJ23" s="559"/>
      <c r="DCK23" s="559"/>
      <c r="DCL23" s="559"/>
      <c r="DCM23" s="559"/>
      <c r="DCN23" s="559"/>
      <c r="DCO23" s="559"/>
      <c r="DCP23" s="559"/>
      <c r="DCQ23" s="559"/>
      <c r="DCR23" s="559"/>
      <c r="DCS23" s="559"/>
      <c r="DCT23" s="559"/>
      <c r="DCU23" s="559"/>
      <c r="DCV23" s="559"/>
      <c r="DCW23" s="559"/>
      <c r="DCX23" s="559"/>
      <c r="DCY23" s="559"/>
      <c r="DCZ23" s="559"/>
      <c r="DDA23" s="559"/>
      <c r="DDB23" s="559"/>
      <c r="DDC23" s="559"/>
      <c r="DDD23" s="559"/>
      <c r="DDE23" s="559"/>
      <c r="DDF23" s="559"/>
      <c r="DDG23" s="559"/>
      <c r="DDH23" s="559"/>
      <c r="DDI23" s="559"/>
      <c r="DDJ23" s="559"/>
      <c r="DDK23" s="559"/>
      <c r="DDL23" s="559"/>
      <c r="DDM23" s="559"/>
      <c r="DDN23" s="559"/>
      <c r="DDO23" s="559"/>
      <c r="DDP23" s="559"/>
      <c r="DDQ23" s="559"/>
      <c r="DDR23" s="559"/>
      <c r="DDS23" s="559"/>
      <c r="DDT23" s="559"/>
      <c r="DDU23" s="559"/>
      <c r="DDV23" s="559"/>
      <c r="DDW23" s="559"/>
      <c r="DDX23" s="559"/>
      <c r="DDY23" s="559"/>
      <c r="DDZ23" s="559"/>
      <c r="DEA23" s="559"/>
      <c r="DEB23" s="559"/>
      <c r="DEC23" s="559"/>
      <c r="DED23" s="559"/>
      <c r="DEE23" s="559"/>
      <c r="DEF23" s="559"/>
      <c r="DEG23" s="559"/>
      <c r="DEH23" s="559"/>
      <c r="DEI23" s="559"/>
      <c r="DEJ23" s="559"/>
      <c r="DEK23" s="559"/>
      <c r="DEL23" s="559"/>
      <c r="DEM23" s="559"/>
      <c r="DEN23" s="559"/>
      <c r="DEO23" s="559"/>
      <c r="DEP23" s="559"/>
      <c r="DEQ23" s="559"/>
      <c r="DER23" s="559"/>
      <c r="DES23" s="559"/>
      <c r="DET23" s="559"/>
      <c r="DEU23" s="559"/>
      <c r="DEV23" s="559"/>
      <c r="DEW23" s="559"/>
      <c r="DEX23" s="559"/>
      <c r="DEY23" s="559"/>
      <c r="DEZ23" s="559"/>
      <c r="DFA23" s="559"/>
      <c r="DFB23" s="559"/>
      <c r="DFC23" s="559"/>
      <c r="DFD23" s="559"/>
      <c r="DFE23" s="559"/>
      <c r="DFF23" s="559"/>
      <c r="DFG23" s="559"/>
      <c r="DFH23" s="559"/>
      <c r="DFI23" s="559"/>
      <c r="DFJ23" s="559"/>
      <c r="DFK23" s="559"/>
      <c r="DFL23" s="559"/>
      <c r="DFM23" s="559"/>
      <c r="DFN23" s="559"/>
      <c r="DFO23" s="559"/>
      <c r="DFP23" s="559"/>
      <c r="DFQ23" s="559"/>
      <c r="DFR23" s="559"/>
      <c r="DFS23" s="559"/>
      <c r="DFT23" s="559"/>
      <c r="DFU23" s="559"/>
      <c r="DFV23" s="559"/>
      <c r="DFW23" s="559"/>
      <c r="DFX23" s="559"/>
      <c r="DFY23" s="559"/>
      <c r="DFZ23" s="559"/>
      <c r="DGA23" s="559"/>
      <c r="DGB23" s="559"/>
      <c r="DGC23" s="559"/>
      <c r="DGD23" s="559"/>
      <c r="DGE23" s="559"/>
      <c r="DGF23" s="559"/>
      <c r="DGG23" s="559"/>
      <c r="DGH23" s="559"/>
      <c r="DGI23" s="559"/>
      <c r="DGJ23" s="559"/>
      <c r="DGK23" s="559"/>
      <c r="DGL23" s="559"/>
      <c r="DGM23" s="559"/>
      <c r="DGN23" s="559"/>
      <c r="DGO23" s="559"/>
      <c r="DGP23" s="559"/>
      <c r="DGQ23" s="559"/>
      <c r="DGR23" s="559"/>
      <c r="DGS23" s="559"/>
      <c r="DGT23" s="559"/>
      <c r="DGU23" s="559"/>
      <c r="DGV23" s="559"/>
      <c r="DGW23" s="559"/>
      <c r="DGX23" s="559"/>
      <c r="DGY23" s="559"/>
      <c r="DGZ23" s="559"/>
      <c r="DHA23" s="559"/>
      <c r="DHB23" s="559"/>
      <c r="DHC23" s="559"/>
      <c r="DHD23" s="559"/>
      <c r="DHE23" s="559"/>
      <c r="DHF23" s="559"/>
      <c r="DHG23" s="559"/>
      <c r="DHH23" s="559"/>
      <c r="DHI23" s="559"/>
      <c r="DHJ23" s="559"/>
      <c r="DHK23" s="559"/>
      <c r="DHL23" s="559"/>
      <c r="DHM23" s="559"/>
      <c r="DHN23" s="559"/>
      <c r="DHO23" s="559"/>
      <c r="DHP23" s="559"/>
      <c r="DHQ23" s="559"/>
      <c r="DHR23" s="559"/>
      <c r="DHS23" s="559"/>
      <c r="DHT23" s="559"/>
      <c r="DHU23" s="559"/>
      <c r="DHV23" s="559"/>
      <c r="DHW23" s="559"/>
      <c r="DHX23" s="559"/>
      <c r="DHY23" s="559"/>
      <c r="DHZ23" s="559"/>
      <c r="DIA23" s="559"/>
      <c r="DIB23" s="559"/>
      <c r="DIC23" s="559"/>
      <c r="DID23" s="559"/>
      <c r="DIE23" s="559"/>
      <c r="DIF23" s="559"/>
      <c r="DIG23" s="559"/>
      <c r="DIH23" s="559"/>
      <c r="DII23" s="559"/>
      <c r="DIJ23" s="559"/>
      <c r="DIK23" s="559"/>
      <c r="DIL23" s="559"/>
      <c r="DIM23" s="559"/>
      <c r="DIN23" s="559"/>
      <c r="DIO23" s="559"/>
      <c r="DIP23" s="559"/>
      <c r="DIQ23" s="559"/>
      <c r="DIR23" s="559"/>
      <c r="DIS23" s="559"/>
      <c r="DIT23" s="559"/>
      <c r="DIU23" s="559"/>
      <c r="DIV23" s="559"/>
      <c r="DIW23" s="559"/>
      <c r="DIX23" s="559"/>
      <c r="DIY23" s="559"/>
      <c r="DIZ23" s="559"/>
      <c r="DJA23" s="559"/>
      <c r="DJB23" s="559"/>
      <c r="DJC23" s="559"/>
      <c r="DJD23" s="559"/>
      <c r="DJE23" s="559"/>
      <c r="DJF23" s="559"/>
      <c r="DJG23" s="559"/>
      <c r="DJH23" s="559"/>
      <c r="DJI23" s="559"/>
      <c r="DJJ23" s="559"/>
      <c r="DJK23" s="559"/>
      <c r="DJL23" s="559"/>
      <c r="DJM23" s="559"/>
      <c r="DJN23" s="559"/>
      <c r="DJO23" s="559"/>
      <c r="DJP23" s="559"/>
      <c r="DJQ23" s="559"/>
      <c r="DJR23" s="559"/>
      <c r="DJS23" s="559"/>
      <c r="DJT23" s="559"/>
      <c r="DJU23" s="559"/>
      <c r="DJV23" s="559"/>
      <c r="DJW23" s="559"/>
      <c r="DJX23" s="559"/>
      <c r="DJY23" s="559"/>
      <c r="DJZ23" s="559"/>
      <c r="DKA23" s="559"/>
      <c r="DKB23" s="559"/>
      <c r="DKC23" s="559"/>
      <c r="DKD23" s="559"/>
      <c r="DKE23" s="559"/>
      <c r="DKF23" s="559"/>
      <c r="DKG23" s="559"/>
      <c r="DKH23" s="559"/>
      <c r="DKI23" s="559"/>
      <c r="DKJ23" s="559"/>
      <c r="DKK23" s="559"/>
      <c r="DKL23" s="559"/>
      <c r="DKM23" s="559"/>
      <c r="DKN23" s="559"/>
      <c r="DKO23" s="559"/>
      <c r="DKP23" s="559"/>
      <c r="DKQ23" s="559"/>
      <c r="DKR23" s="559"/>
      <c r="DKS23" s="559"/>
      <c r="DKT23" s="559"/>
      <c r="DKU23" s="559"/>
      <c r="DKV23" s="559"/>
      <c r="DKW23" s="559"/>
      <c r="DKX23" s="559"/>
      <c r="DKY23" s="559"/>
      <c r="DKZ23" s="559"/>
      <c r="DLA23" s="559"/>
      <c r="DLB23" s="559"/>
      <c r="DLC23" s="559"/>
      <c r="DLD23" s="559"/>
      <c r="DLE23" s="559"/>
      <c r="DLF23" s="559"/>
      <c r="DLG23" s="559"/>
      <c r="DLH23" s="559"/>
      <c r="DLI23" s="559"/>
      <c r="DLJ23" s="559"/>
      <c r="DLK23" s="559"/>
      <c r="DLL23" s="559"/>
      <c r="DLM23" s="559"/>
      <c r="DLN23" s="559"/>
      <c r="DLO23" s="559"/>
      <c r="DLP23" s="559"/>
      <c r="DLQ23" s="559"/>
      <c r="DLR23" s="559"/>
      <c r="DLS23" s="559"/>
      <c r="DLT23" s="559"/>
      <c r="DLU23" s="559"/>
      <c r="DLV23" s="559"/>
      <c r="DLW23" s="559"/>
      <c r="DLX23" s="559"/>
      <c r="DLY23" s="559"/>
      <c r="DLZ23" s="559"/>
      <c r="DMA23" s="559"/>
      <c r="DMB23" s="559"/>
      <c r="DMC23" s="559"/>
      <c r="DMD23" s="559"/>
      <c r="DME23" s="559"/>
      <c r="DMF23" s="559"/>
      <c r="DMG23" s="559"/>
      <c r="DMH23" s="559"/>
      <c r="DMI23" s="559"/>
      <c r="DMJ23" s="559"/>
      <c r="DMK23" s="559"/>
      <c r="DML23" s="559"/>
      <c r="DMM23" s="559"/>
      <c r="DMN23" s="559"/>
      <c r="DMO23" s="559"/>
      <c r="DMP23" s="559"/>
      <c r="DMQ23" s="559"/>
      <c r="DMR23" s="559"/>
      <c r="DMS23" s="559"/>
      <c r="DMT23" s="559"/>
      <c r="DMU23" s="559"/>
      <c r="DMV23" s="559"/>
      <c r="DMW23" s="559"/>
      <c r="DMX23" s="559"/>
      <c r="DMY23" s="559"/>
      <c r="DMZ23" s="559"/>
      <c r="DNA23" s="559"/>
      <c r="DNB23" s="559"/>
      <c r="DNC23" s="559"/>
      <c r="DND23" s="559"/>
      <c r="DNE23" s="559"/>
      <c r="DNF23" s="559"/>
      <c r="DNG23" s="559"/>
      <c r="DNH23" s="559"/>
      <c r="DNI23" s="559"/>
      <c r="DNJ23" s="559"/>
      <c r="DNK23" s="559"/>
      <c r="DNL23" s="559"/>
      <c r="DNM23" s="559"/>
      <c r="DNN23" s="559"/>
      <c r="DNO23" s="559"/>
      <c r="DNP23" s="559"/>
      <c r="DNQ23" s="559"/>
      <c r="DNR23" s="559"/>
      <c r="DNS23" s="559"/>
      <c r="DNT23" s="559"/>
      <c r="DNU23" s="559"/>
      <c r="DNV23" s="559"/>
      <c r="DNW23" s="559"/>
      <c r="DNX23" s="559"/>
      <c r="DNY23" s="559"/>
      <c r="DNZ23" s="559"/>
      <c r="DOA23" s="559"/>
      <c r="DOB23" s="559"/>
      <c r="DOC23" s="559"/>
      <c r="DOD23" s="559"/>
      <c r="DOE23" s="559"/>
      <c r="DOF23" s="559"/>
      <c r="DOG23" s="559"/>
      <c r="DOH23" s="559"/>
      <c r="DOI23" s="559"/>
      <c r="DOJ23" s="559"/>
      <c r="DOK23" s="559"/>
      <c r="DOL23" s="559"/>
      <c r="DOM23" s="559"/>
      <c r="DON23" s="559"/>
      <c r="DOO23" s="559"/>
      <c r="DOP23" s="559"/>
      <c r="DOQ23" s="559"/>
      <c r="DOR23" s="559"/>
      <c r="DOS23" s="559"/>
      <c r="DOT23" s="559"/>
      <c r="DOU23" s="559"/>
      <c r="DOV23" s="559"/>
      <c r="DOW23" s="559"/>
      <c r="DOX23" s="559"/>
      <c r="DOY23" s="559"/>
      <c r="DOZ23" s="559"/>
      <c r="DPA23" s="559"/>
      <c r="DPB23" s="559"/>
      <c r="DPC23" s="559"/>
      <c r="DPD23" s="559"/>
      <c r="DPE23" s="559"/>
      <c r="DPF23" s="559"/>
      <c r="DPG23" s="559"/>
      <c r="DPH23" s="559"/>
      <c r="DPI23" s="559"/>
      <c r="DPJ23" s="559"/>
      <c r="DPK23" s="559"/>
      <c r="DPL23" s="559"/>
      <c r="DPM23" s="559"/>
      <c r="DPN23" s="559"/>
      <c r="DPO23" s="559"/>
      <c r="DPP23" s="559"/>
      <c r="DPQ23" s="559"/>
      <c r="DPR23" s="559"/>
      <c r="DPS23" s="559"/>
      <c r="DPT23" s="559"/>
      <c r="DPU23" s="559"/>
      <c r="DPV23" s="559"/>
      <c r="DPW23" s="559"/>
      <c r="DPX23" s="559"/>
      <c r="DPY23" s="559"/>
      <c r="DPZ23" s="559"/>
      <c r="DQA23" s="559"/>
      <c r="DQB23" s="559"/>
      <c r="DQC23" s="559"/>
      <c r="DQD23" s="559"/>
      <c r="DQE23" s="559"/>
      <c r="DQF23" s="559"/>
      <c r="DQG23" s="559"/>
      <c r="DQH23" s="559"/>
      <c r="DQI23" s="559"/>
      <c r="DQJ23" s="559"/>
      <c r="DQK23" s="559"/>
      <c r="DQL23" s="559"/>
      <c r="DQM23" s="559"/>
      <c r="DQN23" s="559"/>
      <c r="DQO23" s="559"/>
      <c r="DQP23" s="559"/>
      <c r="DQQ23" s="559"/>
      <c r="DQR23" s="559"/>
      <c r="DQS23" s="559"/>
      <c r="DQT23" s="559"/>
      <c r="DQU23" s="559"/>
      <c r="DQV23" s="559"/>
      <c r="DQW23" s="559"/>
      <c r="DQX23" s="559"/>
      <c r="DQY23" s="559"/>
      <c r="DQZ23" s="559"/>
      <c r="DRA23" s="559"/>
      <c r="DRB23" s="559"/>
      <c r="DRC23" s="559"/>
      <c r="DRD23" s="559"/>
      <c r="DRE23" s="559"/>
      <c r="DRF23" s="559"/>
      <c r="DRG23" s="559"/>
      <c r="DRH23" s="559"/>
      <c r="DRI23" s="559"/>
      <c r="DRJ23" s="559"/>
      <c r="DRK23" s="559"/>
      <c r="DRL23" s="559"/>
      <c r="DRM23" s="559"/>
      <c r="DRN23" s="559"/>
      <c r="DRO23" s="559"/>
      <c r="DRP23" s="559"/>
      <c r="DRQ23" s="559"/>
      <c r="DRR23" s="559"/>
      <c r="DRS23" s="559"/>
      <c r="DRT23" s="559"/>
      <c r="DRU23" s="559"/>
      <c r="DRV23" s="559"/>
      <c r="DRW23" s="559"/>
      <c r="DRX23" s="559"/>
      <c r="DRY23" s="559"/>
      <c r="DRZ23" s="559"/>
      <c r="DSA23" s="559"/>
      <c r="DSB23" s="559"/>
      <c r="DSC23" s="559"/>
      <c r="DSD23" s="559"/>
      <c r="DSE23" s="559"/>
      <c r="DSF23" s="559"/>
      <c r="DSG23" s="559"/>
      <c r="DSH23" s="559"/>
      <c r="DSI23" s="559"/>
      <c r="DSJ23" s="559"/>
      <c r="DSK23" s="559"/>
      <c r="DSL23" s="559"/>
      <c r="DSM23" s="559"/>
      <c r="DSN23" s="559"/>
      <c r="DSO23" s="559"/>
      <c r="DSP23" s="559"/>
      <c r="DSQ23" s="559"/>
      <c r="DSR23" s="559"/>
      <c r="DSS23" s="559"/>
      <c r="DST23" s="559"/>
      <c r="DSU23" s="559"/>
      <c r="DSV23" s="559"/>
      <c r="DSW23" s="559"/>
      <c r="DSX23" s="559"/>
      <c r="DSY23" s="559"/>
      <c r="DSZ23" s="559"/>
      <c r="DTA23" s="559"/>
      <c r="DTB23" s="559"/>
      <c r="DTC23" s="559"/>
      <c r="DTD23" s="559"/>
      <c r="DTE23" s="559"/>
      <c r="DTF23" s="559"/>
      <c r="DTG23" s="559"/>
      <c r="DTH23" s="559"/>
      <c r="DTI23" s="559"/>
      <c r="DTJ23" s="559"/>
      <c r="DTK23" s="559"/>
      <c r="DTL23" s="559"/>
      <c r="DTM23" s="559"/>
      <c r="DTN23" s="559"/>
      <c r="DTO23" s="559"/>
      <c r="DTP23" s="559"/>
      <c r="DTQ23" s="559"/>
      <c r="DTR23" s="559"/>
      <c r="DTS23" s="559"/>
      <c r="DTT23" s="559"/>
      <c r="DTU23" s="559"/>
      <c r="DTV23" s="559"/>
      <c r="DTW23" s="559"/>
      <c r="DTX23" s="559"/>
      <c r="DTY23" s="559"/>
      <c r="DTZ23" s="559"/>
      <c r="DUA23" s="559"/>
      <c r="DUB23" s="559"/>
      <c r="DUC23" s="559"/>
      <c r="DUD23" s="559"/>
      <c r="DUE23" s="559"/>
      <c r="DUF23" s="559"/>
      <c r="DUG23" s="559"/>
      <c r="DUH23" s="559"/>
      <c r="DUI23" s="559"/>
      <c r="DUJ23" s="559"/>
      <c r="DUK23" s="559"/>
      <c r="DUL23" s="559"/>
      <c r="DUM23" s="559"/>
      <c r="DUN23" s="559"/>
      <c r="DUO23" s="559"/>
      <c r="DUP23" s="559"/>
      <c r="DUQ23" s="559"/>
      <c r="DUR23" s="559"/>
      <c r="DUS23" s="559"/>
      <c r="DUT23" s="559"/>
      <c r="DUU23" s="559"/>
      <c r="DUV23" s="559"/>
      <c r="DUW23" s="559"/>
      <c r="DUX23" s="559"/>
      <c r="DUY23" s="559"/>
      <c r="DUZ23" s="559"/>
      <c r="DVA23" s="559"/>
      <c r="DVB23" s="559"/>
      <c r="DVC23" s="559"/>
      <c r="DVD23" s="559"/>
      <c r="DVE23" s="559"/>
      <c r="DVF23" s="559"/>
      <c r="DVG23" s="559"/>
      <c r="DVH23" s="559"/>
      <c r="DVI23" s="559"/>
      <c r="DVJ23" s="559"/>
      <c r="DVK23" s="559"/>
      <c r="DVL23" s="559"/>
      <c r="DVM23" s="559"/>
      <c r="DVN23" s="559"/>
      <c r="DVO23" s="559"/>
      <c r="DVP23" s="559"/>
      <c r="DVQ23" s="559"/>
      <c r="DVR23" s="559"/>
      <c r="DVS23" s="559"/>
      <c r="DVT23" s="559"/>
      <c r="DVU23" s="559"/>
      <c r="DVV23" s="559"/>
      <c r="DVW23" s="559"/>
      <c r="DVX23" s="559"/>
      <c r="DVY23" s="559"/>
      <c r="DVZ23" s="559"/>
      <c r="DWA23" s="559"/>
      <c r="DWB23" s="559"/>
      <c r="DWC23" s="559"/>
      <c r="DWD23" s="559"/>
      <c r="DWE23" s="559"/>
      <c r="DWF23" s="559"/>
      <c r="DWG23" s="559"/>
      <c r="DWH23" s="559"/>
      <c r="DWI23" s="559"/>
      <c r="DWJ23" s="559"/>
      <c r="DWK23" s="559"/>
      <c r="DWL23" s="559"/>
      <c r="DWM23" s="559"/>
      <c r="DWN23" s="559"/>
      <c r="DWO23" s="559"/>
      <c r="DWP23" s="559"/>
      <c r="DWQ23" s="559"/>
      <c r="DWR23" s="559"/>
      <c r="DWS23" s="559"/>
      <c r="DWT23" s="559"/>
      <c r="DWU23" s="559"/>
      <c r="DWV23" s="559"/>
      <c r="DWW23" s="559"/>
      <c r="DWX23" s="559"/>
      <c r="DWY23" s="559"/>
      <c r="DWZ23" s="559"/>
      <c r="DXA23" s="559"/>
      <c r="DXB23" s="559"/>
      <c r="DXC23" s="559"/>
      <c r="DXD23" s="559"/>
      <c r="DXE23" s="559"/>
      <c r="DXF23" s="559"/>
      <c r="DXG23" s="559"/>
      <c r="DXH23" s="559"/>
      <c r="DXI23" s="559"/>
      <c r="DXJ23" s="559"/>
      <c r="DXK23" s="559"/>
      <c r="DXL23" s="559"/>
      <c r="DXM23" s="559"/>
      <c r="DXN23" s="559"/>
      <c r="DXO23" s="559"/>
      <c r="DXP23" s="559"/>
      <c r="DXQ23" s="559"/>
      <c r="DXR23" s="559"/>
      <c r="DXS23" s="559"/>
      <c r="DXT23" s="559"/>
      <c r="DXU23" s="559"/>
      <c r="DXV23" s="559"/>
      <c r="DXW23" s="559"/>
      <c r="DXX23" s="559"/>
      <c r="DXY23" s="559"/>
      <c r="DXZ23" s="559"/>
      <c r="DYA23" s="559"/>
      <c r="DYB23" s="559"/>
      <c r="DYC23" s="559"/>
      <c r="DYD23" s="559"/>
      <c r="DYE23" s="559"/>
      <c r="DYF23" s="559"/>
      <c r="DYG23" s="559"/>
      <c r="DYH23" s="559"/>
      <c r="DYI23" s="559"/>
      <c r="DYJ23" s="559"/>
      <c r="DYK23" s="559"/>
      <c r="DYL23" s="559"/>
      <c r="DYM23" s="559"/>
      <c r="DYN23" s="559"/>
      <c r="DYO23" s="559"/>
      <c r="DYP23" s="559"/>
      <c r="DYQ23" s="559"/>
      <c r="DYR23" s="559"/>
      <c r="DYS23" s="559"/>
      <c r="DYT23" s="559"/>
      <c r="DYU23" s="559"/>
      <c r="DYV23" s="559"/>
      <c r="DYW23" s="559"/>
      <c r="DYX23" s="559"/>
      <c r="DYY23" s="559"/>
      <c r="DYZ23" s="559"/>
      <c r="DZA23" s="559"/>
      <c r="DZB23" s="559"/>
      <c r="DZC23" s="559"/>
      <c r="DZD23" s="559"/>
      <c r="DZE23" s="559"/>
      <c r="DZF23" s="559"/>
      <c r="DZG23" s="559"/>
      <c r="DZH23" s="559"/>
      <c r="DZI23" s="559"/>
      <c r="DZJ23" s="559"/>
      <c r="DZK23" s="559"/>
      <c r="DZL23" s="559"/>
      <c r="DZM23" s="559"/>
      <c r="DZN23" s="559"/>
      <c r="DZO23" s="559"/>
      <c r="DZP23" s="559"/>
      <c r="DZQ23" s="559"/>
      <c r="DZR23" s="559"/>
      <c r="DZS23" s="559"/>
      <c r="DZT23" s="559"/>
      <c r="DZU23" s="559"/>
      <c r="DZV23" s="559"/>
      <c r="DZW23" s="559"/>
      <c r="DZX23" s="559"/>
      <c r="DZY23" s="559"/>
      <c r="DZZ23" s="559"/>
      <c r="EAA23" s="559"/>
      <c r="EAB23" s="559"/>
      <c r="EAC23" s="559"/>
      <c r="EAD23" s="559"/>
      <c r="EAE23" s="559"/>
      <c r="EAF23" s="559"/>
      <c r="EAG23" s="559"/>
      <c r="EAH23" s="559"/>
      <c r="EAI23" s="559"/>
      <c r="EAJ23" s="559"/>
      <c r="EAK23" s="559"/>
      <c r="EAL23" s="559"/>
      <c r="EAM23" s="559"/>
      <c r="EAN23" s="559"/>
      <c r="EAO23" s="559"/>
      <c r="EAP23" s="559"/>
      <c r="EAQ23" s="559"/>
      <c r="EAR23" s="559"/>
      <c r="EAS23" s="559"/>
      <c r="EAT23" s="559"/>
      <c r="EAU23" s="559"/>
      <c r="EAV23" s="559"/>
      <c r="EAW23" s="559"/>
      <c r="EAX23" s="559"/>
      <c r="EAY23" s="559"/>
      <c r="EAZ23" s="559"/>
      <c r="EBA23" s="559"/>
      <c r="EBB23" s="559"/>
      <c r="EBC23" s="559"/>
      <c r="EBD23" s="559"/>
      <c r="EBE23" s="559"/>
      <c r="EBF23" s="559"/>
      <c r="EBG23" s="559"/>
      <c r="EBH23" s="559"/>
      <c r="EBI23" s="559"/>
      <c r="EBJ23" s="559"/>
      <c r="EBK23" s="559"/>
      <c r="EBL23" s="559"/>
      <c r="EBM23" s="559"/>
      <c r="EBN23" s="559"/>
      <c r="EBO23" s="559"/>
      <c r="EBP23" s="559"/>
      <c r="EBQ23" s="559"/>
      <c r="EBR23" s="559"/>
      <c r="EBS23" s="559"/>
      <c r="EBT23" s="559"/>
      <c r="EBU23" s="559"/>
      <c r="EBV23" s="559"/>
      <c r="EBW23" s="559"/>
      <c r="EBX23" s="559"/>
      <c r="EBY23" s="559"/>
      <c r="EBZ23" s="559"/>
      <c r="ECA23" s="559"/>
      <c r="ECB23" s="559"/>
      <c r="ECC23" s="559"/>
      <c r="ECD23" s="559"/>
      <c r="ECE23" s="559"/>
      <c r="ECF23" s="559"/>
      <c r="ECG23" s="559"/>
      <c r="ECH23" s="559"/>
      <c r="ECI23" s="559"/>
      <c r="ECJ23" s="559"/>
      <c r="ECK23" s="559"/>
      <c r="ECL23" s="559"/>
      <c r="ECM23" s="559"/>
      <c r="ECN23" s="559"/>
      <c r="ECO23" s="559"/>
      <c r="ECP23" s="559"/>
      <c r="ECQ23" s="559"/>
      <c r="ECR23" s="559"/>
      <c r="ECS23" s="559"/>
      <c r="ECT23" s="559"/>
      <c r="ECU23" s="559"/>
      <c r="ECV23" s="559"/>
      <c r="ECW23" s="559"/>
      <c r="ECX23" s="559"/>
      <c r="ECY23" s="559"/>
      <c r="ECZ23" s="559"/>
      <c r="EDA23" s="559"/>
      <c r="EDB23" s="559"/>
      <c r="EDC23" s="559"/>
      <c r="EDD23" s="559"/>
      <c r="EDE23" s="559"/>
      <c r="EDF23" s="559"/>
      <c r="EDG23" s="559"/>
      <c r="EDH23" s="559"/>
      <c r="EDI23" s="559"/>
      <c r="EDJ23" s="559"/>
      <c r="EDK23" s="559"/>
      <c r="EDL23" s="559"/>
      <c r="EDM23" s="559"/>
      <c r="EDN23" s="559"/>
      <c r="EDO23" s="559"/>
      <c r="EDP23" s="559"/>
      <c r="EDQ23" s="559"/>
      <c r="EDR23" s="559"/>
      <c r="EDS23" s="559"/>
      <c r="EDT23" s="559"/>
      <c r="EDU23" s="559"/>
      <c r="EDV23" s="559"/>
      <c r="EDW23" s="559"/>
      <c r="EDX23" s="559"/>
      <c r="EDY23" s="559"/>
      <c r="EDZ23" s="559"/>
      <c r="EEA23" s="559"/>
      <c r="EEB23" s="559"/>
      <c r="EEC23" s="559"/>
      <c r="EED23" s="559"/>
      <c r="EEE23" s="559"/>
      <c r="EEF23" s="559"/>
      <c r="EEG23" s="559"/>
      <c r="EEH23" s="559"/>
      <c r="EEI23" s="559"/>
      <c r="EEJ23" s="559"/>
      <c r="EEK23" s="559"/>
      <c r="EEL23" s="559"/>
      <c r="EEM23" s="559"/>
      <c r="EEN23" s="559"/>
      <c r="EEO23" s="559"/>
      <c r="EEP23" s="559"/>
      <c r="EEQ23" s="559"/>
      <c r="EER23" s="559"/>
      <c r="EES23" s="559"/>
      <c r="EET23" s="559"/>
      <c r="EEU23" s="559"/>
      <c r="EEV23" s="559"/>
      <c r="EEW23" s="559"/>
      <c r="EEX23" s="559"/>
      <c r="EEY23" s="559"/>
      <c r="EEZ23" s="559"/>
      <c r="EFA23" s="559"/>
      <c r="EFB23" s="559"/>
      <c r="EFC23" s="559"/>
      <c r="EFD23" s="559"/>
      <c r="EFE23" s="559"/>
      <c r="EFF23" s="559"/>
      <c r="EFG23" s="559"/>
      <c r="EFH23" s="559"/>
      <c r="EFI23" s="559"/>
      <c r="EFJ23" s="559"/>
      <c r="EFK23" s="559"/>
      <c r="EFL23" s="559"/>
      <c r="EFM23" s="559"/>
      <c r="EFN23" s="559"/>
      <c r="EFO23" s="559"/>
      <c r="EFP23" s="559"/>
      <c r="EFQ23" s="559"/>
      <c r="EFR23" s="559"/>
      <c r="EFS23" s="559"/>
      <c r="EFT23" s="559"/>
      <c r="EFU23" s="559"/>
      <c r="EFV23" s="559"/>
      <c r="EFW23" s="559"/>
      <c r="EFX23" s="559"/>
      <c r="EFY23" s="559"/>
      <c r="EFZ23" s="559"/>
      <c r="EGA23" s="559"/>
      <c r="EGB23" s="559"/>
      <c r="EGC23" s="559"/>
      <c r="EGD23" s="559"/>
      <c r="EGE23" s="559"/>
      <c r="EGF23" s="559"/>
      <c r="EGG23" s="559"/>
      <c r="EGH23" s="559"/>
      <c r="EGI23" s="559"/>
      <c r="EGJ23" s="559"/>
      <c r="EGK23" s="559"/>
      <c r="EGL23" s="559"/>
      <c r="EGM23" s="559"/>
      <c r="EGN23" s="559"/>
      <c r="EGO23" s="559"/>
      <c r="EGP23" s="559"/>
      <c r="EGQ23" s="559"/>
      <c r="EGR23" s="559"/>
      <c r="EGS23" s="559"/>
      <c r="EGT23" s="559"/>
      <c r="EGU23" s="559"/>
      <c r="EGV23" s="559"/>
      <c r="EGW23" s="559"/>
      <c r="EGX23" s="559"/>
      <c r="EGY23" s="559"/>
      <c r="EGZ23" s="559"/>
      <c r="EHA23" s="559"/>
      <c r="EHB23" s="559"/>
      <c r="EHC23" s="559"/>
      <c r="EHD23" s="559"/>
      <c r="EHE23" s="559"/>
      <c r="EHF23" s="559"/>
      <c r="EHG23" s="559"/>
      <c r="EHH23" s="559"/>
      <c r="EHI23" s="559"/>
      <c r="EHJ23" s="559"/>
      <c r="EHK23" s="559"/>
      <c r="EHL23" s="559"/>
      <c r="EHM23" s="559"/>
      <c r="EHN23" s="559"/>
      <c r="EHO23" s="559"/>
      <c r="EHP23" s="559"/>
      <c r="EHQ23" s="559"/>
      <c r="EHR23" s="559"/>
      <c r="EHS23" s="559"/>
      <c r="EHT23" s="559"/>
      <c r="EHU23" s="559"/>
      <c r="EHV23" s="559"/>
      <c r="EHW23" s="559"/>
      <c r="EHX23" s="559"/>
      <c r="EHY23" s="559"/>
      <c r="EHZ23" s="559"/>
      <c r="EIA23" s="559"/>
      <c r="EIB23" s="559"/>
      <c r="EIC23" s="559"/>
      <c r="EID23" s="559"/>
      <c r="EIE23" s="559"/>
      <c r="EIF23" s="559"/>
      <c r="EIG23" s="559"/>
      <c r="EIH23" s="559"/>
      <c r="EII23" s="559"/>
      <c r="EIJ23" s="559"/>
      <c r="EIK23" s="559"/>
      <c r="EIL23" s="559"/>
      <c r="EIM23" s="559"/>
      <c r="EIN23" s="559"/>
      <c r="EIO23" s="559"/>
      <c r="EIP23" s="559"/>
      <c r="EIQ23" s="559"/>
      <c r="EIR23" s="559"/>
      <c r="EIS23" s="559"/>
      <c r="EIT23" s="559"/>
      <c r="EIU23" s="559"/>
      <c r="EIV23" s="559"/>
      <c r="EIW23" s="559"/>
      <c r="EIX23" s="559"/>
      <c r="EIY23" s="559"/>
      <c r="EIZ23" s="559"/>
      <c r="EJA23" s="559"/>
      <c r="EJB23" s="559"/>
      <c r="EJC23" s="559"/>
      <c r="EJD23" s="559"/>
      <c r="EJE23" s="559"/>
      <c r="EJF23" s="559"/>
      <c r="EJG23" s="559"/>
      <c r="EJH23" s="559"/>
      <c r="EJI23" s="559"/>
      <c r="EJJ23" s="559"/>
      <c r="EJK23" s="559"/>
      <c r="EJL23" s="559"/>
      <c r="EJM23" s="559"/>
      <c r="EJN23" s="559"/>
      <c r="EJO23" s="559"/>
      <c r="EJP23" s="559"/>
      <c r="EJQ23" s="559"/>
      <c r="EJR23" s="559"/>
      <c r="EJS23" s="559"/>
      <c r="EJT23" s="559"/>
      <c r="EJU23" s="559"/>
      <c r="EJV23" s="559"/>
      <c r="EJW23" s="559"/>
      <c r="EJX23" s="559"/>
      <c r="EJY23" s="559"/>
      <c r="EJZ23" s="559"/>
      <c r="EKA23" s="559"/>
      <c r="EKB23" s="559"/>
      <c r="EKC23" s="559"/>
      <c r="EKD23" s="559"/>
      <c r="EKE23" s="559"/>
      <c r="EKF23" s="559"/>
      <c r="EKG23" s="559"/>
      <c r="EKH23" s="559"/>
      <c r="EKI23" s="559"/>
      <c r="EKJ23" s="559"/>
      <c r="EKK23" s="559"/>
      <c r="EKL23" s="559"/>
      <c r="EKM23" s="559"/>
      <c r="EKN23" s="559"/>
      <c r="EKO23" s="559"/>
      <c r="EKP23" s="559"/>
      <c r="EKQ23" s="559"/>
      <c r="EKR23" s="559"/>
      <c r="EKS23" s="559"/>
      <c r="EKT23" s="559"/>
      <c r="EKU23" s="559"/>
      <c r="EKV23" s="559"/>
      <c r="EKW23" s="559"/>
      <c r="EKX23" s="559"/>
      <c r="EKY23" s="559"/>
      <c r="EKZ23" s="559"/>
      <c r="ELA23" s="559"/>
      <c r="ELB23" s="559"/>
      <c r="ELC23" s="559"/>
      <c r="ELD23" s="559"/>
      <c r="ELE23" s="559"/>
      <c r="ELF23" s="559"/>
      <c r="ELG23" s="559"/>
      <c r="ELH23" s="559"/>
      <c r="ELI23" s="559"/>
      <c r="ELJ23" s="559"/>
      <c r="ELK23" s="559"/>
      <c r="ELL23" s="559"/>
      <c r="ELM23" s="559"/>
      <c r="ELN23" s="559"/>
      <c r="ELO23" s="559"/>
      <c r="ELP23" s="559"/>
      <c r="ELQ23" s="559"/>
      <c r="ELR23" s="559"/>
      <c r="ELS23" s="559"/>
      <c r="ELT23" s="559"/>
      <c r="ELU23" s="559"/>
      <c r="ELV23" s="559"/>
      <c r="ELW23" s="559"/>
      <c r="ELX23" s="559"/>
      <c r="ELY23" s="559"/>
      <c r="ELZ23" s="559"/>
      <c r="EMA23" s="559"/>
      <c r="EMB23" s="559"/>
      <c r="EMC23" s="559"/>
      <c r="EMD23" s="559"/>
      <c r="EME23" s="559"/>
      <c r="EMF23" s="559"/>
      <c r="EMG23" s="559"/>
      <c r="EMH23" s="559"/>
      <c r="EMI23" s="559"/>
      <c r="EMJ23" s="559"/>
      <c r="EMK23" s="559"/>
      <c r="EML23" s="559"/>
      <c r="EMM23" s="559"/>
      <c r="EMN23" s="559"/>
      <c r="EMO23" s="559"/>
      <c r="EMP23" s="559"/>
      <c r="EMQ23" s="559"/>
      <c r="EMR23" s="559"/>
      <c r="EMS23" s="559"/>
      <c r="EMT23" s="559"/>
      <c r="EMU23" s="559"/>
      <c r="EMV23" s="559"/>
      <c r="EMW23" s="559"/>
      <c r="EMX23" s="559"/>
      <c r="EMY23" s="559"/>
      <c r="EMZ23" s="559"/>
      <c r="ENA23" s="559"/>
      <c r="ENB23" s="559"/>
      <c r="ENC23" s="559"/>
      <c r="END23" s="559"/>
      <c r="ENE23" s="559"/>
      <c r="ENF23" s="559"/>
      <c r="ENG23" s="559"/>
      <c r="ENH23" s="559"/>
      <c r="ENI23" s="559"/>
      <c r="ENJ23" s="559"/>
      <c r="ENK23" s="559"/>
      <c r="ENL23" s="559"/>
      <c r="ENM23" s="559"/>
      <c r="ENN23" s="559"/>
      <c r="ENO23" s="559"/>
      <c r="ENP23" s="559"/>
      <c r="ENQ23" s="559"/>
      <c r="ENR23" s="559"/>
      <c r="ENS23" s="559"/>
      <c r="ENT23" s="559"/>
      <c r="ENU23" s="559"/>
      <c r="ENV23" s="559"/>
      <c r="ENW23" s="559"/>
      <c r="ENX23" s="559"/>
      <c r="ENY23" s="559"/>
      <c r="ENZ23" s="559"/>
      <c r="EOA23" s="559"/>
      <c r="EOB23" s="559"/>
      <c r="EOC23" s="559"/>
      <c r="EOD23" s="559"/>
      <c r="EOE23" s="559"/>
      <c r="EOF23" s="559"/>
      <c r="EOG23" s="559"/>
      <c r="EOH23" s="559"/>
      <c r="EOI23" s="559"/>
      <c r="EOJ23" s="559"/>
      <c r="EOK23" s="559"/>
      <c r="EOL23" s="559"/>
      <c r="EOM23" s="559"/>
      <c r="EON23" s="559"/>
      <c r="EOO23" s="559"/>
      <c r="EOP23" s="559"/>
      <c r="EOQ23" s="559"/>
      <c r="EOR23" s="559"/>
      <c r="EOS23" s="559"/>
      <c r="EOT23" s="559"/>
      <c r="EOU23" s="559"/>
      <c r="EOV23" s="559"/>
      <c r="EOW23" s="559"/>
      <c r="EOX23" s="559"/>
      <c r="EOY23" s="559"/>
      <c r="EOZ23" s="559"/>
      <c r="EPA23" s="559"/>
      <c r="EPB23" s="559"/>
      <c r="EPC23" s="559"/>
      <c r="EPD23" s="559"/>
      <c r="EPE23" s="559"/>
      <c r="EPF23" s="559"/>
      <c r="EPG23" s="559"/>
      <c r="EPH23" s="559"/>
      <c r="EPI23" s="559"/>
      <c r="EPJ23" s="559"/>
      <c r="EPK23" s="559"/>
      <c r="EPL23" s="559"/>
      <c r="EPM23" s="559"/>
      <c r="EPN23" s="559"/>
      <c r="EPO23" s="559"/>
      <c r="EPP23" s="559"/>
      <c r="EPQ23" s="559"/>
      <c r="EPR23" s="559"/>
      <c r="EPS23" s="559"/>
      <c r="EPT23" s="559"/>
      <c r="EPU23" s="559"/>
      <c r="EPV23" s="559"/>
      <c r="EPW23" s="559"/>
      <c r="EPX23" s="559"/>
      <c r="EPY23" s="559"/>
      <c r="EPZ23" s="559"/>
      <c r="EQA23" s="559"/>
      <c r="EQB23" s="559"/>
      <c r="EQC23" s="559"/>
      <c r="EQD23" s="559"/>
      <c r="EQE23" s="559"/>
      <c r="EQF23" s="559"/>
      <c r="EQG23" s="559"/>
      <c r="EQH23" s="559"/>
      <c r="EQI23" s="559"/>
      <c r="EQJ23" s="559"/>
      <c r="EQK23" s="559"/>
      <c r="EQL23" s="559"/>
      <c r="EQM23" s="559"/>
      <c r="EQN23" s="559"/>
      <c r="EQO23" s="559"/>
      <c r="EQP23" s="559"/>
      <c r="EQQ23" s="559"/>
      <c r="EQR23" s="559"/>
      <c r="EQS23" s="559"/>
      <c r="EQT23" s="559"/>
      <c r="EQU23" s="559"/>
      <c r="EQV23" s="559"/>
      <c r="EQW23" s="559"/>
      <c r="EQX23" s="559"/>
      <c r="EQY23" s="559"/>
      <c r="EQZ23" s="559"/>
      <c r="ERA23" s="559"/>
      <c r="ERB23" s="559"/>
      <c r="ERC23" s="559"/>
      <c r="ERD23" s="559"/>
      <c r="ERE23" s="559"/>
      <c r="ERF23" s="559"/>
      <c r="ERG23" s="559"/>
      <c r="ERH23" s="559"/>
      <c r="ERI23" s="559"/>
      <c r="ERJ23" s="559"/>
      <c r="ERK23" s="559"/>
      <c r="ERL23" s="559"/>
      <c r="ERM23" s="559"/>
      <c r="ERN23" s="559"/>
      <c r="ERO23" s="559"/>
      <c r="ERP23" s="559"/>
      <c r="ERQ23" s="559"/>
      <c r="ERR23" s="559"/>
      <c r="ERS23" s="559"/>
      <c r="ERT23" s="559"/>
      <c r="ERU23" s="559"/>
      <c r="ERV23" s="559"/>
      <c r="ERW23" s="559"/>
      <c r="ERX23" s="559"/>
      <c r="ERY23" s="559"/>
      <c r="ERZ23" s="559"/>
      <c r="ESA23" s="559"/>
      <c r="ESB23" s="559"/>
      <c r="ESC23" s="559"/>
      <c r="ESD23" s="559"/>
      <c r="ESE23" s="559"/>
      <c r="ESF23" s="559"/>
      <c r="ESG23" s="559"/>
      <c r="ESH23" s="559"/>
      <c r="ESI23" s="559"/>
      <c r="ESJ23" s="559"/>
      <c r="ESK23" s="559"/>
      <c r="ESL23" s="559"/>
      <c r="ESM23" s="559"/>
      <c r="ESN23" s="559"/>
      <c r="ESO23" s="559"/>
      <c r="ESP23" s="559"/>
      <c r="ESQ23" s="559"/>
      <c r="ESR23" s="559"/>
      <c r="ESS23" s="559"/>
      <c r="EST23" s="559"/>
      <c r="ESU23" s="559"/>
      <c r="ESV23" s="559"/>
      <c r="ESW23" s="559"/>
      <c r="ESX23" s="559"/>
      <c r="ESY23" s="559"/>
      <c r="ESZ23" s="559"/>
      <c r="ETA23" s="559"/>
      <c r="ETB23" s="559"/>
      <c r="ETC23" s="559"/>
      <c r="ETD23" s="559"/>
      <c r="ETE23" s="559"/>
      <c r="ETF23" s="559"/>
      <c r="ETG23" s="559"/>
      <c r="ETH23" s="559"/>
      <c r="ETI23" s="559"/>
      <c r="ETJ23" s="559"/>
      <c r="ETK23" s="559"/>
      <c r="ETL23" s="559"/>
      <c r="ETM23" s="559"/>
      <c r="ETN23" s="559"/>
      <c r="ETO23" s="559"/>
      <c r="ETP23" s="559"/>
      <c r="ETQ23" s="559"/>
      <c r="ETR23" s="559"/>
      <c r="ETS23" s="559"/>
      <c r="ETT23" s="559"/>
      <c r="ETU23" s="559"/>
      <c r="ETV23" s="559"/>
      <c r="ETW23" s="559"/>
      <c r="ETX23" s="559"/>
      <c r="ETY23" s="559"/>
      <c r="ETZ23" s="559"/>
      <c r="EUA23" s="559"/>
      <c r="EUB23" s="559"/>
      <c r="EUC23" s="559"/>
      <c r="EUD23" s="559"/>
      <c r="EUE23" s="559"/>
      <c r="EUF23" s="559"/>
      <c r="EUG23" s="559"/>
      <c r="EUH23" s="559"/>
      <c r="EUI23" s="559"/>
      <c r="EUJ23" s="559"/>
      <c r="EUK23" s="559"/>
      <c r="EUL23" s="559"/>
      <c r="EUM23" s="559"/>
      <c r="EUN23" s="559"/>
      <c r="EUO23" s="559"/>
      <c r="EUP23" s="559"/>
      <c r="EUQ23" s="559"/>
      <c r="EUR23" s="559"/>
      <c r="EUS23" s="559"/>
      <c r="EUT23" s="559"/>
      <c r="EUU23" s="559"/>
      <c r="EUV23" s="559"/>
      <c r="EUW23" s="559"/>
      <c r="EUX23" s="559"/>
      <c r="EUY23" s="559"/>
      <c r="EUZ23" s="559"/>
      <c r="EVA23" s="559"/>
      <c r="EVB23" s="559"/>
      <c r="EVC23" s="559"/>
      <c r="EVD23" s="559"/>
      <c r="EVE23" s="559"/>
      <c r="EVF23" s="559"/>
      <c r="EVG23" s="559"/>
      <c r="EVH23" s="559"/>
      <c r="EVI23" s="559"/>
      <c r="EVJ23" s="559"/>
      <c r="EVK23" s="559"/>
      <c r="EVL23" s="559"/>
      <c r="EVM23" s="559"/>
      <c r="EVN23" s="559"/>
      <c r="EVO23" s="559"/>
      <c r="EVP23" s="559"/>
      <c r="EVQ23" s="559"/>
      <c r="EVR23" s="559"/>
      <c r="EVS23" s="559"/>
      <c r="EVT23" s="559"/>
      <c r="EVU23" s="559"/>
      <c r="EVV23" s="559"/>
      <c r="EVW23" s="559"/>
      <c r="EVX23" s="559"/>
      <c r="EVY23" s="559"/>
      <c r="EVZ23" s="559"/>
      <c r="EWA23" s="559"/>
      <c r="EWB23" s="559"/>
      <c r="EWC23" s="559"/>
      <c r="EWD23" s="559"/>
      <c r="EWE23" s="559"/>
      <c r="EWF23" s="559"/>
      <c r="EWG23" s="559"/>
      <c r="EWH23" s="559"/>
      <c r="EWI23" s="559"/>
      <c r="EWJ23" s="559"/>
      <c r="EWK23" s="559"/>
      <c r="EWL23" s="559"/>
      <c r="EWM23" s="559"/>
      <c r="EWN23" s="559"/>
      <c r="EWO23" s="559"/>
      <c r="EWP23" s="559"/>
      <c r="EWQ23" s="559"/>
      <c r="EWR23" s="559"/>
      <c r="EWS23" s="559"/>
      <c r="EWT23" s="559"/>
      <c r="EWU23" s="559"/>
      <c r="EWV23" s="559"/>
      <c r="EWW23" s="559"/>
      <c r="EWX23" s="559"/>
      <c r="EWY23" s="559"/>
      <c r="EWZ23" s="559"/>
      <c r="EXA23" s="559"/>
      <c r="EXB23" s="559"/>
      <c r="EXC23" s="559"/>
      <c r="EXD23" s="559"/>
      <c r="EXE23" s="559"/>
      <c r="EXF23" s="559"/>
      <c r="EXG23" s="559"/>
      <c r="EXH23" s="559"/>
      <c r="EXI23" s="559"/>
      <c r="EXJ23" s="559"/>
      <c r="EXK23" s="559"/>
      <c r="EXL23" s="559"/>
      <c r="EXM23" s="559"/>
      <c r="EXN23" s="559"/>
      <c r="EXO23" s="559"/>
      <c r="EXP23" s="559"/>
      <c r="EXQ23" s="559"/>
      <c r="EXR23" s="559"/>
      <c r="EXS23" s="559"/>
      <c r="EXT23" s="559"/>
      <c r="EXU23" s="559"/>
      <c r="EXV23" s="559"/>
      <c r="EXW23" s="559"/>
      <c r="EXX23" s="559"/>
      <c r="EXY23" s="559"/>
      <c r="EXZ23" s="559"/>
      <c r="EYA23" s="559"/>
      <c r="EYB23" s="559"/>
      <c r="EYC23" s="559"/>
      <c r="EYD23" s="559"/>
      <c r="EYE23" s="559"/>
      <c r="EYF23" s="559"/>
      <c r="EYG23" s="559"/>
      <c r="EYH23" s="559"/>
      <c r="EYI23" s="559"/>
      <c r="EYJ23" s="559"/>
      <c r="EYK23" s="559"/>
      <c r="EYL23" s="559"/>
      <c r="EYM23" s="559"/>
      <c r="EYN23" s="559"/>
      <c r="EYO23" s="559"/>
      <c r="EYP23" s="559"/>
      <c r="EYQ23" s="559"/>
      <c r="EYR23" s="559"/>
      <c r="EYS23" s="559"/>
      <c r="EYT23" s="559"/>
      <c r="EYU23" s="559"/>
      <c r="EYV23" s="559"/>
      <c r="EYW23" s="559"/>
      <c r="EYX23" s="559"/>
      <c r="EYY23" s="559"/>
      <c r="EYZ23" s="559"/>
      <c r="EZA23" s="559"/>
      <c r="EZB23" s="559"/>
      <c r="EZC23" s="559"/>
      <c r="EZD23" s="559"/>
      <c r="EZE23" s="559"/>
      <c r="EZF23" s="559"/>
      <c r="EZG23" s="559"/>
      <c r="EZH23" s="559"/>
      <c r="EZI23" s="559"/>
      <c r="EZJ23" s="559"/>
      <c r="EZK23" s="559"/>
      <c r="EZL23" s="559"/>
      <c r="EZM23" s="559"/>
      <c r="EZN23" s="559"/>
      <c r="EZO23" s="559"/>
      <c r="EZP23" s="559"/>
      <c r="EZQ23" s="559"/>
      <c r="EZR23" s="559"/>
      <c r="EZS23" s="559"/>
      <c r="EZT23" s="559"/>
      <c r="EZU23" s="559"/>
      <c r="EZV23" s="559"/>
      <c r="EZW23" s="559"/>
      <c r="EZX23" s="559"/>
      <c r="EZY23" s="559"/>
      <c r="EZZ23" s="559"/>
      <c r="FAA23" s="559"/>
      <c r="FAB23" s="559"/>
      <c r="FAC23" s="559"/>
      <c r="FAD23" s="559"/>
      <c r="FAE23" s="559"/>
      <c r="FAF23" s="559"/>
      <c r="FAG23" s="559"/>
      <c r="FAH23" s="559"/>
      <c r="FAI23" s="559"/>
      <c r="FAJ23" s="559"/>
      <c r="FAK23" s="559"/>
      <c r="FAL23" s="559"/>
      <c r="FAM23" s="559"/>
      <c r="FAN23" s="559"/>
      <c r="FAO23" s="559"/>
      <c r="FAP23" s="559"/>
      <c r="FAQ23" s="559"/>
      <c r="FAR23" s="559"/>
      <c r="FAS23" s="559"/>
      <c r="FAT23" s="559"/>
      <c r="FAU23" s="559"/>
      <c r="FAV23" s="559"/>
      <c r="FAW23" s="559"/>
      <c r="FAX23" s="559"/>
      <c r="FAY23" s="559"/>
      <c r="FAZ23" s="559"/>
      <c r="FBA23" s="559"/>
      <c r="FBB23" s="559"/>
      <c r="FBC23" s="559"/>
      <c r="FBD23" s="559"/>
      <c r="FBE23" s="559"/>
      <c r="FBF23" s="559"/>
      <c r="FBG23" s="559"/>
      <c r="FBH23" s="559"/>
      <c r="FBI23" s="559"/>
      <c r="FBJ23" s="559"/>
      <c r="FBK23" s="559"/>
      <c r="FBL23" s="559"/>
      <c r="FBM23" s="559"/>
      <c r="FBN23" s="559"/>
      <c r="FBO23" s="559"/>
      <c r="FBP23" s="559"/>
      <c r="FBQ23" s="559"/>
      <c r="FBR23" s="559"/>
      <c r="FBS23" s="559"/>
      <c r="FBT23" s="559"/>
      <c r="FBU23" s="559"/>
      <c r="FBV23" s="559"/>
      <c r="FBW23" s="559"/>
      <c r="FBX23" s="559"/>
      <c r="FBY23" s="559"/>
      <c r="FBZ23" s="559"/>
      <c r="FCA23" s="559"/>
      <c r="FCB23" s="559"/>
      <c r="FCC23" s="559"/>
      <c r="FCD23" s="559"/>
      <c r="FCE23" s="559"/>
      <c r="FCF23" s="559"/>
      <c r="FCG23" s="559"/>
      <c r="FCH23" s="559"/>
      <c r="FCI23" s="559"/>
      <c r="FCJ23" s="559"/>
      <c r="FCK23" s="559"/>
      <c r="FCL23" s="559"/>
      <c r="FCM23" s="559"/>
      <c r="FCN23" s="559"/>
      <c r="FCO23" s="559"/>
      <c r="FCP23" s="559"/>
      <c r="FCQ23" s="559"/>
      <c r="FCR23" s="559"/>
      <c r="FCS23" s="559"/>
      <c r="FCT23" s="559"/>
      <c r="FCU23" s="559"/>
      <c r="FCV23" s="559"/>
      <c r="FCW23" s="559"/>
      <c r="FCX23" s="559"/>
      <c r="FCY23" s="559"/>
      <c r="FCZ23" s="559"/>
      <c r="FDA23" s="559"/>
      <c r="FDB23" s="559"/>
      <c r="FDC23" s="559"/>
      <c r="FDD23" s="559"/>
      <c r="FDE23" s="559"/>
      <c r="FDF23" s="559"/>
      <c r="FDG23" s="559"/>
      <c r="FDH23" s="559"/>
      <c r="FDI23" s="559"/>
      <c r="FDJ23" s="559"/>
      <c r="FDK23" s="559"/>
      <c r="FDL23" s="559"/>
      <c r="FDM23" s="559"/>
      <c r="FDN23" s="559"/>
      <c r="FDO23" s="559"/>
      <c r="FDP23" s="559"/>
      <c r="FDQ23" s="559"/>
      <c r="FDR23" s="559"/>
      <c r="FDS23" s="559"/>
      <c r="FDT23" s="559"/>
      <c r="FDU23" s="559"/>
      <c r="FDV23" s="559"/>
      <c r="FDW23" s="559"/>
      <c r="FDX23" s="559"/>
      <c r="FDY23" s="559"/>
      <c r="FDZ23" s="559"/>
      <c r="FEA23" s="559"/>
      <c r="FEB23" s="559"/>
      <c r="FEC23" s="559"/>
      <c r="FED23" s="559"/>
      <c r="FEE23" s="559"/>
      <c r="FEF23" s="559"/>
      <c r="FEG23" s="559"/>
      <c r="FEH23" s="559"/>
      <c r="FEI23" s="559"/>
      <c r="FEJ23" s="559"/>
      <c r="FEK23" s="559"/>
      <c r="FEL23" s="559"/>
      <c r="FEM23" s="559"/>
      <c r="FEN23" s="559"/>
      <c r="FEO23" s="559"/>
      <c r="FEP23" s="559"/>
      <c r="FEQ23" s="559"/>
      <c r="FER23" s="559"/>
      <c r="FES23" s="559"/>
      <c r="FET23" s="559"/>
      <c r="FEU23" s="559"/>
      <c r="FEV23" s="559"/>
      <c r="FEW23" s="559"/>
      <c r="FEX23" s="559"/>
      <c r="FEY23" s="559"/>
      <c r="FEZ23" s="559"/>
      <c r="FFA23" s="559"/>
      <c r="FFB23" s="559"/>
      <c r="FFC23" s="559"/>
      <c r="FFD23" s="559"/>
      <c r="FFE23" s="559"/>
      <c r="FFF23" s="559"/>
      <c r="FFG23" s="559"/>
      <c r="FFH23" s="559"/>
      <c r="FFI23" s="559"/>
      <c r="FFJ23" s="559"/>
      <c r="FFK23" s="559"/>
      <c r="FFL23" s="559"/>
      <c r="FFM23" s="559"/>
      <c r="FFN23" s="559"/>
      <c r="FFO23" s="559"/>
      <c r="FFP23" s="559"/>
      <c r="FFQ23" s="559"/>
      <c r="FFR23" s="559"/>
      <c r="FFS23" s="559"/>
      <c r="FFT23" s="559"/>
      <c r="FFU23" s="559"/>
      <c r="FFV23" s="559"/>
      <c r="FFW23" s="559"/>
      <c r="FFX23" s="559"/>
      <c r="FFY23" s="559"/>
      <c r="FFZ23" s="559"/>
      <c r="FGA23" s="559"/>
      <c r="FGB23" s="559"/>
      <c r="FGC23" s="559"/>
      <c r="FGD23" s="559"/>
      <c r="FGE23" s="559"/>
      <c r="FGF23" s="559"/>
      <c r="FGG23" s="559"/>
      <c r="FGH23" s="559"/>
      <c r="FGI23" s="559"/>
      <c r="FGJ23" s="559"/>
      <c r="FGK23" s="559"/>
      <c r="FGL23" s="559"/>
      <c r="FGM23" s="559"/>
      <c r="FGN23" s="559"/>
      <c r="FGO23" s="559"/>
      <c r="FGP23" s="559"/>
      <c r="FGQ23" s="559"/>
      <c r="FGR23" s="559"/>
      <c r="FGS23" s="559"/>
      <c r="FGT23" s="559"/>
      <c r="FGU23" s="559"/>
      <c r="FGV23" s="559"/>
      <c r="FGW23" s="559"/>
      <c r="FGX23" s="559"/>
      <c r="FGY23" s="559"/>
      <c r="FGZ23" s="559"/>
      <c r="FHA23" s="559"/>
      <c r="FHB23" s="559"/>
      <c r="FHC23" s="559"/>
      <c r="FHD23" s="559"/>
      <c r="FHE23" s="559"/>
      <c r="FHF23" s="559"/>
      <c r="FHG23" s="559"/>
      <c r="FHH23" s="559"/>
      <c r="FHI23" s="559"/>
      <c r="FHJ23" s="559"/>
      <c r="FHK23" s="559"/>
      <c r="FHL23" s="559"/>
      <c r="FHM23" s="559"/>
      <c r="FHN23" s="559"/>
      <c r="FHO23" s="559"/>
      <c r="FHP23" s="559"/>
      <c r="FHQ23" s="559"/>
      <c r="FHR23" s="559"/>
      <c r="FHS23" s="559"/>
      <c r="FHT23" s="559"/>
      <c r="FHU23" s="559"/>
      <c r="FHV23" s="559"/>
      <c r="FHW23" s="559"/>
      <c r="FHX23" s="559"/>
      <c r="FHY23" s="559"/>
      <c r="FHZ23" s="559"/>
      <c r="FIA23" s="559"/>
      <c r="FIB23" s="559"/>
      <c r="FIC23" s="559"/>
      <c r="FID23" s="559"/>
      <c r="FIE23" s="559"/>
      <c r="FIF23" s="559"/>
      <c r="FIG23" s="559"/>
      <c r="FIH23" s="559"/>
      <c r="FII23" s="559"/>
      <c r="FIJ23" s="559"/>
      <c r="FIK23" s="559"/>
      <c r="FIL23" s="559"/>
      <c r="FIM23" s="559"/>
      <c r="FIN23" s="559"/>
      <c r="FIO23" s="559"/>
      <c r="FIP23" s="559"/>
      <c r="FIQ23" s="559"/>
      <c r="FIR23" s="559"/>
      <c r="FIS23" s="559"/>
      <c r="FIT23" s="559"/>
      <c r="FIU23" s="559"/>
      <c r="FIV23" s="559"/>
      <c r="FIW23" s="559"/>
      <c r="FIX23" s="559"/>
      <c r="FIY23" s="559"/>
      <c r="FIZ23" s="559"/>
      <c r="FJA23" s="559"/>
      <c r="FJB23" s="559"/>
      <c r="FJC23" s="559"/>
      <c r="FJD23" s="559"/>
      <c r="FJE23" s="559"/>
      <c r="FJF23" s="559"/>
      <c r="FJG23" s="559"/>
      <c r="FJH23" s="559"/>
      <c r="FJI23" s="559"/>
      <c r="FJJ23" s="559"/>
      <c r="FJK23" s="559"/>
      <c r="FJL23" s="559"/>
      <c r="FJM23" s="559"/>
      <c r="FJN23" s="559"/>
      <c r="FJO23" s="559"/>
      <c r="FJP23" s="559"/>
      <c r="FJQ23" s="559"/>
      <c r="FJR23" s="559"/>
      <c r="FJS23" s="559"/>
      <c r="FJT23" s="559"/>
      <c r="FJU23" s="559"/>
      <c r="FJV23" s="559"/>
      <c r="FJW23" s="559"/>
      <c r="FJX23" s="559"/>
      <c r="FJY23" s="559"/>
      <c r="FJZ23" s="559"/>
      <c r="FKA23" s="559"/>
      <c r="FKB23" s="559"/>
      <c r="FKC23" s="559"/>
      <c r="FKD23" s="559"/>
      <c r="FKE23" s="559"/>
      <c r="FKF23" s="559"/>
      <c r="FKG23" s="559"/>
      <c r="FKH23" s="559"/>
      <c r="FKI23" s="559"/>
      <c r="FKJ23" s="559"/>
      <c r="FKK23" s="559"/>
      <c r="FKL23" s="559"/>
      <c r="FKM23" s="559"/>
      <c r="FKN23" s="559"/>
      <c r="FKO23" s="559"/>
      <c r="FKP23" s="559"/>
      <c r="FKQ23" s="559"/>
      <c r="FKR23" s="559"/>
      <c r="FKS23" s="559"/>
      <c r="FKT23" s="559"/>
      <c r="FKU23" s="559"/>
      <c r="FKV23" s="559"/>
      <c r="FKW23" s="559"/>
      <c r="FKX23" s="559"/>
      <c r="FKY23" s="559"/>
      <c r="FKZ23" s="559"/>
      <c r="FLA23" s="559"/>
      <c r="FLB23" s="559"/>
      <c r="FLC23" s="559"/>
      <c r="FLD23" s="559"/>
      <c r="FLE23" s="559"/>
      <c r="FLF23" s="559"/>
      <c r="FLG23" s="559"/>
      <c r="FLH23" s="559"/>
      <c r="FLI23" s="559"/>
      <c r="FLJ23" s="559"/>
      <c r="FLK23" s="559"/>
      <c r="FLL23" s="559"/>
      <c r="FLM23" s="559"/>
      <c r="FLN23" s="559"/>
      <c r="FLO23" s="559"/>
      <c r="FLP23" s="559"/>
      <c r="FLQ23" s="559"/>
      <c r="FLR23" s="559"/>
      <c r="FLS23" s="559"/>
      <c r="FLT23" s="559"/>
      <c r="FLU23" s="559"/>
      <c r="FLV23" s="559"/>
      <c r="FLW23" s="559"/>
      <c r="FLX23" s="559"/>
      <c r="FLY23" s="559"/>
      <c r="FLZ23" s="559"/>
      <c r="FMA23" s="559"/>
      <c r="FMB23" s="559"/>
      <c r="FMC23" s="559"/>
      <c r="FMD23" s="559"/>
      <c r="FME23" s="559"/>
      <c r="FMF23" s="559"/>
      <c r="FMG23" s="559"/>
      <c r="FMH23" s="559"/>
      <c r="FMI23" s="559"/>
      <c r="FMJ23" s="559"/>
      <c r="FMK23" s="559"/>
      <c r="FML23" s="559"/>
      <c r="FMM23" s="559"/>
      <c r="FMN23" s="559"/>
      <c r="FMO23" s="559"/>
      <c r="FMP23" s="559"/>
      <c r="FMQ23" s="559"/>
      <c r="FMR23" s="559"/>
      <c r="FMS23" s="559"/>
      <c r="FMT23" s="559"/>
      <c r="FMU23" s="559"/>
      <c r="FMV23" s="559"/>
      <c r="FMW23" s="559"/>
      <c r="FMX23" s="559"/>
      <c r="FMY23" s="559"/>
      <c r="FMZ23" s="559"/>
      <c r="FNA23" s="559"/>
      <c r="FNB23" s="559"/>
      <c r="FNC23" s="559"/>
      <c r="FND23" s="559"/>
      <c r="FNE23" s="559"/>
      <c r="FNF23" s="559"/>
      <c r="FNG23" s="559"/>
      <c r="FNH23" s="559"/>
      <c r="FNI23" s="559"/>
      <c r="FNJ23" s="559"/>
      <c r="FNK23" s="559"/>
      <c r="FNL23" s="559"/>
      <c r="FNM23" s="559"/>
      <c r="FNN23" s="559"/>
      <c r="FNO23" s="559"/>
      <c r="FNP23" s="559"/>
      <c r="FNQ23" s="559"/>
      <c r="FNR23" s="559"/>
      <c r="FNS23" s="559"/>
      <c r="FNT23" s="559"/>
      <c r="FNU23" s="559"/>
      <c r="FNV23" s="559"/>
      <c r="FNW23" s="559"/>
      <c r="FNX23" s="559"/>
      <c r="FNY23" s="559"/>
      <c r="FNZ23" s="559"/>
      <c r="FOA23" s="559"/>
      <c r="FOB23" s="559"/>
      <c r="FOC23" s="559"/>
      <c r="FOD23" s="559"/>
      <c r="FOE23" s="559"/>
      <c r="FOF23" s="559"/>
      <c r="FOG23" s="559"/>
      <c r="FOH23" s="559"/>
      <c r="FOI23" s="559"/>
      <c r="FOJ23" s="559"/>
      <c r="FOK23" s="559"/>
      <c r="FOL23" s="559"/>
      <c r="FOM23" s="559"/>
      <c r="FON23" s="559"/>
      <c r="FOO23" s="559"/>
      <c r="FOP23" s="559"/>
      <c r="FOQ23" s="559"/>
      <c r="FOR23" s="559"/>
      <c r="FOS23" s="559"/>
      <c r="FOT23" s="559"/>
      <c r="FOU23" s="559"/>
      <c r="FOV23" s="559"/>
      <c r="FOW23" s="559"/>
      <c r="FOX23" s="559"/>
      <c r="FOY23" s="559"/>
      <c r="FOZ23" s="559"/>
      <c r="FPA23" s="559"/>
      <c r="FPB23" s="559"/>
      <c r="FPC23" s="559"/>
      <c r="FPD23" s="559"/>
      <c r="FPE23" s="559"/>
      <c r="FPF23" s="559"/>
      <c r="FPG23" s="559"/>
      <c r="FPH23" s="559"/>
      <c r="FPI23" s="559"/>
      <c r="FPJ23" s="559"/>
      <c r="FPK23" s="559"/>
      <c r="FPL23" s="559"/>
      <c r="FPM23" s="559"/>
      <c r="FPN23" s="559"/>
      <c r="FPO23" s="559"/>
      <c r="FPP23" s="559"/>
      <c r="FPQ23" s="559"/>
      <c r="FPR23" s="559"/>
      <c r="FPS23" s="559"/>
      <c r="FPT23" s="559"/>
      <c r="FPU23" s="559"/>
      <c r="FPV23" s="559"/>
      <c r="FPW23" s="559"/>
      <c r="FPX23" s="559"/>
      <c r="FPY23" s="559"/>
      <c r="FPZ23" s="559"/>
      <c r="FQA23" s="559"/>
      <c r="FQB23" s="559"/>
      <c r="FQC23" s="559"/>
      <c r="FQD23" s="559"/>
      <c r="FQE23" s="559"/>
      <c r="FQF23" s="559"/>
      <c r="FQG23" s="559"/>
      <c r="FQH23" s="559"/>
      <c r="FQI23" s="559"/>
      <c r="FQJ23" s="559"/>
      <c r="FQK23" s="559"/>
      <c r="FQL23" s="559"/>
      <c r="FQM23" s="559"/>
      <c r="FQN23" s="559"/>
      <c r="FQO23" s="559"/>
      <c r="FQP23" s="559"/>
      <c r="FQQ23" s="559"/>
      <c r="FQR23" s="559"/>
      <c r="FQS23" s="559"/>
      <c r="FQT23" s="559"/>
      <c r="FQU23" s="559"/>
      <c r="FQV23" s="559"/>
      <c r="FQW23" s="559"/>
      <c r="FQX23" s="559"/>
      <c r="FQY23" s="559"/>
      <c r="FQZ23" s="559"/>
      <c r="FRA23" s="559"/>
      <c r="FRB23" s="559"/>
      <c r="FRC23" s="559"/>
      <c r="FRD23" s="559"/>
      <c r="FRE23" s="559"/>
      <c r="FRF23" s="559"/>
      <c r="FRG23" s="559"/>
      <c r="FRH23" s="559"/>
      <c r="FRI23" s="559"/>
      <c r="FRJ23" s="559"/>
      <c r="FRK23" s="559"/>
      <c r="FRL23" s="559"/>
      <c r="FRM23" s="559"/>
      <c r="FRN23" s="559"/>
      <c r="FRO23" s="559"/>
      <c r="FRP23" s="559"/>
      <c r="FRQ23" s="559"/>
      <c r="FRR23" s="559"/>
      <c r="FRS23" s="559"/>
      <c r="FRT23" s="559"/>
      <c r="FRU23" s="559"/>
      <c r="FRV23" s="559"/>
      <c r="FRW23" s="559"/>
      <c r="FRX23" s="559"/>
      <c r="FRY23" s="559"/>
      <c r="FRZ23" s="559"/>
      <c r="FSA23" s="559"/>
      <c r="FSB23" s="559"/>
      <c r="FSC23" s="559"/>
      <c r="FSD23" s="559"/>
      <c r="FSE23" s="559"/>
      <c r="FSF23" s="559"/>
      <c r="FSG23" s="559"/>
      <c r="FSH23" s="559"/>
      <c r="FSI23" s="559"/>
      <c r="FSJ23" s="559"/>
      <c r="FSK23" s="559"/>
      <c r="FSL23" s="559"/>
      <c r="FSM23" s="559"/>
      <c r="FSN23" s="559"/>
      <c r="FSO23" s="559"/>
      <c r="FSP23" s="559"/>
      <c r="FSQ23" s="559"/>
      <c r="FSR23" s="559"/>
      <c r="FSS23" s="559"/>
      <c r="FST23" s="559"/>
      <c r="FSU23" s="559"/>
      <c r="FSV23" s="559"/>
      <c r="FSW23" s="559"/>
      <c r="FSX23" s="559"/>
      <c r="FSY23" s="559"/>
      <c r="FSZ23" s="559"/>
      <c r="FTA23" s="559"/>
      <c r="FTB23" s="559"/>
      <c r="FTC23" s="559"/>
      <c r="FTD23" s="559"/>
      <c r="FTE23" s="559"/>
      <c r="FTF23" s="559"/>
      <c r="FTG23" s="559"/>
      <c r="FTH23" s="559"/>
      <c r="FTI23" s="559"/>
      <c r="FTJ23" s="559"/>
      <c r="FTK23" s="559"/>
      <c r="FTL23" s="559"/>
      <c r="FTM23" s="559"/>
      <c r="FTN23" s="559"/>
      <c r="FTO23" s="559"/>
      <c r="FTP23" s="559"/>
      <c r="FTQ23" s="559"/>
      <c r="FTR23" s="559"/>
      <c r="FTS23" s="559"/>
      <c r="FTT23" s="559"/>
      <c r="FTU23" s="559"/>
      <c r="FTV23" s="559"/>
      <c r="FTW23" s="559"/>
      <c r="FTX23" s="559"/>
      <c r="FTY23" s="559"/>
      <c r="FTZ23" s="559"/>
      <c r="FUA23" s="559"/>
      <c r="FUB23" s="559"/>
      <c r="FUC23" s="559"/>
      <c r="FUD23" s="559"/>
      <c r="FUE23" s="559"/>
      <c r="FUF23" s="559"/>
      <c r="FUG23" s="559"/>
      <c r="FUH23" s="559"/>
      <c r="FUI23" s="559"/>
      <c r="FUJ23" s="559"/>
      <c r="FUK23" s="559"/>
      <c r="FUL23" s="559"/>
      <c r="FUM23" s="559"/>
      <c r="FUN23" s="559"/>
      <c r="FUO23" s="559"/>
      <c r="FUP23" s="559"/>
      <c r="FUQ23" s="559"/>
      <c r="FUR23" s="559"/>
      <c r="FUS23" s="559"/>
      <c r="FUT23" s="559"/>
      <c r="FUU23" s="559"/>
      <c r="FUV23" s="559"/>
      <c r="FUW23" s="559"/>
      <c r="FUX23" s="559"/>
      <c r="FUY23" s="559"/>
      <c r="FUZ23" s="559"/>
      <c r="FVA23" s="559"/>
      <c r="FVB23" s="559"/>
      <c r="FVC23" s="559"/>
      <c r="FVD23" s="559"/>
      <c r="FVE23" s="559"/>
      <c r="FVF23" s="559"/>
      <c r="FVG23" s="559"/>
      <c r="FVH23" s="559"/>
      <c r="FVI23" s="559"/>
      <c r="FVJ23" s="559"/>
      <c r="FVK23" s="559"/>
      <c r="FVL23" s="559"/>
      <c r="FVM23" s="559"/>
      <c r="FVN23" s="559"/>
      <c r="FVO23" s="559"/>
      <c r="FVP23" s="559"/>
      <c r="FVQ23" s="559"/>
      <c r="FVR23" s="559"/>
      <c r="FVS23" s="559"/>
      <c r="FVT23" s="559"/>
      <c r="FVU23" s="559"/>
      <c r="FVV23" s="559"/>
      <c r="FVW23" s="559"/>
      <c r="FVX23" s="559"/>
      <c r="FVY23" s="559"/>
      <c r="FVZ23" s="559"/>
      <c r="FWA23" s="559"/>
      <c r="FWB23" s="559"/>
      <c r="FWC23" s="559"/>
      <c r="FWD23" s="559"/>
      <c r="FWE23" s="559"/>
      <c r="FWF23" s="559"/>
      <c r="FWG23" s="559"/>
      <c r="FWH23" s="559"/>
      <c r="FWI23" s="559"/>
      <c r="FWJ23" s="559"/>
      <c r="FWK23" s="559"/>
      <c r="FWL23" s="559"/>
      <c r="FWM23" s="559"/>
      <c r="FWN23" s="559"/>
      <c r="FWO23" s="559"/>
      <c r="FWP23" s="559"/>
      <c r="FWQ23" s="559"/>
      <c r="FWR23" s="559"/>
      <c r="FWS23" s="559"/>
      <c r="FWT23" s="559"/>
      <c r="FWU23" s="559"/>
      <c r="FWV23" s="559"/>
      <c r="FWW23" s="559"/>
      <c r="FWX23" s="559"/>
      <c r="FWY23" s="559"/>
      <c r="FWZ23" s="559"/>
      <c r="FXA23" s="559"/>
      <c r="FXB23" s="559"/>
      <c r="FXC23" s="559"/>
      <c r="FXD23" s="559"/>
      <c r="FXE23" s="559"/>
      <c r="FXF23" s="559"/>
      <c r="FXG23" s="559"/>
      <c r="FXH23" s="559"/>
      <c r="FXI23" s="559"/>
      <c r="FXJ23" s="559"/>
      <c r="FXK23" s="559"/>
      <c r="FXL23" s="559"/>
      <c r="FXM23" s="559"/>
      <c r="FXN23" s="559"/>
      <c r="FXO23" s="559"/>
      <c r="FXP23" s="559"/>
      <c r="FXQ23" s="559"/>
      <c r="FXR23" s="559"/>
      <c r="FXS23" s="559"/>
      <c r="FXT23" s="559"/>
      <c r="FXU23" s="559"/>
      <c r="FXV23" s="559"/>
      <c r="FXW23" s="559"/>
      <c r="FXX23" s="559"/>
      <c r="FXY23" s="559"/>
      <c r="FXZ23" s="559"/>
      <c r="FYA23" s="559"/>
      <c r="FYB23" s="559"/>
      <c r="FYC23" s="559"/>
      <c r="FYD23" s="559"/>
      <c r="FYE23" s="559"/>
      <c r="FYF23" s="559"/>
      <c r="FYG23" s="559"/>
      <c r="FYH23" s="559"/>
      <c r="FYI23" s="559"/>
      <c r="FYJ23" s="559"/>
      <c r="FYK23" s="559"/>
      <c r="FYL23" s="559"/>
      <c r="FYM23" s="559"/>
      <c r="FYN23" s="559"/>
      <c r="FYO23" s="559"/>
      <c r="FYP23" s="559"/>
      <c r="FYQ23" s="559"/>
      <c r="FYR23" s="559"/>
      <c r="FYS23" s="559"/>
      <c r="FYT23" s="559"/>
      <c r="FYU23" s="559"/>
      <c r="FYV23" s="559"/>
      <c r="FYW23" s="559"/>
      <c r="FYX23" s="559"/>
      <c r="FYY23" s="559"/>
      <c r="FYZ23" s="559"/>
      <c r="FZA23" s="559"/>
      <c r="FZB23" s="559"/>
      <c r="FZC23" s="559"/>
      <c r="FZD23" s="559"/>
      <c r="FZE23" s="559"/>
      <c r="FZF23" s="559"/>
      <c r="FZG23" s="559"/>
      <c r="FZH23" s="559"/>
      <c r="FZI23" s="559"/>
      <c r="FZJ23" s="559"/>
      <c r="FZK23" s="559"/>
      <c r="FZL23" s="559"/>
      <c r="FZM23" s="559"/>
      <c r="FZN23" s="559"/>
      <c r="FZO23" s="559"/>
      <c r="FZP23" s="559"/>
      <c r="FZQ23" s="559"/>
      <c r="FZR23" s="559"/>
      <c r="FZS23" s="559"/>
      <c r="FZT23" s="559"/>
      <c r="FZU23" s="559"/>
      <c r="FZV23" s="559"/>
      <c r="FZW23" s="559"/>
      <c r="FZX23" s="559"/>
      <c r="FZY23" s="559"/>
      <c r="FZZ23" s="559"/>
      <c r="GAA23" s="559"/>
      <c r="GAB23" s="559"/>
      <c r="GAC23" s="559"/>
      <c r="GAD23" s="559"/>
      <c r="GAE23" s="559"/>
      <c r="GAF23" s="559"/>
      <c r="GAG23" s="559"/>
      <c r="GAH23" s="559"/>
      <c r="GAI23" s="559"/>
      <c r="GAJ23" s="559"/>
      <c r="GAK23" s="559"/>
      <c r="GAL23" s="559"/>
      <c r="GAM23" s="559"/>
      <c r="GAN23" s="559"/>
      <c r="GAO23" s="559"/>
      <c r="GAP23" s="559"/>
      <c r="GAQ23" s="559"/>
      <c r="GAR23" s="559"/>
      <c r="GAS23" s="559"/>
      <c r="GAT23" s="559"/>
      <c r="GAU23" s="559"/>
      <c r="GAV23" s="559"/>
      <c r="GAW23" s="559"/>
      <c r="GAX23" s="559"/>
      <c r="GAY23" s="559"/>
      <c r="GAZ23" s="559"/>
      <c r="GBA23" s="559"/>
      <c r="GBB23" s="559"/>
      <c r="GBC23" s="559"/>
      <c r="GBD23" s="559"/>
      <c r="GBE23" s="559"/>
      <c r="GBF23" s="559"/>
      <c r="GBG23" s="559"/>
      <c r="GBH23" s="559"/>
      <c r="GBI23" s="559"/>
      <c r="GBJ23" s="559"/>
      <c r="GBK23" s="559"/>
      <c r="GBL23" s="559"/>
      <c r="GBM23" s="559"/>
      <c r="GBN23" s="559"/>
      <c r="GBO23" s="559"/>
      <c r="GBP23" s="559"/>
      <c r="GBQ23" s="559"/>
      <c r="GBR23" s="559"/>
      <c r="GBS23" s="559"/>
      <c r="GBT23" s="559"/>
      <c r="GBU23" s="559"/>
      <c r="GBV23" s="559"/>
      <c r="GBW23" s="559"/>
      <c r="GBX23" s="559"/>
      <c r="GBY23" s="559"/>
      <c r="GBZ23" s="559"/>
      <c r="GCA23" s="559"/>
      <c r="GCB23" s="559"/>
      <c r="GCC23" s="559"/>
      <c r="GCD23" s="559"/>
      <c r="GCE23" s="559"/>
      <c r="GCF23" s="559"/>
      <c r="GCG23" s="559"/>
      <c r="GCH23" s="559"/>
      <c r="GCI23" s="559"/>
      <c r="GCJ23" s="559"/>
      <c r="GCK23" s="559"/>
      <c r="GCL23" s="559"/>
      <c r="GCM23" s="559"/>
      <c r="GCN23" s="559"/>
      <c r="GCO23" s="559"/>
      <c r="GCP23" s="559"/>
      <c r="GCQ23" s="559"/>
      <c r="GCR23" s="559"/>
      <c r="GCS23" s="559"/>
      <c r="GCT23" s="559"/>
      <c r="GCU23" s="559"/>
      <c r="GCV23" s="559"/>
      <c r="GCW23" s="559"/>
      <c r="GCX23" s="559"/>
      <c r="GCY23" s="559"/>
      <c r="GCZ23" s="559"/>
      <c r="GDA23" s="559"/>
      <c r="GDB23" s="559"/>
      <c r="GDC23" s="559"/>
      <c r="GDD23" s="559"/>
      <c r="GDE23" s="559"/>
      <c r="GDF23" s="559"/>
      <c r="GDG23" s="559"/>
      <c r="GDH23" s="559"/>
      <c r="GDI23" s="559"/>
      <c r="GDJ23" s="559"/>
      <c r="GDK23" s="559"/>
      <c r="GDL23" s="559"/>
      <c r="GDM23" s="559"/>
      <c r="GDN23" s="559"/>
      <c r="GDO23" s="559"/>
      <c r="GDP23" s="559"/>
      <c r="GDQ23" s="559"/>
      <c r="GDR23" s="559"/>
      <c r="GDS23" s="559"/>
      <c r="GDT23" s="559"/>
      <c r="GDU23" s="559"/>
      <c r="GDV23" s="559"/>
      <c r="GDW23" s="559"/>
      <c r="GDX23" s="559"/>
      <c r="GDY23" s="559"/>
      <c r="GDZ23" s="559"/>
      <c r="GEA23" s="559"/>
      <c r="GEB23" s="559"/>
      <c r="GEC23" s="559"/>
      <c r="GED23" s="559"/>
      <c r="GEE23" s="559"/>
      <c r="GEF23" s="559"/>
      <c r="GEG23" s="559"/>
      <c r="GEH23" s="559"/>
      <c r="GEI23" s="559"/>
      <c r="GEJ23" s="559"/>
      <c r="GEK23" s="559"/>
      <c r="GEL23" s="559"/>
      <c r="GEM23" s="559"/>
      <c r="GEN23" s="559"/>
      <c r="GEO23" s="559"/>
      <c r="GEP23" s="559"/>
      <c r="GEQ23" s="559"/>
      <c r="GER23" s="559"/>
      <c r="GES23" s="559"/>
      <c r="GET23" s="559"/>
      <c r="GEU23" s="559"/>
      <c r="GEV23" s="559"/>
      <c r="GEW23" s="559"/>
      <c r="GEX23" s="559"/>
      <c r="GEY23" s="559"/>
      <c r="GEZ23" s="559"/>
      <c r="GFA23" s="559"/>
      <c r="GFB23" s="559"/>
      <c r="GFC23" s="559"/>
      <c r="GFD23" s="559"/>
      <c r="GFE23" s="559"/>
      <c r="GFF23" s="559"/>
      <c r="GFG23" s="559"/>
      <c r="GFH23" s="559"/>
      <c r="GFI23" s="559"/>
      <c r="GFJ23" s="559"/>
      <c r="GFK23" s="559"/>
      <c r="GFL23" s="559"/>
      <c r="GFM23" s="559"/>
      <c r="GFN23" s="559"/>
      <c r="GFO23" s="559"/>
      <c r="GFP23" s="559"/>
      <c r="GFQ23" s="559"/>
      <c r="GFR23" s="559"/>
      <c r="GFS23" s="559"/>
      <c r="GFT23" s="559"/>
      <c r="GFU23" s="559"/>
      <c r="GFV23" s="559"/>
      <c r="GFW23" s="559"/>
      <c r="GFX23" s="559"/>
      <c r="GFY23" s="559"/>
      <c r="GFZ23" s="559"/>
      <c r="GGA23" s="559"/>
      <c r="GGB23" s="559"/>
      <c r="GGC23" s="559"/>
      <c r="GGD23" s="559"/>
      <c r="GGE23" s="559"/>
      <c r="GGF23" s="559"/>
      <c r="GGG23" s="559"/>
      <c r="GGH23" s="559"/>
      <c r="GGI23" s="559"/>
      <c r="GGJ23" s="559"/>
      <c r="GGK23" s="559"/>
      <c r="GGL23" s="559"/>
      <c r="GGM23" s="559"/>
      <c r="GGN23" s="559"/>
      <c r="GGO23" s="559"/>
      <c r="GGP23" s="559"/>
      <c r="GGQ23" s="559"/>
      <c r="GGR23" s="559"/>
      <c r="GGS23" s="559"/>
      <c r="GGT23" s="559"/>
      <c r="GGU23" s="559"/>
      <c r="GGV23" s="559"/>
      <c r="GGW23" s="559"/>
      <c r="GGX23" s="559"/>
      <c r="GGY23" s="559"/>
      <c r="GGZ23" s="559"/>
      <c r="GHA23" s="559"/>
      <c r="GHB23" s="559"/>
      <c r="GHC23" s="559"/>
      <c r="GHD23" s="559"/>
      <c r="GHE23" s="559"/>
      <c r="GHF23" s="559"/>
      <c r="GHG23" s="559"/>
      <c r="GHH23" s="559"/>
      <c r="GHI23" s="559"/>
      <c r="GHJ23" s="559"/>
      <c r="GHK23" s="559"/>
      <c r="GHL23" s="559"/>
      <c r="GHM23" s="559"/>
      <c r="GHN23" s="559"/>
      <c r="GHO23" s="559"/>
      <c r="GHP23" s="559"/>
      <c r="GHQ23" s="559"/>
      <c r="GHR23" s="559"/>
      <c r="GHS23" s="559"/>
      <c r="GHT23" s="559"/>
      <c r="GHU23" s="559"/>
      <c r="GHV23" s="559"/>
      <c r="GHW23" s="559"/>
      <c r="GHX23" s="559"/>
      <c r="GHY23" s="559"/>
      <c r="GHZ23" s="559"/>
      <c r="GIA23" s="559"/>
      <c r="GIB23" s="559"/>
      <c r="GIC23" s="559"/>
      <c r="GID23" s="559"/>
      <c r="GIE23" s="559"/>
      <c r="GIF23" s="559"/>
      <c r="GIG23" s="559"/>
      <c r="GIH23" s="559"/>
      <c r="GII23" s="559"/>
      <c r="GIJ23" s="559"/>
      <c r="GIK23" s="559"/>
      <c r="GIL23" s="559"/>
      <c r="GIM23" s="559"/>
      <c r="GIN23" s="559"/>
      <c r="GIO23" s="559"/>
      <c r="GIP23" s="559"/>
      <c r="GIQ23" s="559"/>
      <c r="GIR23" s="559"/>
      <c r="GIS23" s="559"/>
      <c r="GIT23" s="559"/>
      <c r="GIU23" s="559"/>
      <c r="GIV23" s="559"/>
      <c r="GIW23" s="559"/>
      <c r="GIX23" s="559"/>
      <c r="GIY23" s="559"/>
      <c r="GIZ23" s="559"/>
      <c r="GJA23" s="559"/>
      <c r="GJB23" s="559"/>
      <c r="GJC23" s="559"/>
      <c r="GJD23" s="559"/>
      <c r="GJE23" s="559"/>
      <c r="GJF23" s="559"/>
      <c r="GJG23" s="559"/>
      <c r="GJH23" s="559"/>
      <c r="GJI23" s="559"/>
      <c r="GJJ23" s="559"/>
      <c r="GJK23" s="559"/>
      <c r="GJL23" s="559"/>
      <c r="GJM23" s="559"/>
      <c r="GJN23" s="559"/>
      <c r="GJO23" s="559"/>
      <c r="GJP23" s="559"/>
      <c r="GJQ23" s="559"/>
      <c r="GJR23" s="559"/>
      <c r="GJS23" s="559"/>
      <c r="GJT23" s="559"/>
      <c r="GJU23" s="559"/>
      <c r="GJV23" s="559"/>
      <c r="GJW23" s="559"/>
      <c r="GJX23" s="559"/>
      <c r="GJY23" s="559"/>
      <c r="GJZ23" s="559"/>
      <c r="GKA23" s="559"/>
      <c r="GKB23" s="559"/>
      <c r="GKC23" s="559"/>
      <c r="GKD23" s="559"/>
      <c r="GKE23" s="559"/>
      <c r="GKF23" s="559"/>
      <c r="GKG23" s="559"/>
      <c r="GKH23" s="559"/>
      <c r="GKI23" s="559"/>
      <c r="GKJ23" s="559"/>
      <c r="GKK23" s="559"/>
      <c r="GKL23" s="559"/>
      <c r="GKM23" s="559"/>
      <c r="GKN23" s="559"/>
      <c r="GKO23" s="559"/>
      <c r="GKP23" s="559"/>
      <c r="GKQ23" s="559"/>
      <c r="GKR23" s="559"/>
      <c r="GKS23" s="559"/>
      <c r="GKT23" s="559"/>
      <c r="GKU23" s="559"/>
      <c r="GKV23" s="559"/>
      <c r="GKW23" s="559"/>
      <c r="GKX23" s="559"/>
      <c r="GKY23" s="559"/>
      <c r="GKZ23" s="559"/>
      <c r="GLA23" s="559"/>
      <c r="GLB23" s="559"/>
      <c r="GLC23" s="559"/>
      <c r="GLD23" s="559"/>
      <c r="GLE23" s="559"/>
      <c r="GLF23" s="559"/>
      <c r="GLG23" s="559"/>
      <c r="GLH23" s="559"/>
      <c r="GLI23" s="559"/>
      <c r="GLJ23" s="559"/>
      <c r="GLK23" s="559"/>
      <c r="GLL23" s="559"/>
      <c r="GLM23" s="559"/>
      <c r="GLN23" s="559"/>
      <c r="GLO23" s="559"/>
      <c r="GLP23" s="559"/>
      <c r="GLQ23" s="559"/>
      <c r="GLR23" s="559"/>
      <c r="GLS23" s="559"/>
      <c r="GLT23" s="559"/>
      <c r="GLU23" s="559"/>
      <c r="GLV23" s="559"/>
      <c r="GLW23" s="559"/>
      <c r="GLX23" s="559"/>
      <c r="GLY23" s="559"/>
      <c r="GLZ23" s="559"/>
      <c r="GMA23" s="559"/>
      <c r="GMB23" s="559"/>
      <c r="GMC23" s="559"/>
      <c r="GMD23" s="559"/>
      <c r="GME23" s="559"/>
      <c r="GMF23" s="559"/>
      <c r="GMG23" s="559"/>
      <c r="GMH23" s="559"/>
      <c r="GMI23" s="559"/>
      <c r="GMJ23" s="559"/>
      <c r="GMK23" s="559"/>
      <c r="GML23" s="559"/>
      <c r="GMM23" s="559"/>
      <c r="GMN23" s="559"/>
      <c r="GMO23" s="559"/>
      <c r="GMP23" s="559"/>
      <c r="GMQ23" s="559"/>
      <c r="GMR23" s="559"/>
      <c r="GMS23" s="559"/>
      <c r="GMT23" s="559"/>
      <c r="GMU23" s="559"/>
      <c r="GMV23" s="559"/>
      <c r="GMW23" s="559"/>
      <c r="GMX23" s="559"/>
      <c r="GMY23" s="559"/>
      <c r="GMZ23" s="559"/>
      <c r="GNA23" s="559"/>
      <c r="GNB23" s="559"/>
      <c r="GNC23" s="559"/>
      <c r="GND23" s="559"/>
      <c r="GNE23" s="559"/>
      <c r="GNF23" s="559"/>
      <c r="GNG23" s="559"/>
      <c r="GNH23" s="559"/>
      <c r="GNI23" s="559"/>
      <c r="GNJ23" s="559"/>
      <c r="GNK23" s="559"/>
      <c r="GNL23" s="559"/>
      <c r="GNM23" s="559"/>
      <c r="GNN23" s="559"/>
      <c r="GNO23" s="559"/>
      <c r="GNP23" s="559"/>
      <c r="GNQ23" s="559"/>
      <c r="GNR23" s="559"/>
      <c r="GNS23" s="559"/>
      <c r="GNT23" s="559"/>
      <c r="GNU23" s="559"/>
      <c r="GNV23" s="559"/>
      <c r="GNW23" s="559"/>
      <c r="GNX23" s="559"/>
      <c r="GNY23" s="559"/>
      <c r="GNZ23" s="559"/>
      <c r="GOA23" s="559"/>
      <c r="GOB23" s="559"/>
      <c r="GOC23" s="559"/>
      <c r="GOD23" s="559"/>
      <c r="GOE23" s="559"/>
      <c r="GOF23" s="559"/>
      <c r="GOG23" s="559"/>
      <c r="GOH23" s="559"/>
      <c r="GOI23" s="559"/>
      <c r="GOJ23" s="559"/>
      <c r="GOK23" s="559"/>
      <c r="GOL23" s="559"/>
      <c r="GOM23" s="559"/>
      <c r="GON23" s="559"/>
      <c r="GOO23" s="559"/>
      <c r="GOP23" s="559"/>
      <c r="GOQ23" s="559"/>
      <c r="GOR23" s="559"/>
      <c r="GOS23" s="559"/>
      <c r="GOT23" s="559"/>
      <c r="GOU23" s="559"/>
      <c r="GOV23" s="559"/>
      <c r="GOW23" s="559"/>
      <c r="GOX23" s="559"/>
      <c r="GOY23" s="559"/>
      <c r="GOZ23" s="559"/>
      <c r="GPA23" s="559"/>
      <c r="GPB23" s="559"/>
      <c r="GPC23" s="559"/>
      <c r="GPD23" s="559"/>
      <c r="GPE23" s="559"/>
      <c r="GPF23" s="559"/>
      <c r="GPG23" s="559"/>
      <c r="GPH23" s="559"/>
      <c r="GPI23" s="559"/>
      <c r="GPJ23" s="559"/>
      <c r="GPK23" s="559"/>
      <c r="GPL23" s="559"/>
      <c r="GPM23" s="559"/>
      <c r="GPN23" s="559"/>
      <c r="GPO23" s="559"/>
      <c r="GPP23" s="559"/>
      <c r="GPQ23" s="559"/>
      <c r="GPR23" s="559"/>
      <c r="GPS23" s="559"/>
      <c r="GPT23" s="559"/>
      <c r="GPU23" s="559"/>
      <c r="GPV23" s="559"/>
      <c r="GPW23" s="559"/>
      <c r="GPX23" s="559"/>
      <c r="GPY23" s="559"/>
      <c r="GPZ23" s="559"/>
      <c r="GQA23" s="559"/>
      <c r="GQB23" s="559"/>
      <c r="GQC23" s="559"/>
      <c r="GQD23" s="559"/>
      <c r="GQE23" s="559"/>
      <c r="GQF23" s="559"/>
      <c r="GQG23" s="559"/>
      <c r="GQH23" s="559"/>
      <c r="GQI23" s="559"/>
      <c r="GQJ23" s="559"/>
      <c r="GQK23" s="559"/>
      <c r="GQL23" s="559"/>
      <c r="GQM23" s="559"/>
      <c r="GQN23" s="559"/>
      <c r="GQO23" s="559"/>
      <c r="GQP23" s="559"/>
      <c r="GQQ23" s="559"/>
      <c r="GQR23" s="559"/>
      <c r="GQS23" s="559"/>
      <c r="GQT23" s="559"/>
      <c r="GQU23" s="559"/>
      <c r="GQV23" s="559"/>
      <c r="GQW23" s="559"/>
      <c r="GQX23" s="559"/>
      <c r="GQY23" s="559"/>
      <c r="GQZ23" s="559"/>
      <c r="GRA23" s="559"/>
      <c r="GRB23" s="559"/>
      <c r="GRC23" s="559"/>
      <c r="GRD23" s="559"/>
      <c r="GRE23" s="559"/>
      <c r="GRF23" s="559"/>
      <c r="GRG23" s="559"/>
      <c r="GRH23" s="559"/>
      <c r="GRI23" s="559"/>
      <c r="GRJ23" s="559"/>
      <c r="GRK23" s="559"/>
      <c r="GRL23" s="559"/>
      <c r="GRM23" s="559"/>
      <c r="GRN23" s="559"/>
      <c r="GRO23" s="559"/>
      <c r="GRP23" s="559"/>
      <c r="GRQ23" s="559"/>
      <c r="GRR23" s="559"/>
      <c r="GRS23" s="559"/>
      <c r="GRT23" s="559"/>
      <c r="GRU23" s="559"/>
      <c r="GRV23" s="559"/>
      <c r="GRW23" s="559"/>
      <c r="GRX23" s="559"/>
      <c r="GRY23" s="559"/>
      <c r="GRZ23" s="559"/>
      <c r="GSA23" s="559"/>
      <c r="GSB23" s="559"/>
      <c r="GSC23" s="559"/>
      <c r="GSD23" s="559"/>
      <c r="GSE23" s="559"/>
      <c r="GSF23" s="559"/>
      <c r="GSG23" s="559"/>
      <c r="GSH23" s="559"/>
      <c r="GSI23" s="559"/>
      <c r="GSJ23" s="559"/>
      <c r="GSK23" s="559"/>
      <c r="GSL23" s="559"/>
      <c r="GSM23" s="559"/>
      <c r="GSN23" s="559"/>
      <c r="GSO23" s="559"/>
      <c r="GSP23" s="559"/>
      <c r="GSQ23" s="559"/>
      <c r="GSR23" s="559"/>
      <c r="GSS23" s="559"/>
      <c r="GST23" s="559"/>
      <c r="GSU23" s="559"/>
      <c r="GSV23" s="559"/>
      <c r="GSW23" s="559"/>
      <c r="GSX23" s="559"/>
      <c r="GSY23" s="559"/>
      <c r="GSZ23" s="559"/>
      <c r="GTA23" s="559"/>
      <c r="GTB23" s="559"/>
      <c r="GTC23" s="559"/>
      <c r="GTD23" s="559"/>
      <c r="GTE23" s="559"/>
      <c r="GTF23" s="559"/>
      <c r="GTG23" s="559"/>
      <c r="GTH23" s="559"/>
      <c r="GTI23" s="559"/>
      <c r="GTJ23" s="559"/>
      <c r="GTK23" s="559"/>
      <c r="GTL23" s="559"/>
      <c r="GTM23" s="559"/>
      <c r="GTN23" s="559"/>
      <c r="GTO23" s="559"/>
      <c r="GTP23" s="559"/>
      <c r="GTQ23" s="559"/>
      <c r="GTR23" s="559"/>
      <c r="GTS23" s="559"/>
      <c r="GTT23" s="559"/>
      <c r="GTU23" s="559"/>
      <c r="GTV23" s="559"/>
      <c r="GTW23" s="559"/>
      <c r="GTX23" s="559"/>
      <c r="GTY23" s="559"/>
      <c r="GTZ23" s="559"/>
      <c r="GUA23" s="559"/>
      <c r="GUB23" s="559"/>
      <c r="GUC23" s="559"/>
      <c r="GUD23" s="559"/>
      <c r="GUE23" s="559"/>
      <c r="GUF23" s="559"/>
      <c r="GUG23" s="559"/>
      <c r="GUH23" s="559"/>
      <c r="GUI23" s="559"/>
      <c r="GUJ23" s="559"/>
      <c r="GUK23" s="559"/>
      <c r="GUL23" s="559"/>
      <c r="GUM23" s="559"/>
      <c r="GUN23" s="559"/>
      <c r="GUO23" s="559"/>
      <c r="GUP23" s="559"/>
      <c r="GUQ23" s="559"/>
      <c r="GUR23" s="559"/>
      <c r="GUS23" s="559"/>
      <c r="GUT23" s="559"/>
      <c r="GUU23" s="559"/>
      <c r="GUV23" s="559"/>
      <c r="GUW23" s="559"/>
      <c r="GUX23" s="559"/>
      <c r="GUY23" s="559"/>
      <c r="GUZ23" s="559"/>
      <c r="GVA23" s="559"/>
      <c r="GVB23" s="559"/>
      <c r="GVC23" s="559"/>
      <c r="GVD23" s="559"/>
      <c r="GVE23" s="559"/>
      <c r="GVF23" s="559"/>
      <c r="GVG23" s="559"/>
      <c r="GVH23" s="559"/>
      <c r="GVI23" s="559"/>
      <c r="GVJ23" s="559"/>
      <c r="GVK23" s="559"/>
      <c r="GVL23" s="559"/>
      <c r="GVM23" s="559"/>
      <c r="GVN23" s="559"/>
      <c r="GVO23" s="559"/>
      <c r="GVP23" s="559"/>
      <c r="GVQ23" s="559"/>
      <c r="GVR23" s="559"/>
      <c r="GVS23" s="559"/>
      <c r="GVT23" s="559"/>
      <c r="GVU23" s="559"/>
      <c r="GVV23" s="559"/>
      <c r="GVW23" s="559"/>
      <c r="GVX23" s="559"/>
      <c r="GVY23" s="559"/>
      <c r="GVZ23" s="559"/>
      <c r="GWA23" s="559"/>
      <c r="GWB23" s="559"/>
      <c r="GWC23" s="559"/>
      <c r="GWD23" s="559"/>
      <c r="GWE23" s="559"/>
      <c r="GWF23" s="559"/>
      <c r="GWG23" s="559"/>
      <c r="GWH23" s="559"/>
      <c r="GWI23" s="559"/>
      <c r="GWJ23" s="559"/>
      <c r="GWK23" s="559"/>
      <c r="GWL23" s="559"/>
      <c r="GWM23" s="559"/>
      <c r="GWN23" s="559"/>
      <c r="GWO23" s="559"/>
      <c r="GWP23" s="559"/>
      <c r="GWQ23" s="559"/>
      <c r="GWR23" s="559"/>
      <c r="GWS23" s="559"/>
      <c r="GWT23" s="559"/>
      <c r="GWU23" s="559"/>
      <c r="GWV23" s="559"/>
      <c r="GWW23" s="559"/>
      <c r="GWX23" s="559"/>
      <c r="GWY23" s="559"/>
      <c r="GWZ23" s="559"/>
      <c r="GXA23" s="559"/>
      <c r="GXB23" s="559"/>
      <c r="GXC23" s="559"/>
      <c r="GXD23" s="559"/>
      <c r="GXE23" s="559"/>
      <c r="GXF23" s="559"/>
      <c r="GXG23" s="559"/>
      <c r="GXH23" s="559"/>
      <c r="GXI23" s="559"/>
      <c r="GXJ23" s="559"/>
      <c r="GXK23" s="559"/>
      <c r="GXL23" s="559"/>
      <c r="GXM23" s="559"/>
      <c r="GXN23" s="559"/>
      <c r="GXO23" s="559"/>
      <c r="GXP23" s="559"/>
      <c r="GXQ23" s="559"/>
      <c r="GXR23" s="559"/>
      <c r="GXS23" s="559"/>
      <c r="GXT23" s="559"/>
      <c r="GXU23" s="559"/>
      <c r="GXV23" s="559"/>
      <c r="GXW23" s="559"/>
      <c r="GXX23" s="559"/>
      <c r="GXY23" s="559"/>
      <c r="GXZ23" s="559"/>
      <c r="GYA23" s="559"/>
      <c r="GYB23" s="559"/>
      <c r="GYC23" s="559"/>
      <c r="GYD23" s="559"/>
      <c r="GYE23" s="559"/>
      <c r="GYF23" s="559"/>
      <c r="GYG23" s="559"/>
      <c r="GYH23" s="559"/>
      <c r="GYI23" s="559"/>
      <c r="GYJ23" s="559"/>
      <c r="GYK23" s="559"/>
      <c r="GYL23" s="559"/>
      <c r="GYM23" s="559"/>
      <c r="GYN23" s="559"/>
      <c r="GYO23" s="559"/>
      <c r="GYP23" s="559"/>
      <c r="GYQ23" s="559"/>
      <c r="GYR23" s="559"/>
      <c r="GYS23" s="559"/>
      <c r="GYT23" s="559"/>
      <c r="GYU23" s="559"/>
      <c r="GYV23" s="559"/>
      <c r="GYW23" s="559"/>
      <c r="GYX23" s="559"/>
      <c r="GYY23" s="559"/>
      <c r="GYZ23" s="559"/>
      <c r="GZA23" s="559"/>
      <c r="GZB23" s="559"/>
      <c r="GZC23" s="559"/>
      <c r="GZD23" s="559"/>
      <c r="GZE23" s="559"/>
      <c r="GZF23" s="559"/>
      <c r="GZG23" s="559"/>
      <c r="GZH23" s="559"/>
      <c r="GZI23" s="559"/>
      <c r="GZJ23" s="559"/>
      <c r="GZK23" s="559"/>
      <c r="GZL23" s="559"/>
      <c r="GZM23" s="559"/>
      <c r="GZN23" s="559"/>
      <c r="GZO23" s="559"/>
      <c r="GZP23" s="559"/>
      <c r="GZQ23" s="559"/>
      <c r="GZR23" s="559"/>
      <c r="GZS23" s="559"/>
      <c r="GZT23" s="559"/>
      <c r="GZU23" s="559"/>
      <c r="GZV23" s="559"/>
      <c r="GZW23" s="559"/>
      <c r="GZX23" s="559"/>
      <c r="GZY23" s="559"/>
      <c r="GZZ23" s="559"/>
      <c r="HAA23" s="559"/>
      <c r="HAB23" s="559"/>
      <c r="HAC23" s="559"/>
      <c r="HAD23" s="559"/>
      <c r="HAE23" s="559"/>
      <c r="HAF23" s="559"/>
      <c r="HAG23" s="559"/>
      <c r="HAH23" s="559"/>
      <c r="HAI23" s="559"/>
      <c r="HAJ23" s="559"/>
      <c r="HAK23" s="559"/>
      <c r="HAL23" s="559"/>
      <c r="HAM23" s="559"/>
      <c r="HAN23" s="559"/>
      <c r="HAO23" s="559"/>
      <c r="HAP23" s="559"/>
      <c r="HAQ23" s="559"/>
      <c r="HAR23" s="559"/>
      <c r="HAS23" s="559"/>
      <c r="HAT23" s="559"/>
      <c r="HAU23" s="559"/>
      <c r="HAV23" s="559"/>
      <c r="HAW23" s="559"/>
      <c r="HAX23" s="559"/>
      <c r="HAY23" s="559"/>
      <c r="HAZ23" s="559"/>
      <c r="HBA23" s="559"/>
      <c r="HBB23" s="559"/>
      <c r="HBC23" s="559"/>
      <c r="HBD23" s="559"/>
      <c r="HBE23" s="559"/>
      <c r="HBF23" s="559"/>
      <c r="HBG23" s="559"/>
      <c r="HBH23" s="559"/>
      <c r="HBI23" s="559"/>
      <c r="HBJ23" s="559"/>
      <c r="HBK23" s="559"/>
      <c r="HBL23" s="559"/>
      <c r="HBM23" s="559"/>
      <c r="HBN23" s="559"/>
      <c r="HBO23" s="559"/>
      <c r="HBP23" s="559"/>
      <c r="HBQ23" s="559"/>
      <c r="HBR23" s="559"/>
      <c r="HBS23" s="559"/>
      <c r="HBT23" s="559"/>
      <c r="HBU23" s="559"/>
      <c r="HBV23" s="559"/>
      <c r="HBW23" s="559"/>
      <c r="HBX23" s="559"/>
      <c r="HBY23" s="559"/>
      <c r="HBZ23" s="559"/>
      <c r="HCA23" s="559"/>
      <c r="HCB23" s="559"/>
      <c r="HCC23" s="559"/>
      <c r="HCD23" s="559"/>
      <c r="HCE23" s="559"/>
      <c r="HCF23" s="559"/>
      <c r="HCG23" s="559"/>
      <c r="HCH23" s="559"/>
      <c r="HCI23" s="559"/>
      <c r="HCJ23" s="559"/>
      <c r="HCK23" s="559"/>
      <c r="HCL23" s="559"/>
      <c r="HCM23" s="559"/>
      <c r="HCN23" s="559"/>
      <c r="HCO23" s="559"/>
      <c r="HCP23" s="559"/>
      <c r="HCQ23" s="559"/>
      <c r="HCR23" s="559"/>
      <c r="HCS23" s="559"/>
      <c r="HCT23" s="559"/>
      <c r="HCU23" s="559"/>
      <c r="HCV23" s="559"/>
      <c r="HCW23" s="559"/>
      <c r="HCX23" s="559"/>
      <c r="HCY23" s="559"/>
      <c r="HCZ23" s="559"/>
      <c r="HDA23" s="559"/>
      <c r="HDB23" s="559"/>
      <c r="HDC23" s="559"/>
      <c r="HDD23" s="559"/>
      <c r="HDE23" s="559"/>
      <c r="HDF23" s="559"/>
      <c r="HDG23" s="559"/>
      <c r="HDH23" s="559"/>
      <c r="HDI23" s="559"/>
      <c r="HDJ23" s="559"/>
      <c r="HDK23" s="559"/>
      <c r="HDL23" s="559"/>
      <c r="HDM23" s="559"/>
      <c r="HDN23" s="559"/>
      <c r="HDO23" s="559"/>
      <c r="HDP23" s="559"/>
      <c r="HDQ23" s="559"/>
      <c r="HDR23" s="559"/>
      <c r="HDS23" s="559"/>
      <c r="HDT23" s="559"/>
      <c r="HDU23" s="559"/>
      <c r="HDV23" s="559"/>
      <c r="HDW23" s="559"/>
      <c r="HDX23" s="559"/>
      <c r="HDY23" s="559"/>
      <c r="HDZ23" s="559"/>
      <c r="HEA23" s="559"/>
      <c r="HEB23" s="559"/>
      <c r="HEC23" s="559"/>
      <c r="HED23" s="559"/>
      <c r="HEE23" s="559"/>
      <c r="HEF23" s="559"/>
      <c r="HEG23" s="559"/>
      <c r="HEH23" s="559"/>
      <c r="HEI23" s="559"/>
      <c r="HEJ23" s="559"/>
      <c r="HEK23" s="559"/>
      <c r="HEL23" s="559"/>
      <c r="HEM23" s="559"/>
      <c r="HEN23" s="559"/>
      <c r="HEO23" s="559"/>
      <c r="HEP23" s="559"/>
      <c r="HEQ23" s="559"/>
      <c r="HER23" s="559"/>
      <c r="HES23" s="559"/>
      <c r="HET23" s="559"/>
      <c r="HEU23" s="559"/>
      <c r="HEV23" s="559"/>
      <c r="HEW23" s="559"/>
      <c r="HEX23" s="559"/>
      <c r="HEY23" s="559"/>
      <c r="HEZ23" s="559"/>
      <c r="HFA23" s="559"/>
      <c r="HFB23" s="559"/>
      <c r="HFC23" s="559"/>
      <c r="HFD23" s="559"/>
      <c r="HFE23" s="559"/>
      <c r="HFF23" s="559"/>
      <c r="HFG23" s="559"/>
      <c r="HFH23" s="559"/>
      <c r="HFI23" s="559"/>
      <c r="HFJ23" s="559"/>
      <c r="HFK23" s="559"/>
      <c r="HFL23" s="559"/>
      <c r="HFM23" s="559"/>
      <c r="HFN23" s="559"/>
      <c r="HFO23" s="559"/>
      <c r="HFP23" s="559"/>
      <c r="HFQ23" s="559"/>
      <c r="HFR23" s="559"/>
      <c r="HFS23" s="559"/>
      <c r="HFT23" s="559"/>
      <c r="HFU23" s="559"/>
      <c r="HFV23" s="559"/>
      <c r="HFW23" s="559"/>
      <c r="HFX23" s="559"/>
      <c r="HFY23" s="559"/>
      <c r="HFZ23" s="559"/>
      <c r="HGA23" s="559"/>
      <c r="HGB23" s="559"/>
      <c r="HGC23" s="559"/>
      <c r="HGD23" s="559"/>
      <c r="HGE23" s="559"/>
      <c r="HGF23" s="559"/>
      <c r="HGG23" s="559"/>
      <c r="HGH23" s="559"/>
      <c r="HGI23" s="559"/>
      <c r="HGJ23" s="559"/>
      <c r="HGK23" s="559"/>
      <c r="HGL23" s="559"/>
      <c r="HGM23" s="559"/>
      <c r="HGN23" s="559"/>
      <c r="HGO23" s="559"/>
      <c r="HGP23" s="559"/>
      <c r="HGQ23" s="559"/>
      <c r="HGR23" s="559"/>
      <c r="HGS23" s="559"/>
      <c r="HGT23" s="559"/>
      <c r="HGU23" s="559"/>
      <c r="HGV23" s="559"/>
      <c r="HGW23" s="559"/>
      <c r="HGX23" s="559"/>
      <c r="HGY23" s="559"/>
      <c r="HGZ23" s="559"/>
      <c r="HHA23" s="559"/>
      <c r="HHB23" s="559"/>
      <c r="HHC23" s="559"/>
      <c r="HHD23" s="559"/>
      <c r="HHE23" s="559"/>
      <c r="HHF23" s="559"/>
      <c r="HHG23" s="559"/>
      <c r="HHH23" s="559"/>
      <c r="HHI23" s="559"/>
      <c r="HHJ23" s="559"/>
      <c r="HHK23" s="559"/>
      <c r="HHL23" s="559"/>
      <c r="HHM23" s="559"/>
      <c r="HHN23" s="559"/>
      <c r="HHO23" s="559"/>
      <c r="HHP23" s="559"/>
      <c r="HHQ23" s="559"/>
      <c r="HHR23" s="559"/>
      <c r="HHS23" s="559"/>
      <c r="HHT23" s="559"/>
      <c r="HHU23" s="559"/>
      <c r="HHV23" s="559"/>
      <c r="HHW23" s="559"/>
      <c r="HHX23" s="559"/>
      <c r="HHY23" s="559"/>
      <c r="HHZ23" s="559"/>
      <c r="HIA23" s="559"/>
      <c r="HIB23" s="559"/>
      <c r="HIC23" s="559"/>
      <c r="HID23" s="559"/>
      <c r="HIE23" s="559"/>
      <c r="HIF23" s="559"/>
      <c r="HIG23" s="559"/>
      <c r="HIH23" s="559"/>
      <c r="HII23" s="559"/>
      <c r="HIJ23" s="559"/>
      <c r="HIK23" s="559"/>
      <c r="HIL23" s="559"/>
      <c r="HIM23" s="559"/>
      <c r="HIN23" s="559"/>
      <c r="HIO23" s="559"/>
      <c r="HIP23" s="559"/>
      <c r="HIQ23" s="559"/>
      <c r="HIR23" s="559"/>
      <c r="HIS23" s="559"/>
      <c r="HIT23" s="559"/>
      <c r="HIU23" s="559"/>
      <c r="HIV23" s="559"/>
      <c r="HIW23" s="559"/>
      <c r="HIX23" s="559"/>
      <c r="HIY23" s="559"/>
      <c r="HIZ23" s="559"/>
      <c r="HJA23" s="559"/>
      <c r="HJB23" s="559"/>
      <c r="HJC23" s="559"/>
      <c r="HJD23" s="559"/>
      <c r="HJE23" s="559"/>
      <c r="HJF23" s="559"/>
      <c r="HJG23" s="559"/>
      <c r="HJH23" s="559"/>
      <c r="HJI23" s="559"/>
      <c r="HJJ23" s="559"/>
      <c r="HJK23" s="559"/>
      <c r="HJL23" s="559"/>
      <c r="HJM23" s="559"/>
      <c r="HJN23" s="559"/>
      <c r="HJO23" s="559"/>
      <c r="HJP23" s="559"/>
      <c r="HJQ23" s="559"/>
      <c r="HJR23" s="559"/>
      <c r="HJS23" s="559"/>
      <c r="HJT23" s="559"/>
      <c r="HJU23" s="559"/>
      <c r="HJV23" s="559"/>
      <c r="HJW23" s="559"/>
      <c r="HJX23" s="559"/>
      <c r="HJY23" s="559"/>
      <c r="HJZ23" s="559"/>
      <c r="HKA23" s="559"/>
      <c r="HKB23" s="559"/>
      <c r="HKC23" s="559"/>
      <c r="HKD23" s="559"/>
      <c r="HKE23" s="559"/>
      <c r="HKF23" s="559"/>
      <c r="HKG23" s="559"/>
      <c r="HKH23" s="559"/>
      <c r="HKI23" s="559"/>
      <c r="HKJ23" s="559"/>
      <c r="HKK23" s="559"/>
      <c r="HKL23" s="559"/>
      <c r="HKM23" s="559"/>
      <c r="HKN23" s="559"/>
      <c r="HKO23" s="559"/>
      <c r="HKP23" s="559"/>
      <c r="HKQ23" s="559"/>
      <c r="HKR23" s="559"/>
      <c r="HKS23" s="559"/>
      <c r="HKT23" s="559"/>
      <c r="HKU23" s="559"/>
      <c r="HKV23" s="559"/>
      <c r="HKW23" s="559"/>
      <c r="HKX23" s="559"/>
      <c r="HKY23" s="559"/>
      <c r="HKZ23" s="559"/>
      <c r="HLA23" s="559"/>
      <c r="HLB23" s="559"/>
      <c r="HLC23" s="559"/>
      <c r="HLD23" s="559"/>
      <c r="HLE23" s="559"/>
      <c r="HLF23" s="559"/>
      <c r="HLG23" s="559"/>
      <c r="HLH23" s="559"/>
      <c r="HLI23" s="559"/>
      <c r="HLJ23" s="559"/>
      <c r="HLK23" s="559"/>
      <c r="HLL23" s="559"/>
      <c r="HLM23" s="559"/>
      <c r="HLN23" s="559"/>
      <c r="HLO23" s="559"/>
      <c r="HLP23" s="559"/>
      <c r="HLQ23" s="559"/>
      <c r="HLR23" s="559"/>
      <c r="HLS23" s="559"/>
      <c r="HLT23" s="559"/>
      <c r="HLU23" s="559"/>
      <c r="HLV23" s="559"/>
      <c r="HLW23" s="559"/>
      <c r="HLX23" s="559"/>
      <c r="HLY23" s="559"/>
      <c r="HLZ23" s="559"/>
      <c r="HMA23" s="559"/>
      <c r="HMB23" s="559"/>
      <c r="HMC23" s="559"/>
      <c r="HMD23" s="559"/>
      <c r="HME23" s="559"/>
      <c r="HMF23" s="559"/>
      <c r="HMG23" s="559"/>
      <c r="HMH23" s="559"/>
      <c r="HMI23" s="559"/>
      <c r="HMJ23" s="559"/>
      <c r="HMK23" s="559"/>
      <c r="HML23" s="559"/>
      <c r="HMM23" s="559"/>
      <c r="HMN23" s="559"/>
      <c r="HMO23" s="559"/>
      <c r="HMP23" s="559"/>
      <c r="HMQ23" s="559"/>
      <c r="HMR23" s="559"/>
      <c r="HMS23" s="559"/>
      <c r="HMT23" s="559"/>
      <c r="HMU23" s="559"/>
      <c r="HMV23" s="559"/>
      <c r="HMW23" s="559"/>
      <c r="HMX23" s="559"/>
      <c r="HMY23" s="559"/>
      <c r="HMZ23" s="559"/>
      <c r="HNA23" s="559"/>
      <c r="HNB23" s="559"/>
      <c r="HNC23" s="559"/>
      <c r="HND23" s="559"/>
      <c r="HNE23" s="559"/>
      <c r="HNF23" s="559"/>
      <c r="HNG23" s="559"/>
      <c r="HNH23" s="559"/>
      <c r="HNI23" s="559"/>
      <c r="HNJ23" s="559"/>
      <c r="HNK23" s="559"/>
      <c r="HNL23" s="559"/>
      <c r="HNM23" s="559"/>
      <c r="HNN23" s="559"/>
      <c r="HNO23" s="559"/>
      <c r="HNP23" s="559"/>
      <c r="HNQ23" s="559"/>
      <c r="HNR23" s="559"/>
      <c r="HNS23" s="559"/>
      <c r="HNT23" s="559"/>
      <c r="HNU23" s="559"/>
      <c r="HNV23" s="559"/>
      <c r="HNW23" s="559"/>
      <c r="HNX23" s="559"/>
      <c r="HNY23" s="559"/>
      <c r="HNZ23" s="559"/>
      <c r="HOA23" s="559"/>
      <c r="HOB23" s="559"/>
      <c r="HOC23" s="559"/>
      <c r="HOD23" s="559"/>
      <c r="HOE23" s="559"/>
      <c r="HOF23" s="559"/>
      <c r="HOG23" s="559"/>
      <c r="HOH23" s="559"/>
      <c r="HOI23" s="559"/>
      <c r="HOJ23" s="559"/>
      <c r="HOK23" s="559"/>
      <c r="HOL23" s="559"/>
      <c r="HOM23" s="559"/>
      <c r="HON23" s="559"/>
      <c r="HOO23" s="559"/>
      <c r="HOP23" s="559"/>
      <c r="HOQ23" s="559"/>
      <c r="HOR23" s="559"/>
      <c r="HOS23" s="559"/>
      <c r="HOT23" s="559"/>
      <c r="HOU23" s="559"/>
      <c r="HOV23" s="559"/>
      <c r="HOW23" s="559"/>
      <c r="HOX23" s="559"/>
      <c r="HOY23" s="559"/>
      <c r="HOZ23" s="559"/>
      <c r="HPA23" s="559"/>
      <c r="HPB23" s="559"/>
      <c r="HPC23" s="559"/>
      <c r="HPD23" s="559"/>
      <c r="HPE23" s="559"/>
      <c r="HPF23" s="559"/>
      <c r="HPG23" s="559"/>
      <c r="HPH23" s="559"/>
      <c r="HPI23" s="559"/>
      <c r="HPJ23" s="559"/>
      <c r="HPK23" s="559"/>
      <c r="HPL23" s="559"/>
      <c r="HPM23" s="559"/>
      <c r="HPN23" s="559"/>
      <c r="HPO23" s="559"/>
      <c r="HPP23" s="559"/>
      <c r="HPQ23" s="559"/>
      <c r="HPR23" s="559"/>
      <c r="HPS23" s="559"/>
      <c r="HPT23" s="559"/>
      <c r="HPU23" s="559"/>
      <c r="HPV23" s="559"/>
      <c r="HPW23" s="559"/>
      <c r="HPX23" s="559"/>
      <c r="HPY23" s="559"/>
      <c r="HPZ23" s="559"/>
      <c r="HQA23" s="559"/>
      <c r="HQB23" s="559"/>
      <c r="HQC23" s="559"/>
      <c r="HQD23" s="559"/>
      <c r="HQE23" s="559"/>
      <c r="HQF23" s="559"/>
      <c r="HQG23" s="559"/>
      <c r="HQH23" s="559"/>
      <c r="HQI23" s="559"/>
      <c r="HQJ23" s="559"/>
      <c r="HQK23" s="559"/>
      <c r="HQL23" s="559"/>
      <c r="HQM23" s="559"/>
      <c r="HQN23" s="559"/>
      <c r="HQO23" s="559"/>
      <c r="HQP23" s="559"/>
      <c r="HQQ23" s="559"/>
      <c r="HQR23" s="559"/>
      <c r="HQS23" s="559"/>
      <c r="HQT23" s="559"/>
      <c r="HQU23" s="559"/>
      <c r="HQV23" s="559"/>
      <c r="HQW23" s="559"/>
      <c r="HQX23" s="559"/>
      <c r="HQY23" s="559"/>
      <c r="HQZ23" s="559"/>
      <c r="HRA23" s="559"/>
      <c r="HRB23" s="559"/>
      <c r="HRC23" s="559"/>
      <c r="HRD23" s="559"/>
      <c r="HRE23" s="559"/>
      <c r="HRF23" s="559"/>
      <c r="HRG23" s="559"/>
      <c r="HRH23" s="559"/>
      <c r="HRI23" s="559"/>
      <c r="HRJ23" s="559"/>
      <c r="HRK23" s="559"/>
      <c r="HRL23" s="559"/>
      <c r="HRM23" s="559"/>
      <c r="HRN23" s="559"/>
      <c r="HRO23" s="559"/>
      <c r="HRP23" s="559"/>
      <c r="HRQ23" s="559"/>
      <c r="HRR23" s="559"/>
      <c r="HRS23" s="559"/>
      <c r="HRT23" s="559"/>
      <c r="HRU23" s="559"/>
      <c r="HRV23" s="559"/>
      <c r="HRW23" s="559"/>
      <c r="HRX23" s="559"/>
      <c r="HRY23" s="559"/>
      <c r="HRZ23" s="559"/>
      <c r="HSA23" s="559"/>
      <c r="HSB23" s="559"/>
      <c r="HSC23" s="559"/>
      <c r="HSD23" s="559"/>
      <c r="HSE23" s="559"/>
      <c r="HSF23" s="559"/>
      <c r="HSG23" s="559"/>
      <c r="HSH23" s="559"/>
      <c r="HSI23" s="559"/>
      <c r="HSJ23" s="559"/>
      <c r="HSK23" s="559"/>
      <c r="HSL23" s="559"/>
      <c r="HSM23" s="559"/>
      <c r="HSN23" s="559"/>
      <c r="HSO23" s="559"/>
      <c r="HSP23" s="559"/>
      <c r="HSQ23" s="559"/>
      <c r="HSR23" s="559"/>
      <c r="HSS23" s="559"/>
      <c r="HST23" s="559"/>
      <c r="HSU23" s="559"/>
      <c r="HSV23" s="559"/>
      <c r="HSW23" s="559"/>
      <c r="HSX23" s="559"/>
      <c r="HSY23" s="559"/>
      <c r="HSZ23" s="559"/>
      <c r="HTA23" s="559"/>
      <c r="HTB23" s="559"/>
      <c r="HTC23" s="559"/>
      <c r="HTD23" s="559"/>
      <c r="HTE23" s="559"/>
      <c r="HTF23" s="559"/>
      <c r="HTG23" s="559"/>
      <c r="HTH23" s="559"/>
      <c r="HTI23" s="559"/>
      <c r="HTJ23" s="559"/>
      <c r="HTK23" s="559"/>
      <c r="HTL23" s="559"/>
      <c r="HTM23" s="559"/>
      <c r="HTN23" s="559"/>
      <c r="HTO23" s="559"/>
      <c r="HTP23" s="559"/>
      <c r="HTQ23" s="559"/>
      <c r="HTR23" s="559"/>
      <c r="HTS23" s="559"/>
      <c r="HTT23" s="559"/>
      <c r="HTU23" s="559"/>
      <c r="HTV23" s="559"/>
      <c r="HTW23" s="559"/>
      <c r="HTX23" s="559"/>
      <c r="HTY23" s="559"/>
      <c r="HTZ23" s="559"/>
      <c r="HUA23" s="559"/>
      <c r="HUB23" s="559"/>
      <c r="HUC23" s="559"/>
      <c r="HUD23" s="559"/>
      <c r="HUE23" s="559"/>
      <c r="HUF23" s="559"/>
      <c r="HUG23" s="559"/>
      <c r="HUH23" s="559"/>
      <c r="HUI23" s="559"/>
      <c r="HUJ23" s="559"/>
      <c r="HUK23" s="559"/>
      <c r="HUL23" s="559"/>
      <c r="HUM23" s="559"/>
      <c r="HUN23" s="559"/>
      <c r="HUO23" s="559"/>
      <c r="HUP23" s="559"/>
      <c r="HUQ23" s="559"/>
      <c r="HUR23" s="559"/>
      <c r="HUS23" s="559"/>
      <c r="HUT23" s="559"/>
      <c r="HUU23" s="559"/>
      <c r="HUV23" s="559"/>
      <c r="HUW23" s="559"/>
      <c r="HUX23" s="559"/>
      <c r="HUY23" s="559"/>
      <c r="HUZ23" s="559"/>
      <c r="HVA23" s="559"/>
      <c r="HVB23" s="559"/>
      <c r="HVC23" s="559"/>
      <c r="HVD23" s="559"/>
      <c r="HVE23" s="559"/>
      <c r="HVF23" s="559"/>
      <c r="HVG23" s="559"/>
      <c r="HVH23" s="559"/>
      <c r="HVI23" s="559"/>
      <c r="HVJ23" s="559"/>
      <c r="HVK23" s="559"/>
      <c r="HVL23" s="559"/>
      <c r="HVM23" s="559"/>
      <c r="HVN23" s="559"/>
      <c r="HVO23" s="559"/>
      <c r="HVP23" s="559"/>
      <c r="HVQ23" s="559"/>
      <c r="HVR23" s="559"/>
      <c r="HVS23" s="559"/>
      <c r="HVT23" s="559"/>
      <c r="HVU23" s="559"/>
      <c r="HVV23" s="559"/>
      <c r="HVW23" s="559"/>
      <c r="HVX23" s="559"/>
      <c r="HVY23" s="559"/>
      <c r="HVZ23" s="559"/>
      <c r="HWA23" s="559"/>
      <c r="HWB23" s="559"/>
      <c r="HWC23" s="559"/>
      <c r="HWD23" s="559"/>
      <c r="HWE23" s="559"/>
      <c r="HWF23" s="559"/>
      <c r="HWG23" s="559"/>
      <c r="HWH23" s="559"/>
      <c r="HWI23" s="559"/>
      <c r="HWJ23" s="559"/>
      <c r="HWK23" s="559"/>
      <c r="HWL23" s="559"/>
      <c r="HWM23" s="559"/>
      <c r="HWN23" s="559"/>
      <c r="HWO23" s="559"/>
      <c r="HWP23" s="559"/>
      <c r="HWQ23" s="559"/>
      <c r="HWR23" s="559"/>
      <c r="HWS23" s="559"/>
      <c r="HWT23" s="559"/>
      <c r="HWU23" s="559"/>
      <c r="HWV23" s="559"/>
      <c r="HWW23" s="559"/>
      <c r="HWX23" s="559"/>
      <c r="HWY23" s="559"/>
      <c r="HWZ23" s="559"/>
      <c r="HXA23" s="559"/>
      <c r="HXB23" s="559"/>
      <c r="HXC23" s="559"/>
      <c r="HXD23" s="559"/>
      <c r="HXE23" s="559"/>
      <c r="HXF23" s="559"/>
      <c r="HXG23" s="559"/>
      <c r="HXH23" s="559"/>
      <c r="HXI23" s="559"/>
      <c r="HXJ23" s="559"/>
      <c r="HXK23" s="559"/>
      <c r="HXL23" s="559"/>
      <c r="HXM23" s="559"/>
      <c r="HXN23" s="559"/>
      <c r="HXO23" s="559"/>
      <c r="HXP23" s="559"/>
      <c r="HXQ23" s="559"/>
      <c r="HXR23" s="559"/>
      <c r="HXS23" s="559"/>
      <c r="HXT23" s="559"/>
      <c r="HXU23" s="559"/>
      <c r="HXV23" s="559"/>
      <c r="HXW23" s="559"/>
      <c r="HXX23" s="559"/>
      <c r="HXY23" s="559"/>
      <c r="HXZ23" s="559"/>
      <c r="HYA23" s="559"/>
      <c r="HYB23" s="559"/>
      <c r="HYC23" s="559"/>
      <c r="HYD23" s="559"/>
      <c r="HYE23" s="559"/>
      <c r="HYF23" s="559"/>
      <c r="HYG23" s="559"/>
      <c r="HYH23" s="559"/>
      <c r="HYI23" s="559"/>
      <c r="HYJ23" s="559"/>
      <c r="HYK23" s="559"/>
      <c r="HYL23" s="559"/>
      <c r="HYM23" s="559"/>
      <c r="HYN23" s="559"/>
      <c r="HYO23" s="559"/>
      <c r="HYP23" s="559"/>
      <c r="HYQ23" s="559"/>
      <c r="HYR23" s="559"/>
      <c r="HYS23" s="559"/>
      <c r="HYT23" s="559"/>
      <c r="HYU23" s="559"/>
      <c r="HYV23" s="559"/>
      <c r="HYW23" s="559"/>
      <c r="HYX23" s="559"/>
      <c r="HYY23" s="559"/>
      <c r="HYZ23" s="559"/>
      <c r="HZA23" s="559"/>
      <c r="HZB23" s="559"/>
      <c r="HZC23" s="559"/>
      <c r="HZD23" s="559"/>
      <c r="HZE23" s="559"/>
      <c r="HZF23" s="559"/>
      <c r="HZG23" s="559"/>
      <c r="HZH23" s="559"/>
      <c r="HZI23" s="559"/>
      <c r="HZJ23" s="559"/>
      <c r="HZK23" s="559"/>
      <c r="HZL23" s="559"/>
      <c r="HZM23" s="559"/>
      <c r="HZN23" s="559"/>
      <c r="HZO23" s="559"/>
      <c r="HZP23" s="559"/>
      <c r="HZQ23" s="559"/>
      <c r="HZR23" s="559"/>
      <c r="HZS23" s="559"/>
      <c r="HZT23" s="559"/>
      <c r="HZU23" s="559"/>
      <c r="HZV23" s="559"/>
      <c r="HZW23" s="559"/>
      <c r="HZX23" s="559"/>
      <c r="HZY23" s="559"/>
      <c r="HZZ23" s="559"/>
      <c r="IAA23" s="559"/>
      <c r="IAB23" s="559"/>
      <c r="IAC23" s="559"/>
      <c r="IAD23" s="559"/>
      <c r="IAE23" s="559"/>
      <c r="IAF23" s="559"/>
      <c r="IAG23" s="559"/>
      <c r="IAH23" s="559"/>
      <c r="IAI23" s="559"/>
      <c r="IAJ23" s="559"/>
      <c r="IAK23" s="559"/>
      <c r="IAL23" s="559"/>
      <c r="IAM23" s="559"/>
      <c r="IAN23" s="559"/>
      <c r="IAO23" s="559"/>
      <c r="IAP23" s="559"/>
      <c r="IAQ23" s="559"/>
      <c r="IAR23" s="559"/>
      <c r="IAS23" s="559"/>
      <c r="IAT23" s="559"/>
      <c r="IAU23" s="559"/>
      <c r="IAV23" s="559"/>
      <c r="IAW23" s="559"/>
      <c r="IAX23" s="559"/>
      <c r="IAY23" s="559"/>
      <c r="IAZ23" s="559"/>
      <c r="IBA23" s="559"/>
      <c r="IBB23" s="559"/>
      <c r="IBC23" s="559"/>
      <c r="IBD23" s="559"/>
      <c r="IBE23" s="559"/>
      <c r="IBF23" s="559"/>
      <c r="IBG23" s="559"/>
      <c r="IBH23" s="559"/>
      <c r="IBI23" s="559"/>
      <c r="IBJ23" s="559"/>
      <c r="IBK23" s="559"/>
      <c r="IBL23" s="559"/>
      <c r="IBM23" s="559"/>
      <c r="IBN23" s="559"/>
      <c r="IBO23" s="559"/>
      <c r="IBP23" s="559"/>
      <c r="IBQ23" s="559"/>
      <c r="IBR23" s="559"/>
      <c r="IBS23" s="559"/>
      <c r="IBT23" s="559"/>
      <c r="IBU23" s="559"/>
      <c r="IBV23" s="559"/>
      <c r="IBW23" s="559"/>
      <c r="IBX23" s="559"/>
      <c r="IBY23" s="559"/>
      <c r="IBZ23" s="559"/>
      <c r="ICA23" s="559"/>
      <c r="ICB23" s="559"/>
      <c r="ICC23" s="559"/>
      <c r="ICD23" s="559"/>
      <c r="ICE23" s="559"/>
      <c r="ICF23" s="559"/>
      <c r="ICG23" s="559"/>
      <c r="ICH23" s="559"/>
      <c r="ICI23" s="559"/>
      <c r="ICJ23" s="559"/>
      <c r="ICK23" s="559"/>
      <c r="ICL23" s="559"/>
      <c r="ICM23" s="559"/>
      <c r="ICN23" s="559"/>
      <c r="ICO23" s="559"/>
      <c r="ICP23" s="559"/>
      <c r="ICQ23" s="559"/>
      <c r="ICR23" s="559"/>
      <c r="ICS23" s="559"/>
      <c r="ICT23" s="559"/>
      <c r="ICU23" s="559"/>
      <c r="ICV23" s="559"/>
      <c r="ICW23" s="559"/>
      <c r="ICX23" s="559"/>
      <c r="ICY23" s="559"/>
      <c r="ICZ23" s="559"/>
      <c r="IDA23" s="559"/>
      <c r="IDB23" s="559"/>
      <c r="IDC23" s="559"/>
      <c r="IDD23" s="559"/>
      <c r="IDE23" s="559"/>
      <c r="IDF23" s="559"/>
      <c r="IDG23" s="559"/>
      <c r="IDH23" s="559"/>
      <c r="IDI23" s="559"/>
      <c r="IDJ23" s="559"/>
      <c r="IDK23" s="559"/>
      <c r="IDL23" s="559"/>
      <c r="IDM23" s="559"/>
      <c r="IDN23" s="559"/>
      <c r="IDO23" s="559"/>
      <c r="IDP23" s="559"/>
      <c r="IDQ23" s="559"/>
      <c r="IDR23" s="559"/>
      <c r="IDS23" s="559"/>
      <c r="IDT23" s="559"/>
      <c r="IDU23" s="559"/>
      <c r="IDV23" s="559"/>
      <c r="IDW23" s="559"/>
      <c r="IDX23" s="559"/>
      <c r="IDY23" s="559"/>
      <c r="IDZ23" s="559"/>
      <c r="IEA23" s="559"/>
      <c r="IEB23" s="559"/>
      <c r="IEC23" s="559"/>
      <c r="IED23" s="559"/>
      <c r="IEE23" s="559"/>
      <c r="IEF23" s="559"/>
      <c r="IEG23" s="559"/>
      <c r="IEH23" s="559"/>
      <c r="IEI23" s="559"/>
      <c r="IEJ23" s="559"/>
      <c r="IEK23" s="559"/>
      <c r="IEL23" s="559"/>
      <c r="IEM23" s="559"/>
      <c r="IEN23" s="559"/>
      <c r="IEO23" s="559"/>
      <c r="IEP23" s="559"/>
      <c r="IEQ23" s="559"/>
      <c r="IER23" s="559"/>
      <c r="IES23" s="559"/>
      <c r="IET23" s="559"/>
      <c r="IEU23" s="559"/>
      <c r="IEV23" s="559"/>
      <c r="IEW23" s="559"/>
      <c r="IEX23" s="559"/>
      <c r="IEY23" s="559"/>
      <c r="IEZ23" s="559"/>
      <c r="IFA23" s="559"/>
      <c r="IFB23" s="559"/>
      <c r="IFC23" s="559"/>
      <c r="IFD23" s="559"/>
      <c r="IFE23" s="559"/>
      <c r="IFF23" s="559"/>
      <c r="IFG23" s="559"/>
      <c r="IFH23" s="559"/>
      <c r="IFI23" s="559"/>
      <c r="IFJ23" s="559"/>
      <c r="IFK23" s="559"/>
      <c r="IFL23" s="559"/>
      <c r="IFM23" s="559"/>
      <c r="IFN23" s="559"/>
      <c r="IFO23" s="559"/>
      <c r="IFP23" s="559"/>
      <c r="IFQ23" s="559"/>
      <c r="IFR23" s="559"/>
      <c r="IFS23" s="559"/>
      <c r="IFT23" s="559"/>
      <c r="IFU23" s="559"/>
      <c r="IFV23" s="559"/>
      <c r="IFW23" s="559"/>
      <c r="IFX23" s="559"/>
      <c r="IFY23" s="559"/>
      <c r="IFZ23" s="559"/>
      <c r="IGA23" s="559"/>
      <c r="IGB23" s="559"/>
      <c r="IGC23" s="559"/>
      <c r="IGD23" s="559"/>
      <c r="IGE23" s="559"/>
      <c r="IGF23" s="559"/>
      <c r="IGG23" s="559"/>
      <c r="IGH23" s="559"/>
      <c r="IGI23" s="559"/>
      <c r="IGJ23" s="559"/>
      <c r="IGK23" s="559"/>
      <c r="IGL23" s="559"/>
      <c r="IGM23" s="559"/>
      <c r="IGN23" s="559"/>
      <c r="IGO23" s="559"/>
      <c r="IGP23" s="559"/>
      <c r="IGQ23" s="559"/>
      <c r="IGR23" s="559"/>
      <c r="IGS23" s="559"/>
      <c r="IGT23" s="559"/>
      <c r="IGU23" s="559"/>
      <c r="IGV23" s="559"/>
      <c r="IGW23" s="559"/>
      <c r="IGX23" s="559"/>
      <c r="IGY23" s="559"/>
      <c r="IGZ23" s="559"/>
      <c r="IHA23" s="559"/>
      <c r="IHB23" s="559"/>
      <c r="IHC23" s="559"/>
      <c r="IHD23" s="559"/>
      <c r="IHE23" s="559"/>
      <c r="IHF23" s="559"/>
      <c r="IHG23" s="559"/>
      <c r="IHH23" s="559"/>
      <c r="IHI23" s="559"/>
      <c r="IHJ23" s="559"/>
      <c r="IHK23" s="559"/>
      <c r="IHL23" s="559"/>
      <c r="IHM23" s="559"/>
      <c r="IHN23" s="559"/>
      <c r="IHO23" s="559"/>
      <c r="IHP23" s="559"/>
      <c r="IHQ23" s="559"/>
      <c r="IHR23" s="559"/>
      <c r="IHS23" s="559"/>
      <c r="IHT23" s="559"/>
      <c r="IHU23" s="559"/>
      <c r="IHV23" s="559"/>
      <c r="IHW23" s="559"/>
      <c r="IHX23" s="559"/>
      <c r="IHY23" s="559"/>
      <c r="IHZ23" s="559"/>
      <c r="IIA23" s="559"/>
      <c r="IIB23" s="559"/>
      <c r="IIC23" s="559"/>
      <c r="IID23" s="559"/>
      <c r="IIE23" s="559"/>
      <c r="IIF23" s="559"/>
      <c r="IIG23" s="559"/>
      <c r="IIH23" s="559"/>
      <c r="III23" s="559"/>
      <c r="IIJ23" s="559"/>
      <c r="IIK23" s="559"/>
      <c r="IIL23" s="559"/>
      <c r="IIM23" s="559"/>
      <c r="IIN23" s="559"/>
      <c r="IIO23" s="559"/>
      <c r="IIP23" s="559"/>
      <c r="IIQ23" s="559"/>
      <c r="IIR23" s="559"/>
      <c r="IIS23" s="559"/>
      <c r="IIT23" s="559"/>
      <c r="IIU23" s="559"/>
      <c r="IIV23" s="559"/>
      <c r="IIW23" s="559"/>
      <c r="IIX23" s="559"/>
      <c r="IIY23" s="559"/>
      <c r="IIZ23" s="559"/>
      <c r="IJA23" s="559"/>
      <c r="IJB23" s="559"/>
      <c r="IJC23" s="559"/>
      <c r="IJD23" s="559"/>
      <c r="IJE23" s="559"/>
      <c r="IJF23" s="559"/>
      <c r="IJG23" s="559"/>
      <c r="IJH23" s="559"/>
      <c r="IJI23" s="559"/>
      <c r="IJJ23" s="559"/>
      <c r="IJK23" s="559"/>
      <c r="IJL23" s="559"/>
      <c r="IJM23" s="559"/>
      <c r="IJN23" s="559"/>
      <c r="IJO23" s="559"/>
      <c r="IJP23" s="559"/>
      <c r="IJQ23" s="559"/>
      <c r="IJR23" s="559"/>
      <c r="IJS23" s="559"/>
      <c r="IJT23" s="559"/>
      <c r="IJU23" s="559"/>
      <c r="IJV23" s="559"/>
      <c r="IJW23" s="559"/>
      <c r="IJX23" s="559"/>
      <c r="IJY23" s="559"/>
      <c r="IJZ23" s="559"/>
      <c r="IKA23" s="559"/>
      <c r="IKB23" s="559"/>
      <c r="IKC23" s="559"/>
      <c r="IKD23" s="559"/>
      <c r="IKE23" s="559"/>
      <c r="IKF23" s="559"/>
      <c r="IKG23" s="559"/>
      <c r="IKH23" s="559"/>
      <c r="IKI23" s="559"/>
      <c r="IKJ23" s="559"/>
      <c r="IKK23" s="559"/>
      <c r="IKL23" s="559"/>
      <c r="IKM23" s="559"/>
      <c r="IKN23" s="559"/>
      <c r="IKO23" s="559"/>
      <c r="IKP23" s="559"/>
      <c r="IKQ23" s="559"/>
      <c r="IKR23" s="559"/>
      <c r="IKS23" s="559"/>
      <c r="IKT23" s="559"/>
      <c r="IKU23" s="559"/>
      <c r="IKV23" s="559"/>
      <c r="IKW23" s="559"/>
      <c r="IKX23" s="559"/>
      <c r="IKY23" s="559"/>
      <c r="IKZ23" s="559"/>
      <c r="ILA23" s="559"/>
      <c r="ILB23" s="559"/>
      <c r="ILC23" s="559"/>
      <c r="ILD23" s="559"/>
      <c r="ILE23" s="559"/>
      <c r="ILF23" s="559"/>
      <c r="ILG23" s="559"/>
      <c r="ILH23" s="559"/>
      <c r="ILI23" s="559"/>
      <c r="ILJ23" s="559"/>
      <c r="ILK23" s="559"/>
      <c r="ILL23" s="559"/>
      <c r="ILM23" s="559"/>
      <c r="ILN23" s="559"/>
      <c r="ILO23" s="559"/>
      <c r="ILP23" s="559"/>
      <c r="ILQ23" s="559"/>
      <c r="ILR23" s="559"/>
      <c r="ILS23" s="559"/>
      <c r="ILT23" s="559"/>
      <c r="ILU23" s="559"/>
      <c r="ILV23" s="559"/>
      <c r="ILW23" s="559"/>
      <c r="ILX23" s="559"/>
      <c r="ILY23" s="559"/>
      <c r="ILZ23" s="559"/>
      <c r="IMA23" s="559"/>
      <c r="IMB23" s="559"/>
      <c r="IMC23" s="559"/>
      <c r="IMD23" s="559"/>
      <c r="IME23" s="559"/>
      <c r="IMF23" s="559"/>
      <c r="IMG23" s="559"/>
      <c r="IMH23" s="559"/>
      <c r="IMI23" s="559"/>
      <c r="IMJ23" s="559"/>
      <c r="IMK23" s="559"/>
      <c r="IML23" s="559"/>
      <c r="IMM23" s="559"/>
      <c r="IMN23" s="559"/>
      <c r="IMO23" s="559"/>
      <c r="IMP23" s="559"/>
      <c r="IMQ23" s="559"/>
      <c r="IMR23" s="559"/>
      <c r="IMS23" s="559"/>
      <c r="IMT23" s="559"/>
      <c r="IMU23" s="559"/>
      <c r="IMV23" s="559"/>
      <c r="IMW23" s="559"/>
      <c r="IMX23" s="559"/>
      <c r="IMY23" s="559"/>
      <c r="IMZ23" s="559"/>
      <c r="INA23" s="559"/>
      <c r="INB23" s="559"/>
      <c r="INC23" s="559"/>
      <c r="IND23" s="559"/>
      <c r="INE23" s="559"/>
      <c r="INF23" s="559"/>
      <c r="ING23" s="559"/>
      <c r="INH23" s="559"/>
      <c r="INI23" s="559"/>
      <c r="INJ23" s="559"/>
      <c r="INK23" s="559"/>
      <c r="INL23" s="559"/>
      <c r="INM23" s="559"/>
      <c r="INN23" s="559"/>
      <c r="INO23" s="559"/>
      <c r="INP23" s="559"/>
      <c r="INQ23" s="559"/>
      <c r="INR23" s="559"/>
      <c r="INS23" s="559"/>
      <c r="INT23" s="559"/>
      <c r="INU23" s="559"/>
      <c r="INV23" s="559"/>
      <c r="INW23" s="559"/>
      <c r="INX23" s="559"/>
      <c r="INY23" s="559"/>
      <c r="INZ23" s="559"/>
      <c r="IOA23" s="559"/>
      <c r="IOB23" s="559"/>
      <c r="IOC23" s="559"/>
      <c r="IOD23" s="559"/>
      <c r="IOE23" s="559"/>
      <c r="IOF23" s="559"/>
      <c r="IOG23" s="559"/>
      <c r="IOH23" s="559"/>
      <c r="IOI23" s="559"/>
      <c r="IOJ23" s="559"/>
      <c r="IOK23" s="559"/>
      <c r="IOL23" s="559"/>
      <c r="IOM23" s="559"/>
      <c r="ION23" s="559"/>
      <c r="IOO23" s="559"/>
      <c r="IOP23" s="559"/>
      <c r="IOQ23" s="559"/>
      <c r="IOR23" s="559"/>
      <c r="IOS23" s="559"/>
      <c r="IOT23" s="559"/>
      <c r="IOU23" s="559"/>
      <c r="IOV23" s="559"/>
      <c r="IOW23" s="559"/>
      <c r="IOX23" s="559"/>
      <c r="IOY23" s="559"/>
      <c r="IOZ23" s="559"/>
      <c r="IPA23" s="559"/>
      <c r="IPB23" s="559"/>
      <c r="IPC23" s="559"/>
      <c r="IPD23" s="559"/>
      <c r="IPE23" s="559"/>
      <c r="IPF23" s="559"/>
      <c r="IPG23" s="559"/>
      <c r="IPH23" s="559"/>
      <c r="IPI23" s="559"/>
      <c r="IPJ23" s="559"/>
      <c r="IPK23" s="559"/>
      <c r="IPL23" s="559"/>
      <c r="IPM23" s="559"/>
      <c r="IPN23" s="559"/>
      <c r="IPO23" s="559"/>
      <c r="IPP23" s="559"/>
      <c r="IPQ23" s="559"/>
      <c r="IPR23" s="559"/>
      <c r="IPS23" s="559"/>
      <c r="IPT23" s="559"/>
      <c r="IPU23" s="559"/>
      <c r="IPV23" s="559"/>
      <c r="IPW23" s="559"/>
      <c r="IPX23" s="559"/>
      <c r="IPY23" s="559"/>
      <c r="IPZ23" s="559"/>
      <c r="IQA23" s="559"/>
      <c r="IQB23" s="559"/>
      <c r="IQC23" s="559"/>
      <c r="IQD23" s="559"/>
      <c r="IQE23" s="559"/>
      <c r="IQF23" s="559"/>
      <c r="IQG23" s="559"/>
      <c r="IQH23" s="559"/>
      <c r="IQI23" s="559"/>
      <c r="IQJ23" s="559"/>
      <c r="IQK23" s="559"/>
      <c r="IQL23" s="559"/>
      <c r="IQM23" s="559"/>
      <c r="IQN23" s="559"/>
      <c r="IQO23" s="559"/>
      <c r="IQP23" s="559"/>
      <c r="IQQ23" s="559"/>
      <c r="IQR23" s="559"/>
      <c r="IQS23" s="559"/>
      <c r="IQT23" s="559"/>
      <c r="IQU23" s="559"/>
      <c r="IQV23" s="559"/>
      <c r="IQW23" s="559"/>
      <c r="IQX23" s="559"/>
      <c r="IQY23" s="559"/>
      <c r="IQZ23" s="559"/>
      <c r="IRA23" s="559"/>
      <c r="IRB23" s="559"/>
      <c r="IRC23" s="559"/>
      <c r="IRD23" s="559"/>
      <c r="IRE23" s="559"/>
      <c r="IRF23" s="559"/>
      <c r="IRG23" s="559"/>
      <c r="IRH23" s="559"/>
      <c r="IRI23" s="559"/>
      <c r="IRJ23" s="559"/>
      <c r="IRK23" s="559"/>
      <c r="IRL23" s="559"/>
      <c r="IRM23" s="559"/>
      <c r="IRN23" s="559"/>
      <c r="IRO23" s="559"/>
      <c r="IRP23" s="559"/>
      <c r="IRQ23" s="559"/>
      <c r="IRR23" s="559"/>
      <c r="IRS23" s="559"/>
      <c r="IRT23" s="559"/>
      <c r="IRU23" s="559"/>
      <c r="IRV23" s="559"/>
      <c r="IRW23" s="559"/>
      <c r="IRX23" s="559"/>
      <c r="IRY23" s="559"/>
      <c r="IRZ23" s="559"/>
      <c r="ISA23" s="559"/>
      <c r="ISB23" s="559"/>
      <c r="ISC23" s="559"/>
      <c r="ISD23" s="559"/>
      <c r="ISE23" s="559"/>
      <c r="ISF23" s="559"/>
      <c r="ISG23" s="559"/>
      <c r="ISH23" s="559"/>
      <c r="ISI23" s="559"/>
      <c r="ISJ23" s="559"/>
      <c r="ISK23" s="559"/>
      <c r="ISL23" s="559"/>
      <c r="ISM23" s="559"/>
      <c r="ISN23" s="559"/>
      <c r="ISO23" s="559"/>
      <c r="ISP23" s="559"/>
      <c r="ISQ23" s="559"/>
      <c r="ISR23" s="559"/>
      <c r="ISS23" s="559"/>
      <c r="IST23" s="559"/>
      <c r="ISU23" s="559"/>
      <c r="ISV23" s="559"/>
      <c r="ISW23" s="559"/>
      <c r="ISX23" s="559"/>
      <c r="ISY23" s="559"/>
      <c r="ISZ23" s="559"/>
      <c r="ITA23" s="559"/>
      <c r="ITB23" s="559"/>
      <c r="ITC23" s="559"/>
      <c r="ITD23" s="559"/>
      <c r="ITE23" s="559"/>
      <c r="ITF23" s="559"/>
      <c r="ITG23" s="559"/>
      <c r="ITH23" s="559"/>
      <c r="ITI23" s="559"/>
      <c r="ITJ23" s="559"/>
      <c r="ITK23" s="559"/>
      <c r="ITL23" s="559"/>
      <c r="ITM23" s="559"/>
      <c r="ITN23" s="559"/>
      <c r="ITO23" s="559"/>
      <c r="ITP23" s="559"/>
      <c r="ITQ23" s="559"/>
      <c r="ITR23" s="559"/>
      <c r="ITS23" s="559"/>
      <c r="ITT23" s="559"/>
      <c r="ITU23" s="559"/>
      <c r="ITV23" s="559"/>
      <c r="ITW23" s="559"/>
      <c r="ITX23" s="559"/>
      <c r="ITY23" s="559"/>
      <c r="ITZ23" s="559"/>
      <c r="IUA23" s="559"/>
      <c r="IUB23" s="559"/>
      <c r="IUC23" s="559"/>
      <c r="IUD23" s="559"/>
      <c r="IUE23" s="559"/>
      <c r="IUF23" s="559"/>
      <c r="IUG23" s="559"/>
      <c r="IUH23" s="559"/>
      <c r="IUI23" s="559"/>
      <c r="IUJ23" s="559"/>
      <c r="IUK23" s="559"/>
      <c r="IUL23" s="559"/>
      <c r="IUM23" s="559"/>
      <c r="IUN23" s="559"/>
      <c r="IUO23" s="559"/>
      <c r="IUP23" s="559"/>
      <c r="IUQ23" s="559"/>
      <c r="IUR23" s="559"/>
      <c r="IUS23" s="559"/>
      <c r="IUT23" s="559"/>
      <c r="IUU23" s="559"/>
      <c r="IUV23" s="559"/>
      <c r="IUW23" s="559"/>
      <c r="IUX23" s="559"/>
      <c r="IUY23" s="559"/>
      <c r="IUZ23" s="559"/>
      <c r="IVA23" s="559"/>
      <c r="IVB23" s="559"/>
      <c r="IVC23" s="559"/>
      <c r="IVD23" s="559"/>
      <c r="IVE23" s="559"/>
      <c r="IVF23" s="559"/>
      <c r="IVG23" s="559"/>
      <c r="IVH23" s="559"/>
      <c r="IVI23" s="559"/>
      <c r="IVJ23" s="559"/>
      <c r="IVK23" s="559"/>
      <c r="IVL23" s="559"/>
      <c r="IVM23" s="559"/>
      <c r="IVN23" s="559"/>
      <c r="IVO23" s="559"/>
      <c r="IVP23" s="559"/>
      <c r="IVQ23" s="559"/>
      <c r="IVR23" s="559"/>
      <c r="IVS23" s="559"/>
      <c r="IVT23" s="559"/>
      <c r="IVU23" s="559"/>
      <c r="IVV23" s="559"/>
      <c r="IVW23" s="559"/>
      <c r="IVX23" s="559"/>
      <c r="IVY23" s="559"/>
      <c r="IVZ23" s="559"/>
      <c r="IWA23" s="559"/>
      <c r="IWB23" s="559"/>
      <c r="IWC23" s="559"/>
      <c r="IWD23" s="559"/>
      <c r="IWE23" s="559"/>
      <c r="IWF23" s="559"/>
      <c r="IWG23" s="559"/>
      <c r="IWH23" s="559"/>
      <c r="IWI23" s="559"/>
      <c r="IWJ23" s="559"/>
      <c r="IWK23" s="559"/>
      <c r="IWL23" s="559"/>
      <c r="IWM23" s="559"/>
      <c r="IWN23" s="559"/>
      <c r="IWO23" s="559"/>
      <c r="IWP23" s="559"/>
      <c r="IWQ23" s="559"/>
      <c r="IWR23" s="559"/>
      <c r="IWS23" s="559"/>
      <c r="IWT23" s="559"/>
      <c r="IWU23" s="559"/>
      <c r="IWV23" s="559"/>
      <c r="IWW23" s="559"/>
      <c r="IWX23" s="559"/>
      <c r="IWY23" s="559"/>
      <c r="IWZ23" s="559"/>
      <c r="IXA23" s="559"/>
      <c r="IXB23" s="559"/>
      <c r="IXC23" s="559"/>
      <c r="IXD23" s="559"/>
      <c r="IXE23" s="559"/>
      <c r="IXF23" s="559"/>
      <c r="IXG23" s="559"/>
      <c r="IXH23" s="559"/>
      <c r="IXI23" s="559"/>
      <c r="IXJ23" s="559"/>
      <c r="IXK23" s="559"/>
      <c r="IXL23" s="559"/>
      <c r="IXM23" s="559"/>
      <c r="IXN23" s="559"/>
      <c r="IXO23" s="559"/>
      <c r="IXP23" s="559"/>
      <c r="IXQ23" s="559"/>
      <c r="IXR23" s="559"/>
      <c r="IXS23" s="559"/>
      <c r="IXT23" s="559"/>
      <c r="IXU23" s="559"/>
      <c r="IXV23" s="559"/>
      <c r="IXW23" s="559"/>
      <c r="IXX23" s="559"/>
      <c r="IXY23" s="559"/>
      <c r="IXZ23" s="559"/>
      <c r="IYA23" s="559"/>
      <c r="IYB23" s="559"/>
      <c r="IYC23" s="559"/>
      <c r="IYD23" s="559"/>
      <c r="IYE23" s="559"/>
      <c r="IYF23" s="559"/>
      <c r="IYG23" s="559"/>
      <c r="IYH23" s="559"/>
      <c r="IYI23" s="559"/>
      <c r="IYJ23" s="559"/>
      <c r="IYK23" s="559"/>
      <c r="IYL23" s="559"/>
      <c r="IYM23" s="559"/>
      <c r="IYN23" s="559"/>
      <c r="IYO23" s="559"/>
      <c r="IYP23" s="559"/>
      <c r="IYQ23" s="559"/>
      <c r="IYR23" s="559"/>
      <c r="IYS23" s="559"/>
      <c r="IYT23" s="559"/>
      <c r="IYU23" s="559"/>
      <c r="IYV23" s="559"/>
      <c r="IYW23" s="559"/>
      <c r="IYX23" s="559"/>
      <c r="IYY23" s="559"/>
      <c r="IYZ23" s="559"/>
      <c r="IZA23" s="559"/>
      <c r="IZB23" s="559"/>
      <c r="IZC23" s="559"/>
      <c r="IZD23" s="559"/>
      <c r="IZE23" s="559"/>
      <c r="IZF23" s="559"/>
      <c r="IZG23" s="559"/>
      <c r="IZH23" s="559"/>
      <c r="IZI23" s="559"/>
      <c r="IZJ23" s="559"/>
      <c r="IZK23" s="559"/>
      <c r="IZL23" s="559"/>
      <c r="IZM23" s="559"/>
      <c r="IZN23" s="559"/>
      <c r="IZO23" s="559"/>
      <c r="IZP23" s="559"/>
      <c r="IZQ23" s="559"/>
      <c r="IZR23" s="559"/>
      <c r="IZS23" s="559"/>
      <c r="IZT23" s="559"/>
      <c r="IZU23" s="559"/>
      <c r="IZV23" s="559"/>
      <c r="IZW23" s="559"/>
      <c r="IZX23" s="559"/>
      <c r="IZY23" s="559"/>
      <c r="IZZ23" s="559"/>
      <c r="JAA23" s="559"/>
      <c r="JAB23" s="559"/>
      <c r="JAC23" s="559"/>
      <c r="JAD23" s="559"/>
      <c r="JAE23" s="559"/>
      <c r="JAF23" s="559"/>
      <c r="JAG23" s="559"/>
      <c r="JAH23" s="559"/>
      <c r="JAI23" s="559"/>
      <c r="JAJ23" s="559"/>
      <c r="JAK23" s="559"/>
      <c r="JAL23" s="559"/>
      <c r="JAM23" s="559"/>
      <c r="JAN23" s="559"/>
      <c r="JAO23" s="559"/>
      <c r="JAP23" s="559"/>
      <c r="JAQ23" s="559"/>
      <c r="JAR23" s="559"/>
      <c r="JAS23" s="559"/>
      <c r="JAT23" s="559"/>
      <c r="JAU23" s="559"/>
      <c r="JAV23" s="559"/>
      <c r="JAW23" s="559"/>
      <c r="JAX23" s="559"/>
      <c r="JAY23" s="559"/>
      <c r="JAZ23" s="559"/>
      <c r="JBA23" s="559"/>
      <c r="JBB23" s="559"/>
      <c r="JBC23" s="559"/>
      <c r="JBD23" s="559"/>
      <c r="JBE23" s="559"/>
      <c r="JBF23" s="559"/>
      <c r="JBG23" s="559"/>
      <c r="JBH23" s="559"/>
      <c r="JBI23" s="559"/>
      <c r="JBJ23" s="559"/>
      <c r="JBK23" s="559"/>
      <c r="JBL23" s="559"/>
      <c r="JBM23" s="559"/>
      <c r="JBN23" s="559"/>
      <c r="JBO23" s="559"/>
      <c r="JBP23" s="559"/>
      <c r="JBQ23" s="559"/>
      <c r="JBR23" s="559"/>
      <c r="JBS23" s="559"/>
      <c r="JBT23" s="559"/>
      <c r="JBU23" s="559"/>
      <c r="JBV23" s="559"/>
      <c r="JBW23" s="559"/>
      <c r="JBX23" s="559"/>
      <c r="JBY23" s="559"/>
      <c r="JBZ23" s="559"/>
      <c r="JCA23" s="559"/>
      <c r="JCB23" s="559"/>
      <c r="JCC23" s="559"/>
      <c r="JCD23" s="559"/>
      <c r="JCE23" s="559"/>
      <c r="JCF23" s="559"/>
      <c r="JCG23" s="559"/>
      <c r="JCH23" s="559"/>
      <c r="JCI23" s="559"/>
      <c r="JCJ23" s="559"/>
      <c r="JCK23" s="559"/>
      <c r="JCL23" s="559"/>
      <c r="JCM23" s="559"/>
      <c r="JCN23" s="559"/>
      <c r="JCO23" s="559"/>
      <c r="JCP23" s="559"/>
      <c r="JCQ23" s="559"/>
      <c r="JCR23" s="559"/>
      <c r="JCS23" s="559"/>
      <c r="JCT23" s="559"/>
      <c r="JCU23" s="559"/>
      <c r="JCV23" s="559"/>
      <c r="JCW23" s="559"/>
      <c r="JCX23" s="559"/>
      <c r="JCY23" s="559"/>
      <c r="JCZ23" s="559"/>
      <c r="JDA23" s="559"/>
      <c r="JDB23" s="559"/>
      <c r="JDC23" s="559"/>
      <c r="JDD23" s="559"/>
      <c r="JDE23" s="559"/>
      <c r="JDF23" s="559"/>
      <c r="JDG23" s="559"/>
      <c r="JDH23" s="559"/>
      <c r="JDI23" s="559"/>
      <c r="JDJ23" s="559"/>
      <c r="JDK23" s="559"/>
      <c r="JDL23" s="559"/>
      <c r="JDM23" s="559"/>
      <c r="JDN23" s="559"/>
      <c r="JDO23" s="559"/>
      <c r="JDP23" s="559"/>
      <c r="JDQ23" s="559"/>
      <c r="JDR23" s="559"/>
      <c r="JDS23" s="559"/>
      <c r="JDT23" s="559"/>
      <c r="JDU23" s="559"/>
      <c r="JDV23" s="559"/>
      <c r="JDW23" s="559"/>
      <c r="JDX23" s="559"/>
      <c r="JDY23" s="559"/>
      <c r="JDZ23" s="559"/>
      <c r="JEA23" s="559"/>
      <c r="JEB23" s="559"/>
      <c r="JEC23" s="559"/>
      <c r="JED23" s="559"/>
      <c r="JEE23" s="559"/>
      <c r="JEF23" s="559"/>
      <c r="JEG23" s="559"/>
      <c r="JEH23" s="559"/>
      <c r="JEI23" s="559"/>
      <c r="JEJ23" s="559"/>
      <c r="JEK23" s="559"/>
      <c r="JEL23" s="559"/>
      <c r="JEM23" s="559"/>
      <c r="JEN23" s="559"/>
      <c r="JEO23" s="559"/>
      <c r="JEP23" s="559"/>
      <c r="JEQ23" s="559"/>
      <c r="JER23" s="559"/>
      <c r="JES23" s="559"/>
      <c r="JET23" s="559"/>
      <c r="JEU23" s="559"/>
      <c r="JEV23" s="559"/>
      <c r="JEW23" s="559"/>
      <c r="JEX23" s="559"/>
      <c r="JEY23" s="559"/>
      <c r="JEZ23" s="559"/>
      <c r="JFA23" s="559"/>
      <c r="JFB23" s="559"/>
      <c r="JFC23" s="559"/>
      <c r="JFD23" s="559"/>
      <c r="JFE23" s="559"/>
      <c r="JFF23" s="559"/>
      <c r="JFG23" s="559"/>
      <c r="JFH23" s="559"/>
      <c r="JFI23" s="559"/>
      <c r="JFJ23" s="559"/>
      <c r="JFK23" s="559"/>
      <c r="JFL23" s="559"/>
      <c r="JFM23" s="559"/>
      <c r="JFN23" s="559"/>
      <c r="JFO23" s="559"/>
      <c r="JFP23" s="559"/>
      <c r="JFQ23" s="559"/>
      <c r="JFR23" s="559"/>
      <c r="JFS23" s="559"/>
      <c r="JFT23" s="559"/>
      <c r="JFU23" s="559"/>
      <c r="JFV23" s="559"/>
      <c r="JFW23" s="559"/>
      <c r="JFX23" s="559"/>
      <c r="JFY23" s="559"/>
      <c r="JFZ23" s="559"/>
      <c r="JGA23" s="559"/>
      <c r="JGB23" s="559"/>
      <c r="JGC23" s="559"/>
      <c r="JGD23" s="559"/>
      <c r="JGE23" s="559"/>
      <c r="JGF23" s="559"/>
      <c r="JGG23" s="559"/>
      <c r="JGH23" s="559"/>
      <c r="JGI23" s="559"/>
      <c r="JGJ23" s="559"/>
      <c r="JGK23" s="559"/>
      <c r="JGL23" s="559"/>
      <c r="JGM23" s="559"/>
      <c r="JGN23" s="559"/>
      <c r="JGO23" s="559"/>
      <c r="JGP23" s="559"/>
      <c r="JGQ23" s="559"/>
      <c r="JGR23" s="559"/>
      <c r="JGS23" s="559"/>
      <c r="JGT23" s="559"/>
      <c r="JGU23" s="559"/>
      <c r="JGV23" s="559"/>
      <c r="JGW23" s="559"/>
      <c r="JGX23" s="559"/>
      <c r="JGY23" s="559"/>
      <c r="JGZ23" s="559"/>
      <c r="JHA23" s="559"/>
      <c r="JHB23" s="559"/>
      <c r="JHC23" s="559"/>
      <c r="JHD23" s="559"/>
      <c r="JHE23" s="559"/>
      <c r="JHF23" s="559"/>
      <c r="JHG23" s="559"/>
      <c r="JHH23" s="559"/>
      <c r="JHI23" s="559"/>
      <c r="JHJ23" s="559"/>
      <c r="JHK23" s="559"/>
      <c r="JHL23" s="559"/>
      <c r="JHM23" s="559"/>
      <c r="JHN23" s="559"/>
      <c r="JHO23" s="559"/>
      <c r="JHP23" s="559"/>
      <c r="JHQ23" s="559"/>
      <c r="JHR23" s="559"/>
      <c r="JHS23" s="559"/>
      <c r="JHT23" s="559"/>
      <c r="JHU23" s="559"/>
      <c r="JHV23" s="559"/>
      <c r="JHW23" s="559"/>
      <c r="JHX23" s="559"/>
      <c r="JHY23" s="559"/>
      <c r="JHZ23" s="559"/>
      <c r="JIA23" s="559"/>
      <c r="JIB23" s="559"/>
      <c r="JIC23" s="559"/>
      <c r="JID23" s="559"/>
      <c r="JIE23" s="559"/>
      <c r="JIF23" s="559"/>
      <c r="JIG23" s="559"/>
      <c r="JIH23" s="559"/>
      <c r="JII23" s="559"/>
      <c r="JIJ23" s="559"/>
      <c r="JIK23" s="559"/>
      <c r="JIL23" s="559"/>
      <c r="JIM23" s="559"/>
      <c r="JIN23" s="559"/>
      <c r="JIO23" s="559"/>
      <c r="JIP23" s="559"/>
      <c r="JIQ23" s="559"/>
      <c r="JIR23" s="559"/>
      <c r="JIS23" s="559"/>
      <c r="JIT23" s="559"/>
      <c r="JIU23" s="559"/>
      <c r="JIV23" s="559"/>
      <c r="JIW23" s="559"/>
      <c r="JIX23" s="559"/>
      <c r="JIY23" s="559"/>
      <c r="JIZ23" s="559"/>
      <c r="JJA23" s="559"/>
      <c r="JJB23" s="559"/>
      <c r="JJC23" s="559"/>
      <c r="JJD23" s="559"/>
      <c r="JJE23" s="559"/>
      <c r="JJF23" s="559"/>
      <c r="JJG23" s="559"/>
      <c r="JJH23" s="559"/>
      <c r="JJI23" s="559"/>
      <c r="JJJ23" s="559"/>
      <c r="JJK23" s="559"/>
      <c r="JJL23" s="559"/>
      <c r="JJM23" s="559"/>
      <c r="JJN23" s="559"/>
      <c r="JJO23" s="559"/>
      <c r="JJP23" s="559"/>
      <c r="JJQ23" s="559"/>
      <c r="JJR23" s="559"/>
      <c r="JJS23" s="559"/>
      <c r="JJT23" s="559"/>
      <c r="JJU23" s="559"/>
      <c r="JJV23" s="559"/>
      <c r="JJW23" s="559"/>
      <c r="JJX23" s="559"/>
      <c r="JJY23" s="559"/>
      <c r="JJZ23" s="559"/>
      <c r="JKA23" s="559"/>
      <c r="JKB23" s="559"/>
      <c r="JKC23" s="559"/>
      <c r="JKD23" s="559"/>
      <c r="JKE23" s="559"/>
      <c r="JKF23" s="559"/>
      <c r="JKG23" s="559"/>
      <c r="JKH23" s="559"/>
      <c r="JKI23" s="559"/>
      <c r="JKJ23" s="559"/>
      <c r="JKK23" s="559"/>
      <c r="JKL23" s="559"/>
      <c r="JKM23" s="559"/>
      <c r="JKN23" s="559"/>
      <c r="JKO23" s="559"/>
      <c r="JKP23" s="559"/>
      <c r="JKQ23" s="559"/>
      <c r="JKR23" s="559"/>
      <c r="JKS23" s="559"/>
      <c r="JKT23" s="559"/>
      <c r="JKU23" s="559"/>
      <c r="JKV23" s="559"/>
      <c r="JKW23" s="559"/>
      <c r="JKX23" s="559"/>
      <c r="JKY23" s="559"/>
      <c r="JKZ23" s="559"/>
      <c r="JLA23" s="559"/>
      <c r="JLB23" s="559"/>
      <c r="JLC23" s="559"/>
      <c r="JLD23" s="559"/>
      <c r="JLE23" s="559"/>
      <c r="JLF23" s="559"/>
      <c r="JLG23" s="559"/>
      <c r="JLH23" s="559"/>
      <c r="JLI23" s="559"/>
      <c r="JLJ23" s="559"/>
      <c r="JLK23" s="559"/>
      <c r="JLL23" s="559"/>
      <c r="JLM23" s="559"/>
      <c r="JLN23" s="559"/>
      <c r="JLO23" s="559"/>
      <c r="JLP23" s="559"/>
      <c r="JLQ23" s="559"/>
      <c r="JLR23" s="559"/>
      <c r="JLS23" s="559"/>
      <c r="JLT23" s="559"/>
      <c r="JLU23" s="559"/>
      <c r="JLV23" s="559"/>
      <c r="JLW23" s="559"/>
      <c r="JLX23" s="559"/>
      <c r="JLY23" s="559"/>
      <c r="JLZ23" s="559"/>
      <c r="JMA23" s="559"/>
      <c r="JMB23" s="559"/>
      <c r="JMC23" s="559"/>
      <c r="JMD23" s="559"/>
      <c r="JME23" s="559"/>
      <c r="JMF23" s="559"/>
      <c r="JMG23" s="559"/>
      <c r="JMH23" s="559"/>
      <c r="JMI23" s="559"/>
      <c r="JMJ23" s="559"/>
      <c r="JMK23" s="559"/>
      <c r="JML23" s="559"/>
      <c r="JMM23" s="559"/>
      <c r="JMN23" s="559"/>
      <c r="JMO23" s="559"/>
      <c r="JMP23" s="559"/>
      <c r="JMQ23" s="559"/>
      <c r="JMR23" s="559"/>
      <c r="JMS23" s="559"/>
      <c r="JMT23" s="559"/>
      <c r="JMU23" s="559"/>
      <c r="JMV23" s="559"/>
      <c r="JMW23" s="559"/>
      <c r="JMX23" s="559"/>
      <c r="JMY23" s="559"/>
      <c r="JMZ23" s="559"/>
      <c r="JNA23" s="559"/>
      <c r="JNB23" s="559"/>
      <c r="JNC23" s="559"/>
      <c r="JND23" s="559"/>
      <c r="JNE23" s="559"/>
      <c r="JNF23" s="559"/>
      <c r="JNG23" s="559"/>
      <c r="JNH23" s="559"/>
      <c r="JNI23" s="559"/>
      <c r="JNJ23" s="559"/>
      <c r="JNK23" s="559"/>
      <c r="JNL23" s="559"/>
      <c r="JNM23" s="559"/>
      <c r="JNN23" s="559"/>
      <c r="JNO23" s="559"/>
      <c r="JNP23" s="559"/>
      <c r="JNQ23" s="559"/>
      <c r="JNR23" s="559"/>
      <c r="JNS23" s="559"/>
      <c r="JNT23" s="559"/>
      <c r="JNU23" s="559"/>
      <c r="JNV23" s="559"/>
      <c r="JNW23" s="559"/>
      <c r="JNX23" s="559"/>
      <c r="JNY23" s="559"/>
      <c r="JNZ23" s="559"/>
      <c r="JOA23" s="559"/>
      <c r="JOB23" s="559"/>
      <c r="JOC23" s="559"/>
      <c r="JOD23" s="559"/>
      <c r="JOE23" s="559"/>
      <c r="JOF23" s="559"/>
      <c r="JOG23" s="559"/>
      <c r="JOH23" s="559"/>
      <c r="JOI23" s="559"/>
      <c r="JOJ23" s="559"/>
      <c r="JOK23" s="559"/>
      <c r="JOL23" s="559"/>
      <c r="JOM23" s="559"/>
      <c r="JON23" s="559"/>
      <c r="JOO23" s="559"/>
      <c r="JOP23" s="559"/>
      <c r="JOQ23" s="559"/>
      <c r="JOR23" s="559"/>
      <c r="JOS23" s="559"/>
      <c r="JOT23" s="559"/>
      <c r="JOU23" s="559"/>
      <c r="JOV23" s="559"/>
      <c r="JOW23" s="559"/>
      <c r="JOX23" s="559"/>
      <c r="JOY23" s="559"/>
      <c r="JOZ23" s="559"/>
      <c r="JPA23" s="559"/>
      <c r="JPB23" s="559"/>
      <c r="JPC23" s="559"/>
      <c r="JPD23" s="559"/>
      <c r="JPE23" s="559"/>
      <c r="JPF23" s="559"/>
      <c r="JPG23" s="559"/>
      <c r="JPH23" s="559"/>
      <c r="JPI23" s="559"/>
      <c r="JPJ23" s="559"/>
      <c r="JPK23" s="559"/>
      <c r="JPL23" s="559"/>
      <c r="JPM23" s="559"/>
      <c r="JPN23" s="559"/>
      <c r="JPO23" s="559"/>
      <c r="JPP23" s="559"/>
      <c r="JPQ23" s="559"/>
      <c r="JPR23" s="559"/>
      <c r="JPS23" s="559"/>
      <c r="JPT23" s="559"/>
      <c r="JPU23" s="559"/>
      <c r="JPV23" s="559"/>
      <c r="JPW23" s="559"/>
      <c r="JPX23" s="559"/>
      <c r="JPY23" s="559"/>
      <c r="JPZ23" s="559"/>
      <c r="JQA23" s="559"/>
      <c r="JQB23" s="559"/>
      <c r="JQC23" s="559"/>
      <c r="JQD23" s="559"/>
      <c r="JQE23" s="559"/>
      <c r="JQF23" s="559"/>
      <c r="JQG23" s="559"/>
      <c r="JQH23" s="559"/>
      <c r="JQI23" s="559"/>
      <c r="JQJ23" s="559"/>
      <c r="JQK23" s="559"/>
      <c r="JQL23" s="559"/>
      <c r="JQM23" s="559"/>
      <c r="JQN23" s="559"/>
      <c r="JQO23" s="559"/>
      <c r="JQP23" s="559"/>
      <c r="JQQ23" s="559"/>
      <c r="JQR23" s="559"/>
      <c r="JQS23" s="559"/>
      <c r="JQT23" s="559"/>
      <c r="JQU23" s="559"/>
      <c r="JQV23" s="559"/>
      <c r="JQW23" s="559"/>
      <c r="JQX23" s="559"/>
      <c r="JQY23" s="559"/>
      <c r="JQZ23" s="559"/>
      <c r="JRA23" s="559"/>
      <c r="JRB23" s="559"/>
      <c r="JRC23" s="559"/>
      <c r="JRD23" s="559"/>
      <c r="JRE23" s="559"/>
      <c r="JRF23" s="559"/>
      <c r="JRG23" s="559"/>
      <c r="JRH23" s="559"/>
      <c r="JRI23" s="559"/>
      <c r="JRJ23" s="559"/>
      <c r="JRK23" s="559"/>
      <c r="JRL23" s="559"/>
      <c r="JRM23" s="559"/>
      <c r="JRN23" s="559"/>
      <c r="JRO23" s="559"/>
      <c r="JRP23" s="559"/>
      <c r="JRQ23" s="559"/>
      <c r="JRR23" s="559"/>
      <c r="JRS23" s="559"/>
      <c r="JRT23" s="559"/>
      <c r="JRU23" s="559"/>
      <c r="JRV23" s="559"/>
      <c r="JRW23" s="559"/>
      <c r="JRX23" s="559"/>
      <c r="JRY23" s="559"/>
      <c r="JRZ23" s="559"/>
      <c r="JSA23" s="559"/>
      <c r="JSB23" s="559"/>
      <c r="JSC23" s="559"/>
      <c r="JSD23" s="559"/>
      <c r="JSE23" s="559"/>
      <c r="JSF23" s="559"/>
      <c r="JSG23" s="559"/>
      <c r="JSH23" s="559"/>
      <c r="JSI23" s="559"/>
      <c r="JSJ23" s="559"/>
      <c r="JSK23" s="559"/>
      <c r="JSL23" s="559"/>
      <c r="JSM23" s="559"/>
      <c r="JSN23" s="559"/>
      <c r="JSO23" s="559"/>
      <c r="JSP23" s="559"/>
      <c r="JSQ23" s="559"/>
      <c r="JSR23" s="559"/>
      <c r="JSS23" s="559"/>
      <c r="JST23" s="559"/>
      <c r="JSU23" s="559"/>
      <c r="JSV23" s="559"/>
      <c r="JSW23" s="559"/>
      <c r="JSX23" s="559"/>
      <c r="JSY23" s="559"/>
      <c r="JSZ23" s="559"/>
      <c r="JTA23" s="559"/>
      <c r="JTB23" s="559"/>
      <c r="JTC23" s="559"/>
      <c r="JTD23" s="559"/>
      <c r="JTE23" s="559"/>
      <c r="JTF23" s="559"/>
      <c r="JTG23" s="559"/>
      <c r="JTH23" s="559"/>
      <c r="JTI23" s="559"/>
      <c r="JTJ23" s="559"/>
      <c r="JTK23" s="559"/>
      <c r="JTL23" s="559"/>
      <c r="JTM23" s="559"/>
      <c r="JTN23" s="559"/>
      <c r="JTO23" s="559"/>
      <c r="JTP23" s="559"/>
      <c r="JTQ23" s="559"/>
      <c r="JTR23" s="559"/>
      <c r="JTS23" s="559"/>
      <c r="JTT23" s="559"/>
      <c r="JTU23" s="559"/>
      <c r="JTV23" s="559"/>
      <c r="JTW23" s="559"/>
      <c r="JTX23" s="559"/>
      <c r="JTY23" s="559"/>
      <c r="JTZ23" s="559"/>
      <c r="JUA23" s="559"/>
      <c r="JUB23" s="559"/>
      <c r="JUC23" s="559"/>
      <c r="JUD23" s="559"/>
      <c r="JUE23" s="559"/>
      <c r="JUF23" s="559"/>
      <c r="JUG23" s="559"/>
      <c r="JUH23" s="559"/>
      <c r="JUI23" s="559"/>
      <c r="JUJ23" s="559"/>
      <c r="JUK23" s="559"/>
      <c r="JUL23" s="559"/>
      <c r="JUM23" s="559"/>
      <c r="JUN23" s="559"/>
      <c r="JUO23" s="559"/>
      <c r="JUP23" s="559"/>
      <c r="JUQ23" s="559"/>
      <c r="JUR23" s="559"/>
      <c r="JUS23" s="559"/>
      <c r="JUT23" s="559"/>
      <c r="JUU23" s="559"/>
      <c r="JUV23" s="559"/>
      <c r="JUW23" s="559"/>
      <c r="JUX23" s="559"/>
      <c r="JUY23" s="559"/>
      <c r="JUZ23" s="559"/>
      <c r="JVA23" s="559"/>
      <c r="JVB23" s="559"/>
      <c r="JVC23" s="559"/>
      <c r="JVD23" s="559"/>
      <c r="JVE23" s="559"/>
      <c r="JVF23" s="559"/>
      <c r="JVG23" s="559"/>
      <c r="JVH23" s="559"/>
      <c r="JVI23" s="559"/>
      <c r="JVJ23" s="559"/>
      <c r="JVK23" s="559"/>
      <c r="JVL23" s="559"/>
      <c r="JVM23" s="559"/>
      <c r="JVN23" s="559"/>
      <c r="JVO23" s="559"/>
      <c r="JVP23" s="559"/>
      <c r="JVQ23" s="559"/>
      <c r="JVR23" s="559"/>
      <c r="JVS23" s="559"/>
      <c r="JVT23" s="559"/>
      <c r="JVU23" s="559"/>
      <c r="JVV23" s="559"/>
      <c r="JVW23" s="559"/>
      <c r="JVX23" s="559"/>
      <c r="JVY23" s="559"/>
      <c r="JVZ23" s="559"/>
      <c r="JWA23" s="559"/>
      <c r="JWB23" s="559"/>
      <c r="JWC23" s="559"/>
      <c r="JWD23" s="559"/>
      <c r="JWE23" s="559"/>
      <c r="JWF23" s="559"/>
      <c r="JWG23" s="559"/>
      <c r="JWH23" s="559"/>
      <c r="JWI23" s="559"/>
      <c r="JWJ23" s="559"/>
      <c r="JWK23" s="559"/>
      <c r="JWL23" s="559"/>
      <c r="JWM23" s="559"/>
      <c r="JWN23" s="559"/>
      <c r="JWO23" s="559"/>
      <c r="JWP23" s="559"/>
      <c r="JWQ23" s="559"/>
      <c r="JWR23" s="559"/>
      <c r="JWS23" s="559"/>
      <c r="JWT23" s="559"/>
      <c r="JWU23" s="559"/>
      <c r="JWV23" s="559"/>
      <c r="JWW23" s="559"/>
      <c r="JWX23" s="559"/>
      <c r="JWY23" s="559"/>
      <c r="JWZ23" s="559"/>
      <c r="JXA23" s="559"/>
      <c r="JXB23" s="559"/>
      <c r="JXC23" s="559"/>
      <c r="JXD23" s="559"/>
      <c r="JXE23" s="559"/>
      <c r="JXF23" s="559"/>
      <c r="JXG23" s="559"/>
      <c r="JXH23" s="559"/>
      <c r="JXI23" s="559"/>
      <c r="JXJ23" s="559"/>
      <c r="JXK23" s="559"/>
      <c r="JXL23" s="559"/>
      <c r="JXM23" s="559"/>
      <c r="JXN23" s="559"/>
      <c r="JXO23" s="559"/>
      <c r="JXP23" s="559"/>
      <c r="JXQ23" s="559"/>
      <c r="JXR23" s="559"/>
      <c r="JXS23" s="559"/>
      <c r="JXT23" s="559"/>
      <c r="JXU23" s="559"/>
      <c r="JXV23" s="559"/>
      <c r="JXW23" s="559"/>
      <c r="JXX23" s="559"/>
      <c r="JXY23" s="559"/>
      <c r="JXZ23" s="559"/>
      <c r="JYA23" s="559"/>
      <c r="JYB23" s="559"/>
      <c r="JYC23" s="559"/>
      <c r="JYD23" s="559"/>
      <c r="JYE23" s="559"/>
      <c r="JYF23" s="559"/>
      <c r="JYG23" s="559"/>
      <c r="JYH23" s="559"/>
      <c r="JYI23" s="559"/>
      <c r="JYJ23" s="559"/>
      <c r="JYK23" s="559"/>
      <c r="JYL23" s="559"/>
      <c r="JYM23" s="559"/>
      <c r="JYN23" s="559"/>
      <c r="JYO23" s="559"/>
      <c r="JYP23" s="559"/>
      <c r="JYQ23" s="559"/>
      <c r="JYR23" s="559"/>
      <c r="JYS23" s="559"/>
      <c r="JYT23" s="559"/>
      <c r="JYU23" s="559"/>
      <c r="JYV23" s="559"/>
      <c r="JYW23" s="559"/>
      <c r="JYX23" s="559"/>
      <c r="JYY23" s="559"/>
      <c r="JYZ23" s="559"/>
      <c r="JZA23" s="559"/>
      <c r="JZB23" s="559"/>
      <c r="JZC23" s="559"/>
      <c r="JZD23" s="559"/>
      <c r="JZE23" s="559"/>
      <c r="JZF23" s="559"/>
      <c r="JZG23" s="559"/>
      <c r="JZH23" s="559"/>
      <c r="JZI23" s="559"/>
      <c r="JZJ23" s="559"/>
      <c r="JZK23" s="559"/>
      <c r="JZL23" s="559"/>
      <c r="JZM23" s="559"/>
      <c r="JZN23" s="559"/>
      <c r="JZO23" s="559"/>
      <c r="JZP23" s="559"/>
      <c r="JZQ23" s="559"/>
      <c r="JZR23" s="559"/>
      <c r="JZS23" s="559"/>
      <c r="JZT23" s="559"/>
      <c r="JZU23" s="559"/>
      <c r="JZV23" s="559"/>
      <c r="JZW23" s="559"/>
      <c r="JZX23" s="559"/>
      <c r="JZY23" s="559"/>
      <c r="JZZ23" s="559"/>
      <c r="KAA23" s="559"/>
      <c r="KAB23" s="559"/>
      <c r="KAC23" s="559"/>
      <c r="KAD23" s="559"/>
      <c r="KAE23" s="559"/>
      <c r="KAF23" s="559"/>
      <c r="KAG23" s="559"/>
      <c r="KAH23" s="559"/>
      <c r="KAI23" s="559"/>
      <c r="KAJ23" s="559"/>
      <c r="KAK23" s="559"/>
      <c r="KAL23" s="559"/>
      <c r="KAM23" s="559"/>
      <c r="KAN23" s="559"/>
      <c r="KAO23" s="559"/>
      <c r="KAP23" s="559"/>
      <c r="KAQ23" s="559"/>
      <c r="KAR23" s="559"/>
      <c r="KAS23" s="559"/>
      <c r="KAT23" s="559"/>
      <c r="KAU23" s="559"/>
      <c r="KAV23" s="559"/>
      <c r="KAW23" s="559"/>
      <c r="KAX23" s="559"/>
      <c r="KAY23" s="559"/>
      <c r="KAZ23" s="559"/>
      <c r="KBA23" s="559"/>
      <c r="KBB23" s="559"/>
      <c r="KBC23" s="559"/>
      <c r="KBD23" s="559"/>
      <c r="KBE23" s="559"/>
      <c r="KBF23" s="559"/>
      <c r="KBG23" s="559"/>
      <c r="KBH23" s="559"/>
      <c r="KBI23" s="559"/>
      <c r="KBJ23" s="559"/>
      <c r="KBK23" s="559"/>
      <c r="KBL23" s="559"/>
      <c r="KBM23" s="559"/>
      <c r="KBN23" s="559"/>
      <c r="KBO23" s="559"/>
      <c r="KBP23" s="559"/>
      <c r="KBQ23" s="559"/>
      <c r="KBR23" s="559"/>
      <c r="KBS23" s="559"/>
      <c r="KBT23" s="559"/>
      <c r="KBU23" s="559"/>
      <c r="KBV23" s="559"/>
      <c r="KBW23" s="559"/>
      <c r="KBX23" s="559"/>
      <c r="KBY23" s="559"/>
      <c r="KBZ23" s="559"/>
      <c r="KCA23" s="559"/>
      <c r="KCB23" s="559"/>
      <c r="KCC23" s="559"/>
      <c r="KCD23" s="559"/>
      <c r="KCE23" s="559"/>
      <c r="KCF23" s="559"/>
      <c r="KCG23" s="559"/>
      <c r="KCH23" s="559"/>
      <c r="KCI23" s="559"/>
      <c r="KCJ23" s="559"/>
      <c r="KCK23" s="559"/>
      <c r="KCL23" s="559"/>
      <c r="KCM23" s="559"/>
      <c r="KCN23" s="559"/>
      <c r="KCO23" s="559"/>
      <c r="KCP23" s="559"/>
      <c r="KCQ23" s="559"/>
      <c r="KCR23" s="559"/>
      <c r="KCS23" s="559"/>
      <c r="KCT23" s="559"/>
      <c r="KCU23" s="559"/>
      <c r="KCV23" s="559"/>
      <c r="KCW23" s="559"/>
      <c r="KCX23" s="559"/>
      <c r="KCY23" s="559"/>
      <c r="KCZ23" s="559"/>
      <c r="KDA23" s="559"/>
      <c r="KDB23" s="559"/>
      <c r="KDC23" s="559"/>
      <c r="KDD23" s="559"/>
      <c r="KDE23" s="559"/>
      <c r="KDF23" s="559"/>
      <c r="KDG23" s="559"/>
      <c r="KDH23" s="559"/>
      <c r="KDI23" s="559"/>
      <c r="KDJ23" s="559"/>
      <c r="KDK23" s="559"/>
      <c r="KDL23" s="559"/>
      <c r="KDM23" s="559"/>
      <c r="KDN23" s="559"/>
      <c r="KDO23" s="559"/>
      <c r="KDP23" s="559"/>
      <c r="KDQ23" s="559"/>
      <c r="KDR23" s="559"/>
      <c r="KDS23" s="559"/>
      <c r="KDT23" s="559"/>
      <c r="KDU23" s="559"/>
      <c r="KDV23" s="559"/>
      <c r="KDW23" s="559"/>
      <c r="KDX23" s="559"/>
      <c r="KDY23" s="559"/>
      <c r="KDZ23" s="559"/>
      <c r="KEA23" s="559"/>
      <c r="KEB23" s="559"/>
      <c r="KEC23" s="559"/>
      <c r="KED23" s="559"/>
      <c r="KEE23" s="559"/>
      <c r="KEF23" s="559"/>
      <c r="KEG23" s="559"/>
      <c r="KEH23" s="559"/>
      <c r="KEI23" s="559"/>
      <c r="KEJ23" s="559"/>
      <c r="KEK23" s="559"/>
      <c r="KEL23" s="559"/>
      <c r="KEM23" s="559"/>
      <c r="KEN23" s="559"/>
      <c r="KEO23" s="559"/>
      <c r="KEP23" s="559"/>
      <c r="KEQ23" s="559"/>
      <c r="KER23" s="559"/>
      <c r="KES23" s="559"/>
      <c r="KET23" s="559"/>
      <c r="KEU23" s="559"/>
      <c r="KEV23" s="559"/>
      <c r="KEW23" s="559"/>
      <c r="KEX23" s="559"/>
      <c r="KEY23" s="559"/>
      <c r="KEZ23" s="559"/>
      <c r="KFA23" s="559"/>
      <c r="KFB23" s="559"/>
      <c r="KFC23" s="559"/>
      <c r="KFD23" s="559"/>
      <c r="KFE23" s="559"/>
      <c r="KFF23" s="559"/>
      <c r="KFG23" s="559"/>
      <c r="KFH23" s="559"/>
      <c r="KFI23" s="559"/>
      <c r="KFJ23" s="559"/>
      <c r="KFK23" s="559"/>
      <c r="KFL23" s="559"/>
      <c r="KFM23" s="559"/>
      <c r="KFN23" s="559"/>
      <c r="KFO23" s="559"/>
      <c r="KFP23" s="559"/>
      <c r="KFQ23" s="559"/>
      <c r="KFR23" s="559"/>
      <c r="KFS23" s="559"/>
      <c r="KFT23" s="559"/>
      <c r="KFU23" s="559"/>
      <c r="KFV23" s="559"/>
      <c r="KFW23" s="559"/>
      <c r="KFX23" s="559"/>
      <c r="KFY23" s="559"/>
      <c r="KFZ23" s="559"/>
      <c r="KGA23" s="559"/>
      <c r="KGB23" s="559"/>
      <c r="KGC23" s="559"/>
      <c r="KGD23" s="559"/>
      <c r="KGE23" s="559"/>
      <c r="KGF23" s="559"/>
      <c r="KGG23" s="559"/>
      <c r="KGH23" s="559"/>
      <c r="KGI23" s="559"/>
      <c r="KGJ23" s="559"/>
      <c r="KGK23" s="559"/>
      <c r="KGL23" s="559"/>
      <c r="KGM23" s="559"/>
      <c r="KGN23" s="559"/>
      <c r="KGO23" s="559"/>
      <c r="KGP23" s="559"/>
      <c r="KGQ23" s="559"/>
      <c r="KGR23" s="559"/>
      <c r="KGS23" s="559"/>
      <c r="KGT23" s="559"/>
      <c r="KGU23" s="559"/>
      <c r="KGV23" s="559"/>
      <c r="KGW23" s="559"/>
      <c r="KGX23" s="559"/>
      <c r="KGY23" s="559"/>
      <c r="KGZ23" s="559"/>
      <c r="KHA23" s="559"/>
      <c r="KHB23" s="559"/>
      <c r="KHC23" s="559"/>
      <c r="KHD23" s="559"/>
      <c r="KHE23" s="559"/>
      <c r="KHF23" s="559"/>
      <c r="KHG23" s="559"/>
      <c r="KHH23" s="559"/>
      <c r="KHI23" s="559"/>
      <c r="KHJ23" s="559"/>
      <c r="KHK23" s="559"/>
      <c r="KHL23" s="559"/>
      <c r="KHM23" s="559"/>
      <c r="KHN23" s="559"/>
      <c r="KHO23" s="559"/>
      <c r="KHP23" s="559"/>
      <c r="KHQ23" s="559"/>
      <c r="KHR23" s="559"/>
      <c r="KHS23" s="559"/>
      <c r="KHT23" s="559"/>
      <c r="KHU23" s="559"/>
      <c r="KHV23" s="559"/>
      <c r="KHW23" s="559"/>
      <c r="KHX23" s="559"/>
      <c r="KHY23" s="559"/>
      <c r="KHZ23" s="559"/>
      <c r="KIA23" s="559"/>
      <c r="KIB23" s="559"/>
      <c r="KIC23" s="559"/>
      <c r="KID23" s="559"/>
      <c r="KIE23" s="559"/>
      <c r="KIF23" s="559"/>
      <c r="KIG23" s="559"/>
      <c r="KIH23" s="559"/>
      <c r="KII23" s="559"/>
      <c r="KIJ23" s="559"/>
      <c r="KIK23" s="559"/>
      <c r="KIL23" s="559"/>
      <c r="KIM23" s="559"/>
      <c r="KIN23" s="559"/>
      <c r="KIO23" s="559"/>
      <c r="KIP23" s="559"/>
      <c r="KIQ23" s="559"/>
      <c r="KIR23" s="559"/>
      <c r="KIS23" s="559"/>
      <c r="KIT23" s="559"/>
      <c r="KIU23" s="559"/>
      <c r="KIV23" s="559"/>
      <c r="KIW23" s="559"/>
      <c r="KIX23" s="559"/>
      <c r="KIY23" s="559"/>
      <c r="KIZ23" s="559"/>
      <c r="KJA23" s="559"/>
      <c r="KJB23" s="559"/>
      <c r="KJC23" s="559"/>
      <c r="KJD23" s="559"/>
      <c r="KJE23" s="559"/>
      <c r="KJF23" s="559"/>
      <c r="KJG23" s="559"/>
      <c r="KJH23" s="559"/>
      <c r="KJI23" s="559"/>
      <c r="KJJ23" s="559"/>
      <c r="KJK23" s="559"/>
      <c r="KJL23" s="559"/>
      <c r="KJM23" s="559"/>
      <c r="KJN23" s="559"/>
      <c r="KJO23" s="559"/>
      <c r="KJP23" s="559"/>
      <c r="KJQ23" s="559"/>
      <c r="KJR23" s="559"/>
      <c r="KJS23" s="559"/>
      <c r="KJT23" s="559"/>
      <c r="KJU23" s="559"/>
      <c r="KJV23" s="559"/>
      <c r="KJW23" s="559"/>
      <c r="KJX23" s="559"/>
      <c r="KJY23" s="559"/>
      <c r="KJZ23" s="559"/>
      <c r="KKA23" s="559"/>
      <c r="KKB23" s="559"/>
      <c r="KKC23" s="559"/>
      <c r="KKD23" s="559"/>
      <c r="KKE23" s="559"/>
      <c r="KKF23" s="559"/>
      <c r="KKG23" s="559"/>
      <c r="KKH23" s="559"/>
      <c r="KKI23" s="559"/>
      <c r="KKJ23" s="559"/>
      <c r="KKK23" s="559"/>
      <c r="KKL23" s="559"/>
      <c r="KKM23" s="559"/>
      <c r="KKN23" s="559"/>
      <c r="KKO23" s="559"/>
      <c r="KKP23" s="559"/>
      <c r="KKQ23" s="559"/>
      <c r="KKR23" s="559"/>
      <c r="KKS23" s="559"/>
      <c r="KKT23" s="559"/>
      <c r="KKU23" s="559"/>
      <c r="KKV23" s="559"/>
      <c r="KKW23" s="559"/>
      <c r="KKX23" s="559"/>
      <c r="KKY23" s="559"/>
      <c r="KKZ23" s="559"/>
      <c r="KLA23" s="559"/>
      <c r="KLB23" s="559"/>
      <c r="KLC23" s="559"/>
      <c r="KLD23" s="559"/>
      <c r="KLE23" s="559"/>
      <c r="KLF23" s="559"/>
      <c r="KLG23" s="559"/>
      <c r="KLH23" s="559"/>
      <c r="KLI23" s="559"/>
      <c r="KLJ23" s="559"/>
      <c r="KLK23" s="559"/>
      <c r="KLL23" s="559"/>
      <c r="KLM23" s="559"/>
      <c r="KLN23" s="559"/>
      <c r="KLO23" s="559"/>
      <c r="KLP23" s="559"/>
      <c r="KLQ23" s="559"/>
      <c r="KLR23" s="559"/>
      <c r="KLS23" s="559"/>
      <c r="KLT23" s="559"/>
      <c r="KLU23" s="559"/>
      <c r="KLV23" s="559"/>
      <c r="KLW23" s="559"/>
      <c r="KLX23" s="559"/>
      <c r="KLY23" s="559"/>
      <c r="KLZ23" s="559"/>
      <c r="KMA23" s="559"/>
      <c r="KMB23" s="559"/>
      <c r="KMC23" s="559"/>
      <c r="KMD23" s="559"/>
      <c r="KME23" s="559"/>
      <c r="KMF23" s="559"/>
      <c r="KMG23" s="559"/>
      <c r="KMH23" s="559"/>
      <c r="KMI23" s="559"/>
      <c r="KMJ23" s="559"/>
      <c r="KMK23" s="559"/>
      <c r="KML23" s="559"/>
      <c r="KMM23" s="559"/>
      <c r="KMN23" s="559"/>
      <c r="KMO23" s="559"/>
      <c r="KMP23" s="559"/>
      <c r="KMQ23" s="559"/>
      <c r="KMR23" s="559"/>
      <c r="KMS23" s="559"/>
      <c r="KMT23" s="559"/>
      <c r="KMU23" s="559"/>
      <c r="KMV23" s="559"/>
      <c r="KMW23" s="559"/>
      <c r="KMX23" s="559"/>
      <c r="KMY23" s="559"/>
      <c r="KMZ23" s="559"/>
      <c r="KNA23" s="559"/>
      <c r="KNB23" s="559"/>
      <c r="KNC23" s="559"/>
      <c r="KND23" s="559"/>
      <c r="KNE23" s="559"/>
      <c r="KNF23" s="559"/>
      <c r="KNG23" s="559"/>
      <c r="KNH23" s="559"/>
      <c r="KNI23" s="559"/>
      <c r="KNJ23" s="559"/>
      <c r="KNK23" s="559"/>
      <c r="KNL23" s="559"/>
      <c r="KNM23" s="559"/>
      <c r="KNN23" s="559"/>
      <c r="KNO23" s="559"/>
      <c r="KNP23" s="559"/>
      <c r="KNQ23" s="559"/>
      <c r="KNR23" s="559"/>
      <c r="KNS23" s="559"/>
      <c r="KNT23" s="559"/>
      <c r="KNU23" s="559"/>
      <c r="KNV23" s="559"/>
      <c r="KNW23" s="559"/>
      <c r="KNX23" s="559"/>
      <c r="KNY23" s="559"/>
      <c r="KNZ23" s="559"/>
      <c r="KOA23" s="559"/>
      <c r="KOB23" s="559"/>
      <c r="KOC23" s="559"/>
      <c r="KOD23" s="559"/>
      <c r="KOE23" s="559"/>
      <c r="KOF23" s="559"/>
      <c r="KOG23" s="559"/>
      <c r="KOH23" s="559"/>
      <c r="KOI23" s="559"/>
      <c r="KOJ23" s="559"/>
      <c r="KOK23" s="559"/>
      <c r="KOL23" s="559"/>
      <c r="KOM23" s="559"/>
      <c r="KON23" s="559"/>
      <c r="KOO23" s="559"/>
      <c r="KOP23" s="559"/>
      <c r="KOQ23" s="559"/>
      <c r="KOR23" s="559"/>
      <c r="KOS23" s="559"/>
      <c r="KOT23" s="559"/>
      <c r="KOU23" s="559"/>
      <c r="KOV23" s="559"/>
      <c r="KOW23" s="559"/>
      <c r="KOX23" s="559"/>
      <c r="KOY23" s="559"/>
      <c r="KOZ23" s="559"/>
      <c r="KPA23" s="559"/>
      <c r="KPB23" s="559"/>
      <c r="KPC23" s="559"/>
      <c r="KPD23" s="559"/>
      <c r="KPE23" s="559"/>
      <c r="KPF23" s="559"/>
      <c r="KPG23" s="559"/>
      <c r="KPH23" s="559"/>
      <c r="KPI23" s="559"/>
      <c r="KPJ23" s="559"/>
      <c r="KPK23" s="559"/>
      <c r="KPL23" s="559"/>
      <c r="KPM23" s="559"/>
      <c r="KPN23" s="559"/>
      <c r="KPO23" s="559"/>
      <c r="KPP23" s="559"/>
      <c r="KPQ23" s="559"/>
      <c r="KPR23" s="559"/>
      <c r="KPS23" s="559"/>
      <c r="KPT23" s="559"/>
      <c r="KPU23" s="559"/>
      <c r="KPV23" s="559"/>
      <c r="KPW23" s="559"/>
      <c r="KPX23" s="559"/>
      <c r="KPY23" s="559"/>
      <c r="KPZ23" s="559"/>
      <c r="KQA23" s="559"/>
      <c r="KQB23" s="559"/>
      <c r="KQC23" s="559"/>
      <c r="KQD23" s="559"/>
      <c r="KQE23" s="559"/>
      <c r="KQF23" s="559"/>
      <c r="KQG23" s="559"/>
      <c r="KQH23" s="559"/>
      <c r="KQI23" s="559"/>
      <c r="KQJ23" s="559"/>
      <c r="KQK23" s="559"/>
      <c r="KQL23" s="559"/>
      <c r="KQM23" s="559"/>
      <c r="KQN23" s="559"/>
      <c r="KQO23" s="559"/>
      <c r="KQP23" s="559"/>
      <c r="KQQ23" s="559"/>
      <c r="KQR23" s="559"/>
      <c r="KQS23" s="559"/>
      <c r="KQT23" s="559"/>
      <c r="KQU23" s="559"/>
      <c r="KQV23" s="559"/>
      <c r="KQW23" s="559"/>
      <c r="KQX23" s="559"/>
      <c r="KQY23" s="559"/>
      <c r="KQZ23" s="559"/>
      <c r="KRA23" s="559"/>
      <c r="KRB23" s="559"/>
      <c r="KRC23" s="559"/>
      <c r="KRD23" s="559"/>
      <c r="KRE23" s="559"/>
      <c r="KRF23" s="559"/>
      <c r="KRG23" s="559"/>
      <c r="KRH23" s="559"/>
      <c r="KRI23" s="559"/>
      <c r="KRJ23" s="559"/>
      <c r="KRK23" s="559"/>
      <c r="KRL23" s="559"/>
      <c r="KRM23" s="559"/>
      <c r="KRN23" s="559"/>
      <c r="KRO23" s="559"/>
      <c r="KRP23" s="559"/>
      <c r="KRQ23" s="559"/>
      <c r="KRR23" s="559"/>
      <c r="KRS23" s="559"/>
      <c r="KRT23" s="559"/>
      <c r="KRU23" s="559"/>
      <c r="KRV23" s="559"/>
      <c r="KRW23" s="559"/>
      <c r="KRX23" s="559"/>
      <c r="KRY23" s="559"/>
      <c r="KRZ23" s="559"/>
      <c r="KSA23" s="559"/>
      <c r="KSB23" s="559"/>
      <c r="KSC23" s="559"/>
      <c r="KSD23" s="559"/>
      <c r="KSE23" s="559"/>
      <c r="KSF23" s="559"/>
      <c r="KSG23" s="559"/>
      <c r="KSH23" s="559"/>
      <c r="KSI23" s="559"/>
      <c r="KSJ23" s="559"/>
      <c r="KSK23" s="559"/>
      <c r="KSL23" s="559"/>
      <c r="KSM23" s="559"/>
      <c r="KSN23" s="559"/>
      <c r="KSO23" s="559"/>
      <c r="KSP23" s="559"/>
      <c r="KSQ23" s="559"/>
      <c r="KSR23" s="559"/>
      <c r="KSS23" s="559"/>
      <c r="KST23" s="559"/>
      <c r="KSU23" s="559"/>
      <c r="KSV23" s="559"/>
      <c r="KSW23" s="559"/>
      <c r="KSX23" s="559"/>
      <c r="KSY23" s="559"/>
      <c r="KSZ23" s="559"/>
      <c r="KTA23" s="559"/>
      <c r="KTB23" s="559"/>
      <c r="KTC23" s="559"/>
      <c r="KTD23" s="559"/>
      <c r="KTE23" s="559"/>
      <c r="KTF23" s="559"/>
      <c r="KTG23" s="559"/>
      <c r="KTH23" s="559"/>
      <c r="KTI23" s="559"/>
      <c r="KTJ23" s="559"/>
      <c r="KTK23" s="559"/>
      <c r="KTL23" s="559"/>
      <c r="KTM23" s="559"/>
      <c r="KTN23" s="559"/>
      <c r="KTO23" s="559"/>
      <c r="KTP23" s="559"/>
      <c r="KTQ23" s="559"/>
      <c r="KTR23" s="559"/>
      <c r="KTS23" s="559"/>
      <c r="KTT23" s="559"/>
      <c r="KTU23" s="559"/>
      <c r="KTV23" s="559"/>
      <c r="KTW23" s="559"/>
      <c r="KTX23" s="559"/>
      <c r="KTY23" s="559"/>
      <c r="KTZ23" s="559"/>
      <c r="KUA23" s="559"/>
      <c r="KUB23" s="559"/>
      <c r="KUC23" s="559"/>
      <c r="KUD23" s="559"/>
      <c r="KUE23" s="559"/>
      <c r="KUF23" s="559"/>
      <c r="KUG23" s="559"/>
      <c r="KUH23" s="559"/>
      <c r="KUI23" s="559"/>
      <c r="KUJ23" s="559"/>
      <c r="KUK23" s="559"/>
      <c r="KUL23" s="559"/>
      <c r="KUM23" s="559"/>
      <c r="KUN23" s="559"/>
      <c r="KUO23" s="559"/>
      <c r="KUP23" s="559"/>
      <c r="KUQ23" s="559"/>
      <c r="KUR23" s="559"/>
      <c r="KUS23" s="559"/>
      <c r="KUT23" s="559"/>
      <c r="KUU23" s="559"/>
      <c r="KUV23" s="559"/>
      <c r="KUW23" s="559"/>
      <c r="KUX23" s="559"/>
      <c r="KUY23" s="559"/>
      <c r="KUZ23" s="559"/>
      <c r="KVA23" s="559"/>
      <c r="KVB23" s="559"/>
      <c r="KVC23" s="559"/>
      <c r="KVD23" s="559"/>
      <c r="KVE23" s="559"/>
      <c r="KVF23" s="559"/>
      <c r="KVG23" s="559"/>
      <c r="KVH23" s="559"/>
      <c r="KVI23" s="559"/>
      <c r="KVJ23" s="559"/>
      <c r="KVK23" s="559"/>
      <c r="KVL23" s="559"/>
      <c r="KVM23" s="559"/>
      <c r="KVN23" s="559"/>
      <c r="KVO23" s="559"/>
      <c r="KVP23" s="559"/>
      <c r="KVQ23" s="559"/>
      <c r="KVR23" s="559"/>
      <c r="KVS23" s="559"/>
      <c r="KVT23" s="559"/>
      <c r="KVU23" s="559"/>
      <c r="KVV23" s="559"/>
      <c r="KVW23" s="559"/>
      <c r="KVX23" s="559"/>
      <c r="KVY23" s="559"/>
      <c r="KVZ23" s="559"/>
      <c r="KWA23" s="559"/>
      <c r="KWB23" s="559"/>
      <c r="KWC23" s="559"/>
      <c r="KWD23" s="559"/>
      <c r="KWE23" s="559"/>
      <c r="KWF23" s="559"/>
      <c r="KWG23" s="559"/>
      <c r="KWH23" s="559"/>
      <c r="KWI23" s="559"/>
      <c r="KWJ23" s="559"/>
      <c r="KWK23" s="559"/>
      <c r="KWL23" s="559"/>
      <c r="KWM23" s="559"/>
      <c r="KWN23" s="559"/>
      <c r="KWO23" s="559"/>
      <c r="KWP23" s="559"/>
      <c r="KWQ23" s="559"/>
      <c r="KWR23" s="559"/>
      <c r="KWS23" s="559"/>
      <c r="KWT23" s="559"/>
      <c r="KWU23" s="559"/>
      <c r="KWV23" s="559"/>
      <c r="KWW23" s="559"/>
      <c r="KWX23" s="559"/>
      <c r="KWY23" s="559"/>
      <c r="KWZ23" s="559"/>
      <c r="KXA23" s="559"/>
      <c r="KXB23" s="559"/>
      <c r="KXC23" s="559"/>
      <c r="KXD23" s="559"/>
      <c r="KXE23" s="559"/>
      <c r="KXF23" s="559"/>
      <c r="KXG23" s="559"/>
      <c r="KXH23" s="559"/>
      <c r="KXI23" s="559"/>
      <c r="KXJ23" s="559"/>
      <c r="KXK23" s="559"/>
      <c r="KXL23" s="559"/>
      <c r="KXM23" s="559"/>
      <c r="KXN23" s="559"/>
      <c r="KXO23" s="559"/>
      <c r="KXP23" s="559"/>
      <c r="KXQ23" s="559"/>
      <c r="KXR23" s="559"/>
      <c r="KXS23" s="559"/>
      <c r="KXT23" s="559"/>
      <c r="KXU23" s="559"/>
      <c r="KXV23" s="559"/>
      <c r="KXW23" s="559"/>
      <c r="KXX23" s="559"/>
      <c r="KXY23" s="559"/>
      <c r="KXZ23" s="559"/>
      <c r="KYA23" s="559"/>
      <c r="KYB23" s="559"/>
      <c r="KYC23" s="559"/>
      <c r="KYD23" s="559"/>
      <c r="KYE23" s="559"/>
      <c r="KYF23" s="559"/>
      <c r="KYG23" s="559"/>
      <c r="KYH23" s="559"/>
      <c r="KYI23" s="559"/>
      <c r="KYJ23" s="559"/>
      <c r="KYK23" s="559"/>
      <c r="KYL23" s="559"/>
      <c r="KYM23" s="559"/>
      <c r="KYN23" s="559"/>
      <c r="KYO23" s="559"/>
      <c r="KYP23" s="559"/>
      <c r="KYQ23" s="559"/>
      <c r="KYR23" s="559"/>
      <c r="KYS23" s="559"/>
      <c r="KYT23" s="559"/>
      <c r="KYU23" s="559"/>
      <c r="KYV23" s="559"/>
      <c r="KYW23" s="559"/>
      <c r="KYX23" s="559"/>
      <c r="KYY23" s="559"/>
      <c r="KYZ23" s="559"/>
      <c r="KZA23" s="559"/>
      <c r="KZB23" s="559"/>
      <c r="KZC23" s="559"/>
      <c r="KZD23" s="559"/>
      <c r="KZE23" s="559"/>
      <c r="KZF23" s="559"/>
      <c r="KZG23" s="559"/>
      <c r="KZH23" s="559"/>
      <c r="KZI23" s="559"/>
      <c r="KZJ23" s="559"/>
      <c r="KZK23" s="559"/>
      <c r="KZL23" s="559"/>
      <c r="KZM23" s="559"/>
      <c r="KZN23" s="559"/>
      <c r="KZO23" s="559"/>
      <c r="KZP23" s="559"/>
      <c r="KZQ23" s="559"/>
      <c r="KZR23" s="559"/>
      <c r="KZS23" s="559"/>
      <c r="KZT23" s="559"/>
      <c r="KZU23" s="559"/>
      <c r="KZV23" s="559"/>
      <c r="KZW23" s="559"/>
      <c r="KZX23" s="559"/>
      <c r="KZY23" s="559"/>
      <c r="KZZ23" s="559"/>
      <c r="LAA23" s="559"/>
      <c r="LAB23" s="559"/>
      <c r="LAC23" s="559"/>
      <c r="LAD23" s="559"/>
      <c r="LAE23" s="559"/>
      <c r="LAF23" s="559"/>
      <c r="LAG23" s="559"/>
      <c r="LAH23" s="559"/>
      <c r="LAI23" s="559"/>
      <c r="LAJ23" s="559"/>
      <c r="LAK23" s="559"/>
      <c r="LAL23" s="559"/>
      <c r="LAM23" s="559"/>
      <c r="LAN23" s="559"/>
      <c r="LAO23" s="559"/>
      <c r="LAP23" s="559"/>
      <c r="LAQ23" s="559"/>
      <c r="LAR23" s="559"/>
      <c r="LAS23" s="559"/>
      <c r="LAT23" s="559"/>
      <c r="LAU23" s="559"/>
      <c r="LAV23" s="559"/>
      <c r="LAW23" s="559"/>
      <c r="LAX23" s="559"/>
      <c r="LAY23" s="559"/>
      <c r="LAZ23" s="559"/>
      <c r="LBA23" s="559"/>
      <c r="LBB23" s="559"/>
      <c r="LBC23" s="559"/>
      <c r="LBD23" s="559"/>
      <c r="LBE23" s="559"/>
      <c r="LBF23" s="559"/>
      <c r="LBG23" s="559"/>
      <c r="LBH23" s="559"/>
      <c r="LBI23" s="559"/>
      <c r="LBJ23" s="559"/>
      <c r="LBK23" s="559"/>
      <c r="LBL23" s="559"/>
      <c r="LBM23" s="559"/>
      <c r="LBN23" s="559"/>
      <c r="LBO23" s="559"/>
      <c r="LBP23" s="559"/>
      <c r="LBQ23" s="559"/>
      <c r="LBR23" s="559"/>
      <c r="LBS23" s="559"/>
      <c r="LBT23" s="559"/>
      <c r="LBU23" s="559"/>
      <c r="LBV23" s="559"/>
      <c r="LBW23" s="559"/>
      <c r="LBX23" s="559"/>
      <c r="LBY23" s="559"/>
      <c r="LBZ23" s="559"/>
      <c r="LCA23" s="559"/>
      <c r="LCB23" s="559"/>
      <c r="LCC23" s="559"/>
      <c r="LCD23" s="559"/>
      <c r="LCE23" s="559"/>
      <c r="LCF23" s="559"/>
      <c r="LCG23" s="559"/>
      <c r="LCH23" s="559"/>
      <c r="LCI23" s="559"/>
      <c r="LCJ23" s="559"/>
      <c r="LCK23" s="559"/>
      <c r="LCL23" s="559"/>
      <c r="LCM23" s="559"/>
      <c r="LCN23" s="559"/>
      <c r="LCO23" s="559"/>
      <c r="LCP23" s="559"/>
      <c r="LCQ23" s="559"/>
      <c r="LCR23" s="559"/>
      <c r="LCS23" s="559"/>
      <c r="LCT23" s="559"/>
      <c r="LCU23" s="559"/>
      <c r="LCV23" s="559"/>
      <c r="LCW23" s="559"/>
      <c r="LCX23" s="559"/>
      <c r="LCY23" s="559"/>
      <c r="LCZ23" s="559"/>
      <c r="LDA23" s="559"/>
      <c r="LDB23" s="559"/>
      <c r="LDC23" s="559"/>
      <c r="LDD23" s="559"/>
      <c r="LDE23" s="559"/>
      <c r="LDF23" s="559"/>
      <c r="LDG23" s="559"/>
      <c r="LDH23" s="559"/>
      <c r="LDI23" s="559"/>
      <c r="LDJ23" s="559"/>
      <c r="LDK23" s="559"/>
      <c r="LDL23" s="559"/>
      <c r="LDM23" s="559"/>
      <c r="LDN23" s="559"/>
      <c r="LDO23" s="559"/>
      <c r="LDP23" s="559"/>
      <c r="LDQ23" s="559"/>
      <c r="LDR23" s="559"/>
      <c r="LDS23" s="559"/>
      <c r="LDT23" s="559"/>
      <c r="LDU23" s="559"/>
      <c r="LDV23" s="559"/>
      <c r="LDW23" s="559"/>
      <c r="LDX23" s="559"/>
      <c r="LDY23" s="559"/>
      <c r="LDZ23" s="559"/>
      <c r="LEA23" s="559"/>
      <c r="LEB23" s="559"/>
      <c r="LEC23" s="559"/>
      <c r="LED23" s="559"/>
      <c r="LEE23" s="559"/>
      <c r="LEF23" s="559"/>
      <c r="LEG23" s="559"/>
      <c r="LEH23" s="559"/>
      <c r="LEI23" s="559"/>
      <c r="LEJ23" s="559"/>
      <c r="LEK23" s="559"/>
      <c r="LEL23" s="559"/>
      <c r="LEM23" s="559"/>
      <c r="LEN23" s="559"/>
      <c r="LEO23" s="559"/>
      <c r="LEP23" s="559"/>
      <c r="LEQ23" s="559"/>
      <c r="LER23" s="559"/>
      <c r="LES23" s="559"/>
      <c r="LET23" s="559"/>
      <c r="LEU23" s="559"/>
      <c r="LEV23" s="559"/>
      <c r="LEW23" s="559"/>
      <c r="LEX23" s="559"/>
      <c r="LEY23" s="559"/>
      <c r="LEZ23" s="559"/>
      <c r="LFA23" s="559"/>
      <c r="LFB23" s="559"/>
      <c r="LFC23" s="559"/>
      <c r="LFD23" s="559"/>
      <c r="LFE23" s="559"/>
      <c r="LFF23" s="559"/>
      <c r="LFG23" s="559"/>
      <c r="LFH23" s="559"/>
      <c r="LFI23" s="559"/>
      <c r="LFJ23" s="559"/>
      <c r="LFK23" s="559"/>
      <c r="LFL23" s="559"/>
      <c r="LFM23" s="559"/>
      <c r="LFN23" s="559"/>
      <c r="LFO23" s="559"/>
      <c r="LFP23" s="559"/>
      <c r="LFQ23" s="559"/>
      <c r="LFR23" s="559"/>
      <c r="LFS23" s="559"/>
      <c r="LFT23" s="559"/>
      <c r="LFU23" s="559"/>
      <c r="LFV23" s="559"/>
      <c r="LFW23" s="559"/>
      <c r="LFX23" s="559"/>
      <c r="LFY23" s="559"/>
      <c r="LFZ23" s="559"/>
      <c r="LGA23" s="559"/>
      <c r="LGB23" s="559"/>
      <c r="LGC23" s="559"/>
      <c r="LGD23" s="559"/>
      <c r="LGE23" s="559"/>
      <c r="LGF23" s="559"/>
      <c r="LGG23" s="559"/>
      <c r="LGH23" s="559"/>
      <c r="LGI23" s="559"/>
      <c r="LGJ23" s="559"/>
      <c r="LGK23" s="559"/>
      <c r="LGL23" s="559"/>
      <c r="LGM23" s="559"/>
      <c r="LGN23" s="559"/>
      <c r="LGO23" s="559"/>
      <c r="LGP23" s="559"/>
      <c r="LGQ23" s="559"/>
      <c r="LGR23" s="559"/>
      <c r="LGS23" s="559"/>
      <c r="LGT23" s="559"/>
      <c r="LGU23" s="559"/>
      <c r="LGV23" s="559"/>
      <c r="LGW23" s="559"/>
      <c r="LGX23" s="559"/>
      <c r="LGY23" s="559"/>
      <c r="LGZ23" s="559"/>
      <c r="LHA23" s="559"/>
      <c r="LHB23" s="559"/>
      <c r="LHC23" s="559"/>
      <c r="LHD23" s="559"/>
      <c r="LHE23" s="559"/>
      <c r="LHF23" s="559"/>
      <c r="LHG23" s="559"/>
      <c r="LHH23" s="559"/>
      <c r="LHI23" s="559"/>
      <c r="LHJ23" s="559"/>
      <c r="LHK23" s="559"/>
      <c r="LHL23" s="559"/>
      <c r="LHM23" s="559"/>
      <c r="LHN23" s="559"/>
      <c r="LHO23" s="559"/>
      <c r="LHP23" s="559"/>
      <c r="LHQ23" s="559"/>
      <c r="LHR23" s="559"/>
      <c r="LHS23" s="559"/>
      <c r="LHT23" s="559"/>
      <c r="LHU23" s="559"/>
      <c r="LHV23" s="559"/>
      <c r="LHW23" s="559"/>
      <c r="LHX23" s="559"/>
      <c r="LHY23" s="559"/>
      <c r="LHZ23" s="559"/>
      <c r="LIA23" s="559"/>
      <c r="LIB23" s="559"/>
      <c r="LIC23" s="559"/>
      <c r="LID23" s="559"/>
      <c r="LIE23" s="559"/>
      <c r="LIF23" s="559"/>
      <c r="LIG23" s="559"/>
      <c r="LIH23" s="559"/>
      <c r="LII23" s="559"/>
      <c r="LIJ23" s="559"/>
      <c r="LIK23" s="559"/>
      <c r="LIL23" s="559"/>
      <c r="LIM23" s="559"/>
      <c r="LIN23" s="559"/>
      <c r="LIO23" s="559"/>
      <c r="LIP23" s="559"/>
      <c r="LIQ23" s="559"/>
      <c r="LIR23" s="559"/>
      <c r="LIS23" s="559"/>
      <c r="LIT23" s="559"/>
      <c r="LIU23" s="559"/>
      <c r="LIV23" s="559"/>
      <c r="LIW23" s="559"/>
      <c r="LIX23" s="559"/>
      <c r="LIY23" s="559"/>
      <c r="LIZ23" s="559"/>
      <c r="LJA23" s="559"/>
      <c r="LJB23" s="559"/>
      <c r="LJC23" s="559"/>
      <c r="LJD23" s="559"/>
      <c r="LJE23" s="559"/>
      <c r="LJF23" s="559"/>
      <c r="LJG23" s="559"/>
      <c r="LJH23" s="559"/>
      <c r="LJI23" s="559"/>
      <c r="LJJ23" s="559"/>
      <c r="LJK23" s="559"/>
      <c r="LJL23" s="559"/>
      <c r="LJM23" s="559"/>
      <c r="LJN23" s="559"/>
      <c r="LJO23" s="559"/>
      <c r="LJP23" s="559"/>
      <c r="LJQ23" s="559"/>
      <c r="LJR23" s="559"/>
      <c r="LJS23" s="559"/>
      <c r="LJT23" s="559"/>
      <c r="LJU23" s="559"/>
      <c r="LJV23" s="559"/>
      <c r="LJW23" s="559"/>
      <c r="LJX23" s="559"/>
      <c r="LJY23" s="559"/>
      <c r="LJZ23" s="559"/>
      <c r="LKA23" s="559"/>
      <c r="LKB23" s="559"/>
      <c r="LKC23" s="559"/>
      <c r="LKD23" s="559"/>
      <c r="LKE23" s="559"/>
      <c r="LKF23" s="559"/>
      <c r="LKG23" s="559"/>
      <c r="LKH23" s="559"/>
      <c r="LKI23" s="559"/>
      <c r="LKJ23" s="559"/>
      <c r="LKK23" s="559"/>
      <c r="LKL23" s="559"/>
      <c r="LKM23" s="559"/>
      <c r="LKN23" s="559"/>
      <c r="LKO23" s="559"/>
      <c r="LKP23" s="559"/>
      <c r="LKQ23" s="559"/>
      <c r="LKR23" s="559"/>
      <c r="LKS23" s="559"/>
      <c r="LKT23" s="559"/>
      <c r="LKU23" s="559"/>
      <c r="LKV23" s="559"/>
      <c r="LKW23" s="559"/>
      <c r="LKX23" s="559"/>
      <c r="LKY23" s="559"/>
      <c r="LKZ23" s="559"/>
      <c r="LLA23" s="559"/>
      <c r="LLB23" s="559"/>
      <c r="LLC23" s="559"/>
      <c r="LLD23" s="559"/>
      <c r="LLE23" s="559"/>
      <c r="LLF23" s="559"/>
      <c r="LLG23" s="559"/>
      <c r="LLH23" s="559"/>
      <c r="LLI23" s="559"/>
      <c r="LLJ23" s="559"/>
      <c r="LLK23" s="559"/>
      <c r="LLL23" s="559"/>
      <c r="LLM23" s="559"/>
      <c r="LLN23" s="559"/>
      <c r="LLO23" s="559"/>
      <c r="LLP23" s="559"/>
      <c r="LLQ23" s="559"/>
      <c r="LLR23" s="559"/>
      <c r="LLS23" s="559"/>
      <c r="LLT23" s="559"/>
      <c r="LLU23" s="559"/>
      <c r="LLV23" s="559"/>
      <c r="LLW23" s="559"/>
      <c r="LLX23" s="559"/>
      <c r="LLY23" s="559"/>
      <c r="LLZ23" s="559"/>
      <c r="LMA23" s="559"/>
      <c r="LMB23" s="559"/>
      <c r="LMC23" s="559"/>
      <c r="LMD23" s="559"/>
      <c r="LME23" s="559"/>
      <c r="LMF23" s="559"/>
      <c r="LMG23" s="559"/>
      <c r="LMH23" s="559"/>
      <c r="LMI23" s="559"/>
      <c r="LMJ23" s="559"/>
      <c r="LMK23" s="559"/>
      <c r="LML23" s="559"/>
      <c r="LMM23" s="559"/>
      <c r="LMN23" s="559"/>
      <c r="LMO23" s="559"/>
      <c r="LMP23" s="559"/>
      <c r="LMQ23" s="559"/>
      <c r="LMR23" s="559"/>
      <c r="LMS23" s="559"/>
      <c r="LMT23" s="559"/>
      <c r="LMU23" s="559"/>
      <c r="LMV23" s="559"/>
      <c r="LMW23" s="559"/>
      <c r="LMX23" s="559"/>
      <c r="LMY23" s="559"/>
      <c r="LMZ23" s="559"/>
      <c r="LNA23" s="559"/>
      <c r="LNB23" s="559"/>
      <c r="LNC23" s="559"/>
      <c r="LND23" s="559"/>
      <c r="LNE23" s="559"/>
      <c r="LNF23" s="559"/>
      <c r="LNG23" s="559"/>
      <c r="LNH23" s="559"/>
      <c r="LNI23" s="559"/>
      <c r="LNJ23" s="559"/>
      <c r="LNK23" s="559"/>
      <c r="LNL23" s="559"/>
      <c r="LNM23" s="559"/>
      <c r="LNN23" s="559"/>
      <c r="LNO23" s="559"/>
      <c r="LNP23" s="559"/>
      <c r="LNQ23" s="559"/>
      <c r="LNR23" s="559"/>
      <c r="LNS23" s="559"/>
      <c r="LNT23" s="559"/>
      <c r="LNU23" s="559"/>
      <c r="LNV23" s="559"/>
      <c r="LNW23" s="559"/>
      <c r="LNX23" s="559"/>
      <c r="LNY23" s="559"/>
      <c r="LNZ23" s="559"/>
      <c r="LOA23" s="559"/>
      <c r="LOB23" s="559"/>
      <c r="LOC23" s="559"/>
      <c r="LOD23" s="559"/>
      <c r="LOE23" s="559"/>
      <c r="LOF23" s="559"/>
      <c r="LOG23" s="559"/>
      <c r="LOH23" s="559"/>
      <c r="LOI23" s="559"/>
      <c r="LOJ23" s="559"/>
      <c r="LOK23" s="559"/>
      <c r="LOL23" s="559"/>
      <c r="LOM23" s="559"/>
      <c r="LON23" s="559"/>
      <c r="LOO23" s="559"/>
      <c r="LOP23" s="559"/>
      <c r="LOQ23" s="559"/>
      <c r="LOR23" s="559"/>
      <c r="LOS23" s="559"/>
      <c r="LOT23" s="559"/>
      <c r="LOU23" s="559"/>
      <c r="LOV23" s="559"/>
      <c r="LOW23" s="559"/>
      <c r="LOX23" s="559"/>
      <c r="LOY23" s="559"/>
      <c r="LOZ23" s="559"/>
      <c r="LPA23" s="559"/>
      <c r="LPB23" s="559"/>
      <c r="LPC23" s="559"/>
      <c r="LPD23" s="559"/>
      <c r="LPE23" s="559"/>
      <c r="LPF23" s="559"/>
      <c r="LPG23" s="559"/>
      <c r="LPH23" s="559"/>
      <c r="LPI23" s="559"/>
      <c r="LPJ23" s="559"/>
      <c r="LPK23" s="559"/>
      <c r="LPL23" s="559"/>
      <c r="LPM23" s="559"/>
      <c r="LPN23" s="559"/>
      <c r="LPO23" s="559"/>
      <c r="LPP23" s="559"/>
      <c r="LPQ23" s="559"/>
      <c r="LPR23" s="559"/>
      <c r="LPS23" s="559"/>
      <c r="LPT23" s="559"/>
      <c r="LPU23" s="559"/>
      <c r="LPV23" s="559"/>
      <c r="LPW23" s="559"/>
      <c r="LPX23" s="559"/>
      <c r="LPY23" s="559"/>
      <c r="LPZ23" s="559"/>
      <c r="LQA23" s="559"/>
      <c r="LQB23" s="559"/>
      <c r="LQC23" s="559"/>
      <c r="LQD23" s="559"/>
      <c r="LQE23" s="559"/>
      <c r="LQF23" s="559"/>
      <c r="LQG23" s="559"/>
      <c r="LQH23" s="559"/>
      <c r="LQI23" s="559"/>
      <c r="LQJ23" s="559"/>
      <c r="LQK23" s="559"/>
      <c r="LQL23" s="559"/>
      <c r="LQM23" s="559"/>
      <c r="LQN23" s="559"/>
      <c r="LQO23" s="559"/>
      <c r="LQP23" s="559"/>
      <c r="LQQ23" s="559"/>
      <c r="LQR23" s="559"/>
      <c r="LQS23" s="559"/>
      <c r="LQT23" s="559"/>
      <c r="LQU23" s="559"/>
      <c r="LQV23" s="559"/>
      <c r="LQW23" s="559"/>
      <c r="LQX23" s="559"/>
      <c r="LQY23" s="559"/>
      <c r="LQZ23" s="559"/>
      <c r="LRA23" s="559"/>
      <c r="LRB23" s="559"/>
      <c r="LRC23" s="559"/>
      <c r="LRD23" s="559"/>
      <c r="LRE23" s="559"/>
      <c r="LRF23" s="559"/>
      <c r="LRG23" s="559"/>
      <c r="LRH23" s="559"/>
      <c r="LRI23" s="559"/>
      <c r="LRJ23" s="559"/>
      <c r="LRK23" s="559"/>
      <c r="LRL23" s="559"/>
      <c r="LRM23" s="559"/>
      <c r="LRN23" s="559"/>
      <c r="LRO23" s="559"/>
      <c r="LRP23" s="559"/>
      <c r="LRQ23" s="559"/>
      <c r="LRR23" s="559"/>
      <c r="LRS23" s="559"/>
      <c r="LRT23" s="559"/>
      <c r="LRU23" s="559"/>
      <c r="LRV23" s="559"/>
      <c r="LRW23" s="559"/>
      <c r="LRX23" s="559"/>
      <c r="LRY23" s="559"/>
      <c r="LRZ23" s="559"/>
      <c r="LSA23" s="559"/>
      <c r="LSB23" s="559"/>
      <c r="LSC23" s="559"/>
      <c r="LSD23" s="559"/>
      <c r="LSE23" s="559"/>
      <c r="LSF23" s="559"/>
      <c r="LSG23" s="559"/>
      <c r="LSH23" s="559"/>
      <c r="LSI23" s="559"/>
      <c r="LSJ23" s="559"/>
      <c r="LSK23" s="559"/>
      <c r="LSL23" s="559"/>
      <c r="LSM23" s="559"/>
      <c r="LSN23" s="559"/>
      <c r="LSO23" s="559"/>
      <c r="LSP23" s="559"/>
      <c r="LSQ23" s="559"/>
      <c r="LSR23" s="559"/>
      <c r="LSS23" s="559"/>
      <c r="LST23" s="559"/>
      <c r="LSU23" s="559"/>
      <c r="LSV23" s="559"/>
      <c r="LSW23" s="559"/>
      <c r="LSX23" s="559"/>
      <c r="LSY23" s="559"/>
      <c r="LSZ23" s="559"/>
      <c r="LTA23" s="559"/>
      <c r="LTB23" s="559"/>
      <c r="LTC23" s="559"/>
      <c r="LTD23" s="559"/>
      <c r="LTE23" s="559"/>
      <c r="LTF23" s="559"/>
      <c r="LTG23" s="559"/>
      <c r="LTH23" s="559"/>
      <c r="LTI23" s="559"/>
      <c r="LTJ23" s="559"/>
      <c r="LTK23" s="559"/>
      <c r="LTL23" s="559"/>
      <c r="LTM23" s="559"/>
      <c r="LTN23" s="559"/>
      <c r="LTO23" s="559"/>
      <c r="LTP23" s="559"/>
      <c r="LTQ23" s="559"/>
      <c r="LTR23" s="559"/>
      <c r="LTS23" s="559"/>
      <c r="LTT23" s="559"/>
      <c r="LTU23" s="559"/>
      <c r="LTV23" s="559"/>
      <c r="LTW23" s="559"/>
      <c r="LTX23" s="559"/>
      <c r="LTY23" s="559"/>
      <c r="LTZ23" s="559"/>
      <c r="LUA23" s="559"/>
      <c r="LUB23" s="559"/>
      <c r="LUC23" s="559"/>
      <c r="LUD23" s="559"/>
      <c r="LUE23" s="559"/>
      <c r="LUF23" s="559"/>
      <c r="LUG23" s="559"/>
      <c r="LUH23" s="559"/>
      <c r="LUI23" s="559"/>
      <c r="LUJ23" s="559"/>
      <c r="LUK23" s="559"/>
      <c r="LUL23" s="559"/>
      <c r="LUM23" s="559"/>
      <c r="LUN23" s="559"/>
      <c r="LUO23" s="559"/>
      <c r="LUP23" s="559"/>
      <c r="LUQ23" s="559"/>
      <c r="LUR23" s="559"/>
      <c r="LUS23" s="559"/>
      <c r="LUT23" s="559"/>
      <c r="LUU23" s="559"/>
      <c r="LUV23" s="559"/>
      <c r="LUW23" s="559"/>
      <c r="LUX23" s="559"/>
      <c r="LUY23" s="559"/>
      <c r="LUZ23" s="559"/>
      <c r="LVA23" s="559"/>
      <c r="LVB23" s="559"/>
      <c r="LVC23" s="559"/>
      <c r="LVD23" s="559"/>
      <c r="LVE23" s="559"/>
      <c r="LVF23" s="559"/>
      <c r="LVG23" s="559"/>
      <c r="LVH23" s="559"/>
      <c r="LVI23" s="559"/>
      <c r="LVJ23" s="559"/>
      <c r="LVK23" s="559"/>
      <c r="LVL23" s="559"/>
      <c r="LVM23" s="559"/>
      <c r="LVN23" s="559"/>
      <c r="LVO23" s="559"/>
      <c r="LVP23" s="559"/>
      <c r="LVQ23" s="559"/>
      <c r="LVR23" s="559"/>
      <c r="LVS23" s="559"/>
      <c r="LVT23" s="559"/>
      <c r="LVU23" s="559"/>
      <c r="LVV23" s="559"/>
      <c r="LVW23" s="559"/>
      <c r="LVX23" s="559"/>
      <c r="LVY23" s="559"/>
      <c r="LVZ23" s="559"/>
      <c r="LWA23" s="559"/>
      <c r="LWB23" s="559"/>
      <c r="LWC23" s="559"/>
      <c r="LWD23" s="559"/>
      <c r="LWE23" s="559"/>
      <c r="LWF23" s="559"/>
      <c r="LWG23" s="559"/>
      <c r="LWH23" s="559"/>
      <c r="LWI23" s="559"/>
      <c r="LWJ23" s="559"/>
      <c r="LWK23" s="559"/>
      <c r="LWL23" s="559"/>
      <c r="LWM23" s="559"/>
      <c r="LWN23" s="559"/>
      <c r="LWO23" s="559"/>
      <c r="LWP23" s="559"/>
      <c r="LWQ23" s="559"/>
      <c r="LWR23" s="559"/>
      <c r="LWS23" s="559"/>
      <c r="LWT23" s="559"/>
      <c r="LWU23" s="559"/>
      <c r="LWV23" s="559"/>
      <c r="LWW23" s="559"/>
      <c r="LWX23" s="559"/>
      <c r="LWY23" s="559"/>
      <c r="LWZ23" s="559"/>
      <c r="LXA23" s="559"/>
      <c r="LXB23" s="559"/>
      <c r="LXC23" s="559"/>
      <c r="LXD23" s="559"/>
      <c r="LXE23" s="559"/>
      <c r="LXF23" s="559"/>
      <c r="LXG23" s="559"/>
      <c r="LXH23" s="559"/>
      <c r="LXI23" s="559"/>
      <c r="LXJ23" s="559"/>
      <c r="LXK23" s="559"/>
      <c r="LXL23" s="559"/>
      <c r="LXM23" s="559"/>
      <c r="LXN23" s="559"/>
      <c r="LXO23" s="559"/>
      <c r="LXP23" s="559"/>
      <c r="LXQ23" s="559"/>
      <c r="LXR23" s="559"/>
      <c r="LXS23" s="559"/>
      <c r="LXT23" s="559"/>
      <c r="LXU23" s="559"/>
      <c r="LXV23" s="559"/>
      <c r="LXW23" s="559"/>
      <c r="LXX23" s="559"/>
      <c r="LXY23" s="559"/>
      <c r="LXZ23" s="559"/>
      <c r="LYA23" s="559"/>
      <c r="LYB23" s="559"/>
      <c r="LYC23" s="559"/>
      <c r="LYD23" s="559"/>
      <c r="LYE23" s="559"/>
      <c r="LYF23" s="559"/>
      <c r="LYG23" s="559"/>
      <c r="LYH23" s="559"/>
      <c r="LYI23" s="559"/>
      <c r="LYJ23" s="559"/>
      <c r="LYK23" s="559"/>
      <c r="LYL23" s="559"/>
      <c r="LYM23" s="559"/>
      <c r="LYN23" s="559"/>
      <c r="LYO23" s="559"/>
      <c r="LYP23" s="559"/>
      <c r="LYQ23" s="559"/>
      <c r="LYR23" s="559"/>
      <c r="LYS23" s="559"/>
      <c r="LYT23" s="559"/>
      <c r="LYU23" s="559"/>
      <c r="LYV23" s="559"/>
      <c r="LYW23" s="559"/>
      <c r="LYX23" s="559"/>
      <c r="LYY23" s="559"/>
      <c r="LYZ23" s="559"/>
      <c r="LZA23" s="559"/>
      <c r="LZB23" s="559"/>
      <c r="LZC23" s="559"/>
      <c r="LZD23" s="559"/>
      <c r="LZE23" s="559"/>
      <c r="LZF23" s="559"/>
      <c r="LZG23" s="559"/>
      <c r="LZH23" s="559"/>
      <c r="LZI23" s="559"/>
      <c r="LZJ23" s="559"/>
      <c r="LZK23" s="559"/>
      <c r="LZL23" s="559"/>
      <c r="LZM23" s="559"/>
      <c r="LZN23" s="559"/>
      <c r="LZO23" s="559"/>
      <c r="LZP23" s="559"/>
      <c r="LZQ23" s="559"/>
      <c r="LZR23" s="559"/>
      <c r="LZS23" s="559"/>
      <c r="LZT23" s="559"/>
      <c r="LZU23" s="559"/>
      <c r="LZV23" s="559"/>
      <c r="LZW23" s="559"/>
      <c r="LZX23" s="559"/>
      <c r="LZY23" s="559"/>
      <c r="LZZ23" s="559"/>
      <c r="MAA23" s="559"/>
      <c r="MAB23" s="559"/>
      <c r="MAC23" s="559"/>
      <c r="MAD23" s="559"/>
      <c r="MAE23" s="559"/>
      <c r="MAF23" s="559"/>
      <c r="MAG23" s="559"/>
      <c r="MAH23" s="559"/>
      <c r="MAI23" s="559"/>
      <c r="MAJ23" s="559"/>
      <c r="MAK23" s="559"/>
      <c r="MAL23" s="559"/>
      <c r="MAM23" s="559"/>
      <c r="MAN23" s="559"/>
      <c r="MAO23" s="559"/>
      <c r="MAP23" s="559"/>
      <c r="MAQ23" s="559"/>
      <c r="MAR23" s="559"/>
      <c r="MAS23" s="559"/>
      <c r="MAT23" s="559"/>
      <c r="MAU23" s="559"/>
      <c r="MAV23" s="559"/>
      <c r="MAW23" s="559"/>
      <c r="MAX23" s="559"/>
      <c r="MAY23" s="559"/>
      <c r="MAZ23" s="559"/>
      <c r="MBA23" s="559"/>
      <c r="MBB23" s="559"/>
      <c r="MBC23" s="559"/>
      <c r="MBD23" s="559"/>
      <c r="MBE23" s="559"/>
      <c r="MBF23" s="559"/>
      <c r="MBG23" s="559"/>
      <c r="MBH23" s="559"/>
      <c r="MBI23" s="559"/>
      <c r="MBJ23" s="559"/>
      <c r="MBK23" s="559"/>
      <c r="MBL23" s="559"/>
      <c r="MBM23" s="559"/>
      <c r="MBN23" s="559"/>
      <c r="MBO23" s="559"/>
      <c r="MBP23" s="559"/>
      <c r="MBQ23" s="559"/>
      <c r="MBR23" s="559"/>
      <c r="MBS23" s="559"/>
      <c r="MBT23" s="559"/>
      <c r="MBU23" s="559"/>
      <c r="MBV23" s="559"/>
      <c r="MBW23" s="559"/>
      <c r="MBX23" s="559"/>
      <c r="MBY23" s="559"/>
      <c r="MBZ23" s="559"/>
      <c r="MCA23" s="559"/>
      <c r="MCB23" s="559"/>
      <c r="MCC23" s="559"/>
      <c r="MCD23" s="559"/>
      <c r="MCE23" s="559"/>
      <c r="MCF23" s="559"/>
      <c r="MCG23" s="559"/>
      <c r="MCH23" s="559"/>
      <c r="MCI23" s="559"/>
      <c r="MCJ23" s="559"/>
      <c r="MCK23" s="559"/>
      <c r="MCL23" s="559"/>
      <c r="MCM23" s="559"/>
      <c r="MCN23" s="559"/>
      <c r="MCO23" s="559"/>
      <c r="MCP23" s="559"/>
      <c r="MCQ23" s="559"/>
      <c r="MCR23" s="559"/>
      <c r="MCS23" s="559"/>
      <c r="MCT23" s="559"/>
      <c r="MCU23" s="559"/>
      <c r="MCV23" s="559"/>
      <c r="MCW23" s="559"/>
      <c r="MCX23" s="559"/>
      <c r="MCY23" s="559"/>
      <c r="MCZ23" s="559"/>
      <c r="MDA23" s="559"/>
      <c r="MDB23" s="559"/>
      <c r="MDC23" s="559"/>
      <c r="MDD23" s="559"/>
      <c r="MDE23" s="559"/>
      <c r="MDF23" s="559"/>
      <c r="MDG23" s="559"/>
      <c r="MDH23" s="559"/>
      <c r="MDI23" s="559"/>
      <c r="MDJ23" s="559"/>
      <c r="MDK23" s="559"/>
      <c r="MDL23" s="559"/>
      <c r="MDM23" s="559"/>
      <c r="MDN23" s="559"/>
      <c r="MDO23" s="559"/>
      <c r="MDP23" s="559"/>
      <c r="MDQ23" s="559"/>
      <c r="MDR23" s="559"/>
      <c r="MDS23" s="559"/>
      <c r="MDT23" s="559"/>
      <c r="MDU23" s="559"/>
      <c r="MDV23" s="559"/>
      <c r="MDW23" s="559"/>
      <c r="MDX23" s="559"/>
      <c r="MDY23" s="559"/>
      <c r="MDZ23" s="559"/>
      <c r="MEA23" s="559"/>
      <c r="MEB23" s="559"/>
      <c r="MEC23" s="559"/>
      <c r="MED23" s="559"/>
      <c r="MEE23" s="559"/>
      <c r="MEF23" s="559"/>
      <c r="MEG23" s="559"/>
      <c r="MEH23" s="559"/>
      <c r="MEI23" s="559"/>
      <c r="MEJ23" s="559"/>
      <c r="MEK23" s="559"/>
      <c r="MEL23" s="559"/>
      <c r="MEM23" s="559"/>
      <c r="MEN23" s="559"/>
      <c r="MEO23" s="559"/>
      <c r="MEP23" s="559"/>
      <c r="MEQ23" s="559"/>
      <c r="MER23" s="559"/>
      <c r="MES23" s="559"/>
      <c r="MET23" s="559"/>
      <c r="MEU23" s="559"/>
      <c r="MEV23" s="559"/>
      <c r="MEW23" s="559"/>
      <c r="MEX23" s="559"/>
      <c r="MEY23" s="559"/>
      <c r="MEZ23" s="559"/>
      <c r="MFA23" s="559"/>
      <c r="MFB23" s="559"/>
      <c r="MFC23" s="559"/>
      <c r="MFD23" s="559"/>
      <c r="MFE23" s="559"/>
      <c r="MFF23" s="559"/>
      <c r="MFG23" s="559"/>
      <c r="MFH23" s="559"/>
      <c r="MFI23" s="559"/>
      <c r="MFJ23" s="559"/>
      <c r="MFK23" s="559"/>
      <c r="MFL23" s="559"/>
      <c r="MFM23" s="559"/>
      <c r="MFN23" s="559"/>
      <c r="MFO23" s="559"/>
      <c r="MFP23" s="559"/>
      <c r="MFQ23" s="559"/>
      <c r="MFR23" s="559"/>
      <c r="MFS23" s="559"/>
      <c r="MFT23" s="559"/>
      <c r="MFU23" s="559"/>
      <c r="MFV23" s="559"/>
      <c r="MFW23" s="559"/>
      <c r="MFX23" s="559"/>
      <c r="MFY23" s="559"/>
      <c r="MFZ23" s="559"/>
      <c r="MGA23" s="559"/>
      <c r="MGB23" s="559"/>
      <c r="MGC23" s="559"/>
      <c r="MGD23" s="559"/>
      <c r="MGE23" s="559"/>
      <c r="MGF23" s="559"/>
      <c r="MGG23" s="559"/>
      <c r="MGH23" s="559"/>
      <c r="MGI23" s="559"/>
      <c r="MGJ23" s="559"/>
      <c r="MGK23" s="559"/>
      <c r="MGL23" s="559"/>
      <c r="MGM23" s="559"/>
      <c r="MGN23" s="559"/>
      <c r="MGO23" s="559"/>
      <c r="MGP23" s="559"/>
      <c r="MGQ23" s="559"/>
      <c r="MGR23" s="559"/>
      <c r="MGS23" s="559"/>
      <c r="MGT23" s="559"/>
      <c r="MGU23" s="559"/>
      <c r="MGV23" s="559"/>
      <c r="MGW23" s="559"/>
      <c r="MGX23" s="559"/>
      <c r="MGY23" s="559"/>
      <c r="MGZ23" s="559"/>
      <c r="MHA23" s="559"/>
      <c r="MHB23" s="559"/>
      <c r="MHC23" s="559"/>
      <c r="MHD23" s="559"/>
      <c r="MHE23" s="559"/>
      <c r="MHF23" s="559"/>
      <c r="MHG23" s="559"/>
      <c r="MHH23" s="559"/>
      <c r="MHI23" s="559"/>
      <c r="MHJ23" s="559"/>
      <c r="MHK23" s="559"/>
      <c r="MHL23" s="559"/>
      <c r="MHM23" s="559"/>
      <c r="MHN23" s="559"/>
      <c r="MHO23" s="559"/>
      <c r="MHP23" s="559"/>
      <c r="MHQ23" s="559"/>
      <c r="MHR23" s="559"/>
      <c r="MHS23" s="559"/>
      <c r="MHT23" s="559"/>
      <c r="MHU23" s="559"/>
      <c r="MHV23" s="559"/>
      <c r="MHW23" s="559"/>
      <c r="MHX23" s="559"/>
      <c r="MHY23" s="559"/>
      <c r="MHZ23" s="559"/>
      <c r="MIA23" s="559"/>
      <c r="MIB23" s="559"/>
      <c r="MIC23" s="559"/>
      <c r="MID23" s="559"/>
      <c r="MIE23" s="559"/>
      <c r="MIF23" s="559"/>
      <c r="MIG23" s="559"/>
      <c r="MIH23" s="559"/>
      <c r="MII23" s="559"/>
      <c r="MIJ23" s="559"/>
      <c r="MIK23" s="559"/>
      <c r="MIL23" s="559"/>
      <c r="MIM23" s="559"/>
      <c r="MIN23" s="559"/>
      <c r="MIO23" s="559"/>
      <c r="MIP23" s="559"/>
      <c r="MIQ23" s="559"/>
      <c r="MIR23" s="559"/>
      <c r="MIS23" s="559"/>
      <c r="MIT23" s="559"/>
      <c r="MIU23" s="559"/>
      <c r="MIV23" s="559"/>
      <c r="MIW23" s="559"/>
      <c r="MIX23" s="559"/>
      <c r="MIY23" s="559"/>
      <c r="MIZ23" s="559"/>
      <c r="MJA23" s="559"/>
      <c r="MJB23" s="559"/>
      <c r="MJC23" s="559"/>
      <c r="MJD23" s="559"/>
      <c r="MJE23" s="559"/>
      <c r="MJF23" s="559"/>
      <c r="MJG23" s="559"/>
      <c r="MJH23" s="559"/>
      <c r="MJI23" s="559"/>
      <c r="MJJ23" s="559"/>
      <c r="MJK23" s="559"/>
      <c r="MJL23" s="559"/>
      <c r="MJM23" s="559"/>
      <c r="MJN23" s="559"/>
      <c r="MJO23" s="559"/>
      <c r="MJP23" s="559"/>
      <c r="MJQ23" s="559"/>
      <c r="MJR23" s="559"/>
      <c r="MJS23" s="559"/>
      <c r="MJT23" s="559"/>
      <c r="MJU23" s="559"/>
      <c r="MJV23" s="559"/>
      <c r="MJW23" s="559"/>
      <c r="MJX23" s="559"/>
      <c r="MJY23" s="559"/>
      <c r="MJZ23" s="559"/>
      <c r="MKA23" s="559"/>
      <c r="MKB23" s="559"/>
      <c r="MKC23" s="559"/>
      <c r="MKD23" s="559"/>
      <c r="MKE23" s="559"/>
      <c r="MKF23" s="559"/>
      <c r="MKG23" s="559"/>
      <c r="MKH23" s="559"/>
      <c r="MKI23" s="559"/>
      <c r="MKJ23" s="559"/>
      <c r="MKK23" s="559"/>
      <c r="MKL23" s="559"/>
      <c r="MKM23" s="559"/>
      <c r="MKN23" s="559"/>
      <c r="MKO23" s="559"/>
      <c r="MKP23" s="559"/>
      <c r="MKQ23" s="559"/>
      <c r="MKR23" s="559"/>
      <c r="MKS23" s="559"/>
      <c r="MKT23" s="559"/>
      <c r="MKU23" s="559"/>
      <c r="MKV23" s="559"/>
      <c r="MKW23" s="559"/>
      <c r="MKX23" s="559"/>
      <c r="MKY23" s="559"/>
      <c r="MKZ23" s="559"/>
      <c r="MLA23" s="559"/>
      <c r="MLB23" s="559"/>
      <c r="MLC23" s="559"/>
      <c r="MLD23" s="559"/>
      <c r="MLE23" s="559"/>
      <c r="MLF23" s="559"/>
      <c r="MLG23" s="559"/>
      <c r="MLH23" s="559"/>
      <c r="MLI23" s="559"/>
      <c r="MLJ23" s="559"/>
      <c r="MLK23" s="559"/>
      <c r="MLL23" s="559"/>
      <c r="MLM23" s="559"/>
      <c r="MLN23" s="559"/>
      <c r="MLO23" s="559"/>
      <c r="MLP23" s="559"/>
      <c r="MLQ23" s="559"/>
      <c r="MLR23" s="559"/>
      <c r="MLS23" s="559"/>
      <c r="MLT23" s="559"/>
      <c r="MLU23" s="559"/>
      <c r="MLV23" s="559"/>
      <c r="MLW23" s="559"/>
      <c r="MLX23" s="559"/>
      <c r="MLY23" s="559"/>
      <c r="MLZ23" s="559"/>
      <c r="MMA23" s="559"/>
      <c r="MMB23" s="559"/>
      <c r="MMC23" s="559"/>
      <c r="MMD23" s="559"/>
      <c r="MME23" s="559"/>
      <c r="MMF23" s="559"/>
      <c r="MMG23" s="559"/>
      <c r="MMH23" s="559"/>
      <c r="MMI23" s="559"/>
      <c r="MMJ23" s="559"/>
      <c r="MMK23" s="559"/>
      <c r="MML23" s="559"/>
      <c r="MMM23" s="559"/>
      <c r="MMN23" s="559"/>
      <c r="MMO23" s="559"/>
      <c r="MMP23" s="559"/>
      <c r="MMQ23" s="559"/>
      <c r="MMR23" s="559"/>
      <c r="MMS23" s="559"/>
      <c r="MMT23" s="559"/>
      <c r="MMU23" s="559"/>
      <c r="MMV23" s="559"/>
      <c r="MMW23" s="559"/>
      <c r="MMX23" s="559"/>
      <c r="MMY23" s="559"/>
      <c r="MMZ23" s="559"/>
      <c r="MNA23" s="559"/>
      <c r="MNB23" s="559"/>
      <c r="MNC23" s="559"/>
      <c r="MND23" s="559"/>
      <c r="MNE23" s="559"/>
      <c r="MNF23" s="559"/>
      <c r="MNG23" s="559"/>
      <c r="MNH23" s="559"/>
      <c r="MNI23" s="559"/>
      <c r="MNJ23" s="559"/>
      <c r="MNK23" s="559"/>
      <c r="MNL23" s="559"/>
      <c r="MNM23" s="559"/>
      <c r="MNN23" s="559"/>
      <c r="MNO23" s="559"/>
      <c r="MNP23" s="559"/>
      <c r="MNQ23" s="559"/>
      <c r="MNR23" s="559"/>
      <c r="MNS23" s="559"/>
      <c r="MNT23" s="559"/>
      <c r="MNU23" s="559"/>
      <c r="MNV23" s="559"/>
      <c r="MNW23" s="559"/>
      <c r="MNX23" s="559"/>
      <c r="MNY23" s="559"/>
      <c r="MNZ23" s="559"/>
      <c r="MOA23" s="559"/>
      <c r="MOB23" s="559"/>
      <c r="MOC23" s="559"/>
      <c r="MOD23" s="559"/>
      <c r="MOE23" s="559"/>
      <c r="MOF23" s="559"/>
      <c r="MOG23" s="559"/>
      <c r="MOH23" s="559"/>
      <c r="MOI23" s="559"/>
      <c r="MOJ23" s="559"/>
      <c r="MOK23" s="559"/>
      <c r="MOL23" s="559"/>
      <c r="MOM23" s="559"/>
      <c r="MON23" s="559"/>
      <c r="MOO23" s="559"/>
      <c r="MOP23" s="559"/>
      <c r="MOQ23" s="559"/>
      <c r="MOR23" s="559"/>
      <c r="MOS23" s="559"/>
      <c r="MOT23" s="559"/>
      <c r="MOU23" s="559"/>
      <c r="MOV23" s="559"/>
      <c r="MOW23" s="559"/>
      <c r="MOX23" s="559"/>
      <c r="MOY23" s="559"/>
      <c r="MOZ23" s="559"/>
      <c r="MPA23" s="559"/>
      <c r="MPB23" s="559"/>
      <c r="MPC23" s="559"/>
      <c r="MPD23" s="559"/>
      <c r="MPE23" s="559"/>
      <c r="MPF23" s="559"/>
      <c r="MPG23" s="559"/>
      <c r="MPH23" s="559"/>
      <c r="MPI23" s="559"/>
      <c r="MPJ23" s="559"/>
      <c r="MPK23" s="559"/>
      <c r="MPL23" s="559"/>
      <c r="MPM23" s="559"/>
      <c r="MPN23" s="559"/>
      <c r="MPO23" s="559"/>
      <c r="MPP23" s="559"/>
      <c r="MPQ23" s="559"/>
      <c r="MPR23" s="559"/>
      <c r="MPS23" s="559"/>
      <c r="MPT23" s="559"/>
      <c r="MPU23" s="559"/>
      <c r="MPV23" s="559"/>
      <c r="MPW23" s="559"/>
      <c r="MPX23" s="559"/>
      <c r="MPY23" s="559"/>
      <c r="MPZ23" s="559"/>
      <c r="MQA23" s="559"/>
      <c r="MQB23" s="559"/>
      <c r="MQC23" s="559"/>
      <c r="MQD23" s="559"/>
      <c r="MQE23" s="559"/>
      <c r="MQF23" s="559"/>
      <c r="MQG23" s="559"/>
      <c r="MQH23" s="559"/>
      <c r="MQI23" s="559"/>
      <c r="MQJ23" s="559"/>
      <c r="MQK23" s="559"/>
      <c r="MQL23" s="559"/>
      <c r="MQM23" s="559"/>
      <c r="MQN23" s="559"/>
      <c r="MQO23" s="559"/>
      <c r="MQP23" s="559"/>
      <c r="MQQ23" s="559"/>
      <c r="MQR23" s="559"/>
      <c r="MQS23" s="559"/>
      <c r="MQT23" s="559"/>
      <c r="MQU23" s="559"/>
      <c r="MQV23" s="559"/>
      <c r="MQW23" s="559"/>
      <c r="MQX23" s="559"/>
      <c r="MQY23" s="559"/>
      <c r="MQZ23" s="559"/>
      <c r="MRA23" s="559"/>
      <c r="MRB23" s="559"/>
      <c r="MRC23" s="559"/>
      <c r="MRD23" s="559"/>
      <c r="MRE23" s="559"/>
      <c r="MRF23" s="559"/>
      <c r="MRG23" s="559"/>
      <c r="MRH23" s="559"/>
      <c r="MRI23" s="559"/>
      <c r="MRJ23" s="559"/>
      <c r="MRK23" s="559"/>
      <c r="MRL23" s="559"/>
      <c r="MRM23" s="559"/>
      <c r="MRN23" s="559"/>
      <c r="MRO23" s="559"/>
      <c r="MRP23" s="559"/>
      <c r="MRQ23" s="559"/>
      <c r="MRR23" s="559"/>
      <c r="MRS23" s="559"/>
      <c r="MRT23" s="559"/>
      <c r="MRU23" s="559"/>
      <c r="MRV23" s="559"/>
      <c r="MRW23" s="559"/>
      <c r="MRX23" s="559"/>
      <c r="MRY23" s="559"/>
      <c r="MRZ23" s="559"/>
      <c r="MSA23" s="559"/>
      <c r="MSB23" s="559"/>
      <c r="MSC23" s="559"/>
      <c r="MSD23" s="559"/>
      <c r="MSE23" s="559"/>
      <c r="MSF23" s="559"/>
      <c r="MSG23" s="559"/>
      <c r="MSH23" s="559"/>
      <c r="MSI23" s="559"/>
      <c r="MSJ23" s="559"/>
      <c r="MSK23" s="559"/>
      <c r="MSL23" s="559"/>
      <c r="MSM23" s="559"/>
      <c r="MSN23" s="559"/>
      <c r="MSO23" s="559"/>
      <c r="MSP23" s="559"/>
      <c r="MSQ23" s="559"/>
      <c r="MSR23" s="559"/>
      <c r="MSS23" s="559"/>
      <c r="MST23" s="559"/>
      <c r="MSU23" s="559"/>
      <c r="MSV23" s="559"/>
      <c r="MSW23" s="559"/>
      <c r="MSX23" s="559"/>
      <c r="MSY23" s="559"/>
      <c r="MSZ23" s="559"/>
      <c r="MTA23" s="559"/>
      <c r="MTB23" s="559"/>
      <c r="MTC23" s="559"/>
      <c r="MTD23" s="559"/>
      <c r="MTE23" s="559"/>
      <c r="MTF23" s="559"/>
      <c r="MTG23" s="559"/>
      <c r="MTH23" s="559"/>
      <c r="MTI23" s="559"/>
      <c r="MTJ23" s="559"/>
      <c r="MTK23" s="559"/>
      <c r="MTL23" s="559"/>
      <c r="MTM23" s="559"/>
      <c r="MTN23" s="559"/>
      <c r="MTO23" s="559"/>
      <c r="MTP23" s="559"/>
      <c r="MTQ23" s="559"/>
      <c r="MTR23" s="559"/>
      <c r="MTS23" s="559"/>
      <c r="MTT23" s="559"/>
      <c r="MTU23" s="559"/>
      <c r="MTV23" s="559"/>
      <c r="MTW23" s="559"/>
      <c r="MTX23" s="559"/>
      <c r="MTY23" s="559"/>
      <c r="MTZ23" s="559"/>
      <c r="MUA23" s="559"/>
      <c r="MUB23" s="559"/>
      <c r="MUC23" s="559"/>
      <c r="MUD23" s="559"/>
      <c r="MUE23" s="559"/>
      <c r="MUF23" s="559"/>
      <c r="MUG23" s="559"/>
      <c r="MUH23" s="559"/>
      <c r="MUI23" s="559"/>
      <c r="MUJ23" s="559"/>
      <c r="MUK23" s="559"/>
      <c r="MUL23" s="559"/>
      <c r="MUM23" s="559"/>
      <c r="MUN23" s="559"/>
      <c r="MUO23" s="559"/>
      <c r="MUP23" s="559"/>
      <c r="MUQ23" s="559"/>
      <c r="MUR23" s="559"/>
      <c r="MUS23" s="559"/>
      <c r="MUT23" s="559"/>
      <c r="MUU23" s="559"/>
      <c r="MUV23" s="559"/>
      <c r="MUW23" s="559"/>
      <c r="MUX23" s="559"/>
      <c r="MUY23" s="559"/>
      <c r="MUZ23" s="559"/>
      <c r="MVA23" s="559"/>
      <c r="MVB23" s="559"/>
      <c r="MVC23" s="559"/>
      <c r="MVD23" s="559"/>
      <c r="MVE23" s="559"/>
      <c r="MVF23" s="559"/>
      <c r="MVG23" s="559"/>
      <c r="MVH23" s="559"/>
      <c r="MVI23" s="559"/>
      <c r="MVJ23" s="559"/>
      <c r="MVK23" s="559"/>
      <c r="MVL23" s="559"/>
      <c r="MVM23" s="559"/>
      <c r="MVN23" s="559"/>
      <c r="MVO23" s="559"/>
      <c r="MVP23" s="559"/>
      <c r="MVQ23" s="559"/>
      <c r="MVR23" s="559"/>
      <c r="MVS23" s="559"/>
      <c r="MVT23" s="559"/>
      <c r="MVU23" s="559"/>
      <c r="MVV23" s="559"/>
      <c r="MVW23" s="559"/>
      <c r="MVX23" s="559"/>
      <c r="MVY23" s="559"/>
      <c r="MVZ23" s="559"/>
      <c r="MWA23" s="559"/>
      <c r="MWB23" s="559"/>
      <c r="MWC23" s="559"/>
      <c r="MWD23" s="559"/>
      <c r="MWE23" s="559"/>
      <c r="MWF23" s="559"/>
      <c r="MWG23" s="559"/>
      <c r="MWH23" s="559"/>
      <c r="MWI23" s="559"/>
      <c r="MWJ23" s="559"/>
      <c r="MWK23" s="559"/>
      <c r="MWL23" s="559"/>
      <c r="MWM23" s="559"/>
      <c r="MWN23" s="559"/>
      <c r="MWO23" s="559"/>
      <c r="MWP23" s="559"/>
      <c r="MWQ23" s="559"/>
      <c r="MWR23" s="559"/>
      <c r="MWS23" s="559"/>
      <c r="MWT23" s="559"/>
      <c r="MWU23" s="559"/>
      <c r="MWV23" s="559"/>
      <c r="MWW23" s="559"/>
      <c r="MWX23" s="559"/>
      <c r="MWY23" s="559"/>
      <c r="MWZ23" s="559"/>
      <c r="MXA23" s="559"/>
      <c r="MXB23" s="559"/>
      <c r="MXC23" s="559"/>
      <c r="MXD23" s="559"/>
      <c r="MXE23" s="559"/>
      <c r="MXF23" s="559"/>
      <c r="MXG23" s="559"/>
      <c r="MXH23" s="559"/>
      <c r="MXI23" s="559"/>
      <c r="MXJ23" s="559"/>
      <c r="MXK23" s="559"/>
      <c r="MXL23" s="559"/>
      <c r="MXM23" s="559"/>
      <c r="MXN23" s="559"/>
      <c r="MXO23" s="559"/>
      <c r="MXP23" s="559"/>
      <c r="MXQ23" s="559"/>
      <c r="MXR23" s="559"/>
      <c r="MXS23" s="559"/>
      <c r="MXT23" s="559"/>
      <c r="MXU23" s="559"/>
      <c r="MXV23" s="559"/>
      <c r="MXW23" s="559"/>
      <c r="MXX23" s="559"/>
      <c r="MXY23" s="559"/>
      <c r="MXZ23" s="559"/>
      <c r="MYA23" s="559"/>
      <c r="MYB23" s="559"/>
      <c r="MYC23" s="559"/>
      <c r="MYD23" s="559"/>
      <c r="MYE23" s="559"/>
      <c r="MYF23" s="559"/>
      <c r="MYG23" s="559"/>
      <c r="MYH23" s="559"/>
      <c r="MYI23" s="559"/>
      <c r="MYJ23" s="559"/>
      <c r="MYK23" s="559"/>
      <c r="MYL23" s="559"/>
      <c r="MYM23" s="559"/>
      <c r="MYN23" s="559"/>
      <c r="MYO23" s="559"/>
      <c r="MYP23" s="559"/>
      <c r="MYQ23" s="559"/>
      <c r="MYR23" s="559"/>
      <c r="MYS23" s="559"/>
      <c r="MYT23" s="559"/>
      <c r="MYU23" s="559"/>
      <c r="MYV23" s="559"/>
      <c r="MYW23" s="559"/>
      <c r="MYX23" s="559"/>
      <c r="MYY23" s="559"/>
      <c r="MYZ23" s="559"/>
      <c r="MZA23" s="559"/>
      <c r="MZB23" s="559"/>
      <c r="MZC23" s="559"/>
      <c r="MZD23" s="559"/>
      <c r="MZE23" s="559"/>
      <c r="MZF23" s="559"/>
      <c r="MZG23" s="559"/>
      <c r="MZH23" s="559"/>
      <c r="MZI23" s="559"/>
      <c r="MZJ23" s="559"/>
      <c r="MZK23" s="559"/>
      <c r="MZL23" s="559"/>
      <c r="MZM23" s="559"/>
      <c r="MZN23" s="559"/>
      <c r="MZO23" s="559"/>
      <c r="MZP23" s="559"/>
      <c r="MZQ23" s="559"/>
      <c r="MZR23" s="559"/>
      <c r="MZS23" s="559"/>
      <c r="MZT23" s="559"/>
      <c r="MZU23" s="559"/>
      <c r="MZV23" s="559"/>
      <c r="MZW23" s="559"/>
      <c r="MZX23" s="559"/>
      <c r="MZY23" s="559"/>
      <c r="MZZ23" s="559"/>
      <c r="NAA23" s="559"/>
      <c r="NAB23" s="559"/>
      <c r="NAC23" s="559"/>
      <c r="NAD23" s="559"/>
      <c r="NAE23" s="559"/>
      <c r="NAF23" s="559"/>
      <c r="NAG23" s="559"/>
      <c r="NAH23" s="559"/>
      <c r="NAI23" s="559"/>
      <c r="NAJ23" s="559"/>
      <c r="NAK23" s="559"/>
      <c r="NAL23" s="559"/>
      <c r="NAM23" s="559"/>
      <c r="NAN23" s="559"/>
      <c r="NAO23" s="559"/>
      <c r="NAP23" s="559"/>
      <c r="NAQ23" s="559"/>
      <c r="NAR23" s="559"/>
      <c r="NAS23" s="559"/>
      <c r="NAT23" s="559"/>
      <c r="NAU23" s="559"/>
      <c r="NAV23" s="559"/>
      <c r="NAW23" s="559"/>
      <c r="NAX23" s="559"/>
      <c r="NAY23" s="559"/>
      <c r="NAZ23" s="559"/>
      <c r="NBA23" s="559"/>
      <c r="NBB23" s="559"/>
      <c r="NBC23" s="559"/>
      <c r="NBD23" s="559"/>
      <c r="NBE23" s="559"/>
      <c r="NBF23" s="559"/>
      <c r="NBG23" s="559"/>
      <c r="NBH23" s="559"/>
      <c r="NBI23" s="559"/>
      <c r="NBJ23" s="559"/>
      <c r="NBK23" s="559"/>
      <c r="NBL23" s="559"/>
      <c r="NBM23" s="559"/>
      <c r="NBN23" s="559"/>
      <c r="NBO23" s="559"/>
      <c r="NBP23" s="559"/>
      <c r="NBQ23" s="559"/>
      <c r="NBR23" s="559"/>
      <c r="NBS23" s="559"/>
      <c r="NBT23" s="559"/>
      <c r="NBU23" s="559"/>
      <c r="NBV23" s="559"/>
      <c r="NBW23" s="559"/>
      <c r="NBX23" s="559"/>
      <c r="NBY23" s="559"/>
      <c r="NBZ23" s="559"/>
      <c r="NCA23" s="559"/>
      <c r="NCB23" s="559"/>
      <c r="NCC23" s="559"/>
      <c r="NCD23" s="559"/>
      <c r="NCE23" s="559"/>
      <c r="NCF23" s="559"/>
      <c r="NCG23" s="559"/>
      <c r="NCH23" s="559"/>
      <c r="NCI23" s="559"/>
      <c r="NCJ23" s="559"/>
      <c r="NCK23" s="559"/>
      <c r="NCL23" s="559"/>
      <c r="NCM23" s="559"/>
      <c r="NCN23" s="559"/>
      <c r="NCO23" s="559"/>
      <c r="NCP23" s="559"/>
      <c r="NCQ23" s="559"/>
      <c r="NCR23" s="559"/>
      <c r="NCS23" s="559"/>
      <c r="NCT23" s="559"/>
      <c r="NCU23" s="559"/>
      <c r="NCV23" s="559"/>
      <c r="NCW23" s="559"/>
      <c r="NCX23" s="559"/>
      <c r="NCY23" s="559"/>
      <c r="NCZ23" s="559"/>
      <c r="NDA23" s="559"/>
      <c r="NDB23" s="559"/>
      <c r="NDC23" s="559"/>
      <c r="NDD23" s="559"/>
      <c r="NDE23" s="559"/>
      <c r="NDF23" s="559"/>
      <c r="NDG23" s="559"/>
      <c r="NDH23" s="559"/>
      <c r="NDI23" s="559"/>
      <c r="NDJ23" s="559"/>
      <c r="NDK23" s="559"/>
      <c r="NDL23" s="559"/>
      <c r="NDM23" s="559"/>
      <c r="NDN23" s="559"/>
      <c r="NDO23" s="559"/>
      <c r="NDP23" s="559"/>
      <c r="NDQ23" s="559"/>
      <c r="NDR23" s="559"/>
      <c r="NDS23" s="559"/>
      <c r="NDT23" s="559"/>
      <c r="NDU23" s="559"/>
      <c r="NDV23" s="559"/>
      <c r="NDW23" s="559"/>
      <c r="NDX23" s="559"/>
      <c r="NDY23" s="559"/>
      <c r="NDZ23" s="559"/>
      <c r="NEA23" s="559"/>
      <c r="NEB23" s="559"/>
      <c r="NEC23" s="559"/>
      <c r="NED23" s="559"/>
      <c r="NEE23" s="559"/>
      <c r="NEF23" s="559"/>
      <c r="NEG23" s="559"/>
      <c r="NEH23" s="559"/>
      <c r="NEI23" s="559"/>
      <c r="NEJ23" s="559"/>
      <c r="NEK23" s="559"/>
      <c r="NEL23" s="559"/>
      <c r="NEM23" s="559"/>
      <c r="NEN23" s="559"/>
      <c r="NEO23" s="559"/>
      <c r="NEP23" s="559"/>
      <c r="NEQ23" s="559"/>
      <c r="NER23" s="559"/>
      <c r="NES23" s="559"/>
      <c r="NET23" s="559"/>
      <c r="NEU23" s="559"/>
      <c r="NEV23" s="559"/>
      <c r="NEW23" s="559"/>
      <c r="NEX23" s="559"/>
      <c r="NEY23" s="559"/>
      <c r="NEZ23" s="559"/>
      <c r="NFA23" s="559"/>
      <c r="NFB23" s="559"/>
      <c r="NFC23" s="559"/>
      <c r="NFD23" s="559"/>
      <c r="NFE23" s="559"/>
      <c r="NFF23" s="559"/>
      <c r="NFG23" s="559"/>
      <c r="NFH23" s="559"/>
      <c r="NFI23" s="559"/>
      <c r="NFJ23" s="559"/>
      <c r="NFK23" s="559"/>
      <c r="NFL23" s="559"/>
      <c r="NFM23" s="559"/>
      <c r="NFN23" s="559"/>
      <c r="NFO23" s="559"/>
      <c r="NFP23" s="559"/>
      <c r="NFQ23" s="559"/>
      <c r="NFR23" s="559"/>
      <c r="NFS23" s="559"/>
      <c r="NFT23" s="559"/>
      <c r="NFU23" s="559"/>
      <c r="NFV23" s="559"/>
      <c r="NFW23" s="559"/>
      <c r="NFX23" s="559"/>
      <c r="NFY23" s="559"/>
      <c r="NFZ23" s="559"/>
      <c r="NGA23" s="559"/>
      <c r="NGB23" s="559"/>
      <c r="NGC23" s="559"/>
      <c r="NGD23" s="559"/>
      <c r="NGE23" s="559"/>
      <c r="NGF23" s="559"/>
      <c r="NGG23" s="559"/>
      <c r="NGH23" s="559"/>
      <c r="NGI23" s="559"/>
      <c r="NGJ23" s="559"/>
      <c r="NGK23" s="559"/>
      <c r="NGL23" s="559"/>
      <c r="NGM23" s="559"/>
      <c r="NGN23" s="559"/>
      <c r="NGO23" s="559"/>
      <c r="NGP23" s="559"/>
      <c r="NGQ23" s="559"/>
      <c r="NGR23" s="559"/>
      <c r="NGS23" s="559"/>
      <c r="NGT23" s="559"/>
      <c r="NGU23" s="559"/>
      <c r="NGV23" s="559"/>
      <c r="NGW23" s="559"/>
      <c r="NGX23" s="559"/>
      <c r="NGY23" s="559"/>
      <c r="NGZ23" s="559"/>
      <c r="NHA23" s="559"/>
      <c r="NHB23" s="559"/>
      <c r="NHC23" s="559"/>
      <c r="NHD23" s="559"/>
      <c r="NHE23" s="559"/>
      <c r="NHF23" s="559"/>
      <c r="NHG23" s="559"/>
      <c r="NHH23" s="559"/>
      <c r="NHI23" s="559"/>
      <c r="NHJ23" s="559"/>
      <c r="NHK23" s="559"/>
      <c r="NHL23" s="559"/>
      <c r="NHM23" s="559"/>
      <c r="NHN23" s="559"/>
      <c r="NHO23" s="559"/>
      <c r="NHP23" s="559"/>
      <c r="NHQ23" s="559"/>
      <c r="NHR23" s="559"/>
      <c r="NHS23" s="559"/>
      <c r="NHT23" s="559"/>
      <c r="NHU23" s="559"/>
      <c r="NHV23" s="559"/>
      <c r="NHW23" s="559"/>
      <c r="NHX23" s="559"/>
      <c r="NHY23" s="559"/>
      <c r="NHZ23" s="559"/>
      <c r="NIA23" s="559"/>
      <c r="NIB23" s="559"/>
      <c r="NIC23" s="559"/>
      <c r="NID23" s="559"/>
      <c r="NIE23" s="559"/>
      <c r="NIF23" s="559"/>
      <c r="NIG23" s="559"/>
      <c r="NIH23" s="559"/>
      <c r="NII23" s="559"/>
      <c r="NIJ23" s="559"/>
      <c r="NIK23" s="559"/>
      <c r="NIL23" s="559"/>
      <c r="NIM23" s="559"/>
      <c r="NIN23" s="559"/>
      <c r="NIO23" s="559"/>
      <c r="NIP23" s="559"/>
      <c r="NIQ23" s="559"/>
      <c r="NIR23" s="559"/>
      <c r="NIS23" s="559"/>
      <c r="NIT23" s="559"/>
      <c r="NIU23" s="559"/>
      <c r="NIV23" s="559"/>
      <c r="NIW23" s="559"/>
      <c r="NIX23" s="559"/>
      <c r="NIY23" s="559"/>
      <c r="NIZ23" s="559"/>
      <c r="NJA23" s="559"/>
      <c r="NJB23" s="559"/>
      <c r="NJC23" s="559"/>
      <c r="NJD23" s="559"/>
      <c r="NJE23" s="559"/>
      <c r="NJF23" s="559"/>
      <c r="NJG23" s="559"/>
      <c r="NJH23" s="559"/>
      <c r="NJI23" s="559"/>
      <c r="NJJ23" s="559"/>
      <c r="NJK23" s="559"/>
      <c r="NJL23" s="559"/>
      <c r="NJM23" s="559"/>
      <c r="NJN23" s="559"/>
      <c r="NJO23" s="559"/>
      <c r="NJP23" s="559"/>
      <c r="NJQ23" s="559"/>
      <c r="NJR23" s="559"/>
      <c r="NJS23" s="559"/>
      <c r="NJT23" s="559"/>
      <c r="NJU23" s="559"/>
      <c r="NJV23" s="559"/>
      <c r="NJW23" s="559"/>
      <c r="NJX23" s="559"/>
      <c r="NJY23" s="559"/>
      <c r="NJZ23" s="559"/>
      <c r="NKA23" s="559"/>
      <c r="NKB23" s="559"/>
      <c r="NKC23" s="559"/>
      <c r="NKD23" s="559"/>
      <c r="NKE23" s="559"/>
      <c r="NKF23" s="559"/>
      <c r="NKG23" s="559"/>
      <c r="NKH23" s="559"/>
      <c r="NKI23" s="559"/>
      <c r="NKJ23" s="559"/>
      <c r="NKK23" s="559"/>
      <c r="NKL23" s="559"/>
      <c r="NKM23" s="559"/>
      <c r="NKN23" s="559"/>
      <c r="NKO23" s="559"/>
      <c r="NKP23" s="559"/>
      <c r="NKQ23" s="559"/>
      <c r="NKR23" s="559"/>
      <c r="NKS23" s="559"/>
      <c r="NKT23" s="559"/>
      <c r="NKU23" s="559"/>
      <c r="NKV23" s="559"/>
      <c r="NKW23" s="559"/>
      <c r="NKX23" s="559"/>
      <c r="NKY23" s="559"/>
      <c r="NKZ23" s="559"/>
      <c r="NLA23" s="559"/>
      <c r="NLB23" s="559"/>
      <c r="NLC23" s="559"/>
      <c r="NLD23" s="559"/>
      <c r="NLE23" s="559"/>
      <c r="NLF23" s="559"/>
      <c r="NLG23" s="559"/>
      <c r="NLH23" s="559"/>
      <c r="NLI23" s="559"/>
      <c r="NLJ23" s="559"/>
      <c r="NLK23" s="559"/>
      <c r="NLL23" s="559"/>
      <c r="NLM23" s="559"/>
      <c r="NLN23" s="559"/>
      <c r="NLO23" s="559"/>
      <c r="NLP23" s="559"/>
      <c r="NLQ23" s="559"/>
      <c r="NLR23" s="559"/>
      <c r="NLS23" s="559"/>
      <c r="NLT23" s="559"/>
      <c r="NLU23" s="559"/>
      <c r="NLV23" s="559"/>
      <c r="NLW23" s="559"/>
      <c r="NLX23" s="559"/>
      <c r="NLY23" s="559"/>
      <c r="NLZ23" s="559"/>
      <c r="NMA23" s="559"/>
      <c r="NMB23" s="559"/>
      <c r="NMC23" s="559"/>
      <c r="NMD23" s="559"/>
      <c r="NME23" s="559"/>
      <c r="NMF23" s="559"/>
      <c r="NMG23" s="559"/>
      <c r="NMH23" s="559"/>
      <c r="NMI23" s="559"/>
      <c r="NMJ23" s="559"/>
      <c r="NMK23" s="559"/>
      <c r="NML23" s="559"/>
      <c r="NMM23" s="559"/>
      <c r="NMN23" s="559"/>
      <c r="NMO23" s="559"/>
      <c r="NMP23" s="559"/>
      <c r="NMQ23" s="559"/>
      <c r="NMR23" s="559"/>
      <c r="NMS23" s="559"/>
      <c r="NMT23" s="559"/>
      <c r="NMU23" s="559"/>
      <c r="NMV23" s="559"/>
      <c r="NMW23" s="559"/>
      <c r="NMX23" s="559"/>
      <c r="NMY23" s="559"/>
      <c r="NMZ23" s="559"/>
      <c r="NNA23" s="559"/>
      <c r="NNB23" s="559"/>
      <c r="NNC23" s="559"/>
      <c r="NND23" s="559"/>
      <c r="NNE23" s="559"/>
      <c r="NNF23" s="559"/>
      <c r="NNG23" s="559"/>
      <c r="NNH23" s="559"/>
      <c r="NNI23" s="559"/>
      <c r="NNJ23" s="559"/>
      <c r="NNK23" s="559"/>
      <c r="NNL23" s="559"/>
      <c r="NNM23" s="559"/>
      <c r="NNN23" s="559"/>
      <c r="NNO23" s="559"/>
      <c r="NNP23" s="559"/>
      <c r="NNQ23" s="559"/>
      <c r="NNR23" s="559"/>
      <c r="NNS23" s="559"/>
      <c r="NNT23" s="559"/>
      <c r="NNU23" s="559"/>
      <c r="NNV23" s="559"/>
      <c r="NNW23" s="559"/>
      <c r="NNX23" s="559"/>
      <c r="NNY23" s="559"/>
      <c r="NNZ23" s="559"/>
      <c r="NOA23" s="559"/>
      <c r="NOB23" s="559"/>
      <c r="NOC23" s="559"/>
      <c r="NOD23" s="559"/>
      <c r="NOE23" s="559"/>
      <c r="NOF23" s="559"/>
      <c r="NOG23" s="559"/>
      <c r="NOH23" s="559"/>
      <c r="NOI23" s="559"/>
      <c r="NOJ23" s="559"/>
      <c r="NOK23" s="559"/>
      <c r="NOL23" s="559"/>
      <c r="NOM23" s="559"/>
      <c r="NON23" s="559"/>
      <c r="NOO23" s="559"/>
      <c r="NOP23" s="559"/>
      <c r="NOQ23" s="559"/>
      <c r="NOR23" s="559"/>
      <c r="NOS23" s="559"/>
      <c r="NOT23" s="559"/>
      <c r="NOU23" s="559"/>
      <c r="NOV23" s="559"/>
      <c r="NOW23" s="559"/>
      <c r="NOX23" s="559"/>
      <c r="NOY23" s="559"/>
      <c r="NOZ23" s="559"/>
      <c r="NPA23" s="559"/>
      <c r="NPB23" s="559"/>
      <c r="NPC23" s="559"/>
      <c r="NPD23" s="559"/>
      <c r="NPE23" s="559"/>
      <c r="NPF23" s="559"/>
      <c r="NPG23" s="559"/>
      <c r="NPH23" s="559"/>
      <c r="NPI23" s="559"/>
      <c r="NPJ23" s="559"/>
      <c r="NPK23" s="559"/>
      <c r="NPL23" s="559"/>
      <c r="NPM23" s="559"/>
      <c r="NPN23" s="559"/>
      <c r="NPO23" s="559"/>
      <c r="NPP23" s="559"/>
      <c r="NPQ23" s="559"/>
      <c r="NPR23" s="559"/>
      <c r="NPS23" s="559"/>
      <c r="NPT23" s="559"/>
      <c r="NPU23" s="559"/>
      <c r="NPV23" s="559"/>
      <c r="NPW23" s="559"/>
      <c r="NPX23" s="559"/>
      <c r="NPY23" s="559"/>
      <c r="NPZ23" s="559"/>
      <c r="NQA23" s="559"/>
      <c r="NQB23" s="559"/>
      <c r="NQC23" s="559"/>
      <c r="NQD23" s="559"/>
      <c r="NQE23" s="559"/>
      <c r="NQF23" s="559"/>
      <c r="NQG23" s="559"/>
      <c r="NQH23" s="559"/>
      <c r="NQI23" s="559"/>
      <c r="NQJ23" s="559"/>
      <c r="NQK23" s="559"/>
      <c r="NQL23" s="559"/>
      <c r="NQM23" s="559"/>
      <c r="NQN23" s="559"/>
      <c r="NQO23" s="559"/>
      <c r="NQP23" s="559"/>
      <c r="NQQ23" s="559"/>
      <c r="NQR23" s="559"/>
      <c r="NQS23" s="559"/>
      <c r="NQT23" s="559"/>
      <c r="NQU23" s="559"/>
      <c r="NQV23" s="559"/>
      <c r="NQW23" s="559"/>
      <c r="NQX23" s="559"/>
      <c r="NQY23" s="559"/>
      <c r="NQZ23" s="559"/>
      <c r="NRA23" s="559"/>
      <c r="NRB23" s="559"/>
      <c r="NRC23" s="559"/>
      <c r="NRD23" s="559"/>
      <c r="NRE23" s="559"/>
      <c r="NRF23" s="559"/>
      <c r="NRG23" s="559"/>
      <c r="NRH23" s="559"/>
      <c r="NRI23" s="559"/>
      <c r="NRJ23" s="559"/>
      <c r="NRK23" s="559"/>
      <c r="NRL23" s="559"/>
      <c r="NRM23" s="559"/>
      <c r="NRN23" s="559"/>
      <c r="NRO23" s="559"/>
      <c r="NRP23" s="559"/>
      <c r="NRQ23" s="559"/>
      <c r="NRR23" s="559"/>
      <c r="NRS23" s="559"/>
      <c r="NRT23" s="559"/>
      <c r="NRU23" s="559"/>
      <c r="NRV23" s="559"/>
      <c r="NRW23" s="559"/>
      <c r="NRX23" s="559"/>
      <c r="NRY23" s="559"/>
      <c r="NRZ23" s="559"/>
      <c r="NSA23" s="559"/>
      <c r="NSB23" s="559"/>
      <c r="NSC23" s="559"/>
      <c r="NSD23" s="559"/>
      <c r="NSE23" s="559"/>
      <c r="NSF23" s="559"/>
      <c r="NSG23" s="559"/>
      <c r="NSH23" s="559"/>
      <c r="NSI23" s="559"/>
      <c r="NSJ23" s="559"/>
      <c r="NSK23" s="559"/>
      <c r="NSL23" s="559"/>
      <c r="NSM23" s="559"/>
      <c r="NSN23" s="559"/>
      <c r="NSO23" s="559"/>
      <c r="NSP23" s="559"/>
      <c r="NSQ23" s="559"/>
      <c r="NSR23" s="559"/>
      <c r="NSS23" s="559"/>
      <c r="NST23" s="559"/>
      <c r="NSU23" s="559"/>
      <c r="NSV23" s="559"/>
      <c r="NSW23" s="559"/>
      <c r="NSX23" s="559"/>
      <c r="NSY23" s="559"/>
      <c r="NSZ23" s="559"/>
      <c r="NTA23" s="559"/>
      <c r="NTB23" s="559"/>
      <c r="NTC23" s="559"/>
      <c r="NTD23" s="559"/>
      <c r="NTE23" s="559"/>
      <c r="NTF23" s="559"/>
      <c r="NTG23" s="559"/>
      <c r="NTH23" s="559"/>
      <c r="NTI23" s="559"/>
      <c r="NTJ23" s="559"/>
      <c r="NTK23" s="559"/>
      <c r="NTL23" s="559"/>
      <c r="NTM23" s="559"/>
      <c r="NTN23" s="559"/>
      <c r="NTO23" s="559"/>
      <c r="NTP23" s="559"/>
      <c r="NTQ23" s="559"/>
      <c r="NTR23" s="559"/>
      <c r="NTS23" s="559"/>
      <c r="NTT23" s="559"/>
      <c r="NTU23" s="559"/>
      <c r="NTV23" s="559"/>
      <c r="NTW23" s="559"/>
      <c r="NTX23" s="559"/>
      <c r="NTY23" s="559"/>
      <c r="NTZ23" s="559"/>
      <c r="NUA23" s="559"/>
      <c r="NUB23" s="559"/>
      <c r="NUC23" s="559"/>
      <c r="NUD23" s="559"/>
      <c r="NUE23" s="559"/>
      <c r="NUF23" s="559"/>
      <c r="NUG23" s="559"/>
      <c r="NUH23" s="559"/>
      <c r="NUI23" s="559"/>
      <c r="NUJ23" s="559"/>
      <c r="NUK23" s="559"/>
      <c r="NUL23" s="559"/>
      <c r="NUM23" s="559"/>
      <c r="NUN23" s="559"/>
      <c r="NUO23" s="559"/>
      <c r="NUP23" s="559"/>
      <c r="NUQ23" s="559"/>
      <c r="NUR23" s="559"/>
      <c r="NUS23" s="559"/>
      <c r="NUT23" s="559"/>
      <c r="NUU23" s="559"/>
      <c r="NUV23" s="559"/>
      <c r="NUW23" s="559"/>
      <c r="NUX23" s="559"/>
      <c r="NUY23" s="559"/>
      <c r="NUZ23" s="559"/>
      <c r="NVA23" s="559"/>
      <c r="NVB23" s="559"/>
      <c r="NVC23" s="559"/>
      <c r="NVD23" s="559"/>
      <c r="NVE23" s="559"/>
      <c r="NVF23" s="559"/>
      <c r="NVG23" s="559"/>
      <c r="NVH23" s="559"/>
      <c r="NVI23" s="559"/>
      <c r="NVJ23" s="559"/>
      <c r="NVK23" s="559"/>
      <c r="NVL23" s="559"/>
      <c r="NVM23" s="559"/>
      <c r="NVN23" s="559"/>
      <c r="NVO23" s="559"/>
      <c r="NVP23" s="559"/>
      <c r="NVQ23" s="559"/>
      <c r="NVR23" s="559"/>
      <c r="NVS23" s="559"/>
      <c r="NVT23" s="559"/>
      <c r="NVU23" s="559"/>
      <c r="NVV23" s="559"/>
      <c r="NVW23" s="559"/>
      <c r="NVX23" s="559"/>
      <c r="NVY23" s="559"/>
      <c r="NVZ23" s="559"/>
      <c r="NWA23" s="559"/>
      <c r="NWB23" s="559"/>
      <c r="NWC23" s="559"/>
      <c r="NWD23" s="559"/>
      <c r="NWE23" s="559"/>
      <c r="NWF23" s="559"/>
      <c r="NWG23" s="559"/>
      <c r="NWH23" s="559"/>
      <c r="NWI23" s="559"/>
      <c r="NWJ23" s="559"/>
      <c r="NWK23" s="559"/>
      <c r="NWL23" s="559"/>
      <c r="NWM23" s="559"/>
      <c r="NWN23" s="559"/>
      <c r="NWO23" s="559"/>
      <c r="NWP23" s="559"/>
      <c r="NWQ23" s="559"/>
      <c r="NWR23" s="559"/>
      <c r="NWS23" s="559"/>
      <c r="NWT23" s="559"/>
      <c r="NWU23" s="559"/>
      <c r="NWV23" s="559"/>
      <c r="NWW23" s="559"/>
      <c r="NWX23" s="559"/>
      <c r="NWY23" s="559"/>
      <c r="NWZ23" s="559"/>
      <c r="NXA23" s="559"/>
      <c r="NXB23" s="559"/>
      <c r="NXC23" s="559"/>
      <c r="NXD23" s="559"/>
      <c r="NXE23" s="559"/>
      <c r="NXF23" s="559"/>
      <c r="NXG23" s="559"/>
      <c r="NXH23" s="559"/>
      <c r="NXI23" s="559"/>
      <c r="NXJ23" s="559"/>
      <c r="NXK23" s="559"/>
      <c r="NXL23" s="559"/>
      <c r="NXM23" s="559"/>
      <c r="NXN23" s="559"/>
      <c r="NXO23" s="559"/>
      <c r="NXP23" s="559"/>
      <c r="NXQ23" s="559"/>
      <c r="NXR23" s="559"/>
      <c r="NXS23" s="559"/>
      <c r="NXT23" s="559"/>
      <c r="NXU23" s="559"/>
      <c r="NXV23" s="559"/>
      <c r="NXW23" s="559"/>
      <c r="NXX23" s="559"/>
      <c r="NXY23" s="559"/>
      <c r="NXZ23" s="559"/>
      <c r="NYA23" s="559"/>
      <c r="NYB23" s="559"/>
      <c r="NYC23" s="559"/>
      <c r="NYD23" s="559"/>
      <c r="NYE23" s="559"/>
      <c r="NYF23" s="559"/>
      <c r="NYG23" s="559"/>
      <c r="NYH23" s="559"/>
      <c r="NYI23" s="559"/>
      <c r="NYJ23" s="559"/>
      <c r="NYK23" s="559"/>
      <c r="NYL23" s="559"/>
      <c r="NYM23" s="559"/>
      <c r="NYN23" s="559"/>
      <c r="NYO23" s="559"/>
      <c r="NYP23" s="559"/>
      <c r="NYQ23" s="559"/>
      <c r="NYR23" s="559"/>
      <c r="NYS23" s="559"/>
      <c r="NYT23" s="559"/>
      <c r="NYU23" s="559"/>
      <c r="NYV23" s="559"/>
      <c r="NYW23" s="559"/>
      <c r="NYX23" s="559"/>
      <c r="NYY23" s="559"/>
      <c r="NYZ23" s="559"/>
      <c r="NZA23" s="559"/>
      <c r="NZB23" s="559"/>
      <c r="NZC23" s="559"/>
      <c r="NZD23" s="559"/>
      <c r="NZE23" s="559"/>
      <c r="NZF23" s="559"/>
      <c r="NZG23" s="559"/>
      <c r="NZH23" s="559"/>
      <c r="NZI23" s="559"/>
      <c r="NZJ23" s="559"/>
      <c r="NZK23" s="559"/>
      <c r="NZL23" s="559"/>
      <c r="NZM23" s="559"/>
      <c r="NZN23" s="559"/>
      <c r="NZO23" s="559"/>
      <c r="NZP23" s="559"/>
      <c r="NZQ23" s="559"/>
      <c r="NZR23" s="559"/>
      <c r="NZS23" s="559"/>
      <c r="NZT23" s="559"/>
      <c r="NZU23" s="559"/>
      <c r="NZV23" s="559"/>
      <c r="NZW23" s="559"/>
      <c r="NZX23" s="559"/>
      <c r="NZY23" s="559"/>
      <c r="NZZ23" s="559"/>
      <c r="OAA23" s="559"/>
      <c r="OAB23" s="559"/>
      <c r="OAC23" s="559"/>
      <c r="OAD23" s="559"/>
      <c r="OAE23" s="559"/>
      <c r="OAF23" s="559"/>
      <c r="OAG23" s="559"/>
      <c r="OAH23" s="559"/>
      <c r="OAI23" s="559"/>
      <c r="OAJ23" s="559"/>
      <c r="OAK23" s="559"/>
      <c r="OAL23" s="559"/>
      <c r="OAM23" s="559"/>
      <c r="OAN23" s="559"/>
      <c r="OAO23" s="559"/>
      <c r="OAP23" s="559"/>
      <c r="OAQ23" s="559"/>
      <c r="OAR23" s="559"/>
      <c r="OAS23" s="559"/>
      <c r="OAT23" s="559"/>
      <c r="OAU23" s="559"/>
      <c r="OAV23" s="559"/>
      <c r="OAW23" s="559"/>
      <c r="OAX23" s="559"/>
      <c r="OAY23" s="559"/>
      <c r="OAZ23" s="559"/>
      <c r="OBA23" s="559"/>
      <c r="OBB23" s="559"/>
      <c r="OBC23" s="559"/>
      <c r="OBD23" s="559"/>
      <c r="OBE23" s="559"/>
      <c r="OBF23" s="559"/>
      <c r="OBG23" s="559"/>
      <c r="OBH23" s="559"/>
      <c r="OBI23" s="559"/>
      <c r="OBJ23" s="559"/>
      <c r="OBK23" s="559"/>
      <c r="OBL23" s="559"/>
      <c r="OBM23" s="559"/>
      <c r="OBN23" s="559"/>
      <c r="OBO23" s="559"/>
      <c r="OBP23" s="559"/>
      <c r="OBQ23" s="559"/>
      <c r="OBR23" s="559"/>
      <c r="OBS23" s="559"/>
      <c r="OBT23" s="559"/>
      <c r="OBU23" s="559"/>
      <c r="OBV23" s="559"/>
      <c r="OBW23" s="559"/>
      <c r="OBX23" s="559"/>
      <c r="OBY23" s="559"/>
      <c r="OBZ23" s="559"/>
      <c r="OCA23" s="559"/>
      <c r="OCB23" s="559"/>
      <c r="OCC23" s="559"/>
      <c r="OCD23" s="559"/>
      <c r="OCE23" s="559"/>
      <c r="OCF23" s="559"/>
      <c r="OCG23" s="559"/>
      <c r="OCH23" s="559"/>
      <c r="OCI23" s="559"/>
      <c r="OCJ23" s="559"/>
      <c r="OCK23" s="559"/>
      <c r="OCL23" s="559"/>
      <c r="OCM23" s="559"/>
      <c r="OCN23" s="559"/>
      <c r="OCO23" s="559"/>
      <c r="OCP23" s="559"/>
      <c r="OCQ23" s="559"/>
      <c r="OCR23" s="559"/>
      <c r="OCS23" s="559"/>
      <c r="OCT23" s="559"/>
      <c r="OCU23" s="559"/>
      <c r="OCV23" s="559"/>
      <c r="OCW23" s="559"/>
      <c r="OCX23" s="559"/>
      <c r="OCY23" s="559"/>
      <c r="OCZ23" s="559"/>
      <c r="ODA23" s="559"/>
      <c r="ODB23" s="559"/>
      <c r="ODC23" s="559"/>
      <c r="ODD23" s="559"/>
      <c r="ODE23" s="559"/>
      <c r="ODF23" s="559"/>
      <c r="ODG23" s="559"/>
      <c r="ODH23" s="559"/>
      <c r="ODI23" s="559"/>
      <c r="ODJ23" s="559"/>
      <c r="ODK23" s="559"/>
      <c r="ODL23" s="559"/>
      <c r="ODM23" s="559"/>
      <c r="ODN23" s="559"/>
      <c r="ODO23" s="559"/>
      <c r="ODP23" s="559"/>
      <c r="ODQ23" s="559"/>
      <c r="ODR23" s="559"/>
      <c r="ODS23" s="559"/>
      <c r="ODT23" s="559"/>
      <c r="ODU23" s="559"/>
      <c r="ODV23" s="559"/>
      <c r="ODW23" s="559"/>
      <c r="ODX23" s="559"/>
      <c r="ODY23" s="559"/>
      <c r="ODZ23" s="559"/>
      <c r="OEA23" s="559"/>
      <c r="OEB23" s="559"/>
      <c r="OEC23" s="559"/>
      <c r="OED23" s="559"/>
      <c r="OEE23" s="559"/>
      <c r="OEF23" s="559"/>
      <c r="OEG23" s="559"/>
      <c r="OEH23" s="559"/>
      <c r="OEI23" s="559"/>
      <c r="OEJ23" s="559"/>
      <c r="OEK23" s="559"/>
      <c r="OEL23" s="559"/>
      <c r="OEM23" s="559"/>
      <c r="OEN23" s="559"/>
      <c r="OEO23" s="559"/>
      <c r="OEP23" s="559"/>
      <c r="OEQ23" s="559"/>
      <c r="OER23" s="559"/>
      <c r="OES23" s="559"/>
      <c r="OET23" s="559"/>
      <c r="OEU23" s="559"/>
      <c r="OEV23" s="559"/>
      <c r="OEW23" s="559"/>
      <c r="OEX23" s="559"/>
      <c r="OEY23" s="559"/>
      <c r="OEZ23" s="559"/>
      <c r="OFA23" s="559"/>
      <c r="OFB23" s="559"/>
      <c r="OFC23" s="559"/>
      <c r="OFD23" s="559"/>
      <c r="OFE23" s="559"/>
      <c r="OFF23" s="559"/>
      <c r="OFG23" s="559"/>
      <c r="OFH23" s="559"/>
      <c r="OFI23" s="559"/>
      <c r="OFJ23" s="559"/>
      <c r="OFK23" s="559"/>
      <c r="OFL23" s="559"/>
      <c r="OFM23" s="559"/>
      <c r="OFN23" s="559"/>
      <c r="OFO23" s="559"/>
      <c r="OFP23" s="559"/>
      <c r="OFQ23" s="559"/>
      <c r="OFR23" s="559"/>
      <c r="OFS23" s="559"/>
      <c r="OFT23" s="559"/>
      <c r="OFU23" s="559"/>
      <c r="OFV23" s="559"/>
      <c r="OFW23" s="559"/>
      <c r="OFX23" s="559"/>
      <c r="OFY23" s="559"/>
      <c r="OFZ23" s="559"/>
      <c r="OGA23" s="559"/>
      <c r="OGB23" s="559"/>
      <c r="OGC23" s="559"/>
      <c r="OGD23" s="559"/>
      <c r="OGE23" s="559"/>
      <c r="OGF23" s="559"/>
      <c r="OGG23" s="559"/>
      <c r="OGH23" s="559"/>
      <c r="OGI23" s="559"/>
      <c r="OGJ23" s="559"/>
      <c r="OGK23" s="559"/>
      <c r="OGL23" s="559"/>
      <c r="OGM23" s="559"/>
      <c r="OGN23" s="559"/>
      <c r="OGO23" s="559"/>
      <c r="OGP23" s="559"/>
      <c r="OGQ23" s="559"/>
      <c r="OGR23" s="559"/>
      <c r="OGS23" s="559"/>
      <c r="OGT23" s="559"/>
      <c r="OGU23" s="559"/>
      <c r="OGV23" s="559"/>
      <c r="OGW23" s="559"/>
      <c r="OGX23" s="559"/>
      <c r="OGY23" s="559"/>
      <c r="OGZ23" s="559"/>
      <c r="OHA23" s="559"/>
      <c r="OHB23" s="559"/>
      <c r="OHC23" s="559"/>
      <c r="OHD23" s="559"/>
      <c r="OHE23" s="559"/>
      <c r="OHF23" s="559"/>
      <c r="OHG23" s="559"/>
      <c r="OHH23" s="559"/>
      <c r="OHI23" s="559"/>
      <c r="OHJ23" s="559"/>
      <c r="OHK23" s="559"/>
      <c r="OHL23" s="559"/>
      <c r="OHM23" s="559"/>
      <c r="OHN23" s="559"/>
      <c r="OHO23" s="559"/>
      <c r="OHP23" s="559"/>
      <c r="OHQ23" s="559"/>
      <c r="OHR23" s="559"/>
      <c r="OHS23" s="559"/>
      <c r="OHT23" s="559"/>
      <c r="OHU23" s="559"/>
      <c r="OHV23" s="559"/>
      <c r="OHW23" s="559"/>
      <c r="OHX23" s="559"/>
      <c r="OHY23" s="559"/>
      <c r="OHZ23" s="559"/>
      <c r="OIA23" s="559"/>
      <c r="OIB23" s="559"/>
      <c r="OIC23" s="559"/>
      <c r="OID23" s="559"/>
      <c r="OIE23" s="559"/>
      <c r="OIF23" s="559"/>
      <c r="OIG23" s="559"/>
      <c r="OIH23" s="559"/>
      <c r="OII23" s="559"/>
      <c r="OIJ23" s="559"/>
      <c r="OIK23" s="559"/>
      <c r="OIL23" s="559"/>
      <c r="OIM23" s="559"/>
      <c r="OIN23" s="559"/>
      <c r="OIO23" s="559"/>
      <c r="OIP23" s="559"/>
      <c r="OIQ23" s="559"/>
      <c r="OIR23" s="559"/>
      <c r="OIS23" s="559"/>
      <c r="OIT23" s="559"/>
      <c r="OIU23" s="559"/>
      <c r="OIV23" s="559"/>
      <c r="OIW23" s="559"/>
      <c r="OIX23" s="559"/>
      <c r="OIY23" s="559"/>
      <c r="OIZ23" s="559"/>
      <c r="OJA23" s="559"/>
      <c r="OJB23" s="559"/>
      <c r="OJC23" s="559"/>
      <c r="OJD23" s="559"/>
      <c r="OJE23" s="559"/>
      <c r="OJF23" s="559"/>
      <c r="OJG23" s="559"/>
      <c r="OJH23" s="559"/>
      <c r="OJI23" s="559"/>
      <c r="OJJ23" s="559"/>
      <c r="OJK23" s="559"/>
      <c r="OJL23" s="559"/>
      <c r="OJM23" s="559"/>
      <c r="OJN23" s="559"/>
      <c r="OJO23" s="559"/>
      <c r="OJP23" s="559"/>
      <c r="OJQ23" s="559"/>
      <c r="OJR23" s="559"/>
      <c r="OJS23" s="559"/>
      <c r="OJT23" s="559"/>
      <c r="OJU23" s="559"/>
      <c r="OJV23" s="559"/>
      <c r="OJW23" s="559"/>
      <c r="OJX23" s="559"/>
      <c r="OJY23" s="559"/>
      <c r="OJZ23" s="559"/>
      <c r="OKA23" s="559"/>
      <c r="OKB23" s="559"/>
      <c r="OKC23" s="559"/>
      <c r="OKD23" s="559"/>
      <c r="OKE23" s="559"/>
      <c r="OKF23" s="559"/>
      <c r="OKG23" s="559"/>
      <c r="OKH23" s="559"/>
      <c r="OKI23" s="559"/>
      <c r="OKJ23" s="559"/>
      <c r="OKK23" s="559"/>
      <c r="OKL23" s="559"/>
      <c r="OKM23" s="559"/>
      <c r="OKN23" s="559"/>
      <c r="OKO23" s="559"/>
      <c r="OKP23" s="559"/>
      <c r="OKQ23" s="559"/>
      <c r="OKR23" s="559"/>
      <c r="OKS23" s="559"/>
      <c r="OKT23" s="559"/>
      <c r="OKU23" s="559"/>
      <c r="OKV23" s="559"/>
      <c r="OKW23" s="559"/>
      <c r="OKX23" s="559"/>
      <c r="OKY23" s="559"/>
      <c r="OKZ23" s="559"/>
      <c r="OLA23" s="559"/>
      <c r="OLB23" s="559"/>
      <c r="OLC23" s="559"/>
      <c r="OLD23" s="559"/>
      <c r="OLE23" s="559"/>
      <c r="OLF23" s="559"/>
      <c r="OLG23" s="559"/>
      <c r="OLH23" s="559"/>
      <c r="OLI23" s="559"/>
      <c r="OLJ23" s="559"/>
      <c r="OLK23" s="559"/>
      <c r="OLL23" s="559"/>
      <c r="OLM23" s="559"/>
      <c r="OLN23" s="559"/>
      <c r="OLO23" s="559"/>
      <c r="OLP23" s="559"/>
      <c r="OLQ23" s="559"/>
      <c r="OLR23" s="559"/>
      <c r="OLS23" s="559"/>
      <c r="OLT23" s="559"/>
      <c r="OLU23" s="559"/>
      <c r="OLV23" s="559"/>
      <c r="OLW23" s="559"/>
      <c r="OLX23" s="559"/>
      <c r="OLY23" s="559"/>
      <c r="OLZ23" s="559"/>
      <c r="OMA23" s="559"/>
      <c r="OMB23" s="559"/>
      <c r="OMC23" s="559"/>
      <c r="OMD23" s="559"/>
      <c r="OME23" s="559"/>
      <c r="OMF23" s="559"/>
      <c r="OMG23" s="559"/>
      <c r="OMH23" s="559"/>
      <c r="OMI23" s="559"/>
      <c r="OMJ23" s="559"/>
      <c r="OMK23" s="559"/>
      <c r="OML23" s="559"/>
      <c r="OMM23" s="559"/>
      <c r="OMN23" s="559"/>
      <c r="OMO23" s="559"/>
      <c r="OMP23" s="559"/>
      <c r="OMQ23" s="559"/>
      <c r="OMR23" s="559"/>
      <c r="OMS23" s="559"/>
      <c r="OMT23" s="559"/>
      <c r="OMU23" s="559"/>
      <c r="OMV23" s="559"/>
      <c r="OMW23" s="559"/>
      <c r="OMX23" s="559"/>
      <c r="OMY23" s="559"/>
      <c r="OMZ23" s="559"/>
      <c r="ONA23" s="559"/>
      <c r="ONB23" s="559"/>
      <c r="ONC23" s="559"/>
      <c r="OND23" s="559"/>
      <c r="ONE23" s="559"/>
      <c r="ONF23" s="559"/>
      <c r="ONG23" s="559"/>
      <c r="ONH23" s="559"/>
      <c r="ONI23" s="559"/>
      <c r="ONJ23" s="559"/>
      <c r="ONK23" s="559"/>
      <c r="ONL23" s="559"/>
      <c r="ONM23" s="559"/>
      <c r="ONN23" s="559"/>
      <c r="ONO23" s="559"/>
      <c r="ONP23" s="559"/>
      <c r="ONQ23" s="559"/>
      <c r="ONR23" s="559"/>
      <c r="ONS23" s="559"/>
      <c r="ONT23" s="559"/>
      <c r="ONU23" s="559"/>
      <c r="ONV23" s="559"/>
      <c r="ONW23" s="559"/>
      <c r="ONX23" s="559"/>
      <c r="ONY23" s="559"/>
      <c r="ONZ23" s="559"/>
      <c r="OOA23" s="559"/>
      <c r="OOB23" s="559"/>
      <c r="OOC23" s="559"/>
      <c r="OOD23" s="559"/>
      <c r="OOE23" s="559"/>
      <c r="OOF23" s="559"/>
      <c r="OOG23" s="559"/>
      <c r="OOH23" s="559"/>
      <c r="OOI23" s="559"/>
      <c r="OOJ23" s="559"/>
      <c r="OOK23" s="559"/>
      <c r="OOL23" s="559"/>
      <c r="OOM23" s="559"/>
      <c r="OON23" s="559"/>
      <c r="OOO23" s="559"/>
      <c r="OOP23" s="559"/>
      <c r="OOQ23" s="559"/>
      <c r="OOR23" s="559"/>
      <c r="OOS23" s="559"/>
      <c r="OOT23" s="559"/>
      <c r="OOU23" s="559"/>
      <c r="OOV23" s="559"/>
      <c r="OOW23" s="559"/>
      <c r="OOX23" s="559"/>
      <c r="OOY23" s="559"/>
      <c r="OOZ23" s="559"/>
      <c r="OPA23" s="559"/>
      <c r="OPB23" s="559"/>
      <c r="OPC23" s="559"/>
      <c r="OPD23" s="559"/>
      <c r="OPE23" s="559"/>
      <c r="OPF23" s="559"/>
      <c r="OPG23" s="559"/>
      <c r="OPH23" s="559"/>
      <c r="OPI23" s="559"/>
      <c r="OPJ23" s="559"/>
      <c r="OPK23" s="559"/>
      <c r="OPL23" s="559"/>
      <c r="OPM23" s="559"/>
      <c r="OPN23" s="559"/>
      <c r="OPO23" s="559"/>
      <c r="OPP23" s="559"/>
      <c r="OPQ23" s="559"/>
      <c r="OPR23" s="559"/>
      <c r="OPS23" s="559"/>
      <c r="OPT23" s="559"/>
      <c r="OPU23" s="559"/>
      <c r="OPV23" s="559"/>
      <c r="OPW23" s="559"/>
      <c r="OPX23" s="559"/>
      <c r="OPY23" s="559"/>
      <c r="OPZ23" s="559"/>
      <c r="OQA23" s="559"/>
      <c r="OQB23" s="559"/>
      <c r="OQC23" s="559"/>
      <c r="OQD23" s="559"/>
      <c r="OQE23" s="559"/>
      <c r="OQF23" s="559"/>
      <c r="OQG23" s="559"/>
      <c r="OQH23" s="559"/>
      <c r="OQI23" s="559"/>
      <c r="OQJ23" s="559"/>
      <c r="OQK23" s="559"/>
      <c r="OQL23" s="559"/>
      <c r="OQM23" s="559"/>
      <c r="OQN23" s="559"/>
      <c r="OQO23" s="559"/>
      <c r="OQP23" s="559"/>
      <c r="OQQ23" s="559"/>
      <c r="OQR23" s="559"/>
      <c r="OQS23" s="559"/>
      <c r="OQT23" s="559"/>
      <c r="OQU23" s="559"/>
      <c r="OQV23" s="559"/>
      <c r="OQW23" s="559"/>
      <c r="OQX23" s="559"/>
      <c r="OQY23" s="559"/>
      <c r="OQZ23" s="559"/>
      <c r="ORA23" s="559"/>
      <c r="ORB23" s="559"/>
      <c r="ORC23" s="559"/>
      <c r="ORD23" s="559"/>
      <c r="ORE23" s="559"/>
      <c r="ORF23" s="559"/>
      <c r="ORG23" s="559"/>
      <c r="ORH23" s="559"/>
      <c r="ORI23" s="559"/>
      <c r="ORJ23" s="559"/>
      <c r="ORK23" s="559"/>
      <c r="ORL23" s="559"/>
      <c r="ORM23" s="559"/>
      <c r="ORN23" s="559"/>
      <c r="ORO23" s="559"/>
      <c r="ORP23" s="559"/>
      <c r="ORQ23" s="559"/>
      <c r="ORR23" s="559"/>
      <c r="ORS23" s="559"/>
      <c r="ORT23" s="559"/>
      <c r="ORU23" s="559"/>
      <c r="ORV23" s="559"/>
      <c r="ORW23" s="559"/>
      <c r="ORX23" s="559"/>
      <c r="ORY23" s="559"/>
      <c r="ORZ23" s="559"/>
      <c r="OSA23" s="559"/>
      <c r="OSB23" s="559"/>
      <c r="OSC23" s="559"/>
      <c r="OSD23" s="559"/>
      <c r="OSE23" s="559"/>
      <c r="OSF23" s="559"/>
      <c r="OSG23" s="559"/>
      <c r="OSH23" s="559"/>
      <c r="OSI23" s="559"/>
      <c r="OSJ23" s="559"/>
      <c r="OSK23" s="559"/>
      <c r="OSL23" s="559"/>
      <c r="OSM23" s="559"/>
      <c r="OSN23" s="559"/>
      <c r="OSO23" s="559"/>
      <c r="OSP23" s="559"/>
      <c r="OSQ23" s="559"/>
      <c r="OSR23" s="559"/>
      <c r="OSS23" s="559"/>
      <c r="OST23" s="559"/>
      <c r="OSU23" s="559"/>
      <c r="OSV23" s="559"/>
      <c r="OSW23" s="559"/>
      <c r="OSX23" s="559"/>
      <c r="OSY23" s="559"/>
      <c r="OSZ23" s="559"/>
      <c r="OTA23" s="559"/>
      <c r="OTB23" s="559"/>
      <c r="OTC23" s="559"/>
      <c r="OTD23" s="559"/>
      <c r="OTE23" s="559"/>
      <c r="OTF23" s="559"/>
      <c r="OTG23" s="559"/>
      <c r="OTH23" s="559"/>
      <c r="OTI23" s="559"/>
      <c r="OTJ23" s="559"/>
      <c r="OTK23" s="559"/>
      <c r="OTL23" s="559"/>
      <c r="OTM23" s="559"/>
      <c r="OTN23" s="559"/>
      <c r="OTO23" s="559"/>
      <c r="OTP23" s="559"/>
      <c r="OTQ23" s="559"/>
      <c r="OTR23" s="559"/>
      <c r="OTS23" s="559"/>
      <c r="OTT23" s="559"/>
      <c r="OTU23" s="559"/>
      <c r="OTV23" s="559"/>
      <c r="OTW23" s="559"/>
      <c r="OTX23" s="559"/>
      <c r="OTY23" s="559"/>
      <c r="OTZ23" s="559"/>
      <c r="OUA23" s="559"/>
      <c r="OUB23" s="559"/>
      <c r="OUC23" s="559"/>
      <c r="OUD23" s="559"/>
      <c r="OUE23" s="559"/>
      <c r="OUF23" s="559"/>
      <c r="OUG23" s="559"/>
      <c r="OUH23" s="559"/>
      <c r="OUI23" s="559"/>
      <c r="OUJ23" s="559"/>
      <c r="OUK23" s="559"/>
      <c r="OUL23" s="559"/>
      <c r="OUM23" s="559"/>
      <c r="OUN23" s="559"/>
      <c r="OUO23" s="559"/>
      <c r="OUP23" s="559"/>
      <c r="OUQ23" s="559"/>
      <c r="OUR23" s="559"/>
      <c r="OUS23" s="559"/>
      <c r="OUT23" s="559"/>
      <c r="OUU23" s="559"/>
      <c r="OUV23" s="559"/>
      <c r="OUW23" s="559"/>
      <c r="OUX23" s="559"/>
      <c r="OUY23" s="559"/>
      <c r="OUZ23" s="559"/>
      <c r="OVA23" s="559"/>
      <c r="OVB23" s="559"/>
      <c r="OVC23" s="559"/>
      <c r="OVD23" s="559"/>
      <c r="OVE23" s="559"/>
      <c r="OVF23" s="559"/>
      <c r="OVG23" s="559"/>
      <c r="OVH23" s="559"/>
      <c r="OVI23" s="559"/>
      <c r="OVJ23" s="559"/>
      <c r="OVK23" s="559"/>
      <c r="OVL23" s="559"/>
      <c r="OVM23" s="559"/>
      <c r="OVN23" s="559"/>
      <c r="OVO23" s="559"/>
      <c r="OVP23" s="559"/>
      <c r="OVQ23" s="559"/>
      <c r="OVR23" s="559"/>
      <c r="OVS23" s="559"/>
      <c r="OVT23" s="559"/>
      <c r="OVU23" s="559"/>
      <c r="OVV23" s="559"/>
      <c r="OVW23" s="559"/>
      <c r="OVX23" s="559"/>
      <c r="OVY23" s="559"/>
      <c r="OVZ23" s="559"/>
      <c r="OWA23" s="559"/>
      <c r="OWB23" s="559"/>
      <c r="OWC23" s="559"/>
      <c r="OWD23" s="559"/>
      <c r="OWE23" s="559"/>
      <c r="OWF23" s="559"/>
      <c r="OWG23" s="559"/>
      <c r="OWH23" s="559"/>
      <c r="OWI23" s="559"/>
      <c r="OWJ23" s="559"/>
      <c r="OWK23" s="559"/>
      <c r="OWL23" s="559"/>
      <c r="OWM23" s="559"/>
      <c r="OWN23" s="559"/>
      <c r="OWO23" s="559"/>
      <c r="OWP23" s="559"/>
      <c r="OWQ23" s="559"/>
      <c r="OWR23" s="559"/>
      <c r="OWS23" s="559"/>
      <c r="OWT23" s="559"/>
      <c r="OWU23" s="559"/>
      <c r="OWV23" s="559"/>
      <c r="OWW23" s="559"/>
      <c r="OWX23" s="559"/>
      <c r="OWY23" s="559"/>
      <c r="OWZ23" s="559"/>
      <c r="OXA23" s="559"/>
      <c r="OXB23" s="559"/>
      <c r="OXC23" s="559"/>
      <c r="OXD23" s="559"/>
      <c r="OXE23" s="559"/>
      <c r="OXF23" s="559"/>
      <c r="OXG23" s="559"/>
      <c r="OXH23" s="559"/>
      <c r="OXI23" s="559"/>
      <c r="OXJ23" s="559"/>
      <c r="OXK23" s="559"/>
      <c r="OXL23" s="559"/>
      <c r="OXM23" s="559"/>
      <c r="OXN23" s="559"/>
      <c r="OXO23" s="559"/>
      <c r="OXP23" s="559"/>
      <c r="OXQ23" s="559"/>
      <c r="OXR23" s="559"/>
      <c r="OXS23" s="559"/>
      <c r="OXT23" s="559"/>
      <c r="OXU23" s="559"/>
      <c r="OXV23" s="559"/>
      <c r="OXW23" s="559"/>
      <c r="OXX23" s="559"/>
      <c r="OXY23" s="559"/>
      <c r="OXZ23" s="559"/>
      <c r="OYA23" s="559"/>
      <c r="OYB23" s="559"/>
      <c r="OYC23" s="559"/>
      <c r="OYD23" s="559"/>
      <c r="OYE23" s="559"/>
      <c r="OYF23" s="559"/>
      <c r="OYG23" s="559"/>
      <c r="OYH23" s="559"/>
      <c r="OYI23" s="559"/>
      <c r="OYJ23" s="559"/>
      <c r="OYK23" s="559"/>
      <c r="OYL23" s="559"/>
      <c r="OYM23" s="559"/>
      <c r="OYN23" s="559"/>
      <c r="OYO23" s="559"/>
      <c r="OYP23" s="559"/>
      <c r="OYQ23" s="559"/>
      <c r="OYR23" s="559"/>
      <c r="OYS23" s="559"/>
      <c r="OYT23" s="559"/>
      <c r="OYU23" s="559"/>
      <c r="OYV23" s="559"/>
      <c r="OYW23" s="559"/>
      <c r="OYX23" s="559"/>
      <c r="OYY23" s="559"/>
      <c r="OYZ23" s="559"/>
      <c r="OZA23" s="559"/>
      <c r="OZB23" s="559"/>
      <c r="OZC23" s="559"/>
      <c r="OZD23" s="559"/>
      <c r="OZE23" s="559"/>
      <c r="OZF23" s="559"/>
      <c r="OZG23" s="559"/>
      <c r="OZH23" s="559"/>
      <c r="OZI23" s="559"/>
      <c r="OZJ23" s="559"/>
      <c r="OZK23" s="559"/>
      <c r="OZL23" s="559"/>
      <c r="OZM23" s="559"/>
      <c r="OZN23" s="559"/>
      <c r="OZO23" s="559"/>
      <c r="OZP23" s="559"/>
      <c r="OZQ23" s="559"/>
      <c r="OZR23" s="559"/>
      <c r="OZS23" s="559"/>
      <c r="OZT23" s="559"/>
      <c r="OZU23" s="559"/>
      <c r="OZV23" s="559"/>
      <c r="OZW23" s="559"/>
      <c r="OZX23" s="559"/>
      <c r="OZY23" s="559"/>
      <c r="OZZ23" s="559"/>
      <c r="PAA23" s="559"/>
      <c r="PAB23" s="559"/>
      <c r="PAC23" s="559"/>
      <c r="PAD23" s="559"/>
      <c r="PAE23" s="559"/>
      <c r="PAF23" s="559"/>
      <c r="PAG23" s="559"/>
      <c r="PAH23" s="559"/>
      <c r="PAI23" s="559"/>
      <c r="PAJ23" s="559"/>
      <c r="PAK23" s="559"/>
      <c r="PAL23" s="559"/>
      <c r="PAM23" s="559"/>
      <c r="PAN23" s="559"/>
      <c r="PAO23" s="559"/>
      <c r="PAP23" s="559"/>
      <c r="PAQ23" s="559"/>
      <c r="PAR23" s="559"/>
      <c r="PAS23" s="559"/>
      <c r="PAT23" s="559"/>
      <c r="PAU23" s="559"/>
      <c r="PAV23" s="559"/>
      <c r="PAW23" s="559"/>
      <c r="PAX23" s="559"/>
      <c r="PAY23" s="559"/>
      <c r="PAZ23" s="559"/>
      <c r="PBA23" s="559"/>
      <c r="PBB23" s="559"/>
      <c r="PBC23" s="559"/>
      <c r="PBD23" s="559"/>
      <c r="PBE23" s="559"/>
      <c r="PBF23" s="559"/>
      <c r="PBG23" s="559"/>
      <c r="PBH23" s="559"/>
      <c r="PBI23" s="559"/>
      <c r="PBJ23" s="559"/>
      <c r="PBK23" s="559"/>
      <c r="PBL23" s="559"/>
      <c r="PBM23" s="559"/>
      <c r="PBN23" s="559"/>
      <c r="PBO23" s="559"/>
      <c r="PBP23" s="559"/>
      <c r="PBQ23" s="559"/>
      <c r="PBR23" s="559"/>
      <c r="PBS23" s="559"/>
      <c r="PBT23" s="559"/>
      <c r="PBU23" s="559"/>
      <c r="PBV23" s="559"/>
      <c r="PBW23" s="559"/>
      <c r="PBX23" s="559"/>
      <c r="PBY23" s="559"/>
      <c r="PBZ23" s="559"/>
      <c r="PCA23" s="559"/>
      <c r="PCB23" s="559"/>
      <c r="PCC23" s="559"/>
      <c r="PCD23" s="559"/>
      <c r="PCE23" s="559"/>
      <c r="PCF23" s="559"/>
      <c r="PCG23" s="559"/>
      <c r="PCH23" s="559"/>
      <c r="PCI23" s="559"/>
      <c r="PCJ23" s="559"/>
      <c r="PCK23" s="559"/>
      <c r="PCL23" s="559"/>
      <c r="PCM23" s="559"/>
      <c r="PCN23" s="559"/>
      <c r="PCO23" s="559"/>
      <c r="PCP23" s="559"/>
      <c r="PCQ23" s="559"/>
      <c r="PCR23" s="559"/>
      <c r="PCS23" s="559"/>
      <c r="PCT23" s="559"/>
      <c r="PCU23" s="559"/>
      <c r="PCV23" s="559"/>
      <c r="PCW23" s="559"/>
      <c r="PCX23" s="559"/>
      <c r="PCY23" s="559"/>
      <c r="PCZ23" s="559"/>
      <c r="PDA23" s="559"/>
      <c r="PDB23" s="559"/>
      <c r="PDC23" s="559"/>
      <c r="PDD23" s="559"/>
      <c r="PDE23" s="559"/>
      <c r="PDF23" s="559"/>
      <c r="PDG23" s="559"/>
      <c r="PDH23" s="559"/>
      <c r="PDI23" s="559"/>
      <c r="PDJ23" s="559"/>
      <c r="PDK23" s="559"/>
      <c r="PDL23" s="559"/>
      <c r="PDM23" s="559"/>
      <c r="PDN23" s="559"/>
      <c r="PDO23" s="559"/>
      <c r="PDP23" s="559"/>
      <c r="PDQ23" s="559"/>
      <c r="PDR23" s="559"/>
      <c r="PDS23" s="559"/>
      <c r="PDT23" s="559"/>
      <c r="PDU23" s="559"/>
      <c r="PDV23" s="559"/>
      <c r="PDW23" s="559"/>
      <c r="PDX23" s="559"/>
      <c r="PDY23" s="559"/>
      <c r="PDZ23" s="559"/>
      <c r="PEA23" s="559"/>
      <c r="PEB23" s="559"/>
      <c r="PEC23" s="559"/>
      <c r="PED23" s="559"/>
      <c r="PEE23" s="559"/>
      <c r="PEF23" s="559"/>
      <c r="PEG23" s="559"/>
      <c r="PEH23" s="559"/>
      <c r="PEI23" s="559"/>
      <c r="PEJ23" s="559"/>
      <c r="PEK23" s="559"/>
      <c r="PEL23" s="559"/>
      <c r="PEM23" s="559"/>
      <c r="PEN23" s="559"/>
      <c r="PEO23" s="559"/>
      <c r="PEP23" s="559"/>
      <c r="PEQ23" s="559"/>
      <c r="PER23" s="559"/>
      <c r="PES23" s="559"/>
      <c r="PET23" s="559"/>
      <c r="PEU23" s="559"/>
      <c r="PEV23" s="559"/>
      <c r="PEW23" s="559"/>
      <c r="PEX23" s="559"/>
      <c r="PEY23" s="559"/>
      <c r="PEZ23" s="559"/>
      <c r="PFA23" s="559"/>
      <c r="PFB23" s="559"/>
      <c r="PFC23" s="559"/>
      <c r="PFD23" s="559"/>
      <c r="PFE23" s="559"/>
      <c r="PFF23" s="559"/>
      <c r="PFG23" s="559"/>
      <c r="PFH23" s="559"/>
      <c r="PFI23" s="559"/>
      <c r="PFJ23" s="559"/>
      <c r="PFK23" s="559"/>
      <c r="PFL23" s="559"/>
      <c r="PFM23" s="559"/>
      <c r="PFN23" s="559"/>
      <c r="PFO23" s="559"/>
      <c r="PFP23" s="559"/>
      <c r="PFQ23" s="559"/>
      <c r="PFR23" s="559"/>
      <c r="PFS23" s="559"/>
      <c r="PFT23" s="559"/>
      <c r="PFU23" s="559"/>
      <c r="PFV23" s="559"/>
      <c r="PFW23" s="559"/>
      <c r="PFX23" s="559"/>
      <c r="PFY23" s="559"/>
      <c r="PFZ23" s="559"/>
      <c r="PGA23" s="559"/>
      <c r="PGB23" s="559"/>
      <c r="PGC23" s="559"/>
      <c r="PGD23" s="559"/>
      <c r="PGE23" s="559"/>
      <c r="PGF23" s="559"/>
      <c r="PGG23" s="559"/>
      <c r="PGH23" s="559"/>
      <c r="PGI23" s="559"/>
      <c r="PGJ23" s="559"/>
      <c r="PGK23" s="559"/>
      <c r="PGL23" s="559"/>
      <c r="PGM23" s="559"/>
      <c r="PGN23" s="559"/>
      <c r="PGO23" s="559"/>
      <c r="PGP23" s="559"/>
      <c r="PGQ23" s="559"/>
      <c r="PGR23" s="559"/>
      <c r="PGS23" s="559"/>
      <c r="PGT23" s="559"/>
      <c r="PGU23" s="559"/>
      <c r="PGV23" s="559"/>
      <c r="PGW23" s="559"/>
      <c r="PGX23" s="559"/>
      <c r="PGY23" s="559"/>
      <c r="PGZ23" s="559"/>
      <c r="PHA23" s="559"/>
      <c r="PHB23" s="559"/>
      <c r="PHC23" s="559"/>
      <c r="PHD23" s="559"/>
      <c r="PHE23" s="559"/>
      <c r="PHF23" s="559"/>
      <c r="PHG23" s="559"/>
      <c r="PHH23" s="559"/>
      <c r="PHI23" s="559"/>
      <c r="PHJ23" s="559"/>
      <c r="PHK23" s="559"/>
      <c r="PHL23" s="559"/>
      <c r="PHM23" s="559"/>
      <c r="PHN23" s="559"/>
      <c r="PHO23" s="559"/>
      <c r="PHP23" s="559"/>
      <c r="PHQ23" s="559"/>
      <c r="PHR23" s="559"/>
      <c r="PHS23" s="559"/>
      <c r="PHT23" s="559"/>
      <c r="PHU23" s="559"/>
      <c r="PHV23" s="559"/>
      <c r="PHW23" s="559"/>
      <c r="PHX23" s="559"/>
      <c r="PHY23" s="559"/>
      <c r="PHZ23" s="559"/>
      <c r="PIA23" s="559"/>
      <c r="PIB23" s="559"/>
      <c r="PIC23" s="559"/>
      <c r="PID23" s="559"/>
      <c r="PIE23" s="559"/>
      <c r="PIF23" s="559"/>
      <c r="PIG23" s="559"/>
      <c r="PIH23" s="559"/>
      <c r="PII23" s="559"/>
      <c r="PIJ23" s="559"/>
      <c r="PIK23" s="559"/>
      <c r="PIL23" s="559"/>
      <c r="PIM23" s="559"/>
      <c r="PIN23" s="559"/>
      <c r="PIO23" s="559"/>
      <c r="PIP23" s="559"/>
      <c r="PIQ23" s="559"/>
      <c r="PIR23" s="559"/>
      <c r="PIS23" s="559"/>
      <c r="PIT23" s="559"/>
      <c r="PIU23" s="559"/>
      <c r="PIV23" s="559"/>
      <c r="PIW23" s="559"/>
      <c r="PIX23" s="559"/>
      <c r="PIY23" s="559"/>
      <c r="PIZ23" s="559"/>
      <c r="PJA23" s="559"/>
      <c r="PJB23" s="559"/>
      <c r="PJC23" s="559"/>
      <c r="PJD23" s="559"/>
      <c r="PJE23" s="559"/>
      <c r="PJF23" s="559"/>
      <c r="PJG23" s="559"/>
      <c r="PJH23" s="559"/>
      <c r="PJI23" s="559"/>
      <c r="PJJ23" s="559"/>
      <c r="PJK23" s="559"/>
      <c r="PJL23" s="559"/>
      <c r="PJM23" s="559"/>
      <c r="PJN23" s="559"/>
      <c r="PJO23" s="559"/>
      <c r="PJP23" s="559"/>
      <c r="PJQ23" s="559"/>
      <c r="PJR23" s="559"/>
      <c r="PJS23" s="559"/>
      <c r="PJT23" s="559"/>
      <c r="PJU23" s="559"/>
      <c r="PJV23" s="559"/>
      <c r="PJW23" s="559"/>
      <c r="PJX23" s="559"/>
      <c r="PJY23" s="559"/>
      <c r="PJZ23" s="559"/>
      <c r="PKA23" s="559"/>
      <c r="PKB23" s="559"/>
      <c r="PKC23" s="559"/>
      <c r="PKD23" s="559"/>
      <c r="PKE23" s="559"/>
      <c r="PKF23" s="559"/>
      <c r="PKG23" s="559"/>
      <c r="PKH23" s="559"/>
      <c r="PKI23" s="559"/>
      <c r="PKJ23" s="559"/>
      <c r="PKK23" s="559"/>
      <c r="PKL23" s="559"/>
      <c r="PKM23" s="559"/>
      <c r="PKN23" s="559"/>
      <c r="PKO23" s="559"/>
      <c r="PKP23" s="559"/>
      <c r="PKQ23" s="559"/>
      <c r="PKR23" s="559"/>
      <c r="PKS23" s="559"/>
      <c r="PKT23" s="559"/>
      <c r="PKU23" s="559"/>
      <c r="PKV23" s="559"/>
      <c r="PKW23" s="559"/>
      <c r="PKX23" s="559"/>
      <c r="PKY23" s="559"/>
      <c r="PKZ23" s="559"/>
      <c r="PLA23" s="559"/>
      <c r="PLB23" s="559"/>
      <c r="PLC23" s="559"/>
      <c r="PLD23" s="559"/>
      <c r="PLE23" s="559"/>
      <c r="PLF23" s="559"/>
      <c r="PLG23" s="559"/>
      <c r="PLH23" s="559"/>
      <c r="PLI23" s="559"/>
      <c r="PLJ23" s="559"/>
      <c r="PLK23" s="559"/>
      <c r="PLL23" s="559"/>
      <c r="PLM23" s="559"/>
      <c r="PLN23" s="559"/>
      <c r="PLO23" s="559"/>
      <c r="PLP23" s="559"/>
      <c r="PLQ23" s="559"/>
      <c r="PLR23" s="559"/>
      <c r="PLS23" s="559"/>
      <c r="PLT23" s="559"/>
      <c r="PLU23" s="559"/>
      <c r="PLV23" s="559"/>
      <c r="PLW23" s="559"/>
      <c r="PLX23" s="559"/>
      <c r="PLY23" s="559"/>
      <c r="PLZ23" s="559"/>
      <c r="PMA23" s="559"/>
      <c r="PMB23" s="559"/>
      <c r="PMC23" s="559"/>
      <c r="PMD23" s="559"/>
      <c r="PME23" s="559"/>
      <c r="PMF23" s="559"/>
      <c r="PMG23" s="559"/>
      <c r="PMH23" s="559"/>
      <c r="PMI23" s="559"/>
      <c r="PMJ23" s="559"/>
      <c r="PMK23" s="559"/>
      <c r="PML23" s="559"/>
      <c r="PMM23" s="559"/>
      <c r="PMN23" s="559"/>
      <c r="PMO23" s="559"/>
      <c r="PMP23" s="559"/>
      <c r="PMQ23" s="559"/>
      <c r="PMR23" s="559"/>
      <c r="PMS23" s="559"/>
      <c r="PMT23" s="559"/>
      <c r="PMU23" s="559"/>
      <c r="PMV23" s="559"/>
      <c r="PMW23" s="559"/>
      <c r="PMX23" s="559"/>
      <c r="PMY23" s="559"/>
      <c r="PMZ23" s="559"/>
      <c r="PNA23" s="559"/>
      <c r="PNB23" s="559"/>
      <c r="PNC23" s="559"/>
      <c r="PND23" s="559"/>
      <c r="PNE23" s="559"/>
      <c r="PNF23" s="559"/>
      <c r="PNG23" s="559"/>
      <c r="PNH23" s="559"/>
      <c r="PNI23" s="559"/>
      <c r="PNJ23" s="559"/>
      <c r="PNK23" s="559"/>
      <c r="PNL23" s="559"/>
      <c r="PNM23" s="559"/>
      <c r="PNN23" s="559"/>
      <c r="PNO23" s="559"/>
      <c r="PNP23" s="559"/>
      <c r="PNQ23" s="559"/>
      <c r="PNR23" s="559"/>
      <c r="PNS23" s="559"/>
      <c r="PNT23" s="559"/>
      <c r="PNU23" s="559"/>
      <c r="PNV23" s="559"/>
      <c r="PNW23" s="559"/>
      <c r="PNX23" s="559"/>
      <c r="PNY23" s="559"/>
      <c r="PNZ23" s="559"/>
      <c r="POA23" s="559"/>
      <c r="POB23" s="559"/>
      <c r="POC23" s="559"/>
      <c r="POD23" s="559"/>
      <c r="POE23" s="559"/>
      <c r="POF23" s="559"/>
      <c r="POG23" s="559"/>
      <c r="POH23" s="559"/>
      <c r="POI23" s="559"/>
      <c r="POJ23" s="559"/>
      <c r="POK23" s="559"/>
      <c r="POL23" s="559"/>
      <c r="POM23" s="559"/>
      <c r="PON23" s="559"/>
      <c r="POO23" s="559"/>
      <c r="POP23" s="559"/>
      <c r="POQ23" s="559"/>
      <c r="POR23" s="559"/>
      <c r="POS23" s="559"/>
      <c r="POT23" s="559"/>
      <c r="POU23" s="559"/>
      <c r="POV23" s="559"/>
      <c r="POW23" s="559"/>
      <c r="POX23" s="559"/>
      <c r="POY23" s="559"/>
      <c r="POZ23" s="559"/>
      <c r="PPA23" s="559"/>
      <c r="PPB23" s="559"/>
      <c r="PPC23" s="559"/>
      <c r="PPD23" s="559"/>
      <c r="PPE23" s="559"/>
      <c r="PPF23" s="559"/>
      <c r="PPG23" s="559"/>
      <c r="PPH23" s="559"/>
      <c r="PPI23" s="559"/>
      <c r="PPJ23" s="559"/>
      <c r="PPK23" s="559"/>
      <c r="PPL23" s="559"/>
      <c r="PPM23" s="559"/>
      <c r="PPN23" s="559"/>
      <c r="PPO23" s="559"/>
      <c r="PPP23" s="559"/>
      <c r="PPQ23" s="559"/>
      <c r="PPR23" s="559"/>
      <c r="PPS23" s="559"/>
      <c r="PPT23" s="559"/>
      <c r="PPU23" s="559"/>
      <c r="PPV23" s="559"/>
      <c r="PPW23" s="559"/>
      <c r="PPX23" s="559"/>
      <c r="PPY23" s="559"/>
      <c r="PPZ23" s="559"/>
      <c r="PQA23" s="559"/>
      <c r="PQB23" s="559"/>
      <c r="PQC23" s="559"/>
      <c r="PQD23" s="559"/>
      <c r="PQE23" s="559"/>
      <c r="PQF23" s="559"/>
      <c r="PQG23" s="559"/>
      <c r="PQH23" s="559"/>
      <c r="PQI23" s="559"/>
      <c r="PQJ23" s="559"/>
      <c r="PQK23" s="559"/>
      <c r="PQL23" s="559"/>
      <c r="PQM23" s="559"/>
      <c r="PQN23" s="559"/>
      <c r="PQO23" s="559"/>
      <c r="PQP23" s="559"/>
      <c r="PQQ23" s="559"/>
      <c r="PQR23" s="559"/>
      <c r="PQS23" s="559"/>
      <c r="PQT23" s="559"/>
      <c r="PQU23" s="559"/>
      <c r="PQV23" s="559"/>
      <c r="PQW23" s="559"/>
      <c r="PQX23" s="559"/>
      <c r="PQY23" s="559"/>
      <c r="PQZ23" s="559"/>
      <c r="PRA23" s="559"/>
      <c r="PRB23" s="559"/>
      <c r="PRC23" s="559"/>
      <c r="PRD23" s="559"/>
      <c r="PRE23" s="559"/>
      <c r="PRF23" s="559"/>
      <c r="PRG23" s="559"/>
      <c r="PRH23" s="559"/>
      <c r="PRI23" s="559"/>
      <c r="PRJ23" s="559"/>
      <c r="PRK23" s="559"/>
      <c r="PRL23" s="559"/>
      <c r="PRM23" s="559"/>
      <c r="PRN23" s="559"/>
      <c r="PRO23" s="559"/>
      <c r="PRP23" s="559"/>
      <c r="PRQ23" s="559"/>
      <c r="PRR23" s="559"/>
      <c r="PRS23" s="559"/>
      <c r="PRT23" s="559"/>
      <c r="PRU23" s="559"/>
      <c r="PRV23" s="559"/>
      <c r="PRW23" s="559"/>
      <c r="PRX23" s="559"/>
      <c r="PRY23" s="559"/>
      <c r="PRZ23" s="559"/>
      <c r="PSA23" s="559"/>
      <c r="PSB23" s="559"/>
      <c r="PSC23" s="559"/>
      <c r="PSD23" s="559"/>
      <c r="PSE23" s="559"/>
      <c r="PSF23" s="559"/>
      <c r="PSG23" s="559"/>
      <c r="PSH23" s="559"/>
      <c r="PSI23" s="559"/>
      <c r="PSJ23" s="559"/>
      <c r="PSK23" s="559"/>
      <c r="PSL23" s="559"/>
      <c r="PSM23" s="559"/>
      <c r="PSN23" s="559"/>
      <c r="PSO23" s="559"/>
      <c r="PSP23" s="559"/>
      <c r="PSQ23" s="559"/>
      <c r="PSR23" s="559"/>
      <c r="PSS23" s="559"/>
      <c r="PST23" s="559"/>
      <c r="PSU23" s="559"/>
      <c r="PSV23" s="559"/>
      <c r="PSW23" s="559"/>
      <c r="PSX23" s="559"/>
      <c r="PSY23" s="559"/>
      <c r="PSZ23" s="559"/>
      <c r="PTA23" s="559"/>
      <c r="PTB23" s="559"/>
      <c r="PTC23" s="559"/>
      <c r="PTD23" s="559"/>
      <c r="PTE23" s="559"/>
      <c r="PTF23" s="559"/>
      <c r="PTG23" s="559"/>
      <c r="PTH23" s="559"/>
      <c r="PTI23" s="559"/>
      <c r="PTJ23" s="559"/>
      <c r="PTK23" s="559"/>
      <c r="PTL23" s="559"/>
      <c r="PTM23" s="559"/>
      <c r="PTN23" s="559"/>
      <c r="PTO23" s="559"/>
      <c r="PTP23" s="559"/>
      <c r="PTQ23" s="559"/>
      <c r="PTR23" s="559"/>
      <c r="PTS23" s="559"/>
      <c r="PTT23" s="559"/>
      <c r="PTU23" s="559"/>
      <c r="PTV23" s="559"/>
      <c r="PTW23" s="559"/>
      <c r="PTX23" s="559"/>
      <c r="PTY23" s="559"/>
      <c r="PTZ23" s="559"/>
      <c r="PUA23" s="559"/>
      <c r="PUB23" s="559"/>
      <c r="PUC23" s="559"/>
      <c r="PUD23" s="559"/>
      <c r="PUE23" s="559"/>
      <c r="PUF23" s="559"/>
      <c r="PUG23" s="559"/>
      <c r="PUH23" s="559"/>
      <c r="PUI23" s="559"/>
      <c r="PUJ23" s="559"/>
      <c r="PUK23" s="559"/>
      <c r="PUL23" s="559"/>
      <c r="PUM23" s="559"/>
      <c r="PUN23" s="559"/>
      <c r="PUO23" s="559"/>
      <c r="PUP23" s="559"/>
      <c r="PUQ23" s="559"/>
      <c r="PUR23" s="559"/>
      <c r="PUS23" s="559"/>
      <c r="PUT23" s="559"/>
      <c r="PUU23" s="559"/>
      <c r="PUV23" s="559"/>
      <c r="PUW23" s="559"/>
      <c r="PUX23" s="559"/>
      <c r="PUY23" s="559"/>
      <c r="PUZ23" s="559"/>
      <c r="PVA23" s="559"/>
      <c r="PVB23" s="559"/>
      <c r="PVC23" s="559"/>
      <c r="PVD23" s="559"/>
      <c r="PVE23" s="559"/>
      <c r="PVF23" s="559"/>
      <c r="PVG23" s="559"/>
      <c r="PVH23" s="559"/>
      <c r="PVI23" s="559"/>
      <c r="PVJ23" s="559"/>
      <c r="PVK23" s="559"/>
      <c r="PVL23" s="559"/>
      <c r="PVM23" s="559"/>
      <c r="PVN23" s="559"/>
      <c r="PVO23" s="559"/>
      <c r="PVP23" s="559"/>
      <c r="PVQ23" s="559"/>
      <c r="PVR23" s="559"/>
      <c r="PVS23" s="559"/>
      <c r="PVT23" s="559"/>
      <c r="PVU23" s="559"/>
      <c r="PVV23" s="559"/>
      <c r="PVW23" s="559"/>
      <c r="PVX23" s="559"/>
      <c r="PVY23" s="559"/>
      <c r="PVZ23" s="559"/>
      <c r="PWA23" s="559"/>
      <c r="PWB23" s="559"/>
      <c r="PWC23" s="559"/>
      <c r="PWD23" s="559"/>
      <c r="PWE23" s="559"/>
      <c r="PWF23" s="559"/>
      <c r="PWG23" s="559"/>
      <c r="PWH23" s="559"/>
      <c r="PWI23" s="559"/>
      <c r="PWJ23" s="559"/>
      <c r="PWK23" s="559"/>
      <c r="PWL23" s="559"/>
      <c r="PWM23" s="559"/>
      <c r="PWN23" s="559"/>
      <c r="PWO23" s="559"/>
      <c r="PWP23" s="559"/>
      <c r="PWQ23" s="559"/>
      <c r="PWR23" s="559"/>
      <c r="PWS23" s="559"/>
      <c r="PWT23" s="559"/>
      <c r="PWU23" s="559"/>
      <c r="PWV23" s="559"/>
      <c r="PWW23" s="559"/>
      <c r="PWX23" s="559"/>
      <c r="PWY23" s="559"/>
      <c r="PWZ23" s="559"/>
      <c r="PXA23" s="559"/>
      <c r="PXB23" s="559"/>
      <c r="PXC23" s="559"/>
      <c r="PXD23" s="559"/>
      <c r="PXE23" s="559"/>
      <c r="PXF23" s="559"/>
      <c r="PXG23" s="559"/>
      <c r="PXH23" s="559"/>
      <c r="PXI23" s="559"/>
      <c r="PXJ23" s="559"/>
      <c r="PXK23" s="559"/>
      <c r="PXL23" s="559"/>
      <c r="PXM23" s="559"/>
      <c r="PXN23" s="559"/>
      <c r="PXO23" s="559"/>
      <c r="PXP23" s="559"/>
      <c r="PXQ23" s="559"/>
      <c r="PXR23" s="559"/>
      <c r="PXS23" s="559"/>
      <c r="PXT23" s="559"/>
      <c r="PXU23" s="559"/>
      <c r="PXV23" s="559"/>
      <c r="PXW23" s="559"/>
      <c r="PXX23" s="559"/>
      <c r="PXY23" s="559"/>
      <c r="PXZ23" s="559"/>
      <c r="PYA23" s="559"/>
      <c r="PYB23" s="559"/>
      <c r="PYC23" s="559"/>
      <c r="PYD23" s="559"/>
      <c r="PYE23" s="559"/>
      <c r="PYF23" s="559"/>
      <c r="PYG23" s="559"/>
      <c r="PYH23" s="559"/>
      <c r="PYI23" s="559"/>
      <c r="PYJ23" s="559"/>
      <c r="PYK23" s="559"/>
      <c r="PYL23" s="559"/>
      <c r="PYM23" s="559"/>
      <c r="PYN23" s="559"/>
      <c r="PYO23" s="559"/>
      <c r="PYP23" s="559"/>
      <c r="PYQ23" s="559"/>
      <c r="PYR23" s="559"/>
      <c r="PYS23" s="559"/>
      <c r="PYT23" s="559"/>
      <c r="PYU23" s="559"/>
      <c r="PYV23" s="559"/>
      <c r="PYW23" s="559"/>
      <c r="PYX23" s="559"/>
      <c r="PYY23" s="559"/>
      <c r="PYZ23" s="559"/>
      <c r="PZA23" s="559"/>
      <c r="PZB23" s="559"/>
      <c r="PZC23" s="559"/>
      <c r="PZD23" s="559"/>
      <c r="PZE23" s="559"/>
      <c r="PZF23" s="559"/>
      <c r="PZG23" s="559"/>
      <c r="PZH23" s="559"/>
      <c r="PZI23" s="559"/>
      <c r="PZJ23" s="559"/>
      <c r="PZK23" s="559"/>
      <c r="PZL23" s="559"/>
      <c r="PZM23" s="559"/>
      <c r="PZN23" s="559"/>
      <c r="PZO23" s="559"/>
      <c r="PZP23" s="559"/>
      <c r="PZQ23" s="559"/>
      <c r="PZR23" s="559"/>
      <c r="PZS23" s="559"/>
      <c r="PZT23" s="559"/>
      <c r="PZU23" s="559"/>
      <c r="PZV23" s="559"/>
      <c r="PZW23" s="559"/>
      <c r="PZX23" s="559"/>
      <c r="PZY23" s="559"/>
      <c r="PZZ23" s="559"/>
      <c r="QAA23" s="559"/>
      <c r="QAB23" s="559"/>
      <c r="QAC23" s="559"/>
      <c r="QAD23" s="559"/>
      <c r="QAE23" s="559"/>
      <c r="QAF23" s="559"/>
      <c r="QAG23" s="559"/>
      <c r="QAH23" s="559"/>
      <c r="QAI23" s="559"/>
      <c r="QAJ23" s="559"/>
      <c r="QAK23" s="559"/>
      <c r="QAL23" s="559"/>
      <c r="QAM23" s="559"/>
      <c r="QAN23" s="559"/>
      <c r="QAO23" s="559"/>
      <c r="QAP23" s="559"/>
      <c r="QAQ23" s="559"/>
      <c r="QAR23" s="559"/>
      <c r="QAS23" s="559"/>
      <c r="QAT23" s="559"/>
      <c r="QAU23" s="559"/>
      <c r="QAV23" s="559"/>
      <c r="QAW23" s="559"/>
      <c r="QAX23" s="559"/>
      <c r="QAY23" s="559"/>
      <c r="QAZ23" s="559"/>
      <c r="QBA23" s="559"/>
      <c r="QBB23" s="559"/>
      <c r="QBC23" s="559"/>
      <c r="QBD23" s="559"/>
      <c r="QBE23" s="559"/>
      <c r="QBF23" s="559"/>
      <c r="QBG23" s="559"/>
      <c r="QBH23" s="559"/>
      <c r="QBI23" s="559"/>
      <c r="QBJ23" s="559"/>
      <c r="QBK23" s="559"/>
      <c r="QBL23" s="559"/>
      <c r="QBM23" s="559"/>
      <c r="QBN23" s="559"/>
      <c r="QBO23" s="559"/>
      <c r="QBP23" s="559"/>
      <c r="QBQ23" s="559"/>
      <c r="QBR23" s="559"/>
      <c r="QBS23" s="559"/>
      <c r="QBT23" s="559"/>
      <c r="QBU23" s="559"/>
      <c r="QBV23" s="559"/>
      <c r="QBW23" s="559"/>
      <c r="QBX23" s="559"/>
      <c r="QBY23" s="559"/>
      <c r="QBZ23" s="559"/>
      <c r="QCA23" s="559"/>
      <c r="QCB23" s="559"/>
      <c r="QCC23" s="559"/>
      <c r="QCD23" s="559"/>
      <c r="QCE23" s="559"/>
      <c r="QCF23" s="559"/>
      <c r="QCG23" s="559"/>
      <c r="QCH23" s="559"/>
      <c r="QCI23" s="559"/>
      <c r="QCJ23" s="559"/>
      <c r="QCK23" s="559"/>
      <c r="QCL23" s="559"/>
      <c r="QCM23" s="559"/>
      <c r="QCN23" s="559"/>
      <c r="QCO23" s="559"/>
      <c r="QCP23" s="559"/>
      <c r="QCQ23" s="559"/>
      <c r="QCR23" s="559"/>
      <c r="QCS23" s="559"/>
      <c r="QCT23" s="559"/>
      <c r="QCU23" s="559"/>
      <c r="QCV23" s="559"/>
      <c r="QCW23" s="559"/>
      <c r="QCX23" s="559"/>
      <c r="QCY23" s="559"/>
      <c r="QCZ23" s="559"/>
      <c r="QDA23" s="559"/>
      <c r="QDB23" s="559"/>
      <c r="QDC23" s="559"/>
      <c r="QDD23" s="559"/>
      <c r="QDE23" s="559"/>
      <c r="QDF23" s="559"/>
      <c r="QDG23" s="559"/>
      <c r="QDH23" s="559"/>
      <c r="QDI23" s="559"/>
      <c r="QDJ23" s="559"/>
      <c r="QDK23" s="559"/>
      <c r="QDL23" s="559"/>
      <c r="QDM23" s="559"/>
      <c r="QDN23" s="559"/>
      <c r="QDO23" s="559"/>
      <c r="QDP23" s="559"/>
      <c r="QDQ23" s="559"/>
      <c r="QDR23" s="559"/>
      <c r="QDS23" s="559"/>
      <c r="QDT23" s="559"/>
      <c r="QDU23" s="559"/>
      <c r="QDV23" s="559"/>
      <c r="QDW23" s="559"/>
      <c r="QDX23" s="559"/>
      <c r="QDY23" s="559"/>
      <c r="QDZ23" s="559"/>
      <c r="QEA23" s="559"/>
      <c r="QEB23" s="559"/>
      <c r="QEC23" s="559"/>
      <c r="QED23" s="559"/>
      <c r="QEE23" s="559"/>
      <c r="QEF23" s="559"/>
      <c r="QEG23" s="559"/>
      <c r="QEH23" s="559"/>
      <c r="QEI23" s="559"/>
      <c r="QEJ23" s="559"/>
      <c r="QEK23" s="559"/>
      <c r="QEL23" s="559"/>
      <c r="QEM23" s="559"/>
      <c r="QEN23" s="559"/>
      <c r="QEO23" s="559"/>
      <c r="QEP23" s="559"/>
      <c r="QEQ23" s="559"/>
      <c r="QER23" s="559"/>
      <c r="QES23" s="559"/>
      <c r="QET23" s="559"/>
      <c r="QEU23" s="559"/>
      <c r="QEV23" s="559"/>
      <c r="QEW23" s="559"/>
      <c r="QEX23" s="559"/>
      <c r="QEY23" s="559"/>
      <c r="QEZ23" s="559"/>
      <c r="QFA23" s="559"/>
      <c r="QFB23" s="559"/>
      <c r="QFC23" s="559"/>
      <c r="QFD23" s="559"/>
      <c r="QFE23" s="559"/>
      <c r="QFF23" s="559"/>
      <c r="QFG23" s="559"/>
      <c r="QFH23" s="559"/>
      <c r="QFI23" s="559"/>
      <c r="QFJ23" s="559"/>
      <c r="QFK23" s="559"/>
      <c r="QFL23" s="559"/>
      <c r="QFM23" s="559"/>
      <c r="QFN23" s="559"/>
      <c r="QFO23" s="559"/>
      <c r="QFP23" s="559"/>
      <c r="QFQ23" s="559"/>
      <c r="QFR23" s="559"/>
      <c r="QFS23" s="559"/>
      <c r="QFT23" s="559"/>
      <c r="QFU23" s="559"/>
      <c r="QFV23" s="559"/>
      <c r="QFW23" s="559"/>
      <c r="QFX23" s="559"/>
      <c r="QFY23" s="559"/>
      <c r="QFZ23" s="559"/>
      <c r="QGA23" s="559"/>
      <c r="QGB23" s="559"/>
      <c r="QGC23" s="559"/>
      <c r="QGD23" s="559"/>
      <c r="QGE23" s="559"/>
      <c r="QGF23" s="559"/>
      <c r="QGG23" s="559"/>
      <c r="QGH23" s="559"/>
      <c r="QGI23" s="559"/>
      <c r="QGJ23" s="559"/>
      <c r="QGK23" s="559"/>
      <c r="QGL23" s="559"/>
      <c r="QGM23" s="559"/>
      <c r="QGN23" s="559"/>
      <c r="QGO23" s="559"/>
      <c r="QGP23" s="559"/>
      <c r="QGQ23" s="559"/>
      <c r="QGR23" s="559"/>
      <c r="QGS23" s="559"/>
      <c r="QGT23" s="559"/>
      <c r="QGU23" s="559"/>
      <c r="QGV23" s="559"/>
      <c r="QGW23" s="559"/>
      <c r="QGX23" s="559"/>
      <c r="QGY23" s="559"/>
      <c r="QGZ23" s="559"/>
      <c r="QHA23" s="559"/>
      <c r="QHB23" s="559"/>
      <c r="QHC23" s="559"/>
      <c r="QHD23" s="559"/>
      <c r="QHE23" s="559"/>
      <c r="QHF23" s="559"/>
      <c r="QHG23" s="559"/>
      <c r="QHH23" s="559"/>
      <c r="QHI23" s="559"/>
      <c r="QHJ23" s="559"/>
      <c r="QHK23" s="559"/>
      <c r="QHL23" s="559"/>
      <c r="QHM23" s="559"/>
      <c r="QHN23" s="559"/>
      <c r="QHO23" s="559"/>
      <c r="QHP23" s="559"/>
      <c r="QHQ23" s="559"/>
      <c r="QHR23" s="559"/>
      <c r="QHS23" s="559"/>
      <c r="QHT23" s="559"/>
      <c r="QHU23" s="559"/>
      <c r="QHV23" s="559"/>
      <c r="QHW23" s="559"/>
      <c r="QHX23" s="559"/>
      <c r="QHY23" s="559"/>
      <c r="QHZ23" s="559"/>
      <c r="QIA23" s="559"/>
      <c r="QIB23" s="559"/>
      <c r="QIC23" s="559"/>
      <c r="QID23" s="559"/>
      <c r="QIE23" s="559"/>
      <c r="QIF23" s="559"/>
      <c r="QIG23" s="559"/>
      <c r="QIH23" s="559"/>
      <c r="QII23" s="559"/>
      <c r="QIJ23" s="559"/>
      <c r="QIK23" s="559"/>
      <c r="QIL23" s="559"/>
      <c r="QIM23" s="559"/>
      <c r="QIN23" s="559"/>
      <c r="QIO23" s="559"/>
      <c r="QIP23" s="559"/>
      <c r="QIQ23" s="559"/>
      <c r="QIR23" s="559"/>
      <c r="QIS23" s="559"/>
      <c r="QIT23" s="559"/>
      <c r="QIU23" s="559"/>
      <c r="QIV23" s="559"/>
      <c r="QIW23" s="559"/>
      <c r="QIX23" s="559"/>
      <c r="QIY23" s="559"/>
      <c r="QIZ23" s="559"/>
      <c r="QJA23" s="559"/>
      <c r="QJB23" s="559"/>
      <c r="QJC23" s="559"/>
      <c r="QJD23" s="559"/>
      <c r="QJE23" s="559"/>
      <c r="QJF23" s="559"/>
      <c r="QJG23" s="559"/>
      <c r="QJH23" s="559"/>
      <c r="QJI23" s="559"/>
      <c r="QJJ23" s="559"/>
      <c r="QJK23" s="559"/>
      <c r="QJL23" s="559"/>
      <c r="QJM23" s="559"/>
      <c r="QJN23" s="559"/>
      <c r="QJO23" s="559"/>
      <c r="QJP23" s="559"/>
      <c r="QJQ23" s="559"/>
      <c r="QJR23" s="559"/>
      <c r="QJS23" s="559"/>
      <c r="QJT23" s="559"/>
      <c r="QJU23" s="559"/>
      <c r="QJV23" s="559"/>
      <c r="QJW23" s="559"/>
      <c r="QJX23" s="559"/>
      <c r="QJY23" s="559"/>
      <c r="QJZ23" s="559"/>
      <c r="QKA23" s="559"/>
      <c r="QKB23" s="559"/>
      <c r="QKC23" s="559"/>
      <c r="QKD23" s="559"/>
      <c r="QKE23" s="559"/>
      <c r="QKF23" s="559"/>
      <c r="QKG23" s="559"/>
      <c r="QKH23" s="559"/>
      <c r="QKI23" s="559"/>
      <c r="QKJ23" s="559"/>
      <c r="QKK23" s="559"/>
      <c r="QKL23" s="559"/>
      <c r="QKM23" s="559"/>
      <c r="QKN23" s="559"/>
      <c r="QKO23" s="559"/>
      <c r="QKP23" s="559"/>
      <c r="QKQ23" s="559"/>
      <c r="QKR23" s="559"/>
      <c r="QKS23" s="559"/>
      <c r="QKT23" s="559"/>
      <c r="QKU23" s="559"/>
      <c r="QKV23" s="559"/>
      <c r="QKW23" s="559"/>
      <c r="QKX23" s="559"/>
      <c r="QKY23" s="559"/>
      <c r="QKZ23" s="559"/>
      <c r="QLA23" s="559"/>
      <c r="QLB23" s="559"/>
      <c r="QLC23" s="559"/>
      <c r="QLD23" s="559"/>
      <c r="QLE23" s="559"/>
      <c r="QLF23" s="559"/>
      <c r="QLG23" s="559"/>
      <c r="QLH23" s="559"/>
      <c r="QLI23" s="559"/>
      <c r="QLJ23" s="559"/>
      <c r="QLK23" s="559"/>
      <c r="QLL23" s="559"/>
      <c r="QLM23" s="559"/>
      <c r="QLN23" s="559"/>
      <c r="QLO23" s="559"/>
      <c r="QLP23" s="559"/>
      <c r="QLQ23" s="559"/>
      <c r="QLR23" s="559"/>
      <c r="QLS23" s="559"/>
      <c r="QLT23" s="559"/>
      <c r="QLU23" s="559"/>
      <c r="QLV23" s="559"/>
      <c r="QLW23" s="559"/>
      <c r="QLX23" s="559"/>
      <c r="QLY23" s="559"/>
      <c r="QLZ23" s="559"/>
      <c r="QMA23" s="559"/>
      <c r="QMB23" s="559"/>
      <c r="QMC23" s="559"/>
      <c r="QMD23" s="559"/>
      <c r="QME23" s="559"/>
      <c r="QMF23" s="559"/>
      <c r="QMG23" s="559"/>
      <c r="QMH23" s="559"/>
      <c r="QMI23" s="559"/>
      <c r="QMJ23" s="559"/>
      <c r="QMK23" s="559"/>
      <c r="QML23" s="559"/>
      <c r="QMM23" s="559"/>
      <c r="QMN23" s="559"/>
      <c r="QMO23" s="559"/>
      <c r="QMP23" s="559"/>
      <c r="QMQ23" s="559"/>
      <c r="QMR23" s="559"/>
      <c r="QMS23" s="559"/>
      <c r="QMT23" s="559"/>
      <c r="QMU23" s="559"/>
      <c r="QMV23" s="559"/>
      <c r="QMW23" s="559"/>
      <c r="QMX23" s="559"/>
      <c r="QMY23" s="559"/>
      <c r="QMZ23" s="559"/>
      <c r="QNA23" s="559"/>
      <c r="QNB23" s="559"/>
      <c r="QNC23" s="559"/>
      <c r="QND23" s="559"/>
      <c r="QNE23" s="559"/>
      <c r="QNF23" s="559"/>
      <c r="QNG23" s="559"/>
      <c r="QNH23" s="559"/>
      <c r="QNI23" s="559"/>
      <c r="QNJ23" s="559"/>
      <c r="QNK23" s="559"/>
      <c r="QNL23" s="559"/>
      <c r="QNM23" s="559"/>
      <c r="QNN23" s="559"/>
      <c r="QNO23" s="559"/>
      <c r="QNP23" s="559"/>
      <c r="QNQ23" s="559"/>
      <c r="QNR23" s="559"/>
      <c r="QNS23" s="559"/>
      <c r="QNT23" s="559"/>
      <c r="QNU23" s="559"/>
      <c r="QNV23" s="559"/>
      <c r="QNW23" s="559"/>
      <c r="QNX23" s="559"/>
      <c r="QNY23" s="559"/>
      <c r="QNZ23" s="559"/>
      <c r="QOA23" s="559"/>
      <c r="QOB23" s="559"/>
      <c r="QOC23" s="559"/>
      <c r="QOD23" s="559"/>
      <c r="QOE23" s="559"/>
      <c r="QOF23" s="559"/>
      <c r="QOG23" s="559"/>
      <c r="QOH23" s="559"/>
      <c r="QOI23" s="559"/>
      <c r="QOJ23" s="559"/>
      <c r="QOK23" s="559"/>
      <c r="QOL23" s="559"/>
      <c r="QOM23" s="559"/>
      <c r="QON23" s="559"/>
      <c r="QOO23" s="559"/>
      <c r="QOP23" s="559"/>
      <c r="QOQ23" s="559"/>
      <c r="QOR23" s="559"/>
      <c r="QOS23" s="559"/>
      <c r="QOT23" s="559"/>
      <c r="QOU23" s="559"/>
      <c r="QOV23" s="559"/>
      <c r="QOW23" s="559"/>
      <c r="QOX23" s="559"/>
      <c r="QOY23" s="559"/>
      <c r="QOZ23" s="559"/>
      <c r="QPA23" s="559"/>
      <c r="QPB23" s="559"/>
      <c r="QPC23" s="559"/>
      <c r="QPD23" s="559"/>
      <c r="QPE23" s="559"/>
      <c r="QPF23" s="559"/>
      <c r="QPG23" s="559"/>
      <c r="QPH23" s="559"/>
      <c r="QPI23" s="559"/>
      <c r="QPJ23" s="559"/>
      <c r="QPK23" s="559"/>
      <c r="QPL23" s="559"/>
      <c r="QPM23" s="559"/>
      <c r="QPN23" s="559"/>
      <c r="QPO23" s="559"/>
      <c r="QPP23" s="559"/>
      <c r="QPQ23" s="559"/>
      <c r="QPR23" s="559"/>
      <c r="QPS23" s="559"/>
      <c r="QPT23" s="559"/>
      <c r="QPU23" s="559"/>
      <c r="QPV23" s="559"/>
      <c r="QPW23" s="559"/>
      <c r="QPX23" s="559"/>
      <c r="QPY23" s="559"/>
      <c r="QPZ23" s="559"/>
      <c r="QQA23" s="559"/>
      <c r="QQB23" s="559"/>
      <c r="QQC23" s="559"/>
      <c r="QQD23" s="559"/>
      <c r="QQE23" s="559"/>
      <c r="QQF23" s="559"/>
      <c r="QQG23" s="559"/>
      <c r="QQH23" s="559"/>
      <c r="QQI23" s="559"/>
      <c r="QQJ23" s="559"/>
      <c r="QQK23" s="559"/>
      <c r="QQL23" s="559"/>
      <c r="QQM23" s="559"/>
      <c r="QQN23" s="559"/>
      <c r="QQO23" s="559"/>
      <c r="QQP23" s="559"/>
      <c r="QQQ23" s="559"/>
      <c r="QQR23" s="559"/>
      <c r="QQS23" s="559"/>
      <c r="QQT23" s="559"/>
      <c r="QQU23" s="559"/>
      <c r="QQV23" s="559"/>
      <c r="QQW23" s="559"/>
      <c r="QQX23" s="559"/>
      <c r="QQY23" s="559"/>
      <c r="QQZ23" s="559"/>
      <c r="QRA23" s="559"/>
      <c r="QRB23" s="559"/>
      <c r="QRC23" s="559"/>
      <c r="QRD23" s="559"/>
      <c r="QRE23" s="559"/>
      <c r="QRF23" s="559"/>
      <c r="QRG23" s="559"/>
      <c r="QRH23" s="559"/>
      <c r="QRI23" s="559"/>
      <c r="QRJ23" s="559"/>
      <c r="QRK23" s="559"/>
      <c r="QRL23" s="559"/>
      <c r="QRM23" s="559"/>
      <c r="QRN23" s="559"/>
      <c r="QRO23" s="559"/>
      <c r="QRP23" s="559"/>
      <c r="QRQ23" s="559"/>
      <c r="QRR23" s="559"/>
      <c r="QRS23" s="559"/>
      <c r="QRT23" s="559"/>
      <c r="QRU23" s="559"/>
      <c r="QRV23" s="559"/>
      <c r="QRW23" s="559"/>
      <c r="QRX23" s="559"/>
      <c r="QRY23" s="559"/>
      <c r="QRZ23" s="559"/>
      <c r="QSA23" s="559"/>
      <c r="QSB23" s="559"/>
      <c r="QSC23" s="559"/>
      <c r="QSD23" s="559"/>
      <c r="QSE23" s="559"/>
      <c r="QSF23" s="559"/>
      <c r="QSG23" s="559"/>
      <c r="QSH23" s="559"/>
      <c r="QSI23" s="559"/>
      <c r="QSJ23" s="559"/>
      <c r="QSK23" s="559"/>
      <c r="QSL23" s="559"/>
      <c r="QSM23" s="559"/>
      <c r="QSN23" s="559"/>
      <c r="QSO23" s="559"/>
      <c r="QSP23" s="559"/>
      <c r="QSQ23" s="559"/>
      <c r="QSR23" s="559"/>
      <c r="QSS23" s="559"/>
      <c r="QST23" s="559"/>
      <c r="QSU23" s="559"/>
      <c r="QSV23" s="559"/>
      <c r="QSW23" s="559"/>
      <c r="QSX23" s="559"/>
      <c r="QSY23" s="559"/>
      <c r="QSZ23" s="559"/>
      <c r="QTA23" s="559"/>
      <c r="QTB23" s="559"/>
      <c r="QTC23" s="559"/>
      <c r="QTD23" s="559"/>
      <c r="QTE23" s="559"/>
      <c r="QTF23" s="559"/>
      <c r="QTG23" s="559"/>
      <c r="QTH23" s="559"/>
      <c r="QTI23" s="559"/>
      <c r="QTJ23" s="559"/>
      <c r="QTK23" s="559"/>
      <c r="QTL23" s="559"/>
      <c r="QTM23" s="559"/>
      <c r="QTN23" s="559"/>
      <c r="QTO23" s="559"/>
      <c r="QTP23" s="559"/>
      <c r="QTQ23" s="559"/>
      <c r="QTR23" s="559"/>
      <c r="QTS23" s="559"/>
      <c r="QTT23" s="559"/>
      <c r="QTU23" s="559"/>
      <c r="QTV23" s="559"/>
      <c r="QTW23" s="559"/>
      <c r="QTX23" s="559"/>
      <c r="QTY23" s="559"/>
      <c r="QTZ23" s="559"/>
      <c r="QUA23" s="559"/>
      <c r="QUB23" s="559"/>
      <c r="QUC23" s="559"/>
      <c r="QUD23" s="559"/>
      <c r="QUE23" s="559"/>
      <c r="QUF23" s="559"/>
      <c r="QUG23" s="559"/>
      <c r="QUH23" s="559"/>
      <c r="QUI23" s="559"/>
      <c r="QUJ23" s="559"/>
      <c r="QUK23" s="559"/>
      <c r="QUL23" s="559"/>
      <c r="QUM23" s="559"/>
      <c r="QUN23" s="559"/>
      <c r="QUO23" s="559"/>
      <c r="QUP23" s="559"/>
      <c r="QUQ23" s="559"/>
      <c r="QUR23" s="559"/>
      <c r="QUS23" s="559"/>
      <c r="QUT23" s="559"/>
      <c r="QUU23" s="559"/>
      <c r="QUV23" s="559"/>
      <c r="QUW23" s="559"/>
      <c r="QUX23" s="559"/>
      <c r="QUY23" s="559"/>
      <c r="QUZ23" s="559"/>
      <c r="QVA23" s="559"/>
      <c r="QVB23" s="559"/>
      <c r="QVC23" s="559"/>
      <c r="QVD23" s="559"/>
      <c r="QVE23" s="559"/>
      <c r="QVF23" s="559"/>
      <c r="QVG23" s="559"/>
      <c r="QVH23" s="559"/>
      <c r="QVI23" s="559"/>
      <c r="QVJ23" s="559"/>
      <c r="QVK23" s="559"/>
      <c r="QVL23" s="559"/>
      <c r="QVM23" s="559"/>
      <c r="QVN23" s="559"/>
      <c r="QVO23" s="559"/>
      <c r="QVP23" s="559"/>
      <c r="QVQ23" s="559"/>
      <c r="QVR23" s="559"/>
      <c r="QVS23" s="559"/>
      <c r="QVT23" s="559"/>
      <c r="QVU23" s="559"/>
      <c r="QVV23" s="559"/>
      <c r="QVW23" s="559"/>
      <c r="QVX23" s="559"/>
      <c r="QVY23" s="559"/>
      <c r="QVZ23" s="559"/>
      <c r="QWA23" s="559"/>
      <c r="QWB23" s="559"/>
      <c r="QWC23" s="559"/>
      <c r="QWD23" s="559"/>
      <c r="QWE23" s="559"/>
      <c r="QWF23" s="559"/>
      <c r="QWG23" s="559"/>
      <c r="QWH23" s="559"/>
      <c r="QWI23" s="559"/>
      <c r="QWJ23" s="559"/>
      <c r="QWK23" s="559"/>
      <c r="QWL23" s="559"/>
      <c r="QWM23" s="559"/>
      <c r="QWN23" s="559"/>
      <c r="QWO23" s="559"/>
      <c r="QWP23" s="559"/>
      <c r="QWQ23" s="559"/>
      <c r="QWR23" s="559"/>
      <c r="QWS23" s="559"/>
      <c r="QWT23" s="559"/>
      <c r="QWU23" s="559"/>
      <c r="QWV23" s="559"/>
      <c r="QWW23" s="559"/>
      <c r="QWX23" s="559"/>
      <c r="QWY23" s="559"/>
      <c r="QWZ23" s="559"/>
      <c r="QXA23" s="559"/>
      <c r="QXB23" s="559"/>
      <c r="QXC23" s="559"/>
      <c r="QXD23" s="559"/>
      <c r="QXE23" s="559"/>
      <c r="QXF23" s="559"/>
      <c r="QXG23" s="559"/>
      <c r="QXH23" s="559"/>
      <c r="QXI23" s="559"/>
      <c r="QXJ23" s="559"/>
      <c r="QXK23" s="559"/>
      <c r="QXL23" s="559"/>
      <c r="QXM23" s="559"/>
      <c r="QXN23" s="559"/>
      <c r="QXO23" s="559"/>
      <c r="QXP23" s="559"/>
      <c r="QXQ23" s="559"/>
      <c r="QXR23" s="559"/>
      <c r="QXS23" s="559"/>
      <c r="QXT23" s="559"/>
      <c r="QXU23" s="559"/>
      <c r="QXV23" s="559"/>
      <c r="QXW23" s="559"/>
      <c r="QXX23" s="559"/>
      <c r="QXY23" s="559"/>
      <c r="QXZ23" s="559"/>
      <c r="QYA23" s="559"/>
      <c r="QYB23" s="559"/>
      <c r="QYC23" s="559"/>
      <c r="QYD23" s="559"/>
      <c r="QYE23" s="559"/>
      <c r="QYF23" s="559"/>
      <c r="QYG23" s="559"/>
      <c r="QYH23" s="559"/>
      <c r="QYI23" s="559"/>
      <c r="QYJ23" s="559"/>
      <c r="QYK23" s="559"/>
      <c r="QYL23" s="559"/>
      <c r="QYM23" s="559"/>
      <c r="QYN23" s="559"/>
      <c r="QYO23" s="559"/>
      <c r="QYP23" s="559"/>
      <c r="QYQ23" s="559"/>
      <c r="QYR23" s="559"/>
      <c r="QYS23" s="559"/>
      <c r="QYT23" s="559"/>
      <c r="QYU23" s="559"/>
      <c r="QYV23" s="559"/>
      <c r="QYW23" s="559"/>
      <c r="QYX23" s="559"/>
      <c r="QYY23" s="559"/>
      <c r="QYZ23" s="559"/>
      <c r="QZA23" s="559"/>
      <c r="QZB23" s="559"/>
      <c r="QZC23" s="559"/>
      <c r="QZD23" s="559"/>
      <c r="QZE23" s="559"/>
      <c r="QZF23" s="559"/>
      <c r="QZG23" s="559"/>
      <c r="QZH23" s="559"/>
      <c r="QZI23" s="559"/>
      <c r="QZJ23" s="559"/>
      <c r="QZK23" s="559"/>
      <c r="QZL23" s="559"/>
      <c r="QZM23" s="559"/>
      <c r="QZN23" s="559"/>
      <c r="QZO23" s="559"/>
      <c r="QZP23" s="559"/>
      <c r="QZQ23" s="559"/>
      <c r="QZR23" s="559"/>
      <c r="QZS23" s="559"/>
      <c r="QZT23" s="559"/>
      <c r="QZU23" s="559"/>
      <c r="QZV23" s="559"/>
      <c r="QZW23" s="559"/>
      <c r="QZX23" s="559"/>
      <c r="QZY23" s="559"/>
      <c r="QZZ23" s="559"/>
      <c r="RAA23" s="559"/>
      <c r="RAB23" s="559"/>
      <c r="RAC23" s="559"/>
      <c r="RAD23" s="559"/>
      <c r="RAE23" s="559"/>
      <c r="RAF23" s="559"/>
      <c r="RAG23" s="559"/>
      <c r="RAH23" s="559"/>
      <c r="RAI23" s="559"/>
      <c r="RAJ23" s="559"/>
      <c r="RAK23" s="559"/>
      <c r="RAL23" s="559"/>
      <c r="RAM23" s="559"/>
      <c r="RAN23" s="559"/>
      <c r="RAO23" s="559"/>
      <c r="RAP23" s="559"/>
      <c r="RAQ23" s="559"/>
      <c r="RAR23" s="559"/>
      <c r="RAS23" s="559"/>
      <c r="RAT23" s="559"/>
      <c r="RAU23" s="559"/>
      <c r="RAV23" s="559"/>
      <c r="RAW23" s="559"/>
      <c r="RAX23" s="559"/>
      <c r="RAY23" s="559"/>
      <c r="RAZ23" s="559"/>
      <c r="RBA23" s="559"/>
      <c r="RBB23" s="559"/>
      <c r="RBC23" s="559"/>
      <c r="RBD23" s="559"/>
      <c r="RBE23" s="559"/>
      <c r="RBF23" s="559"/>
      <c r="RBG23" s="559"/>
      <c r="RBH23" s="559"/>
      <c r="RBI23" s="559"/>
      <c r="RBJ23" s="559"/>
      <c r="RBK23" s="559"/>
      <c r="RBL23" s="559"/>
      <c r="RBM23" s="559"/>
      <c r="RBN23" s="559"/>
      <c r="RBO23" s="559"/>
      <c r="RBP23" s="559"/>
      <c r="RBQ23" s="559"/>
      <c r="RBR23" s="559"/>
      <c r="RBS23" s="559"/>
      <c r="RBT23" s="559"/>
      <c r="RBU23" s="559"/>
      <c r="RBV23" s="559"/>
      <c r="RBW23" s="559"/>
      <c r="RBX23" s="559"/>
      <c r="RBY23" s="559"/>
      <c r="RBZ23" s="559"/>
      <c r="RCA23" s="559"/>
      <c r="RCB23" s="559"/>
      <c r="RCC23" s="559"/>
      <c r="RCD23" s="559"/>
      <c r="RCE23" s="559"/>
      <c r="RCF23" s="559"/>
      <c r="RCG23" s="559"/>
      <c r="RCH23" s="559"/>
      <c r="RCI23" s="559"/>
      <c r="RCJ23" s="559"/>
      <c r="RCK23" s="559"/>
      <c r="RCL23" s="559"/>
      <c r="RCM23" s="559"/>
      <c r="RCN23" s="559"/>
      <c r="RCO23" s="559"/>
      <c r="RCP23" s="559"/>
      <c r="RCQ23" s="559"/>
      <c r="RCR23" s="559"/>
      <c r="RCS23" s="559"/>
      <c r="RCT23" s="559"/>
      <c r="RCU23" s="559"/>
      <c r="RCV23" s="559"/>
      <c r="RCW23" s="559"/>
      <c r="RCX23" s="559"/>
      <c r="RCY23" s="559"/>
      <c r="RCZ23" s="559"/>
      <c r="RDA23" s="559"/>
      <c r="RDB23" s="559"/>
      <c r="RDC23" s="559"/>
      <c r="RDD23" s="559"/>
      <c r="RDE23" s="559"/>
      <c r="RDF23" s="559"/>
      <c r="RDG23" s="559"/>
      <c r="RDH23" s="559"/>
      <c r="RDI23" s="559"/>
      <c r="RDJ23" s="559"/>
      <c r="RDK23" s="559"/>
      <c r="RDL23" s="559"/>
      <c r="RDM23" s="559"/>
      <c r="RDN23" s="559"/>
      <c r="RDO23" s="559"/>
      <c r="RDP23" s="559"/>
      <c r="RDQ23" s="559"/>
      <c r="RDR23" s="559"/>
      <c r="RDS23" s="559"/>
      <c r="RDT23" s="559"/>
      <c r="RDU23" s="559"/>
      <c r="RDV23" s="559"/>
      <c r="RDW23" s="559"/>
      <c r="RDX23" s="559"/>
      <c r="RDY23" s="559"/>
      <c r="RDZ23" s="559"/>
      <c r="REA23" s="559"/>
      <c r="REB23" s="559"/>
      <c r="REC23" s="559"/>
      <c r="RED23" s="559"/>
      <c r="REE23" s="559"/>
      <c r="REF23" s="559"/>
      <c r="REG23" s="559"/>
      <c r="REH23" s="559"/>
      <c r="REI23" s="559"/>
      <c r="REJ23" s="559"/>
      <c r="REK23" s="559"/>
      <c r="REL23" s="559"/>
      <c r="REM23" s="559"/>
      <c r="REN23" s="559"/>
      <c r="REO23" s="559"/>
      <c r="REP23" s="559"/>
      <c r="REQ23" s="559"/>
      <c r="RER23" s="559"/>
      <c r="RES23" s="559"/>
      <c r="RET23" s="559"/>
      <c r="REU23" s="559"/>
      <c r="REV23" s="559"/>
      <c r="REW23" s="559"/>
      <c r="REX23" s="559"/>
      <c r="REY23" s="559"/>
      <c r="REZ23" s="559"/>
      <c r="RFA23" s="559"/>
      <c r="RFB23" s="559"/>
      <c r="RFC23" s="559"/>
      <c r="RFD23" s="559"/>
      <c r="RFE23" s="559"/>
      <c r="RFF23" s="559"/>
      <c r="RFG23" s="559"/>
      <c r="RFH23" s="559"/>
      <c r="RFI23" s="559"/>
      <c r="RFJ23" s="559"/>
      <c r="RFK23" s="559"/>
      <c r="RFL23" s="559"/>
      <c r="RFM23" s="559"/>
      <c r="RFN23" s="559"/>
      <c r="RFO23" s="559"/>
      <c r="RFP23" s="559"/>
      <c r="RFQ23" s="559"/>
      <c r="RFR23" s="559"/>
      <c r="RFS23" s="559"/>
      <c r="RFT23" s="559"/>
      <c r="RFU23" s="559"/>
      <c r="RFV23" s="559"/>
      <c r="RFW23" s="559"/>
      <c r="RFX23" s="559"/>
      <c r="RFY23" s="559"/>
      <c r="RFZ23" s="559"/>
      <c r="RGA23" s="559"/>
      <c r="RGB23" s="559"/>
      <c r="RGC23" s="559"/>
      <c r="RGD23" s="559"/>
      <c r="RGE23" s="559"/>
      <c r="RGF23" s="559"/>
      <c r="RGG23" s="559"/>
      <c r="RGH23" s="559"/>
      <c r="RGI23" s="559"/>
      <c r="RGJ23" s="559"/>
      <c r="RGK23" s="559"/>
      <c r="RGL23" s="559"/>
      <c r="RGM23" s="559"/>
      <c r="RGN23" s="559"/>
      <c r="RGO23" s="559"/>
      <c r="RGP23" s="559"/>
      <c r="RGQ23" s="559"/>
      <c r="RGR23" s="559"/>
      <c r="RGS23" s="559"/>
      <c r="RGT23" s="559"/>
      <c r="RGU23" s="559"/>
      <c r="RGV23" s="559"/>
      <c r="RGW23" s="559"/>
      <c r="RGX23" s="559"/>
      <c r="RGY23" s="559"/>
      <c r="RGZ23" s="559"/>
      <c r="RHA23" s="559"/>
      <c r="RHB23" s="559"/>
      <c r="RHC23" s="559"/>
      <c r="RHD23" s="559"/>
      <c r="RHE23" s="559"/>
      <c r="RHF23" s="559"/>
      <c r="RHG23" s="559"/>
      <c r="RHH23" s="559"/>
      <c r="RHI23" s="559"/>
      <c r="RHJ23" s="559"/>
      <c r="RHK23" s="559"/>
      <c r="RHL23" s="559"/>
      <c r="RHM23" s="559"/>
      <c r="RHN23" s="559"/>
      <c r="RHO23" s="559"/>
      <c r="RHP23" s="559"/>
      <c r="RHQ23" s="559"/>
      <c r="RHR23" s="559"/>
      <c r="RHS23" s="559"/>
      <c r="RHT23" s="559"/>
      <c r="RHU23" s="559"/>
      <c r="RHV23" s="559"/>
      <c r="RHW23" s="559"/>
      <c r="RHX23" s="559"/>
      <c r="RHY23" s="559"/>
      <c r="RHZ23" s="559"/>
      <c r="RIA23" s="559"/>
      <c r="RIB23" s="559"/>
      <c r="RIC23" s="559"/>
      <c r="RID23" s="559"/>
      <c r="RIE23" s="559"/>
      <c r="RIF23" s="559"/>
      <c r="RIG23" s="559"/>
      <c r="RIH23" s="559"/>
      <c r="RII23" s="559"/>
      <c r="RIJ23" s="559"/>
      <c r="RIK23" s="559"/>
      <c r="RIL23" s="559"/>
      <c r="RIM23" s="559"/>
      <c r="RIN23" s="559"/>
      <c r="RIO23" s="559"/>
      <c r="RIP23" s="559"/>
      <c r="RIQ23" s="559"/>
      <c r="RIR23" s="559"/>
      <c r="RIS23" s="559"/>
      <c r="RIT23" s="559"/>
      <c r="RIU23" s="559"/>
      <c r="RIV23" s="559"/>
      <c r="RIW23" s="559"/>
      <c r="RIX23" s="559"/>
      <c r="RIY23" s="559"/>
      <c r="RIZ23" s="559"/>
      <c r="RJA23" s="559"/>
      <c r="RJB23" s="559"/>
      <c r="RJC23" s="559"/>
      <c r="RJD23" s="559"/>
      <c r="RJE23" s="559"/>
      <c r="RJF23" s="559"/>
      <c r="RJG23" s="559"/>
      <c r="RJH23" s="559"/>
      <c r="RJI23" s="559"/>
      <c r="RJJ23" s="559"/>
      <c r="RJK23" s="559"/>
      <c r="RJL23" s="559"/>
      <c r="RJM23" s="559"/>
      <c r="RJN23" s="559"/>
      <c r="RJO23" s="559"/>
      <c r="RJP23" s="559"/>
      <c r="RJQ23" s="559"/>
      <c r="RJR23" s="559"/>
      <c r="RJS23" s="559"/>
      <c r="RJT23" s="559"/>
      <c r="RJU23" s="559"/>
      <c r="RJV23" s="559"/>
      <c r="RJW23" s="559"/>
      <c r="RJX23" s="559"/>
      <c r="RJY23" s="559"/>
      <c r="RJZ23" s="559"/>
      <c r="RKA23" s="559"/>
      <c r="RKB23" s="559"/>
      <c r="RKC23" s="559"/>
      <c r="RKD23" s="559"/>
      <c r="RKE23" s="559"/>
      <c r="RKF23" s="559"/>
      <c r="RKG23" s="559"/>
      <c r="RKH23" s="559"/>
      <c r="RKI23" s="559"/>
      <c r="RKJ23" s="559"/>
      <c r="RKK23" s="559"/>
      <c r="RKL23" s="559"/>
      <c r="RKM23" s="559"/>
      <c r="RKN23" s="559"/>
      <c r="RKO23" s="559"/>
      <c r="RKP23" s="559"/>
      <c r="RKQ23" s="559"/>
      <c r="RKR23" s="559"/>
      <c r="RKS23" s="559"/>
      <c r="RKT23" s="559"/>
      <c r="RKU23" s="559"/>
      <c r="RKV23" s="559"/>
      <c r="RKW23" s="559"/>
      <c r="RKX23" s="559"/>
      <c r="RKY23" s="559"/>
      <c r="RKZ23" s="559"/>
      <c r="RLA23" s="559"/>
      <c r="RLB23" s="559"/>
      <c r="RLC23" s="559"/>
      <c r="RLD23" s="559"/>
      <c r="RLE23" s="559"/>
      <c r="RLF23" s="559"/>
      <c r="RLG23" s="559"/>
      <c r="RLH23" s="559"/>
      <c r="RLI23" s="559"/>
      <c r="RLJ23" s="559"/>
      <c r="RLK23" s="559"/>
      <c r="RLL23" s="559"/>
      <c r="RLM23" s="559"/>
      <c r="RLN23" s="559"/>
      <c r="RLO23" s="559"/>
      <c r="RLP23" s="559"/>
      <c r="RLQ23" s="559"/>
      <c r="RLR23" s="559"/>
      <c r="RLS23" s="559"/>
      <c r="RLT23" s="559"/>
      <c r="RLU23" s="559"/>
      <c r="RLV23" s="559"/>
      <c r="RLW23" s="559"/>
      <c r="RLX23" s="559"/>
      <c r="RLY23" s="559"/>
      <c r="RLZ23" s="559"/>
      <c r="RMA23" s="559"/>
      <c r="RMB23" s="559"/>
      <c r="RMC23" s="559"/>
      <c r="RMD23" s="559"/>
      <c r="RME23" s="559"/>
      <c r="RMF23" s="559"/>
      <c r="RMG23" s="559"/>
      <c r="RMH23" s="559"/>
      <c r="RMI23" s="559"/>
      <c r="RMJ23" s="559"/>
      <c r="RMK23" s="559"/>
      <c r="RML23" s="559"/>
      <c r="RMM23" s="559"/>
      <c r="RMN23" s="559"/>
      <c r="RMO23" s="559"/>
      <c r="RMP23" s="559"/>
      <c r="RMQ23" s="559"/>
      <c r="RMR23" s="559"/>
      <c r="RMS23" s="559"/>
      <c r="RMT23" s="559"/>
      <c r="RMU23" s="559"/>
      <c r="RMV23" s="559"/>
      <c r="RMW23" s="559"/>
      <c r="RMX23" s="559"/>
      <c r="RMY23" s="559"/>
      <c r="RMZ23" s="559"/>
      <c r="RNA23" s="559"/>
      <c r="RNB23" s="559"/>
      <c r="RNC23" s="559"/>
      <c r="RND23" s="559"/>
      <c r="RNE23" s="559"/>
      <c r="RNF23" s="559"/>
      <c r="RNG23" s="559"/>
      <c r="RNH23" s="559"/>
      <c r="RNI23" s="559"/>
      <c r="RNJ23" s="559"/>
      <c r="RNK23" s="559"/>
      <c r="RNL23" s="559"/>
      <c r="RNM23" s="559"/>
      <c r="RNN23" s="559"/>
      <c r="RNO23" s="559"/>
      <c r="RNP23" s="559"/>
      <c r="RNQ23" s="559"/>
      <c r="RNR23" s="559"/>
      <c r="RNS23" s="559"/>
      <c r="RNT23" s="559"/>
      <c r="RNU23" s="559"/>
      <c r="RNV23" s="559"/>
      <c r="RNW23" s="559"/>
      <c r="RNX23" s="559"/>
      <c r="RNY23" s="559"/>
      <c r="RNZ23" s="559"/>
      <c r="ROA23" s="559"/>
      <c r="ROB23" s="559"/>
      <c r="ROC23" s="559"/>
      <c r="ROD23" s="559"/>
      <c r="ROE23" s="559"/>
      <c r="ROF23" s="559"/>
      <c r="ROG23" s="559"/>
      <c r="ROH23" s="559"/>
      <c r="ROI23" s="559"/>
      <c r="ROJ23" s="559"/>
      <c r="ROK23" s="559"/>
      <c r="ROL23" s="559"/>
      <c r="ROM23" s="559"/>
      <c r="RON23" s="559"/>
      <c r="ROO23" s="559"/>
      <c r="ROP23" s="559"/>
      <c r="ROQ23" s="559"/>
      <c r="ROR23" s="559"/>
      <c r="ROS23" s="559"/>
      <c r="ROT23" s="559"/>
      <c r="ROU23" s="559"/>
      <c r="ROV23" s="559"/>
      <c r="ROW23" s="559"/>
      <c r="ROX23" s="559"/>
      <c r="ROY23" s="559"/>
      <c r="ROZ23" s="559"/>
      <c r="RPA23" s="559"/>
      <c r="RPB23" s="559"/>
      <c r="RPC23" s="559"/>
      <c r="RPD23" s="559"/>
      <c r="RPE23" s="559"/>
      <c r="RPF23" s="559"/>
      <c r="RPG23" s="559"/>
      <c r="RPH23" s="559"/>
      <c r="RPI23" s="559"/>
      <c r="RPJ23" s="559"/>
      <c r="RPK23" s="559"/>
      <c r="RPL23" s="559"/>
      <c r="RPM23" s="559"/>
      <c r="RPN23" s="559"/>
      <c r="RPO23" s="559"/>
      <c r="RPP23" s="559"/>
      <c r="RPQ23" s="559"/>
      <c r="RPR23" s="559"/>
      <c r="RPS23" s="559"/>
      <c r="RPT23" s="559"/>
      <c r="RPU23" s="559"/>
      <c r="RPV23" s="559"/>
      <c r="RPW23" s="559"/>
      <c r="RPX23" s="559"/>
      <c r="RPY23" s="559"/>
      <c r="RPZ23" s="559"/>
      <c r="RQA23" s="559"/>
      <c r="RQB23" s="559"/>
      <c r="RQC23" s="559"/>
      <c r="RQD23" s="559"/>
      <c r="RQE23" s="559"/>
      <c r="RQF23" s="559"/>
      <c r="RQG23" s="559"/>
      <c r="RQH23" s="559"/>
      <c r="RQI23" s="559"/>
      <c r="RQJ23" s="559"/>
      <c r="RQK23" s="559"/>
      <c r="RQL23" s="559"/>
      <c r="RQM23" s="559"/>
      <c r="RQN23" s="559"/>
      <c r="RQO23" s="559"/>
      <c r="RQP23" s="559"/>
      <c r="RQQ23" s="559"/>
      <c r="RQR23" s="559"/>
      <c r="RQS23" s="559"/>
      <c r="RQT23" s="559"/>
      <c r="RQU23" s="559"/>
      <c r="RQV23" s="559"/>
      <c r="RQW23" s="559"/>
      <c r="RQX23" s="559"/>
      <c r="RQY23" s="559"/>
      <c r="RQZ23" s="559"/>
      <c r="RRA23" s="559"/>
      <c r="RRB23" s="559"/>
      <c r="RRC23" s="559"/>
      <c r="RRD23" s="559"/>
      <c r="RRE23" s="559"/>
      <c r="RRF23" s="559"/>
      <c r="RRG23" s="559"/>
      <c r="RRH23" s="559"/>
      <c r="RRI23" s="559"/>
      <c r="RRJ23" s="559"/>
      <c r="RRK23" s="559"/>
      <c r="RRL23" s="559"/>
      <c r="RRM23" s="559"/>
      <c r="RRN23" s="559"/>
      <c r="RRO23" s="559"/>
      <c r="RRP23" s="559"/>
      <c r="RRQ23" s="559"/>
      <c r="RRR23" s="559"/>
      <c r="RRS23" s="559"/>
      <c r="RRT23" s="559"/>
      <c r="RRU23" s="559"/>
      <c r="RRV23" s="559"/>
      <c r="RRW23" s="559"/>
      <c r="RRX23" s="559"/>
      <c r="RRY23" s="559"/>
      <c r="RRZ23" s="559"/>
      <c r="RSA23" s="559"/>
      <c r="RSB23" s="559"/>
      <c r="RSC23" s="559"/>
      <c r="RSD23" s="559"/>
      <c r="RSE23" s="559"/>
      <c r="RSF23" s="559"/>
      <c r="RSG23" s="559"/>
      <c r="RSH23" s="559"/>
      <c r="RSI23" s="559"/>
      <c r="RSJ23" s="559"/>
      <c r="RSK23" s="559"/>
      <c r="RSL23" s="559"/>
      <c r="RSM23" s="559"/>
      <c r="RSN23" s="559"/>
      <c r="RSO23" s="559"/>
      <c r="RSP23" s="559"/>
      <c r="RSQ23" s="559"/>
      <c r="RSR23" s="559"/>
      <c r="RSS23" s="559"/>
      <c r="RST23" s="559"/>
      <c r="RSU23" s="559"/>
      <c r="RSV23" s="559"/>
      <c r="RSW23" s="559"/>
      <c r="RSX23" s="559"/>
      <c r="RSY23" s="559"/>
      <c r="RSZ23" s="559"/>
      <c r="RTA23" s="559"/>
      <c r="RTB23" s="559"/>
      <c r="RTC23" s="559"/>
      <c r="RTD23" s="559"/>
      <c r="RTE23" s="559"/>
      <c r="RTF23" s="559"/>
      <c r="RTG23" s="559"/>
      <c r="RTH23" s="559"/>
      <c r="RTI23" s="559"/>
      <c r="RTJ23" s="559"/>
      <c r="RTK23" s="559"/>
      <c r="RTL23" s="559"/>
      <c r="RTM23" s="559"/>
      <c r="RTN23" s="559"/>
      <c r="RTO23" s="559"/>
      <c r="RTP23" s="559"/>
      <c r="RTQ23" s="559"/>
      <c r="RTR23" s="559"/>
      <c r="RTS23" s="559"/>
      <c r="RTT23" s="559"/>
      <c r="RTU23" s="559"/>
      <c r="RTV23" s="559"/>
      <c r="RTW23" s="559"/>
      <c r="RTX23" s="559"/>
      <c r="RTY23" s="559"/>
      <c r="RTZ23" s="559"/>
      <c r="RUA23" s="559"/>
      <c r="RUB23" s="559"/>
      <c r="RUC23" s="559"/>
      <c r="RUD23" s="559"/>
      <c r="RUE23" s="559"/>
      <c r="RUF23" s="559"/>
      <c r="RUG23" s="559"/>
      <c r="RUH23" s="559"/>
      <c r="RUI23" s="559"/>
      <c r="RUJ23" s="559"/>
      <c r="RUK23" s="559"/>
      <c r="RUL23" s="559"/>
      <c r="RUM23" s="559"/>
      <c r="RUN23" s="559"/>
      <c r="RUO23" s="559"/>
      <c r="RUP23" s="559"/>
      <c r="RUQ23" s="559"/>
      <c r="RUR23" s="559"/>
      <c r="RUS23" s="559"/>
      <c r="RUT23" s="559"/>
      <c r="RUU23" s="559"/>
      <c r="RUV23" s="559"/>
      <c r="RUW23" s="559"/>
      <c r="RUX23" s="559"/>
      <c r="RUY23" s="559"/>
      <c r="RUZ23" s="559"/>
      <c r="RVA23" s="559"/>
      <c r="RVB23" s="559"/>
      <c r="RVC23" s="559"/>
      <c r="RVD23" s="559"/>
      <c r="RVE23" s="559"/>
      <c r="RVF23" s="559"/>
      <c r="RVG23" s="559"/>
      <c r="RVH23" s="559"/>
      <c r="RVI23" s="559"/>
      <c r="RVJ23" s="559"/>
      <c r="RVK23" s="559"/>
      <c r="RVL23" s="559"/>
      <c r="RVM23" s="559"/>
      <c r="RVN23" s="559"/>
      <c r="RVO23" s="559"/>
      <c r="RVP23" s="559"/>
      <c r="RVQ23" s="559"/>
      <c r="RVR23" s="559"/>
      <c r="RVS23" s="559"/>
      <c r="RVT23" s="559"/>
      <c r="RVU23" s="559"/>
      <c r="RVV23" s="559"/>
      <c r="RVW23" s="559"/>
      <c r="RVX23" s="559"/>
      <c r="RVY23" s="559"/>
      <c r="RVZ23" s="559"/>
      <c r="RWA23" s="559"/>
      <c r="RWB23" s="559"/>
      <c r="RWC23" s="559"/>
      <c r="RWD23" s="559"/>
      <c r="RWE23" s="559"/>
      <c r="RWF23" s="559"/>
      <c r="RWG23" s="559"/>
      <c r="RWH23" s="559"/>
      <c r="RWI23" s="559"/>
      <c r="RWJ23" s="559"/>
      <c r="RWK23" s="559"/>
      <c r="RWL23" s="559"/>
      <c r="RWM23" s="559"/>
      <c r="RWN23" s="559"/>
      <c r="RWO23" s="559"/>
      <c r="RWP23" s="559"/>
      <c r="RWQ23" s="559"/>
      <c r="RWR23" s="559"/>
      <c r="RWS23" s="559"/>
      <c r="RWT23" s="559"/>
      <c r="RWU23" s="559"/>
      <c r="RWV23" s="559"/>
      <c r="RWW23" s="559"/>
      <c r="RWX23" s="559"/>
      <c r="RWY23" s="559"/>
      <c r="RWZ23" s="559"/>
      <c r="RXA23" s="559"/>
      <c r="RXB23" s="559"/>
      <c r="RXC23" s="559"/>
      <c r="RXD23" s="559"/>
      <c r="RXE23" s="559"/>
      <c r="RXF23" s="559"/>
      <c r="RXG23" s="559"/>
      <c r="RXH23" s="559"/>
      <c r="RXI23" s="559"/>
      <c r="RXJ23" s="559"/>
      <c r="RXK23" s="559"/>
      <c r="RXL23" s="559"/>
      <c r="RXM23" s="559"/>
      <c r="RXN23" s="559"/>
      <c r="RXO23" s="559"/>
      <c r="RXP23" s="559"/>
      <c r="RXQ23" s="559"/>
      <c r="RXR23" s="559"/>
      <c r="RXS23" s="559"/>
      <c r="RXT23" s="559"/>
      <c r="RXU23" s="559"/>
      <c r="RXV23" s="559"/>
      <c r="RXW23" s="559"/>
      <c r="RXX23" s="559"/>
      <c r="RXY23" s="559"/>
      <c r="RXZ23" s="559"/>
      <c r="RYA23" s="559"/>
      <c r="RYB23" s="559"/>
      <c r="RYC23" s="559"/>
      <c r="RYD23" s="559"/>
      <c r="RYE23" s="559"/>
      <c r="RYF23" s="559"/>
      <c r="RYG23" s="559"/>
      <c r="RYH23" s="559"/>
      <c r="RYI23" s="559"/>
      <c r="RYJ23" s="559"/>
      <c r="RYK23" s="559"/>
      <c r="RYL23" s="559"/>
      <c r="RYM23" s="559"/>
      <c r="RYN23" s="559"/>
      <c r="RYO23" s="559"/>
      <c r="RYP23" s="559"/>
      <c r="RYQ23" s="559"/>
      <c r="RYR23" s="559"/>
      <c r="RYS23" s="559"/>
      <c r="RYT23" s="559"/>
      <c r="RYU23" s="559"/>
      <c r="RYV23" s="559"/>
      <c r="RYW23" s="559"/>
      <c r="RYX23" s="559"/>
      <c r="RYY23" s="559"/>
      <c r="RYZ23" s="559"/>
      <c r="RZA23" s="559"/>
      <c r="RZB23" s="559"/>
      <c r="RZC23" s="559"/>
      <c r="RZD23" s="559"/>
      <c r="RZE23" s="559"/>
      <c r="RZF23" s="559"/>
      <c r="RZG23" s="559"/>
      <c r="RZH23" s="559"/>
      <c r="RZI23" s="559"/>
      <c r="RZJ23" s="559"/>
      <c r="RZK23" s="559"/>
      <c r="RZL23" s="559"/>
      <c r="RZM23" s="559"/>
      <c r="RZN23" s="559"/>
      <c r="RZO23" s="559"/>
      <c r="RZP23" s="559"/>
      <c r="RZQ23" s="559"/>
      <c r="RZR23" s="559"/>
      <c r="RZS23" s="559"/>
      <c r="RZT23" s="559"/>
      <c r="RZU23" s="559"/>
      <c r="RZV23" s="559"/>
      <c r="RZW23" s="559"/>
      <c r="RZX23" s="559"/>
      <c r="RZY23" s="559"/>
      <c r="RZZ23" s="559"/>
      <c r="SAA23" s="559"/>
      <c r="SAB23" s="559"/>
      <c r="SAC23" s="559"/>
      <c r="SAD23" s="559"/>
      <c r="SAE23" s="559"/>
      <c r="SAF23" s="559"/>
      <c r="SAG23" s="559"/>
      <c r="SAH23" s="559"/>
      <c r="SAI23" s="559"/>
      <c r="SAJ23" s="559"/>
      <c r="SAK23" s="559"/>
      <c r="SAL23" s="559"/>
      <c r="SAM23" s="559"/>
      <c r="SAN23" s="559"/>
      <c r="SAO23" s="559"/>
      <c r="SAP23" s="559"/>
      <c r="SAQ23" s="559"/>
      <c r="SAR23" s="559"/>
      <c r="SAS23" s="559"/>
      <c r="SAT23" s="559"/>
      <c r="SAU23" s="559"/>
      <c r="SAV23" s="559"/>
      <c r="SAW23" s="559"/>
      <c r="SAX23" s="559"/>
      <c r="SAY23" s="559"/>
      <c r="SAZ23" s="559"/>
      <c r="SBA23" s="559"/>
      <c r="SBB23" s="559"/>
      <c r="SBC23" s="559"/>
      <c r="SBD23" s="559"/>
      <c r="SBE23" s="559"/>
      <c r="SBF23" s="559"/>
      <c r="SBG23" s="559"/>
      <c r="SBH23" s="559"/>
      <c r="SBI23" s="559"/>
      <c r="SBJ23" s="559"/>
      <c r="SBK23" s="559"/>
      <c r="SBL23" s="559"/>
      <c r="SBM23" s="559"/>
      <c r="SBN23" s="559"/>
      <c r="SBO23" s="559"/>
      <c r="SBP23" s="559"/>
      <c r="SBQ23" s="559"/>
      <c r="SBR23" s="559"/>
      <c r="SBS23" s="559"/>
      <c r="SBT23" s="559"/>
      <c r="SBU23" s="559"/>
      <c r="SBV23" s="559"/>
      <c r="SBW23" s="559"/>
      <c r="SBX23" s="559"/>
      <c r="SBY23" s="559"/>
      <c r="SBZ23" s="559"/>
      <c r="SCA23" s="559"/>
      <c r="SCB23" s="559"/>
      <c r="SCC23" s="559"/>
      <c r="SCD23" s="559"/>
      <c r="SCE23" s="559"/>
      <c r="SCF23" s="559"/>
      <c r="SCG23" s="559"/>
      <c r="SCH23" s="559"/>
      <c r="SCI23" s="559"/>
      <c r="SCJ23" s="559"/>
      <c r="SCK23" s="559"/>
      <c r="SCL23" s="559"/>
      <c r="SCM23" s="559"/>
      <c r="SCN23" s="559"/>
      <c r="SCO23" s="559"/>
      <c r="SCP23" s="559"/>
      <c r="SCQ23" s="559"/>
      <c r="SCR23" s="559"/>
      <c r="SCS23" s="559"/>
      <c r="SCT23" s="559"/>
      <c r="SCU23" s="559"/>
      <c r="SCV23" s="559"/>
      <c r="SCW23" s="559"/>
      <c r="SCX23" s="559"/>
      <c r="SCY23" s="559"/>
      <c r="SCZ23" s="559"/>
      <c r="SDA23" s="559"/>
      <c r="SDB23" s="559"/>
      <c r="SDC23" s="559"/>
      <c r="SDD23" s="559"/>
      <c r="SDE23" s="559"/>
      <c r="SDF23" s="559"/>
      <c r="SDG23" s="559"/>
      <c r="SDH23" s="559"/>
      <c r="SDI23" s="559"/>
      <c r="SDJ23" s="559"/>
      <c r="SDK23" s="559"/>
      <c r="SDL23" s="559"/>
      <c r="SDM23" s="559"/>
      <c r="SDN23" s="559"/>
      <c r="SDO23" s="559"/>
      <c r="SDP23" s="559"/>
      <c r="SDQ23" s="559"/>
      <c r="SDR23" s="559"/>
      <c r="SDS23" s="559"/>
      <c r="SDT23" s="559"/>
      <c r="SDU23" s="559"/>
      <c r="SDV23" s="559"/>
      <c r="SDW23" s="559"/>
      <c r="SDX23" s="559"/>
      <c r="SDY23" s="559"/>
      <c r="SDZ23" s="559"/>
      <c r="SEA23" s="559"/>
      <c r="SEB23" s="559"/>
      <c r="SEC23" s="559"/>
      <c r="SED23" s="559"/>
      <c r="SEE23" s="559"/>
      <c r="SEF23" s="559"/>
      <c r="SEG23" s="559"/>
      <c r="SEH23" s="559"/>
      <c r="SEI23" s="559"/>
      <c r="SEJ23" s="559"/>
      <c r="SEK23" s="559"/>
      <c r="SEL23" s="559"/>
      <c r="SEM23" s="559"/>
      <c r="SEN23" s="559"/>
      <c r="SEO23" s="559"/>
      <c r="SEP23" s="559"/>
      <c r="SEQ23" s="559"/>
      <c r="SER23" s="559"/>
      <c r="SES23" s="559"/>
      <c r="SET23" s="559"/>
      <c r="SEU23" s="559"/>
      <c r="SEV23" s="559"/>
      <c r="SEW23" s="559"/>
      <c r="SEX23" s="559"/>
      <c r="SEY23" s="559"/>
      <c r="SEZ23" s="559"/>
      <c r="SFA23" s="559"/>
      <c r="SFB23" s="559"/>
      <c r="SFC23" s="559"/>
      <c r="SFD23" s="559"/>
      <c r="SFE23" s="559"/>
      <c r="SFF23" s="559"/>
      <c r="SFG23" s="559"/>
      <c r="SFH23" s="559"/>
      <c r="SFI23" s="559"/>
      <c r="SFJ23" s="559"/>
      <c r="SFK23" s="559"/>
      <c r="SFL23" s="559"/>
      <c r="SFM23" s="559"/>
      <c r="SFN23" s="559"/>
      <c r="SFO23" s="559"/>
      <c r="SFP23" s="559"/>
      <c r="SFQ23" s="559"/>
      <c r="SFR23" s="559"/>
      <c r="SFS23" s="559"/>
      <c r="SFT23" s="559"/>
      <c r="SFU23" s="559"/>
      <c r="SFV23" s="559"/>
      <c r="SFW23" s="559"/>
      <c r="SFX23" s="559"/>
      <c r="SFY23" s="559"/>
      <c r="SFZ23" s="559"/>
      <c r="SGA23" s="559"/>
      <c r="SGB23" s="559"/>
      <c r="SGC23" s="559"/>
      <c r="SGD23" s="559"/>
      <c r="SGE23" s="559"/>
      <c r="SGF23" s="559"/>
      <c r="SGG23" s="559"/>
      <c r="SGH23" s="559"/>
      <c r="SGI23" s="559"/>
      <c r="SGJ23" s="559"/>
      <c r="SGK23" s="559"/>
      <c r="SGL23" s="559"/>
      <c r="SGM23" s="559"/>
      <c r="SGN23" s="559"/>
      <c r="SGO23" s="559"/>
      <c r="SGP23" s="559"/>
      <c r="SGQ23" s="559"/>
      <c r="SGR23" s="559"/>
      <c r="SGS23" s="559"/>
      <c r="SGT23" s="559"/>
      <c r="SGU23" s="559"/>
      <c r="SGV23" s="559"/>
      <c r="SGW23" s="559"/>
      <c r="SGX23" s="559"/>
      <c r="SGY23" s="559"/>
      <c r="SGZ23" s="559"/>
      <c r="SHA23" s="559"/>
      <c r="SHB23" s="559"/>
      <c r="SHC23" s="559"/>
      <c r="SHD23" s="559"/>
      <c r="SHE23" s="559"/>
      <c r="SHF23" s="559"/>
      <c r="SHG23" s="559"/>
      <c r="SHH23" s="559"/>
      <c r="SHI23" s="559"/>
      <c r="SHJ23" s="559"/>
      <c r="SHK23" s="559"/>
      <c r="SHL23" s="559"/>
      <c r="SHM23" s="559"/>
      <c r="SHN23" s="559"/>
      <c r="SHO23" s="559"/>
      <c r="SHP23" s="559"/>
      <c r="SHQ23" s="559"/>
      <c r="SHR23" s="559"/>
      <c r="SHS23" s="559"/>
      <c r="SHT23" s="559"/>
      <c r="SHU23" s="559"/>
      <c r="SHV23" s="559"/>
      <c r="SHW23" s="559"/>
      <c r="SHX23" s="559"/>
      <c r="SHY23" s="559"/>
      <c r="SHZ23" s="559"/>
      <c r="SIA23" s="559"/>
      <c r="SIB23" s="559"/>
      <c r="SIC23" s="559"/>
      <c r="SID23" s="559"/>
      <c r="SIE23" s="559"/>
      <c r="SIF23" s="559"/>
      <c r="SIG23" s="559"/>
      <c r="SIH23" s="559"/>
      <c r="SII23" s="559"/>
      <c r="SIJ23" s="559"/>
      <c r="SIK23" s="559"/>
      <c r="SIL23" s="559"/>
      <c r="SIM23" s="559"/>
      <c r="SIN23" s="559"/>
      <c r="SIO23" s="559"/>
      <c r="SIP23" s="559"/>
      <c r="SIQ23" s="559"/>
      <c r="SIR23" s="559"/>
      <c r="SIS23" s="559"/>
      <c r="SIT23" s="559"/>
      <c r="SIU23" s="559"/>
      <c r="SIV23" s="559"/>
      <c r="SIW23" s="559"/>
      <c r="SIX23" s="559"/>
      <c r="SIY23" s="559"/>
      <c r="SIZ23" s="559"/>
      <c r="SJA23" s="559"/>
      <c r="SJB23" s="559"/>
      <c r="SJC23" s="559"/>
      <c r="SJD23" s="559"/>
      <c r="SJE23" s="559"/>
      <c r="SJF23" s="559"/>
      <c r="SJG23" s="559"/>
      <c r="SJH23" s="559"/>
      <c r="SJI23" s="559"/>
      <c r="SJJ23" s="559"/>
      <c r="SJK23" s="559"/>
      <c r="SJL23" s="559"/>
      <c r="SJM23" s="559"/>
      <c r="SJN23" s="559"/>
      <c r="SJO23" s="559"/>
      <c r="SJP23" s="559"/>
      <c r="SJQ23" s="559"/>
      <c r="SJR23" s="559"/>
      <c r="SJS23" s="559"/>
      <c r="SJT23" s="559"/>
      <c r="SJU23" s="559"/>
      <c r="SJV23" s="559"/>
      <c r="SJW23" s="559"/>
      <c r="SJX23" s="559"/>
      <c r="SJY23" s="559"/>
      <c r="SJZ23" s="559"/>
      <c r="SKA23" s="559"/>
      <c r="SKB23" s="559"/>
      <c r="SKC23" s="559"/>
      <c r="SKD23" s="559"/>
      <c r="SKE23" s="559"/>
      <c r="SKF23" s="559"/>
      <c r="SKG23" s="559"/>
      <c r="SKH23" s="559"/>
      <c r="SKI23" s="559"/>
      <c r="SKJ23" s="559"/>
      <c r="SKK23" s="559"/>
      <c r="SKL23" s="559"/>
      <c r="SKM23" s="559"/>
      <c r="SKN23" s="559"/>
      <c r="SKO23" s="559"/>
      <c r="SKP23" s="559"/>
      <c r="SKQ23" s="559"/>
      <c r="SKR23" s="559"/>
      <c r="SKS23" s="559"/>
      <c r="SKT23" s="559"/>
      <c r="SKU23" s="559"/>
      <c r="SKV23" s="559"/>
      <c r="SKW23" s="559"/>
      <c r="SKX23" s="559"/>
      <c r="SKY23" s="559"/>
      <c r="SKZ23" s="559"/>
      <c r="SLA23" s="559"/>
      <c r="SLB23" s="559"/>
      <c r="SLC23" s="559"/>
      <c r="SLD23" s="559"/>
      <c r="SLE23" s="559"/>
      <c r="SLF23" s="559"/>
      <c r="SLG23" s="559"/>
      <c r="SLH23" s="559"/>
      <c r="SLI23" s="559"/>
      <c r="SLJ23" s="559"/>
      <c r="SLK23" s="559"/>
      <c r="SLL23" s="559"/>
      <c r="SLM23" s="559"/>
      <c r="SLN23" s="559"/>
      <c r="SLO23" s="559"/>
      <c r="SLP23" s="559"/>
      <c r="SLQ23" s="559"/>
      <c r="SLR23" s="559"/>
      <c r="SLS23" s="559"/>
      <c r="SLT23" s="559"/>
      <c r="SLU23" s="559"/>
      <c r="SLV23" s="559"/>
      <c r="SLW23" s="559"/>
      <c r="SLX23" s="559"/>
      <c r="SLY23" s="559"/>
      <c r="SLZ23" s="559"/>
      <c r="SMA23" s="559"/>
      <c r="SMB23" s="559"/>
      <c r="SMC23" s="559"/>
      <c r="SMD23" s="559"/>
      <c r="SME23" s="559"/>
      <c r="SMF23" s="559"/>
      <c r="SMG23" s="559"/>
      <c r="SMH23" s="559"/>
      <c r="SMI23" s="559"/>
      <c r="SMJ23" s="559"/>
      <c r="SMK23" s="559"/>
      <c r="SML23" s="559"/>
      <c r="SMM23" s="559"/>
      <c r="SMN23" s="559"/>
      <c r="SMO23" s="559"/>
      <c r="SMP23" s="559"/>
      <c r="SMQ23" s="559"/>
      <c r="SMR23" s="559"/>
      <c r="SMS23" s="559"/>
      <c r="SMT23" s="559"/>
      <c r="SMU23" s="559"/>
      <c r="SMV23" s="559"/>
      <c r="SMW23" s="559"/>
      <c r="SMX23" s="559"/>
      <c r="SMY23" s="559"/>
      <c r="SMZ23" s="559"/>
      <c r="SNA23" s="559"/>
      <c r="SNB23" s="559"/>
      <c r="SNC23" s="559"/>
      <c r="SND23" s="559"/>
      <c r="SNE23" s="559"/>
      <c r="SNF23" s="559"/>
      <c r="SNG23" s="559"/>
      <c r="SNH23" s="559"/>
      <c r="SNI23" s="559"/>
      <c r="SNJ23" s="559"/>
      <c r="SNK23" s="559"/>
      <c r="SNL23" s="559"/>
      <c r="SNM23" s="559"/>
      <c r="SNN23" s="559"/>
      <c r="SNO23" s="559"/>
      <c r="SNP23" s="559"/>
      <c r="SNQ23" s="559"/>
      <c r="SNR23" s="559"/>
      <c r="SNS23" s="559"/>
      <c r="SNT23" s="559"/>
      <c r="SNU23" s="559"/>
      <c r="SNV23" s="559"/>
      <c r="SNW23" s="559"/>
      <c r="SNX23" s="559"/>
      <c r="SNY23" s="559"/>
      <c r="SNZ23" s="559"/>
      <c r="SOA23" s="559"/>
      <c r="SOB23" s="559"/>
      <c r="SOC23" s="559"/>
      <c r="SOD23" s="559"/>
      <c r="SOE23" s="559"/>
      <c r="SOF23" s="559"/>
      <c r="SOG23" s="559"/>
      <c r="SOH23" s="559"/>
      <c r="SOI23" s="559"/>
      <c r="SOJ23" s="559"/>
      <c r="SOK23" s="559"/>
      <c r="SOL23" s="559"/>
      <c r="SOM23" s="559"/>
      <c r="SON23" s="559"/>
      <c r="SOO23" s="559"/>
      <c r="SOP23" s="559"/>
      <c r="SOQ23" s="559"/>
      <c r="SOR23" s="559"/>
      <c r="SOS23" s="559"/>
      <c r="SOT23" s="559"/>
      <c r="SOU23" s="559"/>
      <c r="SOV23" s="559"/>
      <c r="SOW23" s="559"/>
      <c r="SOX23" s="559"/>
      <c r="SOY23" s="559"/>
      <c r="SOZ23" s="559"/>
      <c r="SPA23" s="559"/>
      <c r="SPB23" s="559"/>
      <c r="SPC23" s="559"/>
      <c r="SPD23" s="559"/>
      <c r="SPE23" s="559"/>
      <c r="SPF23" s="559"/>
      <c r="SPG23" s="559"/>
      <c r="SPH23" s="559"/>
      <c r="SPI23" s="559"/>
      <c r="SPJ23" s="559"/>
      <c r="SPK23" s="559"/>
      <c r="SPL23" s="559"/>
      <c r="SPM23" s="559"/>
      <c r="SPN23" s="559"/>
      <c r="SPO23" s="559"/>
      <c r="SPP23" s="559"/>
      <c r="SPQ23" s="559"/>
      <c r="SPR23" s="559"/>
      <c r="SPS23" s="559"/>
      <c r="SPT23" s="559"/>
      <c r="SPU23" s="559"/>
      <c r="SPV23" s="559"/>
      <c r="SPW23" s="559"/>
      <c r="SPX23" s="559"/>
      <c r="SPY23" s="559"/>
      <c r="SPZ23" s="559"/>
      <c r="SQA23" s="559"/>
      <c r="SQB23" s="559"/>
      <c r="SQC23" s="559"/>
      <c r="SQD23" s="559"/>
      <c r="SQE23" s="559"/>
      <c r="SQF23" s="559"/>
      <c r="SQG23" s="559"/>
      <c r="SQH23" s="559"/>
      <c r="SQI23" s="559"/>
      <c r="SQJ23" s="559"/>
      <c r="SQK23" s="559"/>
      <c r="SQL23" s="559"/>
      <c r="SQM23" s="559"/>
      <c r="SQN23" s="559"/>
      <c r="SQO23" s="559"/>
      <c r="SQP23" s="559"/>
      <c r="SQQ23" s="559"/>
      <c r="SQR23" s="559"/>
      <c r="SQS23" s="559"/>
      <c r="SQT23" s="559"/>
      <c r="SQU23" s="559"/>
      <c r="SQV23" s="559"/>
      <c r="SQW23" s="559"/>
      <c r="SQX23" s="559"/>
      <c r="SQY23" s="559"/>
      <c r="SQZ23" s="559"/>
      <c r="SRA23" s="559"/>
      <c r="SRB23" s="559"/>
      <c r="SRC23" s="559"/>
      <c r="SRD23" s="559"/>
      <c r="SRE23" s="559"/>
      <c r="SRF23" s="559"/>
      <c r="SRG23" s="559"/>
      <c r="SRH23" s="559"/>
      <c r="SRI23" s="559"/>
      <c r="SRJ23" s="559"/>
      <c r="SRK23" s="559"/>
      <c r="SRL23" s="559"/>
      <c r="SRM23" s="559"/>
      <c r="SRN23" s="559"/>
      <c r="SRO23" s="559"/>
      <c r="SRP23" s="559"/>
      <c r="SRQ23" s="559"/>
      <c r="SRR23" s="559"/>
      <c r="SRS23" s="559"/>
      <c r="SRT23" s="559"/>
      <c r="SRU23" s="559"/>
      <c r="SRV23" s="559"/>
      <c r="SRW23" s="559"/>
      <c r="SRX23" s="559"/>
      <c r="SRY23" s="559"/>
      <c r="SRZ23" s="559"/>
      <c r="SSA23" s="559"/>
      <c r="SSB23" s="559"/>
      <c r="SSC23" s="559"/>
      <c r="SSD23" s="559"/>
      <c r="SSE23" s="559"/>
      <c r="SSF23" s="559"/>
      <c r="SSG23" s="559"/>
      <c r="SSH23" s="559"/>
      <c r="SSI23" s="559"/>
      <c r="SSJ23" s="559"/>
      <c r="SSK23" s="559"/>
      <c r="SSL23" s="559"/>
      <c r="SSM23" s="559"/>
      <c r="SSN23" s="559"/>
      <c r="SSO23" s="559"/>
      <c r="SSP23" s="559"/>
      <c r="SSQ23" s="559"/>
      <c r="SSR23" s="559"/>
      <c r="SSS23" s="559"/>
      <c r="SST23" s="559"/>
      <c r="SSU23" s="559"/>
      <c r="SSV23" s="559"/>
      <c r="SSW23" s="559"/>
      <c r="SSX23" s="559"/>
      <c r="SSY23" s="559"/>
      <c r="SSZ23" s="559"/>
      <c r="STA23" s="559"/>
      <c r="STB23" s="559"/>
      <c r="STC23" s="559"/>
      <c r="STD23" s="559"/>
      <c r="STE23" s="559"/>
      <c r="STF23" s="559"/>
      <c r="STG23" s="559"/>
      <c r="STH23" s="559"/>
      <c r="STI23" s="559"/>
      <c r="STJ23" s="559"/>
      <c r="STK23" s="559"/>
      <c r="STL23" s="559"/>
      <c r="STM23" s="559"/>
      <c r="STN23" s="559"/>
      <c r="STO23" s="559"/>
      <c r="STP23" s="559"/>
      <c r="STQ23" s="559"/>
      <c r="STR23" s="559"/>
      <c r="STS23" s="559"/>
      <c r="STT23" s="559"/>
      <c r="STU23" s="559"/>
      <c r="STV23" s="559"/>
      <c r="STW23" s="559"/>
      <c r="STX23" s="559"/>
      <c r="STY23" s="559"/>
      <c r="STZ23" s="559"/>
      <c r="SUA23" s="559"/>
      <c r="SUB23" s="559"/>
      <c r="SUC23" s="559"/>
      <c r="SUD23" s="559"/>
      <c r="SUE23" s="559"/>
      <c r="SUF23" s="559"/>
      <c r="SUG23" s="559"/>
      <c r="SUH23" s="559"/>
      <c r="SUI23" s="559"/>
      <c r="SUJ23" s="559"/>
      <c r="SUK23" s="559"/>
      <c r="SUL23" s="559"/>
      <c r="SUM23" s="559"/>
      <c r="SUN23" s="559"/>
      <c r="SUO23" s="559"/>
      <c r="SUP23" s="559"/>
      <c r="SUQ23" s="559"/>
      <c r="SUR23" s="559"/>
      <c r="SUS23" s="559"/>
      <c r="SUT23" s="559"/>
      <c r="SUU23" s="559"/>
      <c r="SUV23" s="559"/>
      <c r="SUW23" s="559"/>
      <c r="SUX23" s="559"/>
      <c r="SUY23" s="559"/>
      <c r="SUZ23" s="559"/>
      <c r="SVA23" s="559"/>
      <c r="SVB23" s="559"/>
      <c r="SVC23" s="559"/>
      <c r="SVD23" s="559"/>
      <c r="SVE23" s="559"/>
      <c r="SVF23" s="559"/>
      <c r="SVG23" s="559"/>
      <c r="SVH23" s="559"/>
      <c r="SVI23" s="559"/>
      <c r="SVJ23" s="559"/>
      <c r="SVK23" s="559"/>
      <c r="SVL23" s="559"/>
      <c r="SVM23" s="559"/>
      <c r="SVN23" s="559"/>
      <c r="SVO23" s="559"/>
      <c r="SVP23" s="559"/>
      <c r="SVQ23" s="559"/>
      <c r="SVR23" s="559"/>
      <c r="SVS23" s="559"/>
      <c r="SVT23" s="559"/>
      <c r="SVU23" s="559"/>
      <c r="SVV23" s="559"/>
      <c r="SVW23" s="559"/>
      <c r="SVX23" s="559"/>
      <c r="SVY23" s="559"/>
      <c r="SVZ23" s="559"/>
      <c r="SWA23" s="559"/>
      <c r="SWB23" s="559"/>
      <c r="SWC23" s="559"/>
      <c r="SWD23" s="559"/>
      <c r="SWE23" s="559"/>
      <c r="SWF23" s="559"/>
      <c r="SWG23" s="559"/>
      <c r="SWH23" s="559"/>
      <c r="SWI23" s="559"/>
      <c r="SWJ23" s="559"/>
      <c r="SWK23" s="559"/>
      <c r="SWL23" s="559"/>
      <c r="SWM23" s="559"/>
      <c r="SWN23" s="559"/>
      <c r="SWO23" s="559"/>
      <c r="SWP23" s="559"/>
      <c r="SWQ23" s="559"/>
      <c r="SWR23" s="559"/>
      <c r="SWS23" s="559"/>
      <c r="SWT23" s="559"/>
      <c r="SWU23" s="559"/>
      <c r="SWV23" s="559"/>
      <c r="SWW23" s="559"/>
      <c r="SWX23" s="559"/>
      <c r="SWY23" s="559"/>
      <c r="SWZ23" s="559"/>
      <c r="SXA23" s="559"/>
      <c r="SXB23" s="559"/>
      <c r="SXC23" s="559"/>
      <c r="SXD23" s="559"/>
      <c r="SXE23" s="559"/>
      <c r="SXF23" s="559"/>
      <c r="SXG23" s="559"/>
      <c r="SXH23" s="559"/>
      <c r="SXI23" s="559"/>
      <c r="SXJ23" s="559"/>
      <c r="SXK23" s="559"/>
      <c r="SXL23" s="559"/>
      <c r="SXM23" s="559"/>
      <c r="SXN23" s="559"/>
      <c r="SXO23" s="559"/>
      <c r="SXP23" s="559"/>
      <c r="SXQ23" s="559"/>
      <c r="SXR23" s="559"/>
      <c r="SXS23" s="559"/>
      <c r="SXT23" s="559"/>
      <c r="SXU23" s="559"/>
      <c r="SXV23" s="559"/>
      <c r="SXW23" s="559"/>
      <c r="SXX23" s="559"/>
      <c r="SXY23" s="559"/>
      <c r="SXZ23" s="559"/>
      <c r="SYA23" s="559"/>
      <c r="SYB23" s="559"/>
      <c r="SYC23" s="559"/>
      <c r="SYD23" s="559"/>
      <c r="SYE23" s="559"/>
      <c r="SYF23" s="559"/>
      <c r="SYG23" s="559"/>
      <c r="SYH23" s="559"/>
      <c r="SYI23" s="559"/>
      <c r="SYJ23" s="559"/>
      <c r="SYK23" s="559"/>
      <c r="SYL23" s="559"/>
      <c r="SYM23" s="559"/>
      <c r="SYN23" s="559"/>
      <c r="SYO23" s="559"/>
      <c r="SYP23" s="559"/>
      <c r="SYQ23" s="559"/>
      <c r="SYR23" s="559"/>
      <c r="SYS23" s="559"/>
      <c r="SYT23" s="559"/>
      <c r="SYU23" s="559"/>
      <c r="SYV23" s="559"/>
      <c r="SYW23" s="559"/>
      <c r="SYX23" s="559"/>
      <c r="SYY23" s="559"/>
      <c r="SYZ23" s="559"/>
      <c r="SZA23" s="559"/>
      <c r="SZB23" s="559"/>
      <c r="SZC23" s="559"/>
      <c r="SZD23" s="559"/>
      <c r="SZE23" s="559"/>
      <c r="SZF23" s="559"/>
      <c r="SZG23" s="559"/>
      <c r="SZH23" s="559"/>
      <c r="SZI23" s="559"/>
      <c r="SZJ23" s="559"/>
      <c r="SZK23" s="559"/>
      <c r="SZL23" s="559"/>
      <c r="SZM23" s="559"/>
      <c r="SZN23" s="559"/>
      <c r="SZO23" s="559"/>
      <c r="SZP23" s="559"/>
      <c r="SZQ23" s="559"/>
      <c r="SZR23" s="559"/>
      <c r="SZS23" s="559"/>
      <c r="SZT23" s="559"/>
      <c r="SZU23" s="559"/>
      <c r="SZV23" s="559"/>
      <c r="SZW23" s="559"/>
      <c r="SZX23" s="559"/>
      <c r="SZY23" s="559"/>
      <c r="SZZ23" s="559"/>
      <c r="TAA23" s="559"/>
      <c r="TAB23" s="559"/>
      <c r="TAC23" s="559"/>
      <c r="TAD23" s="559"/>
      <c r="TAE23" s="559"/>
      <c r="TAF23" s="559"/>
      <c r="TAG23" s="559"/>
      <c r="TAH23" s="559"/>
      <c r="TAI23" s="559"/>
      <c r="TAJ23" s="559"/>
      <c r="TAK23" s="559"/>
      <c r="TAL23" s="559"/>
      <c r="TAM23" s="559"/>
      <c r="TAN23" s="559"/>
      <c r="TAO23" s="559"/>
      <c r="TAP23" s="559"/>
      <c r="TAQ23" s="559"/>
      <c r="TAR23" s="559"/>
      <c r="TAS23" s="559"/>
      <c r="TAT23" s="559"/>
      <c r="TAU23" s="559"/>
      <c r="TAV23" s="559"/>
      <c r="TAW23" s="559"/>
      <c r="TAX23" s="559"/>
      <c r="TAY23" s="559"/>
      <c r="TAZ23" s="559"/>
      <c r="TBA23" s="559"/>
      <c r="TBB23" s="559"/>
      <c r="TBC23" s="559"/>
      <c r="TBD23" s="559"/>
      <c r="TBE23" s="559"/>
      <c r="TBF23" s="559"/>
      <c r="TBG23" s="559"/>
      <c r="TBH23" s="559"/>
      <c r="TBI23" s="559"/>
      <c r="TBJ23" s="559"/>
      <c r="TBK23" s="559"/>
      <c r="TBL23" s="559"/>
      <c r="TBM23" s="559"/>
      <c r="TBN23" s="559"/>
      <c r="TBO23" s="559"/>
      <c r="TBP23" s="559"/>
      <c r="TBQ23" s="559"/>
      <c r="TBR23" s="559"/>
      <c r="TBS23" s="559"/>
      <c r="TBT23" s="559"/>
      <c r="TBU23" s="559"/>
      <c r="TBV23" s="559"/>
      <c r="TBW23" s="559"/>
      <c r="TBX23" s="559"/>
      <c r="TBY23" s="559"/>
      <c r="TBZ23" s="559"/>
      <c r="TCA23" s="559"/>
      <c r="TCB23" s="559"/>
      <c r="TCC23" s="559"/>
      <c r="TCD23" s="559"/>
      <c r="TCE23" s="559"/>
      <c r="TCF23" s="559"/>
      <c r="TCG23" s="559"/>
      <c r="TCH23" s="559"/>
      <c r="TCI23" s="559"/>
      <c r="TCJ23" s="559"/>
      <c r="TCK23" s="559"/>
      <c r="TCL23" s="559"/>
      <c r="TCM23" s="559"/>
      <c r="TCN23" s="559"/>
      <c r="TCO23" s="559"/>
      <c r="TCP23" s="559"/>
      <c r="TCQ23" s="559"/>
      <c r="TCR23" s="559"/>
      <c r="TCS23" s="559"/>
      <c r="TCT23" s="559"/>
      <c r="TCU23" s="559"/>
      <c r="TCV23" s="559"/>
      <c r="TCW23" s="559"/>
      <c r="TCX23" s="559"/>
      <c r="TCY23" s="559"/>
      <c r="TCZ23" s="559"/>
      <c r="TDA23" s="559"/>
      <c r="TDB23" s="559"/>
      <c r="TDC23" s="559"/>
      <c r="TDD23" s="559"/>
      <c r="TDE23" s="559"/>
      <c r="TDF23" s="559"/>
      <c r="TDG23" s="559"/>
      <c r="TDH23" s="559"/>
      <c r="TDI23" s="559"/>
      <c r="TDJ23" s="559"/>
      <c r="TDK23" s="559"/>
      <c r="TDL23" s="559"/>
      <c r="TDM23" s="559"/>
      <c r="TDN23" s="559"/>
      <c r="TDO23" s="559"/>
      <c r="TDP23" s="559"/>
      <c r="TDQ23" s="559"/>
      <c r="TDR23" s="559"/>
      <c r="TDS23" s="559"/>
      <c r="TDT23" s="559"/>
      <c r="TDU23" s="559"/>
      <c r="TDV23" s="559"/>
      <c r="TDW23" s="559"/>
      <c r="TDX23" s="559"/>
      <c r="TDY23" s="559"/>
      <c r="TDZ23" s="559"/>
      <c r="TEA23" s="559"/>
      <c r="TEB23" s="559"/>
      <c r="TEC23" s="559"/>
      <c r="TED23" s="559"/>
      <c r="TEE23" s="559"/>
      <c r="TEF23" s="559"/>
      <c r="TEG23" s="559"/>
      <c r="TEH23" s="559"/>
      <c r="TEI23" s="559"/>
      <c r="TEJ23" s="559"/>
      <c r="TEK23" s="559"/>
      <c r="TEL23" s="559"/>
      <c r="TEM23" s="559"/>
      <c r="TEN23" s="559"/>
      <c r="TEO23" s="559"/>
      <c r="TEP23" s="559"/>
      <c r="TEQ23" s="559"/>
      <c r="TER23" s="559"/>
      <c r="TES23" s="559"/>
      <c r="TET23" s="559"/>
      <c r="TEU23" s="559"/>
      <c r="TEV23" s="559"/>
      <c r="TEW23" s="559"/>
      <c r="TEX23" s="559"/>
      <c r="TEY23" s="559"/>
      <c r="TEZ23" s="559"/>
      <c r="TFA23" s="559"/>
      <c r="TFB23" s="559"/>
      <c r="TFC23" s="559"/>
      <c r="TFD23" s="559"/>
      <c r="TFE23" s="559"/>
      <c r="TFF23" s="559"/>
      <c r="TFG23" s="559"/>
      <c r="TFH23" s="559"/>
      <c r="TFI23" s="559"/>
      <c r="TFJ23" s="559"/>
      <c r="TFK23" s="559"/>
      <c r="TFL23" s="559"/>
      <c r="TFM23" s="559"/>
      <c r="TFN23" s="559"/>
      <c r="TFO23" s="559"/>
      <c r="TFP23" s="559"/>
      <c r="TFQ23" s="559"/>
      <c r="TFR23" s="559"/>
      <c r="TFS23" s="559"/>
      <c r="TFT23" s="559"/>
      <c r="TFU23" s="559"/>
      <c r="TFV23" s="559"/>
      <c r="TFW23" s="559"/>
      <c r="TFX23" s="559"/>
      <c r="TFY23" s="559"/>
      <c r="TFZ23" s="559"/>
      <c r="TGA23" s="559"/>
      <c r="TGB23" s="559"/>
      <c r="TGC23" s="559"/>
      <c r="TGD23" s="559"/>
      <c r="TGE23" s="559"/>
      <c r="TGF23" s="559"/>
      <c r="TGG23" s="559"/>
      <c r="TGH23" s="559"/>
      <c r="TGI23" s="559"/>
      <c r="TGJ23" s="559"/>
      <c r="TGK23" s="559"/>
      <c r="TGL23" s="559"/>
      <c r="TGM23" s="559"/>
      <c r="TGN23" s="559"/>
      <c r="TGO23" s="559"/>
      <c r="TGP23" s="559"/>
      <c r="TGQ23" s="559"/>
      <c r="TGR23" s="559"/>
      <c r="TGS23" s="559"/>
      <c r="TGT23" s="559"/>
      <c r="TGU23" s="559"/>
      <c r="TGV23" s="559"/>
      <c r="TGW23" s="559"/>
      <c r="TGX23" s="559"/>
      <c r="TGY23" s="559"/>
      <c r="TGZ23" s="559"/>
      <c r="THA23" s="559"/>
      <c r="THB23" s="559"/>
      <c r="THC23" s="559"/>
      <c r="THD23" s="559"/>
      <c r="THE23" s="559"/>
      <c r="THF23" s="559"/>
      <c r="THG23" s="559"/>
      <c r="THH23" s="559"/>
      <c r="THI23" s="559"/>
      <c r="THJ23" s="559"/>
      <c r="THK23" s="559"/>
      <c r="THL23" s="559"/>
      <c r="THM23" s="559"/>
      <c r="THN23" s="559"/>
      <c r="THO23" s="559"/>
      <c r="THP23" s="559"/>
      <c r="THQ23" s="559"/>
      <c r="THR23" s="559"/>
      <c r="THS23" s="559"/>
      <c r="THT23" s="559"/>
      <c r="THU23" s="559"/>
      <c r="THV23" s="559"/>
      <c r="THW23" s="559"/>
      <c r="THX23" s="559"/>
      <c r="THY23" s="559"/>
      <c r="THZ23" s="559"/>
      <c r="TIA23" s="559"/>
      <c r="TIB23" s="559"/>
      <c r="TIC23" s="559"/>
      <c r="TID23" s="559"/>
      <c r="TIE23" s="559"/>
      <c r="TIF23" s="559"/>
      <c r="TIG23" s="559"/>
      <c r="TIH23" s="559"/>
      <c r="TII23" s="559"/>
      <c r="TIJ23" s="559"/>
      <c r="TIK23" s="559"/>
      <c r="TIL23" s="559"/>
      <c r="TIM23" s="559"/>
      <c r="TIN23" s="559"/>
      <c r="TIO23" s="559"/>
      <c r="TIP23" s="559"/>
      <c r="TIQ23" s="559"/>
      <c r="TIR23" s="559"/>
      <c r="TIS23" s="559"/>
      <c r="TIT23" s="559"/>
      <c r="TIU23" s="559"/>
      <c r="TIV23" s="559"/>
      <c r="TIW23" s="559"/>
      <c r="TIX23" s="559"/>
      <c r="TIY23" s="559"/>
      <c r="TIZ23" s="559"/>
      <c r="TJA23" s="559"/>
      <c r="TJB23" s="559"/>
      <c r="TJC23" s="559"/>
      <c r="TJD23" s="559"/>
      <c r="TJE23" s="559"/>
      <c r="TJF23" s="559"/>
      <c r="TJG23" s="559"/>
      <c r="TJH23" s="559"/>
      <c r="TJI23" s="559"/>
      <c r="TJJ23" s="559"/>
      <c r="TJK23" s="559"/>
      <c r="TJL23" s="559"/>
      <c r="TJM23" s="559"/>
      <c r="TJN23" s="559"/>
      <c r="TJO23" s="559"/>
      <c r="TJP23" s="559"/>
      <c r="TJQ23" s="559"/>
      <c r="TJR23" s="559"/>
      <c r="TJS23" s="559"/>
      <c r="TJT23" s="559"/>
      <c r="TJU23" s="559"/>
      <c r="TJV23" s="559"/>
      <c r="TJW23" s="559"/>
      <c r="TJX23" s="559"/>
      <c r="TJY23" s="559"/>
      <c r="TJZ23" s="559"/>
      <c r="TKA23" s="559"/>
      <c r="TKB23" s="559"/>
      <c r="TKC23" s="559"/>
      <c r="TKD23" s="559"/>
      <c r="TKE23" s="559"/>
      <c r="TKF23" s="559"/>
      <c r="TKG23" s="559"/>
      <c r="TKH23" s="559"/>
      <c r="TKI23" s="559"/>
      <c r="TKJ23" s="559"/>
      <c r="TKK23" s="559"/>
      <c r="TKL23" s="559"/>
      <c r="TKM23" s="559"/>
      <c r="TKN23" s="559"/>
      <c r="TKO23" s="559"/>
      <c r="TKP23" s="559"/>
      <c r="TKQ23" s="559"/>
      <c r="TKR23" s="559"/>
      <c r="TKS23" s="559"/>
      <c r="TKT23" s="559"/>
      <c r="TKU23" s="559"/>
      <c r="TKV23" s="559"/>
      <c r="TKW23" s="559"/>
      <c r="TKX23" s="559"/>
      <c r="TKY23" s="559"/>
      <c r="TKZ23" s="559"/>
      <c r="TLA23" s="559"/>
      <c r="TLB23" s="559"/>
      <c r="TLC23" s="559"/>
      <c r="TLD23" s="559"/>
      <c r="TLE23" s="559"/>
      <c r="TLF23" s="559"/>
      <c r="TLG23" s="559"/>
      <c r="TLH23" s="559"/>
      <c r="TLI23" s="559"/>
      <c r="TLJ23" s="559"/>
      <c r="TLK23" s="559"/>
      <c r="TLL23" s="559"/>
      <c r="TLM23" s="559"/>
      <c r="TLN23" s="559"/>
      <c r="TLO23" s="559"/>
      <c r="TLP23" s="559"/>
      <c r="TLQ23" s="559"/>
      <c r="TLR23" s="559"/>
      <c r="TLS23" s="559"/>
      <c r="TLT23" s="559"/>
      <c r="TLU23" s="559"/>
      <c r="TLV23" s="559"/>
      <c r="TLW23" s="559"/>
      <c r="TLX23" s="559"/>
      <c r="TLY23" s="559"/>
      <c r="TLZ23" s="559"/>
      <c r="TMA23" s="559"/>
      <c r="TMB23" s="559"/>
      <c r="TMC23" s="559"/>
      <c r="TMD23" s="559"/>
      <c r="TME23" s="559"/>
      <c r="TMF23" s="559"/>
      <c r="TMG23" s="559"/>
      <c r="TMH23" s="559"/>
      <c r="TMI23" s="559"/>
      <c r="TMJ23" s="559"/>
      <c r="TMK23" s="559"/>
      <c r="TML23" s="559"/>
      <c r="TMM23" s="559"/>
      <c r="TMN23" s="559"/>
      <c r="TMO23" s="559"/>
      <c r="TMP23" s="559"/>
      <c r="TMQ23" s="559"/>
      <c r="TMR23" s="559"/>
      <c r="TMS23" s="559"/>
      <c r="TMT23" s="559"/>
      <c r="TMU23" s="559"/>
      <c r="TMV23" s="559"/>
      <c r="TMW23" s="559"/>
      <c r="TMX23" s="559"/>
      <c r="TMY23" s="559"/>
      <c r="TMZ23" s="559"/>
      <c r="TNA23" s="559"/>
      <c r="TNB23" s="559"/>
      <c r="TNC23" s="559"/>
      <c r="TND23" s="559"/>
      <c r="TNE23" s="559"/>
      <c r="TNF23" s="559"/>
      <c r="TNG23" s="559"/>
      <c r="TNH23" s="559"/>
      <c r="TNI23" s="559"/>
      <c r="TNJ23" s="559"/>
      <c r="TNK23" s="559"/>
      <c r="TNL23" s="559"/>
      <c r="TNM23" s="559"/>
      <c r="TNN23" s="559"/>
      <c r="TNO23" s="559"/>
      <c r="TNP23" s="559"/>
      <c r="TNQ23" s="559"/>
      <c r="TNR23" s="559"/>
      <c r="TNS23" s="559"/>
      <c r="TNT23" s="559"/>
      <c r="TNU23" s="559"/>
      <c r="TNV23" s="559"/>
      <c r="TNW23" s="559"/>
      <c r="TNX23" s="559"/>
      <c r="TNY23" s="559"/>
      <c r="TNZ23" s="559"/>
      <c r="TOA23" s="559"/>
      <c r="TOB23" s="559"/>
      <c r="TOC23" s="559"/>
      <c r="TOD23" s="559"/>
      <c r="TOE23" s="559"/>
      <c r="TOF23" s="559"/>
      <c r="TOG23" s="559"/>
      <c r="TOH23" s="559"/>
      <c r="TOI23" s="559"/>
      <c r="TOJ23" s="559"/>
      <c r="TOK23" s="559"/>
      <c r="TOL23" s="559"/>
      <c r="TOM23" s="559"/>
      <c r="TON23" s="559"/>
      <c r="TOO23" s="559"/>
      <c r="TOP23" s="559"/>
      <c r="TOQ23" s="559"/>
      <c r="TOR23" s="559"/>
      <c r="TOS23" s="559"/>
      <c r="TOT23" s="559"/>
      <c r="TOU23" s="559"/>
      <c r="TOV23" s="559"/>
      <c r="TOW23" s="559"/>
      <c r="TOX23" s="559"/>
      <c r="TOY23" s="559"/>
      <c r="TOZ23" s="559"/>
      <c r="TPA23" s="559"/>
      <c r="TPB23" s="559"/>
      <c r="TPC23" s="559"/>
      <c r="TPD23" s="559"/>
      <c r="TPE23" s="559"/>
      <c r="TPF23" s="559"/>
      <c r="TPG23" s="559"/>
      <c r="TPH23" s="559"/>
      <c r="TPI23" s="559"/>
      <c r="TPJ23" s="559"/>
      <c r="TPK23" s="559"/>
      <c r="TPL23" s="559"/>
      <c r="TPM23" s="559"/>
      <c r="TPN23" s="559"/>
      <c r="TPO23" s="559"/>
      <c r="TPP23" s="559"/>
      <c r="TPQ23" s="559"/>
      <c r="TPR23" s="559"/>
      <c r="TPS23" s="559"/>
      <c r="TPT23" s="559"/>
      <c r="TPU23" s="559"/>
      <c r="TPV23" s="559"/>
      <c r="TPW23" s="559"/>
      <c r="TPX23" s="559"/>
      <c r="TPY23" s="559"/>
      <c r="TPZ23" s="559"/>
      <c r="TQA23" s="559"/>
      <c r="TQB23" s="559"/>
      <c r="TQC23" s="559"/>
      <c r="TQD23" s="559"/>
      <c r="TQE23" s="559"/>
      <c r="TQF23" s="559"/>
      <c r="TQG23" s="559"/>
      <c r="TQH23" s="559"/>
      <c r="TQI23" s="559"/>
      <c r="TQJ23" s="559"/>
      <c r="TQK23" s="559"/>
      <c r="TQL23" s="559"/>
      <c r="TQM23" s="559"/>
      <c r="TQN23" s="559"/>
      <c r="TQO23" s="559"/>
      <c r="TQP23" s="559"/>
      <c r="TQQ23" s="559"/>
      <c r="TQR23" s="559"/>
      <c r="TQS23" s="559"/>
      <c r="TQT23" s="559"/>
      <c r="TQU23" s="559"/>
      <c r="TQV23" s="559"/>
      <c r="TQW23" s="559"/>
      <c r="TQX23" s="559"/>
      <c r="TQY23" s="559"/>
      <c r="TQZ23" s="559"/>
      <c r="TRA23" s="559"/>
      <c r="TRB23" s="559"/>
      <c r="TRC23" s="559"/>
      <c r="TRD23" s="559"/>
      <c r="TRE23" s="559"/>
      <c r="TRF23" s="559"/>
      <c r="TRG23" s="559"/>
      <c r="TRH23" s="559"/>
      <c r="TRI23" s="559"/>
      <c r="TRJ23" s="559"/>
      <c r="TRK23" s="559"/>
      <c r="TRL23" s="559"/>
      <c r="TRM23" s="559"/>
      <c r="TRN23" s="559"/>
      <c r="TRO23" s="559"/>
      <c r="TRP23" s="559"/>
      <c r="TRQ23" s="559"/>
      <c r="TRR23" s="559"/>
      <c r="TRS23" s="559"/>
      <c r="TRT23" s="559"/>
      <c r="TRU23" s="559"/>
      <c r="TRV23" s="559"/>
      <c r="TRW23" s="559"/>
      <c r="TRX23" s="559"/>
      <c r="TRY23" s="559"/>
      <c r="TRZ23" s="559"/>
      <c r="TSA23" s="559"/>
      <c r="TSB23" s="559"/>
      <c r="TSC23" s="559"/>
      <c r="TSD23" s="559"/>
      <c r="TSE23" s="559"/>
      <c r="TSF23" s="559"/>
      <c r="TSG23" s="559"/>
      <c r="TSH23" s="559"/>
      <c r="TSI23" s="559"/>
      <c r="TSJ23" s="559"/>
      <c r="TSK23" s="559"/>
      <c r="TSL23" s="559"/>
      <c r="TSM23" s="559"/>
      <c r="TSN23" s="559"/>
      <c r="TSO23" s="559"/>
      <c r="TSP23" s="559"/>
      <c r="TSQ23" s="559"/>
      <c r="TSR23" s="559"/>
      <c r="TSS23" s="559"/>
      <c r="TST23" s="559"/>
      <c r="TSU23" s="559"/>
      <c r="TSV23" s="559"/>
      <c r="TSW23" s="559"/>
      <c r="TSX23" s="559"/>
      <c r="TSY23" s="559"/>
      <c r="TSZ23" s="559"/>
      <c r="TTA23" s="559"/>
      <c r="TTB23" s="559"/>
      <c r="TTC23" s="559"/>
      <c r="TTD23" s="559"/>
      <c r="TTE23" s="559"/>
      <c r="TTF23" s="559"/>
      <c r="TTG23" s="559"/>
      <c r="TTH23" s="559"/>
      <c r="TTI23" s="559"/>
      <c r="TTJ23" s="559"/>
      <c r="TTK23" s="559"/>
      <c r="TTL23" s="559"/>
      <c r="TTM23" s="559"/>
      <c r="TTN23" s="559"/>
      <c r="TTO23" s="559"/>
      <c r="TTP23" s="559"/>
      <c r="TTQ23" s="559"/>
      <c r="TTR23" s="559"/>
      <c r="TTS23" s="559"/>
      <c r="TTT23" s="559"/>
      <c r="TTU23" s="559"/>
      <c r="TTV23" s="559"/>
      <c r="TTW23" s="559"/>
      <c r="TTX23" s="559"/>
      <c r="TTY23" s="559"/>
      <c r="TTZ23" s="559"/>
      <c r="TUA23" s="559"/>
      <c r="TUB23" s="559"/>
      <c r="TUC23" s="559"/>
      <c r="TUD23" s="559"/>
      <c r="TUE23" s="559"/>
      <c r="TUF23" s="559"/>
      <c r="TUG23" s="559"/>
      <c r="TUH23" s="559"/>
      <c r="TUI23" s="559"/>
      <c r="TUJ23" s="559"/>
      <c r="TUK23" s="559"/>
      <c r="TUL23" s="559"/>
      <c r="TUM23" s="559"/>
      <c r="TUN23" s="559"/>
      <c r="TUO23" s="559"/>
      <c r="TUP23" s="559"/>
      <c r="TUQ23" s="559"/>
      <c r="TUR23" s="559"/>
      <c r="TUS23" s="559"/>
      <c r="TUT23" s="559"/>
      <c r="TUU23" s="559"/>
      <c r="TUV23" s="559"/>
      <c r="TUW23" s="559"/>
      <c r="TUX23" s="559"/>
      <c r="TUY23" s="559"/>
      <c r="TUZ23" s="559"/>
      <c r="TVA23" s="559"/>
      <c r="TVB23" s="559"/>
      <c r="TVC23" s="559"/>
      <c r="TVD23" s="559"/>
      <c r="TVE23" s="559"/>
      <c r="TVF23" s="559"/>
      <c r="TVG23" s="559"/>
      <c r="TVH23" s="559"/>
      <c r="TVI23" s="559"/>
      <c r="TVJ23" s="559"/>
      <c r="TVK23" s="559"/>
      <c r="TVL23" s="559"/>
      <c r="TVM23" s="559"/>
      <c r="TVN23" s="559"/>
      <c r="TVO23" s="559"/>
      <c r="TVP23" s="559"/>
      <c r="TVQ23" s="559"/>
      <c r="TVR23" s="559"/>
      <c r="TVS23" s="559"/>
      <c r="TVT23" s="559"/>
      <c r="TVU23" s="559"/>
      <c r="TVV23" s="559"/>
      <c r="TVW23" s="559"/>
      <c r="TVX23" s="559"/>
      <c r="TVY23" s="559"/>
      <c r="TVZ23" s="559"/>
      <c r="TWA23" s="559"/>
      <c r="TWB23" s="559"/>
      <c r="TWC23" s="559"/>
      <c r="TWD23" s="559"/>
      <c r="TWE23" s="559"/>
      <c r="TWF23" s="559"/>
      <c r="TWG23" s="559"/>
      <c r="TWH23" s="559"/>
      <c r="TWI23" s="559"/>
      <c r="TWJ23" s="559"/>
      <c r="TWK23" s="559"/>
      <c r="TWL23" s="559"/>
      <c r="TWM23" s="559"/>
      <c r="TWN23" s="559"/>
      <c r="TWO23" s="559"/>
      <c r="TWP23" s="559"/>
      <c r="TWQ23" s="559"/>
      <c r="TWR23" s="559"/>
      <c r="TWS23" s="559"/>
      <c r="TWT23" s="559"/>
      <c r="TWU23" s="559"/>
      <c r="TWV23" s="559"/>
      <c r="TWW23" s="559"/>
      <c r="TWX23" s="559"/>
      <c r="TWY23" s="559"/>
      <c r="TWZ23" s="559"/>
      <c r="TXA23" s="559"/>
      <c r="TXB23" s="559"/>
      <c r="TXC23" s="559"/>
      <c r="TXD23" s="559"/>
      <c r="TXE23" s="559"/>
      <c r="TXF23" s="559"/>
      <c r="TXG23" s="559"/>
      <c r="TXH23" s="559"/>
      <c r="TXI23" s="559"/>
      <c r="TXJ23" s="559"/>
      <c r="TXK23" s="559"/>
      <c r="TXL23" s="559"/>
      <c r="TXM23" s="559"/>
      <c r="TXN23" s="559"/>
      <c r="TXO23" s="559"/>
      <c r="TXP23" s="559"/>
      <c r="TXQ23" s="559"/>
      <c r="TXR23" s="559"/>
      <c r="TXS23" s="559"/>
      <c r="TXT23" s="559"/>
      <c r="TXU23" s="559"/>
      <c r="TXV23" s="559"/>
      <c r="TXW23" s="559"/>
      <c r="TXX23" s="559"/>
      <c r="TXY23" s="559"/>
      <c r="TXZ23" s="559"/>
      <c r="TYA23" s="559"/>
      <c r="TYB23" s="559"/>
      <c r="TYC23" s="559"/>
      <c r="TYD23" s="559"/>
      <c r="TYE23" s="559"/>
      <c r="TYF23" s="559"/>
      <c r="TYG23" s="559"/>
      <c r="TYH23" s="559"/>
      <c r="TYI23" s="559"/>
      <c r="TYJ23" s="559"/>
      <c r="TYK23" s="559"/>
      <c r="TYL23" s="559"/>
      <c r="TYM23" s="559"/>
      <c r="TYN23" s="559"/>
      <c r="TYO23" s="559"/>
      <c r="TYP23" s="559"/>
      <c r="TYQ23" s="559"/>
      <c r="TYR23" s="559"/>
      <c r="TYS23" s="559"/>
      <c r="TYT23" s="559"/>
      <c r="TYU23" s="559"/>
      <c r="TYV23" s="559"/>
      <c r="TYW23" s="559"/>
      <c r="TYX23" s="559"/>
      <c r="TYY23" s="559"/>
      <c r="TYZ23" s="559"/>
      <c r="TZA23" s="559"/>
      <c r="TZB23" s="559"/>
      <c r="TZC23" s="559"/>
      <c r="TZD23" s="559"/>
      <c r="TZE23" s="559"/>
      <c r="TZF23" s="559"/>
      <c r="TZG23" s="559"/>
      <c r="TZH23" s="559"/>
      <c r="TZI23" s="559"/>
      <c r="TZJ23" s="559"/>
      <c r="TZK23" s="559"/>
      <c r="TZL23" s="559"/>
      <c r="TZM23" s="559"/>
      <c r="TZN23" s="559"/>
      <c r="TZO23" s="559"/>
      <c r="TZP23" s="559"/>
      <c r="TZQ23" s="559"/>
      <c r="TZR23" s="559"/>
      <c r="TZS23" s="559"/>
      <c r="TZT23" s="559"/>
      <c r="TZU23" s="559"/>
      <c r="TZV23" s="559"/>
      <c r="TZW23" s="559"/>
      <c r="TZX23" s="559"/>
      <c r="TZY23" s="559"/>
      <c r="TZZ23" s="559"/>
      <c r="UAA23" s="559"/>
      <c r="UAB23" s="559"/>
      <c r="UAC23" s="559"/>
      <c r="UAD23" s="559"/>
      <c r="UAE23" s="559"/>
      <c r="UAF23" s="559"/>
      <c r="UAG23" s="559"/>
      <c r="UAH23" s="559"/>
      <c r="UAI23" s="559"/>
      <c r="UAJ23" s="559"/>
      <c r="UAK23" s="559"/>
      <c r="UAL23" s="559"/>
      <c r="UAM23" s="559"/>
      <c r="UAN23" s="559"/>
      <c r="UAO23" s="559"/>
      <c r="UAP23" s="559"/>
      <c r="UAQ23" s="559"/>
      <c r="UAR23" s="559"/>
      <c r="UAS23" s="559"/>
      <c r="UAT23" s="559"/>
      <c r="UAU23" s="559"/>
      <c r="UAV23" s="559"/>
      <c r="UAW23" s="559"/>
      <c r="UAX23" s="559"/>
      <c r="UAY23" s="559"/>
      <c r="UAZ23" s="559"/>
      <c r="UBA23" s="559"/>
      <c r="UBB23" s="559"/>
      <c r="UBC23" s="559"/>
      <c r="UBD23" s="559"/>
      <c r="UBE23" s="559"/>
      <c r="UBF23" s="559"/>
      <c r="UBG23" s="559"/>
      <c r="UBH23" s="559"/>
      <c r="UBI23" s="559"/>
      <c r="UBJ23" s="559"/>
      <c r="UBK23" s="559"/>
      <c r="UBL23" s="559"/>
      <c r="UBM23" s="559"/>
      <c r="UBN23" s="559"/>
      <c r="UBO23" s="559"/>
      <c r="UBP23" s="559"/>
      <c r="UBQ23" s="559"/>
      <c r="UBR23" s="559"/>
      <c r="UBS23" s="559"/>
      <c r="UBT23" s="559"/>
      <c r="UBU23" s="559"/>
      <c r="UBV23" s="559"/>
      <c r="UBW23" s="559"/>
      <c r="UBX23" s="559"/>
      <c r="UBY23" s="559"/>
      <c r="UBZ23" s="559"/>
      <c r="UCA23" s="559"/>
      <c r="UCB23" s="559"/>
      <c r="UCC23" s="559"/>
      <c r="UCD23" s="559"/>
      <c r="UCE23" s="559"/>
      <c r="UCF23" s="559"/>
      <c r="UCG23" s="559"/>
      <c r="UCH23" s="559"/>
      <c r="UCI23" s="559"/>
      <c r="UCJ23" s="559"/>
      <c r="UCK23" s="559"/>
      <c r="UCL23" s="559"/>
      <c r="UCM23" s="559"/>
      <c r="UCN23" s="559"/>
      <c r="UCO23" s="559"/>
      <c r="UCP23" s="559"/>
      <c r="UCQ23" s="559"/>
      <c r="UCR23" s="559"/>
      <c r="UCS23" s="559"/>
      <c r="UCT23" s="559"/>
      <c r="UCU23" s="559"/>
      <c r="UCV23" s="559"/>
      <c r="UCW23" s="559"/>
      <c r="UCX23" s="559"/>
      <c r="UCY23" s="559"/>
      <c r="UCZ23" s="559"/>
      <c r="UDA23" s="559"/>
      <c r="UDB23" s="559"/>
      <c r="UDC23" s="559"/>
      <c r="UDD23" s="559"/>
      <c r="UDE23" s="559"/>
      <c r="UDF23" s="559"/>
      <c r="UDG23" s="559"/>
      <c r="UDH23" s="559"/>
      <c r="UDI23" s="559"/>
      <c r="UDJ23" s="559"/>
      <c r="UDK23" s="559"/>
      <c r="UDL23" s="559"/>
      <c r="UDM23" s="559"/>
      <c r="UDN23" s="559"/>
      <c r="UDO23" s="559"/>
      <c r="UDP23" s="559"/>
      <c r="UDQ23" s="559"/>
      <c r="UDR23" s="559"/>
      <c r="UDS23" s="559"/>
      <c r="UDT23" s="559"/>
      <c r="UDU23" s="559"/>
      <c r="UDV23" s="559"/>
      <c r="UDW23" s="559"/>
      <c r="UDX23" s="559"/>
      <c r="UDY23" s="559"/>
      <c r="UDZ23" s="559"/>
      <c r="UEA23" s="559"/>
      <c r="UEB23" s="559"/>
      <c r="UEC23" s="559"/>
      <c r="UED23" s="559"/>
      <c r="UEE23" s="559"/>
      <c r="UEF23" s="559"/>
      <c r="UEG23" s="559"/>
      <c r="UEH23" s="559"/>
      <c r="UEI23" s="559"/>
      <c r="UEJ23" s="559"/>
      <c r="UEK23" s="559"/>
      <c r="UEL23" s="559"/>
      <c r="UEM23" s="559"/>
      <c r="UEN23" s="559"/>
      <c r="UEO23" s="559"/>
      <c r="UEP23" s="559"/>
      <c r="UEQ23" s="559"/>
      <c r="UER23" s="559"/>
      <c r="UES23" s="559"/>
      <c r="UET23" s="559"/>
      <c r="UEU23" s="559"/>
      <c r="UEV23" s="559"/>
      <c r="UEW23" s="559"/>
      <c r="UEX23" s="559"/>
      <c r="UEY23" s="559"/>
      <c r="UEZ23" s="559"/>
      <c r="UFA23" s="559"/>
      <c r="UFB23" s="559"/>
      <c r="UFC23" s="559"/>
      <c r="UFD23" s="559"/>
      <c r="UFE23" s="559"/>
      <c r="UFF23" s="559"/>
      <c r="UFG23" s="559"/>
      <c r="UFH23" s="559"/>
      <c r="UFI23" s="559"/>
      <c r="UFJ23" s="559"/>
      <c r="UFK23" s="559"/>
      <c r="UFL23" s="559"/>
      <c r="UFM23" s="559"/>
      <c r="UFN23" s="559"/>
      <c r="UFO23" s="559"/>
      <c r="UFP23" s="559"/>
      <c r="UFQ23" s="559"/>
      <c r="UFR23" s="559"/>
      <c r="UFS23" s="559"/>
      <c r="UFT23" s="559"/>
      <c r="UFU23" s="559"/>
      <c r="UFV23" s="559"/>
      <c r="UFW23" s="559"/>
      <c r="UFX23" s="559"/>
      <c r="UFY23" s="559"/>
      <c r="UFZ23" s="559"/>
      <c r="UGA23" s="559"/>
      <c r="UGB23" s="559"/>
      <c r="UGC23" s="559"/>
      <c r="UGD23" s="559"/>
      <c r="UGE23" s="559"/>
      <c r="UGF23" s="559"/>
      <c r="UGG23" s="559"/>
      <c r="UGH23" s="559"/>
      <c r="UGI23" s="559"/>
      <c r="UGJ23" s="559"/>
      <c r="UGK23" s="559"/>
      <c r="UGL23" s="559"/>
      <c r="UGM23" s="559"/>
      <c r="UGN23" s="559"/>
      <c r="UGO23" s="559"/>
      <c r="UGP23" s="559"/>
      <c r="UGQ23" s="559"/>
      <c r="UGR23" s="559"/>
      <c r="UGS23" s="559"/>
      <c r="UGT23" s="559"/>
      <c r="UGU23" s="559"/>
      <c r="UGV23" s="559"/>
      <c r="UGW23" s="559"/>
      <c r="UGX23" s="559"/>
      <c r="UGY23" s="559"/>
      <c r="UGZ23" s="559"/>
      <c r="UHA23" s="559"/>
      <c r="UHB23" s="559"/>
      <c r="UHC23" s="559"/>
      <c r="UHD23" s="559"/>
      <c r="UHE23" s="559"/>
      <c r="UHF23" s="559"/>
      <c r="UHG23" s="559"/>
      <c r="UHH23" s="559"/>
      <c r="UHI23" s="559"/>
      <c r="UHJ23" s="559"/>
      <c r="UHK23" s="559"/>
      <c r="UHL23" s="559"/>
      <c r="UHM23" s="559"/>
      <c r="UHN23" s="559"/>
      <c r="UHO23" s="559"/>
      <c r="UHP23" s="559"/>
      <c r="UHQ23" s="559"/>
      <c r="UHR23" s="559"/>
      <c r="UHS23" s="559"/>
      <c r="UHT23" s="559"/>
      <c r="UHU23" s="559"/>
      <c r="UHV23" s="559"/>
      <c r="UHW23" s="559"/>
      <c r="UHX23" s="559"/>
      <c r="UHY23" s="559"/>
      <c r="UHZ23" s="559"/>
      <c r="UIA23" s="559"/>
      <c r="UIB23" s="559"/>
      <c r="UIC23" s="559"/>
      <c r="UID23" s="559"/>
      <c r="UIE23" s="559"/>
      <c r="UIF23" s="559"/>
      <c r="UIG23" s="559"/>
      <c r="UIH23" s="559"/>
      <c r="UII23" s="559"/>
      <c r="UIJ23" s="559"/>
      <c r="UIK23" s="559"/>
      <c r="UIL23" s="559"/>
      <c r="UIM23" s="559"/>
      <c r="UIN23" s="559"/>
      <c r="UIO23" s="559"/>
      <c r="UIP23" s="559"/>
      <c r="UIQ23" s="559"/>
      <c r="UIR23" s="559"/>
      <c r="UIS23" s="559"/>
      <c r="UIT23" s="559"/>
      <c r="UIU23" s="559"/>
      <c r="UIV23" s="559"/>
      <c r="UIW23" s="559"/>
      <c r="UIX23" s="559"/>
      <c r="UIY23" s="559"/>
      <c r="UIZ23" s="559"/>
      <c r="UJA23" s="559"/>
      <c r="UJB23" s="559"/>
      <c r="UJC23" s="559"/>
      <c r="UJD23" s="559"/>
      <c r="UJE23" s="559"/>
      <c r="UJF23" s="559"/>
      <c r="UJG23" s="559"/>
      <c r="UJH23" s="559"/>
      <c r="UJI23" s="559"/>
      <c r="UJJ23" s="559"/>
      <c r="UJK23" s="559"/>
      <c r="UJL23" s="559"/>
      <c r="UJM23" s="559"/>
      <c r="UJN23" s="559"/>
      <c r="UJO23" s="559"/>
      <c r="UJP23" s="559"/>
      <c r="UJQ23" s="559"/>
      <c r="UJR23" s="559"/>
      <c r="UJS23" s="559"/>
      <c r="UJT23" s="559"/>
      <c r="UJU23" s="559"/>
      <c r="UJV23" s="559"/>
      <c r="UJW23" s="559"/>
      <c r="UJX23" s="559"/>
      <c r="UJY23" s="559"/>
      <c r="UJZ23" s="559"/>
      <c r="UKA23" s="559"/>
      <c r="UKB23" s="559"/>
      <c r="UKC23" s="559"/>
      <c r="UKD23" s="559"/>
      <c r="UKE23" s="559"/>
      <c r="UKF23" s="559"/>
      <c r="UKG23" s="559"/>
      <c r="UKH23" s="559"/>
      <c r="UKI23" s="559"/>
      <c r="UKJ23" s="559"/>
      <c r="UKK23" s="559"/>
      <c r="UKL23" s="559"/>
      <c r="UKM23" s="559"/>
      <c r="UKN23" s="559"/>
      <c r="UKO23" s="559"/>
      <c r="UKP23" s="559"/>
      <c r="UKQ23" s="559"/>
      <c r="UKR23" s="559"/>
      <c r="UKS23" s="559"/>
      <c r="UKT23" s="559"/>
      <c r="UKU23" s="559"/>
      <c r="UKV23" s="559"/>
      <c r="UKW23" s="559"/>
      <c r="UKX23" s="559"/>
      <c r="UKY23" s="559"/>
      <c r="UKZ23" s="559"/>
      <c r="ULA23" s="559"/>
      <c r="ULB23" s="559"/>
      <c r="ULC23" s="559"/>
      <c r="ULD23" s="559"/>
      <c r="ULE23" s="559"/>
      <c r="ULF23" s="559"/>
      <c r="ULG23" s="559"/>
      <c r="ULH23" s="559"/>
      <c r="ULI23" s="559"/>
      <c r="ULJ23" s="559"/>
      <c r="ULK23" s="559"/>
      <c r="ULL23" s="559"/>
      <c r="ULM23" s="559"/>
      <c r="ULN23" s="559"/>
      <c r="ULO23" s="559"/>
      <c r="ULP23" s="559"/>
      <c r="ULQ23" s="559"/>
      <c r="ULR23" s="559"/>
      <c r="ULS23" s="559"/>
      <c r="ULT23" s="559"/>
      <c r="ULU23" s="559"/>
      <c r="ULV23" s="559"/>
      <c r="ULW23" s="559"/>
      <c r="ULX23" s="559"/>
      <c r="ULY23" s="559"/>
      <c r="ULZ23" s="559"/>
      <c r="UMA23" s="559"/>
      <c r="UMB23" s="559"/>
      <c r="UMC23" s="559"/>
      <c r="UMD23" s="559"/>
      <c r="UME23" s="559"/>
      <c r="UMF23" s="559"/>
      <c r="UMG23" s="559"/>
      <c r="UMH23" s="559"/>
      <c r="UMI23" s="559"/>
      <c r="UMJ23" s="559"/>
      <c r="UMK23" s="559"/>
      <c r="UML23" s="559"/>
      <c r="UMM23" s="559"/>
      <c r="UMN23" s="559"/>
      <c r="UMO23" s="559"/>
      <c r="UMP23" s="559"/>
      <c r="UMQ23" s="559"/>
      <c r="UMR23" s="559"/>
      <c r="UMS23" s="559"/>
      <c r="UMT23" s="559"/>
      <c r="UMU23" s="559"/>
      <c r="UMV23" s="559"/>
      <c r="UMW23" s="559"/>
      <c r="UMX23" s="559"/>
      <c r="UMY23" s="559"/>
      <c r="UMZ23" s="559"/>
      <c r="UNA23" s="559"/>
      <c r="UNB23" s="559"/>
      <c r="UNC23" s="559"/>
      <c r="UND23" s="559"/>
      <c r="UNE23" s="559"/>
      <c r="UNF23" s="559"/>
      <c r="UNG23" s="559"/>
      <c r="UNH23" s="559"/>
      <c r="UNI23" s="559"/>
      <c r="UNJ23" s="559"/>
      <c r="UNK23" s="559"/>
      <c r="UNL23" s="559"/>
      <c r="UNM23" s="559"/>
      <c r="UNN23" s="559"/>
      <c r="UNO23" s="559"/>
      <c r="UNP23" s="559"/>
      <c r="UNQ23" s="559"/>
      <c r="UNR23" s="559"/>
      <c r="UNS23" s="559"/>
      <c r="UNT23" s="559"/>
      <c r="UNU23" s="559"/>
      <c r="UNV23" s="559"/>
      <c r="UNW23" s="559"/>
      <c r="UNX23" s="559"/>
      <c r="UNY23" s="559"/>
      <c r="UNZ23" s="559"/>
      <c r="UOA23" s="559"/>
      <c r="UOB23" s="559"/>
      <c r="UOC23" s="559"/>
      <c r="UOD23" s="559"/>
      <c r="UOE23" s="559"/>
      <c r="UOF23" s="559"/>
      <c r="UOG23" s="559"/>
      <c r="UOH23" s="559"/>
      <c r="UOI23" s="559"/>
      <c r="UOJ23" s="559"/>
      <c r="UOK23" s="559"/>
      <c r="UOL23" s="559"/>
      <c r="UOM23" s="559"/>
      <c r="UON23" s="559"/>
      <c r="UOO23" s="559"/>
      <c r="UOP23" s="559"/>
      <c r="UOQ23" s="559"/>
      <c r="UOR23" s="559"/>
      <c r="UOS23" s="559"/>
      <c r="UOT23" s="559"/>
      <c r="UOU23" s="559"/>
      <c r="UOV23" s="559"/>
      <c r="UOW23" s="559"/>
      <c r="UOX23" s="559"/>
      <c r="UOY23" s="559"/>
      <c r="UOZ23" s="559"/>
      <c r="UPA23" s="559"/>
      <c r="UPB23" s="559"/>
      <c r="UPC23" s="559"/>
      <c r="UPD23" s="559"/>
      <c r="UPE23" s="559"/>
      <c r="UPF23" s="559"/>
      <c r="UPG23" s="559"/>
      <c r="UPH23" s="559"/>
      <c r="UPI23" s="559"/>
      <c r="UPJ23" s="559"/>
      <c r="UPK23" s="559"/>
      <c r="UPL23" s="559"/>
      <c r="UPM23" s="559"/>
      <c r="UPN23" s="559"/>
      <c r="UPO23" s="559"/>
      <c r="UPP23" s="559"/>
      <c r="UPQ23" s="559"/>
      <c r="UPR23" s="559"/>
      <c r="UPS23" s="559"/>
      <c r="UPT23" s="559"/>
      <c r="UPU23" s="559"/>
      <c r="UPV23" s="559"/>
      <c r="UPW23" s="559"/>
      <c r="UPX23" s="559"/>
      <c r="UPY23" s="559"/>
      <c r="UPZ23" s="559"/>
      <c r="UQA23" s="559"/>
      <c r="UQB23" s="559"/>
      <c r="UQC23" s="559"/>
      <c r="UQD23" s="559"/>
      <c r="UQE23" s="559"/>
      <c r="UQF23" s="559"/>
      <c r="UQG23" s="559"/>
      <c r="UQH23" s="559"/>
      <c r="UQI23" s="559"/>
      <c r="UQJ23" s="559"/>
      <c r="UQK23" s="559"/>
      <c r="UQL23" s="559"/>
      <c r="UQM23" s="559"/>
      <c r="UQN23" s="559"/>
      <c r="UQO23" s="559"/>
      <c r="UQP23" s="559"/>
      <c r="UQQ23" s="559"/>
      <c r="UQR23" s="559"/>
      <c r="UQS23" s="559"/>
      <c r="UQT23" s="559"/>
      <c r="UQU23" s="559"/>
      <c r="UQV23" s="559"/>
      <c r="UQW23" s="559"/>
      <c r="UQX23" s="559"/>
      <c r="UQY23" s="559"/>
      <c r="UQZ23" s="559"/>
      <c r="URA23" s="559"/>
      <c r="URB23" s="559"/>
      <c r="URC23" s="559"/>
      <c r="URD23" s="559"/>
      <c r="URE23" s="559"/>
      <c r="URF23" s="559"/>
      <c r="URG23" s="559"/>
      <c r="URH23" s="559"/>
      <c r="URI23" s="559"/>
      <c r="URJ23" s="559"/>
      <c r="URK23" s="559"/>
      <c r="URL23" s="559"/>
      <c r="URM23" s="559"/>
      <c r="URN23" s="559"/>
      <c r="URO23" s="559"/>
      <c r="URP23" s="559"/>
      <c r="URQ23" s="559"/>
      <c r="URR23" s="559"/>
      <c r="URS23" s="559"/>
      <c r="URT23" s="559"/>
      <c r="URU23" s="559"/>
      <c r="URV23" s="559"/>
      <c r="URW23" s="559"/>
      <c r="URX23" s="559"/>
      <c r="URY23" s="559"/>
      <c r="URZ23" s="559"/>
      <c r="USA23" s="559"/>
      <c r="USB23" s="559"/>
      <c r="USC23" s="559"/>
      <c r="USD23" s="559"/>
      <c r="USE23" s="559"/>
      <c r="USF23" s="559"/>
      <c r="USG23" s="559"/>
      <c r="USH23" s="559"/>
      <c r="USI23" s="559"/>
      <c r="USJ23" s="559"/>
      <c r="USK23" s="559"/>
      <c r="USL23" s="559"/>
      <c r="USM23" s="559"/>
      <c r="USN23" s="559"/>
      <c r="USO23" s="559"/>
      <c r="USP23" s="559"/>
      <c r="USQ23" s="559"/>
      <c r="USR23" s="559"/>
      <c r="USS23" s="559"/>
      <c r="UST23" s="559"/>
      <c r="USU23" s="559"/>
      <c r="USV23" s="559"/>
      <c r="USW23" s="559"/>
      <c r="USX23" s="559"/>
      <c r="USY23" s="559"/>
      <c r="USZ23" s="559"/>
      <c r="UTA23" s="559"/>
      <c r="UTB23" s="559"/>
      <c r="UTC23" s="559"/>
      <c r="UTD23" s="559"/>
      <c r="UTE23" s="559"/>
      <c r="UTF23" s="559"/>
      <c r="UTG23" s="559"/>
      <c r="UTH23" s="559"/>
      <c r="UTI23" s="559"/>
      <c r="UTJ23" s="559"/>
      <c r="UTK23" s="559"/>
      <c r="UTL23" s="559"/>
      <c r="UTM23" s="559"/>
      <c r="UTN23" s="559"/>
      <c r="UTO23" s="559"/>
      <c r="UTP23" s="559"/>
      <c r="UTQ23" s="559"/>
      <c r="UTR23" s="559"/>
      <c r="UTS23" s="559"/>
      <c r="UTT23" s="559"/>
      <c r="UTU23" s="559"/>
      <c r="UTV23" s="559"/>
      <c r="UTW23" s="559"/>
      <c r="UTX23" s="559"/>
      <c r="UTY23" s="559"/>
      <c r="UTZ23" s="559"/>
      <c r="UUA23" s="559"/>
      <c r="UUB23" s="559"/>
      <c r="UUC23" s="559"/>
      <c r="UUD23" s="559"/>
      <c r="UUE23" s="559"/>
      <c r="UUF23" s="559"/>
      <c r="UUG23" s="559"/>
      <c r="UUH23" s="559"/>
      <c r="UUI23" s="559"/>
      <c r="UUJ23" s="559"/>
      <c r="UUK23" s="559"/>
      <c r="UUL23" s="559"/>
      <c r="UUM23" s="559"/>
      <c r="UUN23" s="559"/>
      <c r="UUO23" s="559"/>
      <c r="UUP23" s="559"/>
      <c r="UUQ23" s="559"/>
      <c r="UUR23" s="559"/>
      <c r="UUS23" s="559"/>
      <c r="UUT23" s="559"/>
      <c r="UUU23" s="559"/>
      <c r="UUV23" s="559"/>
      <c r="UUW23" s="559"/>
      <c r="UUX23" s="559"/>
      <c r="UUY23" s="559"/>
      <c r="UUZ23" s="559"/>
      <c r="UVA23" s="559"/>
      <c r="UVB23" s="559"/>
      <c r="UVC23" s="559"/>
      <c r="UVD23" s="559"/>
      <c r="UVE23" s="559"/>
      <c r="UVF23" s="559"/>
      <c r="UVG23" s="559"/>
      <c r="UVH23" s="559"/>
      <c r="UVI23" s="559"/>
      <c r="UVJ23" s="559"/>
      <c r="UVK23" s="559"/>
      <c r="UVL23" s="559"/>
      <c r="UVM23" s="559"/>
      <c r="UVN23" s="559"/>
      <c r="UVO23" s="559"/>
      <c r="UVP23" s="559"/>
      <c r="UVQ23" s="559"/>
      <c r="UVR23" s="559"/>
      <c r="UVS23" s="559"/>
      <c r="UVT23" s="559"/>
      <c r="UVU23" s="559"/>
      <c r="UVV23" s="559"/>
      <c r="UVW23" s="559"/>
      <c r="UVX23" s="559"/>
      <c r="UVY23" s="559"/>
      <c r="UVZ23" s="559"/>
      <c r="UWA23" s="559"/>
      <c r="UWB23" s="559"/>
      <c r="UWC23" s="559"/>
      <c r="UWD23" s="559"/>
      <c r="UWE23" s="559"/>
      <c r="UWF23" s="559"/>
      <c r="UWG23" s="559"/>
      <c r="UWH23" s="559"/>
      <c r="UWI23" s="559"/>
      <c r="UWJ23" s="559"/>
      <c r="UWK23" s="559"/>
      <c r="UWL23" s="559"/>
      <c r="UWM23" s="559"/>
      <c r="UWN23" s="559"/>
      <c r="UWO23" s="559"/>
      <c r="UWP23" s="559"/>
      <c r="UWQ23" s="559"/>
      <c r="UWR23" s="559"/>
      <c r="UWS23" s="559"/>
      <c r="UWT23" s="559"/>
      <c r="UWU23" s="559"/>
      <c r="UWV23" s="559"/>
      <c r="UWW23" s="559"/>
      <c r="UWX23" s="559"/>
      <c r="UWY23" s="559"/>
      <c r="UWZ23" s="559"/>
      <c r="UXA23" s="559"/>
      <c r="UXB23" s="559"/>
      <c r="UXC23" s="559"/>
      <c r="UXD23" s="559"/>
      <c r="UXE23" s="559"/>
      <c r="UXF23" s="559"/>
      <c r="UXG23" s="559"/>
      <c r="UXH23" s="559"/>
      <c r="UXI23" s="559"/>
      <c r="UXJ23" s="559"/>
      <c r="UXK23" s="559"/>
      <c r="UXL23" s="559"/>
      <c r="UXM23" s="559"/>
      <c r="UXN23" s="559"/>
      <c r="UXO23" s="559"/>
      <c r="UXP23" s="559"/>
      <c r="UXQ23" s="559"/>
      <c r="UXR23" s="559"/>
      <c r="UXS23" s="559"/>
      <c r="UXT23" s="559"/>
      <c r="UXU23" s="559"/>
      <c r="UXV23" s="559"/>
      <c r="UXW23" s="559"/>
      <c r="UXX23" s="559"/>
      <c r="UXY23" s="559"/>
      <c r="UXZ23" s="559"/>
      <c r="UYA23" s="559"/>
      <c r="UYB23" s="559"/>
      <c r="UYC23" s="559"/>
      <c r="UYD23" s="559"/>
      <c r="UYE23" s="559"/>
      <c r="UYF23" s="559"/>
      <c r="UYG23" s="559"/>
      <c r="UYH23" s="559"/>
      <c r="UYI23" s="559"/>
      <c r="UYJ23" s="559"/>
      <c r="UYK23" s="559"/>
      <c r="UYL23" s="559"/>
      <c r="UYM23" s="559"/>
      <c r="UYN23" s="559"/>
      <c r="UYO23" s="559"/>
      <c r="UYP23" s="559"/>
      <c r="UYQ23" s="559"/>
      <c r="UYR23" s="559"/>
      <c r="UYS23" s="559"/>
      <c r="UYT23" s="559"/>
      <c r="UYU23" s="559"/>
      <c r="UYV23" s="559"/>
      <c r="UYW23" s="559"/>
      <c r="UYX23" s="559"/>
      <c r="UYY23" s="559"/>
      <c r="UYZ23" s="559"/>
      <c r="UZA23" s="559"/>
      <c r="UZB23" s="559"/>
      <c r="UZC23" s="559"/>
      <c r="UZD23" s="559"/>
      <c r="UZE23" s="559"/>
      <c r="UZF23" s="559"/>
      <c r="UZG23" s="559"/>
      <c r="UZH23" s="559"/>
      <c r="UZI23" s="559"/>
      <c r="UZJ23" s="559"/>
      <c r="UZK23" s="559"/>
      <c r="UZL23" s="559"/>
      <c r="UZM23" s="559"/>
      <c r="UZN23" s="559"/>
      <c r="UZO23" s="559"/>
      <c r="UZP23" s="559"/>
      <c r="UZQ23" s="559"/>
      <c r="UZR23" s="559"/>
      <c r="UZS23" s="559"/>
      <c r="UZT23" s="559"/>
      <c r="UZU23" s="559"/>
      <c r="UZV23" s="559"/>
      <c r="UZW23" s="559"/>
      <c r="UZX23" s="559"/>
      <c r="UZY23" s="559"/>
      <c r="UZZ23" s="559"/>
      <c r="VAA23" s="559"/>
      <c r="VAB23" s="559"/>
      <c r="VAC23" s="559"/>
      <c r="VAD23" s="559"/>
      <c r="VAE23" s="559"/>
      <c r="VAF23" s="559"/>
      <c r="VAG23" s="559"/>
      <c r="VAH23" s="559"/>
      <c r="VAI23" s="559"/>
      <c r="VAJ23" s="559"/>
      <c r="VAK23" s="559"/>
      <c r="VAL23" s="559"/>
      <c r="VAM23" s="559"/>
      <c r="VAN23" s="559"/>
      <c r="VAO23" s="559"/>
      <c r="VAP23" s="559"/>
      <c r="VAQ23" s="559"/>
      <c r="VAR23" s="559"/>
      <c r="VAS23" s="559"/>
      <c r="VAT23" s="559"/>
      <c r="VAU23" s="559"/>
      <c r="VAV23" s="559"/>
      <c r="VAW23" s="559"/>
      <c r="VAX23" s="559"/>
      <c r="VAY23" s="559"/>
      <c r="VAZ23" s="559"/>
      <c r="VBA23" s="559"/>
      <c r="VBB23" s="559"/>
      <c r="VBC23" s="559"/>
      <c r="VBD23" s="559"/>
      <c r="VBE23" s="559"/>
      <c r="VBF23" s="559"/>
      <c r="VBG23" s="559"/>
      <c r="VBH23" s="559"/>
      <c r="VBI23" s="559"/>
      <c r="VBJ23" s="559"/>
      <c r="VBK23" s="559"/>
      <c r="VBL23" s="559"/>
      <c r="VBM23" s="559"/>
      <c r="VBN23" s="559"/>
      <c r="VBO23" s="559"/>
      <c r="VBP23" s="559"/>
      <c r="VBQ23" s="559"/>
      <c r="VBR23" s="559"/>
      <c r="VBS23" s="559"/>
      <c r="VBT23" s="559"/>
      <c r="VBU23" s="559"/>
      <c r="VBV23" s="559"/>
      <c r="VBW23" s="559"/>
      <c r="VBX23" s="559"/>
      <c r="VBY23" s="559"/>
      <c r="VBZ23" s="559"/>
      <c r="VCA23" s="559"/>
      <c r="VCB23" s="559"/>
      <c r="VCC23" s="559"/>
      <c r="VCD23" s="559"/>
      <c r="VCE23" s="559"/>
      <c r="VCF23" s="559"/>
      <c r="VCG23" s="559"/>
      <c r="VCH23" s="559"/>
      <c r="VCI23" s="559"/>
      <c r="VCJ23" s="559"/>
      <c r="VCK23" s="559"/>
      <c r="VCL23" s="559"/>
      <c r="VCM23" s="559"/>
      <c r="VCN23" s="559"/>
      <c r="VCO23" s="559"/>
      <c r="VCP23" s="559"/>
      <c r="VCQ23" s="559"/>
      <c r="VCR23" s="559"/>
      <c r="VCS23" s="559"/>
      <c r="VCT23" s="559"/>
      <c r="VCU23" s="559"/>
      <c r="VCV23" s="559"/>
      <c r="VCW23" s="559"/>
      <c r="VCX23" s="559"/>
      <c r="VCY23" s="559"/>
      <c r="VCZ23" s="559"/>
      <c r="VDA23" s="559"/>
      <c r="VDB23" s="559"/>
      <c r="VDC23" s="559"/>
      <c r="VDD23" s="559"/>
      <c r="VDE23" s="559"/>
      <c r="VDF23" s="559"/>
      <c r="VDG23" s="559"/>
      <c r="VDH23" s="559"/>
      <c r="VDI23" s="559"/>
      <c r="VDJ23" s="559"/>
      <c r="VDK23" s="559"/>
      <c r="VDL23" s="559"/>
      <c r="VDM23" s="559"/>
      <c r="VDN23" s="559"/>
      <c r="VDO23" s="559"/>
      <c r="VDP23" s="559"/>
      <c r="VDQ23" s="559"/>
      <c r="VDR23" s="559"/>
      <c r="VDS23" s="559"/>
      <c r="VDT23" s="559"/>
      <c r="VDU23" s="559"/>
      <c r="VDV23" s="559"/>
      <c r="VDW23" s="559"/>
      <c r="VDX23" s="559"/>
      <c r="VDY23" s="559"/>
      <c r="VDZ23" s="559"/>
      <c r="VEA23" s="559"/>
      <c r="VEB23" s="559"/>
      <c r="VEC23" s="559"/>
      <c r="VED23" s="559"/>
      <c r="VEE23" s="559"/>
      <c r="VEF23" s="559"/>
      <c r="VEG23" s="559"/>
      <c r="VEH23" s="559"/>
      <c r="VEI23" s="559"/>
      <c r="VEJ23" s="559"/>
      <c r="VEK23" s="559"/>
      <c r="VEL23" s="559"/>
      <c r="VEM23" s="559"/>
      <c r="VEN23" s="559"/>
      <c r="VEO23" s="559"/>
      <c r="VEP23" s="559"/>
      <c r="VEQ23" s="559"/>
      <c r="VER23" s="559"/>
      <c r="VES23" s="559"/>
      <c r="VET23" s="559"/>
      <c r="VEU23" s="559"/>
      <c r="VEV23" s="559"/>
      <c r="VEW23" s="559"/>
      <c r="VEX23" s="559"/>
      <c r="VEY23" s="559"/>
      <c r="VEZ23" s="559"/>
      <c r="VFA23" s="559"/>
      <c r="VFB23" s="559"/>
      <c r="VFC23" s="559"/>
      <c r="VFD23" s="559"/>
      <c r="VFE23" s="559"/>
      <c r="VFF23" s="559"/>
      <c r="VFG23" s="559"/>
      <c r="VFH23" s="559"/>
      <c r="VFI23" s="559"/>
      <c r="VFJ23" s="559"/>
      <c r="VFK23" s="559"/>
      <c r="VFL23" s="559"/>
      <c r="VFM23" s="559"/>
      <c r="VFN23" s="559"/>
      <c r="VFO23" s="559"/>
      <c r="VFP23" s="559"/>
      <c r="VFQ23" s="559"/>
      <c r="VFR23" s="559"/>
      <c r="VFS23" s="559"/>
      <c r="VFT23" s="559"/>
      <c r="VFU23" s="559"/>
      <c r="VFV23" s="559"/>
      <c r="VFW23" s="559"/>
      <c r="VFX23" s="559"/>
      <c r="VFY23" s="559"/>
      <c r="VFZ23" s="559"/>
      <c r="VGA23" s="559"/>
      <c r="VGB23" s="559"/>
      <c r="VGC23" s="559"/>
      <c r="VGD23" s="559"/>
      <c r="VGE23" s="559"/>
      <c r="VGF23" s="559"/>
      <c r="VGG23" s="559"/>
      <c r="VGH23" s="559"/>
      <c r="VGI23" s="559"/>
      <c r="VGJ23" s="559"/>
      <c r="VGK23" s="559"/>
      <c r="VGL23" s="559"/>
      <c r="VGM23" s="559"/>
      <c r="VGN23" s="559"/>
      <c r="VGO23" s="559"/>
      <c r="VGP23" s="559"/>
      <c r="VGQ23" s="559"/>
      <c r="VGR23" s="559"/>
      <c r="VGS23" s="559"/>
      <c r="VGT23" s="559"/>
      <c r="VGU23" s="559"/>
      <c r="VGV23" s="559"/>
      <c r="VGW23" s="559"/>
      <c r="VGX23" s="559"/>
      <c r="VGY23" s="559"/>
      <c r="VGZ23" s="559"/>
      <c r="VHA23" s="559"/>
      <c r="VHB23" s="559"/>
      <c r="VHC23" s="559"/>
      <c r="VHD23" s="559"/>
      <c r="VHE23" s="559"/>
      <c r="VHF23" s="559"/>
      <c r="VHG23" s="559"/>
      <c r="VHH23" s="559"/>
      <c r="VHI23" s="559"/>
      <c r="VHJ23" s="559"/>
      <c r="VHK23" s="559"/>
      <c r="VHL23" s="559"/>
      <c r="VHM23" s="559"/>
      <c r="VHN23" s="559"/>
      <c r="VHO23" s="559"/>
      <c r="VHP23" s="559"/>
      <c r="VHQ23" s="559"/>
      <c r="VHR23" s="559"/>
      <c r="VHS23" s="559"/>
      <c r="VHT23" s="559"/>
      <c r="VHU23" s="559"/>
      <c r="VHV23" s="559"/>
      <c r="VHW23" s="559"/>
      <c r="VHX23" s="559"/>
      <c r="VHY23" s="559"/>
      <c r="VHZ23" s="559"/>
      <c r="VIA23" s="559"/>
      <c r="VIB23" s="559"/>
      <c r="VIC23" s="559"/>
      <c r="VID23" s="559"/>
      <c r="VIE23" s="559"/>
      <c r="VIF23" s="559"/>
      <c r="VIG23" s="559"/>
      <c r="VIH23" s="559"/>
      <c r="VII23" s="559"/>
      <c r="VIJ23" s="559"/>
      <c r="VIK23" s="559"/>
      <c r="VIL23" s="559"/>
      <c r="VIM23" s="559"/>
      <c r="VIN23" s="559"/>
      <c r="VIO23" s="559"/>
      <c r="VIP23" s="559"/>
      <c r="VIQ23" s="559"/>
      <c r="VIR23" s="559"/>
      <c r="VIS23" s="559"/>
      <c r="VIT23" s="559"/>
      <c r="VIU23" s="559"/>
      <c r="VIV23" s="559"/>
      <c r="VIW23" s="559"/>
      <c r="VIX23" s="559"/>
      <c r="VIY23" s="559"/>
      <c r="VIZ23" s="559"/>
      <c r="VJA23" s="559"/>
      <c r="VJB23" s="559"/>
      <c r="VJC23" s="559"/>
      <c r="VJD23" s="559"/>
      <c r="VJE23" s="559"/>
      <c r="VJF23" s="559"/>
      <c r="VJG23" s="559"/>
      <c r="VJH23" s="559"/>
      <c r="VJI23" s="559"/>
      <c r="VJJ23" s="559"/>
      <c r="VJK23" s="559"/>
      <c r="VJL23" s="559"/>
      <c r="VJM23" s="559"/>
      <c r="VJN23" s="559"/>
      <c r="VJO23" s="559"/>
      <c r="VJP23" s="559"/>
      <c r="VJQ23" s="559"/>
      <c r="VJR23" s="559"/>
      <c r="VJS23" s="559"/>
      <c r="VJT23" s="559"/>
      <c r="VJU23" s="559"/>
      <c r="VJV23" s="559"/>
      <c r="VJW23" s="559"/>
      <c r="VJX23" s="559"/>
      <c r="VJY23" s="559"/>
      <c r="VJZ23" s="559"/>
      <c r="VKA23" s="559"/>
      <c r="VKB23" s="559"/>
      <c r="VKC23" s="559"/>
      <c r="VKD23" s="559"/>
      <c r="VKE23" s="559"/>
      <c r="VKF23" s="559"/>
      <c r="VKG23" s="559"/>
      <c r="VKH23" s="559"/>
      <c r="VKI23" s="559"/>
      <c r="VKJ23" s="559"/>
      <c r="VKK23" s="559"/>
      <c r="VKL23" s="559"/>
      <c r="VKM23" s="559"/>
      <c r="VKN23" s="559"/>
      <c r="VKO23" s="559"/>
      <c r="VKP23" s="559"/>
      <c r="VKQ23" s="559"/>
      <c r="VKR23" s="559"/>
      <c r="VKS23" s="559"/>
      <c r="VKT23" s="559"/>
      <c r="VKU23" s="559"/>
      <c r="VKV23" s="559"/>
      <c r="VKW23" s="559"/>
      <c r="VKX23" s="559"/>
      <c r="VKY23" s="559"/>
      <c r="VKZ23" s="559"/>
      <c r="VLA23" s="559"/>
      <c r="VLB23" s="559"/>
      <c r="VLC23" s="559"/>
      <c r="VLD23" s="559"/>
      <c r="VLE23" s="559"/>
      <c r="VLF23" s="559"/>
      <c r="VLG23" s="559"/>
      <c r="VLH23" s="559"/>
      <c r="VLI23" s="559"/>
      <c r="VLJ23" s="559"/>
      <c r="VLK23" s="559"/>
      <c r="VLL23" s="559"/>
      <c r="VLM23" s="559"/>
      <c r="VLN23" s="559"/>
      <c r="VLO23" s="559"/>
      <c r="VLP23" s="559"/>
      <c r="VLQ23" s="559"/>
      <c r="VLR23" s="559"/>
      <c r="VLS23" s="559"/>
      <c r="VLT23" s="559"/>
      <c r="VLU23" s="559"/>
      <c r="VLV23" s="559"/>
      <c r="VLW23" s="559"/>
      <c r="VLX23" s="559"/>
      <c r="VLY23" s="559"/>
      <c r="VLZ23" s="559"/>
      <c r="VMA23" s="559"/>
      <c r="VMB23" s="559"/>
      <c r="VMC23" s="559"/>
      <c r="VMD23" s="559"/>
      <c r="VME23" s="559"/>
      <c r="VMF23" s="559"/>
      <c r="VMG23" s="559"/>
      <c r="VMH23" s="559"/>
      <c r="VMI23" s="559"/>
      <c r="VMJ23" s="559"/>
      <c r="VMK23" s="559"/>
      <c r="VML23" s="559"/>
      <c r="VMM23" s="559"/>
      <c r="VMN23" s="559"/>
      <c r="VMO23" s="559"/>
      <c r="VMP23" s="559"/>
      <c r="VMQ23" s="559"/>
      <c r="VMR23" s="559"/>
      <c r="VMS23" s="559"/>
      <c r="VMT23" s="559"/>
      <c r="VMU23" s="559"/>
      <c r="VMV23" s="559"/>
      <c r="VMW23" s="559"/>
      <c r="VMX23" s="559"/>
      <c r="VMY23" s="559"/>
      <c r="VMZ23" s="559"/>
      <c r="VNA23" s="559"/>
      <c r="VNB23" s="559"/>
      <c r="VNC23" s="559"/>
      <c r="VND23" s="559"/>
      <c r="VNE23" s="559"/>
      <c r="VNF23" s="559"/>
      <c r="VNG23" s="559"/>
      <c r="VNH23" s="559"/>
      <c r="VNI23" s="559"/>
      <c r="VNJ23" s="559"/>
      <c r="VNK23" s="559"/>
      <c r="VNL23" s="559"/>
      <c r="VNM23" s="559"/>
      <c r="VNN23" s="559"/>
      <c r="VNO23" s="559"/>
      <c r="VNP23" s="559"/>
      <c r="VNQ23" s="559"/>
      <c r="VNR23" s="559"/>
      <c r="VNS23" s="559"/>
      <c r="VNT23" s="559"/>
      <c r="VNU23" s="559"/>
      <c r="VNV23" s="559"/>
      <c r="VNW23" s="559"/>
      <c r="VNX23" s="559"/>
      <c r="VNY23" s="559"/>
      <c r="VNZ23" s="559"/>
      <c r="VOA23" s="559"/>
      <c r="VOB23" s="559"/>
      <c r="VOC23" s="559"/>
      <c r="VOD23" s="559"/>
      <c r="VOE23" s="559"/>
      <c r="VOF23" s="559"/>
      <c r="VOG23" s="559"/>
      <c r="VOH23" s="559"/>
      <c r="VOI23" s="559"/>
      <c r="VOJ23" s="559"/>
      <c r="VOK23" s="559"/>
      <c r="VOL23" s="559"/>
      <c r="VOM23" s="559"/>
      <c r="VON23" s="559"/>
      <c r="VOO23" s="559"/>
      <c r="VOP23" s="559"/>
      <c r="VOQ23" s="559"/>
      <c r="VOR23" s="559"/>
      <c r="VOS23" s="559"/>
      <c r="VOT23" s="559"/>
      <c r="VOU23" s="559"/>
      <c r="VOV23" s="559"/>
      <c r="VOW23" s="559"/>
      <c r="VOX23" s="559"/>
      <c r="VOY23" s="559"/>
      <c r="VOZ23" s="559"/>
      <c r="VPA23" s="559"/>
      <c r="VPB23" s="559"/>
      <c r="VPC23" s="559"/>
      <c r="VPD23" s="559"/>
      <c r="VPE23" s="559"/>
      <c r="VPF23" s="559"/>
      <c r="VPG23" s="559"/>
      <c r="VPH23" s="559"/>
      <c r="VPI23" s="559"/>
      <c r="VPJ23" s="559"/>
      <c r="VPK23" s="559"/>
      <c r="VPL23" s="559"/>
      <c r="VPM23" s="559"/>
      <c r="VPN23" s="559"/>
      <c r="VPO23" s="559"/>
      <c r="VPP23" s="559"/>
      <c r="VPQ23" s="559"/>
      <c r="VPR23" s="559"/>
      <c r="VPS23" s="559"/>
      <c r="VPT23" s="559"/>
      <c r="VPU23" s="559"/>
      <c r="VPV23" s="559"/>
      <c r="VPW23" s="559"/>
      <c r="VPX23" s="559"/>
      <c r="VPY23" s="559"/>
      <c r="VPZ23" s="559"/>
      <c r="VQA23" s="559"/>
      <c r="VQB23" s="559"/>
      <c r="VQC23" s="559"/>
      <c r="VQD23" s="559"/>
      <c r="VQE23" s="559"/>
      <c r="VQF23" s="559"/>
      <c r="VQG23" s="559"/>
      <c r="VQH23" s="559"/>
      <c r="VQI23" s="559"/>
      <c r="VQJ23" s="559"/>
      <c r="VQK23" s="559"/>
      <c r="VQL23" s="559"/>
      <c r="VQM23" s="559"/>
      <c r="VQN23" s="559"/>
      <c r="VQO23" s="559"/>
      <c r="VQP23" s="559"/>
      <c r="VQQ23" s="559"/>
      <c r="VQR23" s="559"/>
      <c r="VQS23" s="559"/>
      <c r="VQT23" s="559"/>
      <c r="VQU23" s="559"/>
      <c r="VQV23" s="559"/>
      <c r="VQW23" s="559"/>
      <c r="VQX23" s="559"/>
      <c r="VQY23" s="559"/>
      <c r="VQZ23" s="559"/>
      <c r="VRA23" s="559"/>
      <c r="VRB23" s="559"/>
      <c r="VRC23" s="559"/>
      <c r="VRD23" s="559"/>
      <c r="VRE23" s="559"/>
      <c r="VRF23" s="559"/>
      <c r="VRG23" s="559"/>
      <c r="VRH23" s="559"/>
      <c r="VRI23" s="559"/>
      <c r="VRJ23" s="559"/>
      <c r="VRK23" s="559"/>
      <c r="VRL23" s="559"/>
      <c r="VRM23" s="559"/>
      <c r="VRN23" s="559"/>
      <c r="VRO23" s="559"/>
      <c r="VRP23" s="559"/>
      <c r="VRQ23" s="559"/>
      <c r="VRR23" s="559"/>
      <c r="VRS23" s="559"/>
      <c r="VRT23" s="559"/>
      <c r="VRU23" s="559"/>
      <c r="VRV23" s="559"/>
      <c r="VRW23" s="559"/>
      <c r="VRX23" s="559"/>
      <c r="VRY23" s="559"/>
      <c r="VRZ23" s="559"/>
      <c r="VSA23" s="559"/>
      <c r="VSB23" s="559"/>
      <c r="VSC23" s="559"/>
      <c r="VSD23" s="559"/>
      <c r="VSE23" s="559"/>
      <c r="VSF23" s="559"/>
      <c r="VSG23" s="559"/>
      <c r="VSH23" s="559"/>
      <c r="VSI23" s="559"/>
      <c r="VSJ23" s="559"/>
      <c r="VSK23" s="559"/>
      <c r="VSL23" s="559"/>
      <c r="VSM23" s="559"/>
      <c r="VSN23" s="559"/>
      <c r="VSO23" s="559"/>
      <c r="VSP23" s="559"/>
      <c r="VSQ23" s="559"/>
      <c r="VSR23" s="559"/>
      <c r="VSS23" s="559"/>
      <c r="VST23" s="559"/>
      <c r="VSU23" s="559"/>
      <c r="VSV23" s="559"/>
      <c r="VSW23" s="559"/>
      <c r="VSX23" s="559"/>
      <c r="VSY23" s="559"/>
      <c r="VSZ23" s="559"/>
      <c r="VTA23" s="559"/>
      <c r="VTB23" s="559"/>
      <c r="VTC23" s="559"/>
      <c r="VTD23" s="559"/>
      <c r="VTE23" s="559"/>
      <c r="VTF23" s="559"/>
      <c r="VTG23" s="559"/>
      <c r="VTH23" s="559"/>
      <c r="VTI23" s="559"/>
      <c r="VTJ23" s="559"/>
      <c r="VTK23" s="559"/>
      <c r="VTL23" s="559"/>
      <c r="VTM23" s="559"/>
      <c r="VTN23" s="559"/>
      <c r="VTO23" s="559"/>
      <c r="VTP23" s="559"/>
      <c r="VTQ23" s="559"/>
      <c r="VTR23" s="559"/>
      <c r="VTS23" s="559"/>
      <c r="VTT23" s="559"/>
      <c r="VTU23" s="559"/>
      <c r="VTV23" s="559"/>
      <c r="VTW23" s="559"/>
      <c r="VTX23" s="559"/>
      <c r="VTY23" s="559"/>
      <c r="VTZ23" s="559"/>
      <c r="VUA23" s="559"/>
      <c r="VUB23" s="559"/>
      <c r="VUC23" s="559"/>
      <c r="VUD23" s="559"/>
      <c r="VUE23" s="559"/>
      <c r="VUF23" s="559"/>
      <c r="VUG23" s="559"/>
      <c r="VUH23" s="559"/>
      <c r="VUI23" s="559"/>
      <c r="VUJ23" s="559"/>
      <c r="VUK23" s="559"/>
      <c r="VUL23" s="559"/>
      <c r="VUM23" s="559"/>
      <c r="VUN23" s="559"/>
      <c r="VUO23" s="559"/>
      <c r="VUP23" s="559"/>
      <c r="VUQ23" s="559"/>
      <c r="VUR23" s="559"/>
      <c r="VUS23" s="559"/>
      <c r="VUT23" s="559"/>
      <c r="VUU23" s="559"/>
      <c r="VUV23" s="559"/>
      <c r="VUW23" s="559"/>
      <c r="VUX23" s="559"/>
      <c r="VUY23" s="559"/>
      <c r="VUZ23" s="559"/>
      <c r="VVA23" s="559"/>
      <c r="VVB23" s="559"/>
      <c r="VVC23" s="559"/>
      <c r="VVD23" s="559"/>
      <c r="VVE23" s="559"/>
      <c r="VVF23" s="559"/>
      <c r="VVG23" s="559"/>
      <c r="VVH23" s="559"/>
      <c r="VVI23" s="559"/>
      <c r="VVJ23" s="559"/>
      <c r="VVK23" s="559"/>
      <c r="VVL23" s="559"/>
      <c r="VVM23" s="559"/>
      <c r="VVN23" s="559"/>
      <c r="VVO23" s="559"/>
      <c r="VVP23" s="559"/>
      <c r="VVQ23" s="559"/>
      <c r="VVR23" s="559"/>
      <c r="VVS23" s="559"/>
      <c r="VVT23" s="559"/>
      <c r="VVU23" s="559"/>
      <c r="VVV23" s="559"/>
      <c r="VVW23" s="559"/>
      <c r="VVX23" s="559"/>
      <c r="VVY23" s="559"/>
      <c r="VVZ23" s="559"/>
      <c r="VWA23" s="559"/>
      <c r="VWB23" s="559"/>
      <c r="VWC23" s="559"/>
      <c r="VWD23" s="559"/>
      <c r="VWE23" s="559"/>
      <c r="VWF23" s="559"/>
      <c r="VWG23" s="559"/>
      <c r="VWH23" s="559"/>
      <c r="VWI23" s="559"/>
      <c r="VWJ23" s="559"/>
      <c r="VWK23" s="559"/>
      <c r="VWL23" s="559"/>
      <c r="VWM23" s="559"/>
      <c r="VWN23" s="559"/>
      <c r="VWO23" s="559"/>
      <c r="VWP23" s="559"/>
      <c r="VWQ23" s="559"/>
      <c r="VWR23" s="559"/>
      <c r="VWS23" s="559"/>
      <c r="VWT23" s="559"/>
      <c r="VWU23" s="559"/>
      <c r="VWV23" s="559"/>
      <c r="VWW23" s="559"/>
      <c r="VWX23" s="559"/>
      <c r="VWY23" s="559"/>
      <c r="VWZ23" s="559"/>
      <c r="VXA23" s="559"/>
      <c r="VXB23" s="559"/>
      <c r="VXC23" s="559"/>
      <c r="VXD23" s="559"/>
      <c r="VXE23" s="559"/>
      <c r="VXF23" s="559"/>
      <c r="VXG23" s="559"/>
      <c r="VXH23" s="559"/>
      <c r="VXI23" s="559"/>
      <c r="VXJ23" s="559"/>
      <c r="VXK23" s="559"/>
      <c r="VXL23" s="559"/>
      <c r="VXM23" s="559"/>
      <c r="VXN23" s="559"/>
      <c r="VXO23" s="559"/>
      <c r="VXP23" s="559"/>
      <c r="VXQ23" s="559"/>
      <c r="VXR23" s="559"/>
      <c r="VXS23" s="559"/>
      <c r="VXT23" s="559"/>
      <c r="VXU23" s="559"/>
      <c r="VXV23" s="559"/>
      <c r="VXW23" s="559"/>
      <c r="VXX23" s="559"/>
      <c r="VXY23" s="559"/>
      <c r="VXZ23" s="559"/>
      <c r="VYA23" s="559"/>
      <c r="VYB23" s="559"/>
      <c r="VYC23" s="559"/>
      <c r="VYD23" s="559"/>
      <c r="VYE23" s="559"/>
      <c r="VYF23" s="559"/>
      <c r="VYG23" s="559"/>
      <c r="VYH23" s="559"/>
      <c r="VYI23" s="559"/>
      <c r="VYJ23" s="559"/>
      <c r="VYK23" s="559"/>
      <c r="VYL23" s="559"/>
      <c r="VYM23" s="559"/>
      <c r="VYN23" s="559"/>
      <c r="VYO23" s="559"/>
      <c r="VYP23" s="559"/>
      <c r="VYQ23" s="559"/>
      <c r="VYR23" s="559"/>
      <c r="VYS23" s="559"/>
      <c r="VYT23" s="559"/>
      <c r="VYU23" s="559"/>
      <c r="VYV23" s="559"/>
      <c r="VYW23" s="559"/>
      <c r="VYX23" s="559"/>
      <c r="VYY23" s="559"/>
      <c r="VYZ23" s="559"/>
      <c r="VZA23" s="559"/>
      <c r="VZB23" s="559"/>
      <c r="VZC23" s="559"/>
      <c r="VZD23" s="559"/>
      <c r="VZE23" s="559"/>
      <c r="VZF23" s="559"/>
      <c r="VZG23" s="559"/>
      <c r="VZH23" s="559"/>
      <c r="VZI23" s="559"/>
      <c r="VZJ23" s="559"/>
      <c r="VZK23" s="559"/>
      <c r="VZL23" s="559"/>
      <c r="VZM23" s="559"/>
      <c r="VZN23" s="559"/>
      <c r="VZO23" s="559"/>
      <c r="VZP23" s="559"/>
      <c r="VZQ23" s="559"/>
      <c r="VZR23" s="559"/>
      <c r="VZS23" s="559"/>
      <c r="VZT23" s="559"/>
      <c r="VZU23" s="559"/>
      <c r="VZV23" s="559"/>
      <c r="VZW23" s="559"/>
      <c r="VZX23" s="559"/>
      <c r="VZY23" s="559"/>
      <c r="VZZ23" s="559"/>
      <c r="WAA23" s="559"/>
      <c r="WAB23" s="559"/>
      <c r="WAC23" s="559"/>
      <c r="WAD23" s="559"/>
      <c r="WAE23" s="559"/>
      <c r="WAF23" s="559"/>
      <c r="WAG23" s="559"/>
      <c r="WAH23" s="559"/>
      <c r="WAI23" s="559"/>
      <c r="WAJ23" s="559"/>
      <c r="WAK23" s="559"/>
      <c r="WAL23" s="559"/>
      <c r="WAM23" s="559"/>
      <c r="WAN23" s="559"/>
      <c r="WAO23" s="559"/>
      <c r="WAP23" s="559"/>
      <c r="WAQ23" s="559"/>
      <c r="WAR23" s="559"/>
      <c r="WAS23" s="559"/>
      <c r="WAT23" s="559"/>
      <c r="WAU23" s="559"/>
      <c r="WAV23" s="559"/>
      <c r="WAW23" s="559"/>
      <c r="WAX23" s="559"/>
      <c r="WAY23" s="559"/>
      <c r="WAZ23" s="559"/>
      <c r="WBA23" s="559"/>
      <c r="WBB23" s="559"/>
      <c r="WBC23" s="559"/>
      <c r="WBD23" s="559"/>
      <c r="WBE23" s="559"/>
      <c r="WBF23" s="559"/>
      <c r="WBG23" s="559"/>
      <c r="WBH23" s="559"/>
      <c r="WBI23" s="559"/>
      <c r="WBJ23" s="559"/>
      <c r="WBK23" s="559"/>
      <c r="WBL23" s="559"/>
      <c r="WBM23" s="559"/>
      <c r="WBN23" s="559"/>
      <c r="WBO23" s="559"/>
      <c r="WBP23" s="559"/>
      <c r="WBQ23" s="559"/>
      <c r="WBR23" s="559"/>
      <c r="WBS23" s="559"/>
      <c r="WBT23" s="559"/>
      <c r="WBU23" s="559"/>
      <c r="WBV23" s="559"/>
      <c r="WBW23" s="559"/>
      <c r="WBX23" s="559"/>
      <c r="WBY23" s="559"/>
      <c r="WBZ23" s="559"/>
      <c r="WCA23" s="559"/>
      <c r="WCB23" s="559"/>
      <c r="WCC23" s="559"/>
      <c r="WCD23" s="559"/>
      <c r="WCE23" s="559"/>
      <c r="WCF23" s="559"/>
      <c r="WCG23" s="559"/>
      <c r="WCH23" s="559"/>
      <c r="WCI23" s="559"/>
      <c r="WCJ23" s="559"/>
      <c r="WCK23" s="559"/>
      <c r="WCL23" s="559"/>
      <c r="WCM23" s="559"/>
      <c r="WCN23" s="559"/>
      <c r="WCO23" s="559"/>
      <c r="WCP23" s="559"/>
      <c r="WCQ23" s="559"/>
      <c r="WCR23" s="559"/>
      <c r="WCS23" s="559"/>
      <c r="WCT23" s="559"/>
      <c r="WCU23" s="559"/>
      <c r="WCV23" s="559"/>
      <c r="WCW23" s="559"/>
      <c r="WCX23" s="559"/>
      <c r="WCY23" s="559"/>
      <c r="WCZ23" s="559"/>
      <c r="WDA23" s="559"/>
      <c r="WDB23" s="559"/>
      <c r="WDC23" s="559"/>
      <c r="WDD23" s="559"/>
      <c r="WDE23" s="559"/>
      <c r="WDF23" s="559"/>
      <c r="WDG23" s="559"/>
      <c r="WDH23" s="559"/>
      <c r="WDI23" s="559"/>
      <c r="WDJ23" s="559"/>
      <c r="WDK23" s="559"/>
      <c r="WDL23" s="559"/>
      <c r="WDM23" s="559"/>
      <c r="WDN23" s="559"/>
      <c r="WDO23" s="559"/>
      <c r="WDP23" s="559"/>
      <c r="WDQ23" s="559"/>
      <c r="WDR23" s="559"/>
      <c r="WDS23" s="559"/>
      <c r="WDT23" s="559"/>
      <c r="WDU23" s="559"/>
      <c r="WDV23" s="559"/>
      <c r="WDW23" s="559"/>
      <c r="WDX23" s="559"/>
      <c r="WDY23" s="559"/>
      <c r="WDZ23" s="559"/>
      <c r="WEA23" s="559"/>
      <c r="WEB23" s="559"/>
      <c r="WEC23" s="559"/>
      <c r="WED23" s="559"/>
      <c r="WEE23" s="559"/>
      <c r="WEF23" s="559"/>
      <c r="WEG23" s="559"/>
      <c r="WEH23" s="559"/>
      <c r="WEI23" s="559"/>
      <c r="WEJ23" s="559"/>
      <c r="WEK23" s="559"/>
      <c r="WEL23" s="559"/>
      <c r="WEM23" s="559"/>
      <c r="WEN23" s="559"/>
      <c r="WEO23" s="559"/>
      <c r="WEP23" s="559"/>
      <c r="WEQ23" s="559"/>
      <c r="WER23" s="559"/>
      <c r="WES23" s="559"/>
      <c r="WET23" s="559"/>
      <c r="WEU23" s="559"/>
      <c r="WEV23" s="559"/>
      <c r="WEW23" s="559"/>
      <c r="WEX23" s="559"/>
      <c r="WEY23" s="559"/>
      <c r="WEZ23" s="559"/>
      <c r="WFA23" s="559"/>
      <c r="WFB23" s="559"/>
      <c r="WFC23" s="559"/>
      <c r="WFD23" s="559"/>
      <c r="WFE23" s="559"/>
      <c r="WFF23" s="559"/>
      <c r="WFG23" s="559"/>
      <c r="WFH23" s="559"/>
      <c r="WFI23" s="559"/>
      <c r="WFJ23" s="559"/>
      <c r="WFK23" s="559"/>
      <c r="WFL23" s="559"/>
      <c r="WFM23" s="559"/>
      <c r="WFN23" s="559"/>
      <c r="WFO23" s="559"/>
      <c r="WFP23" s="559"/>
      <c r="WFQ23" s="559"/>
      <c r="WFR23" s="559"/>
      <c r="WFS23" s="559"/>
      <c r="WFT23" s="559"/>
      <c r="WFU23" s="559"/>
      <c r="WFV23" s="559"/>
      <c r="WFW23" s="559"/>
      <c r="WFX23" s="559"/>
      <c r="WFY23" s="559"/>
      <c r="WFZ23" s="559"/>
      <c r="WGA23" s="559"/>
      <c r="WGB23" s="559"/>
      <c r="WGC23" s="559"/>
      <c r="WGD23" s="559"/>
      <c r="WGE23" s="559"/>
      <c r="WGF23" s="559"/>
      <c r="WGG23" s="559"/>
      <c r="WGH23" s="559"/>
      <c r="WGI23" s="559"/>
      <c r="WGJ23" s="559"/>
      <c r="WGK23" s="559"/>
      <c r="WGL23" s="559"/>
      <c r="WGM23" s="559"/>
      <c r="WGN23" s="559"/>
      <c r="WGO23" s="559"/>
      <c r="WGP23" s="559"/>
      <c r="WGQ23" s="559"/>
      <c r="WGR23" s="559"/>
      <c r="WGS23" s="559"/>
      <c r="WGT23" s="559"/>
      <c r="WGU23" s="559"/>
      <c r="WGV23" s="559"/>
      <c r="WGW23" s="559"/>
      <c r="WGX23" s="559"/>
      <c r="WGY23" s="559"/>
      <c r="WGZ23" s="559"/>
      <c r="WHA23" s="559"/>
      <c r="WHB23" s="559"/>
      <c r="WHC23" s="559"/>
      <c r="WHD23" s="559"/>
      <c r="WHE23" s="559"/>
      <c r="WHF23" s="559"/>
      <c r="WHG23" s="559"/>
      <c r="WHH23" s="559"/>
      <c r="WHI23" s="559"/>
      <c r="WHJ23" s="559"/>
      <c r="WHK23" s="559"/>
      <c r="WHL23" s="559"/>
      <c r="WHM23" s="559"/>
      <c r="WHN23" s="559"/>
      <c r="WHO23" s="559"/>
      <c r="WHP23" s="559"/>
      <c r="WHQ23" s="559"/>
      <c r="WHR23" s="559"/>
      <c r="WHS23" s="559"/>
      <c r="WHT23" s="559"/>
      <c r="WHU23" s="559"/>
      <c r="WHV23" s="559"/>
      <c r="WHW23" s="559"/>
      <c r="WHX23" s="559"/>
      <c r="WHY23" s="559"/>
      <c r="WHZ23" s="559"/>
      <c r="WIA23" s="559"/>
      <c r="WIB23" s="559"/>
      <c r="WIC23" s="559"/>
      <c r="WID23" s="559"/>
      <c r="WIE23" s="559"/>
      <c r="WIF23" s="559"/>
      <c r="WIG23" s="559"/>
      <c r="WIH23" s="559"/>
      <c r="WII23" s="559"/>
      <c r="WIJ23" s="559"/>
      <c r="WIK23" s="559"/>
      <c r="WIL23" s="559"/>
      <c r="WIM23" s="559"/>
      <c r="WIN23" s="559"/>
      <c r="WIO23" s="559"/>
      <c r="WIP23" s="559"/>
      <c r="WIQ23" s="559"/>
      <c r="WIR23" s="559"/>
      <c r="WIS23" s="559"/>
      <c r="WIT23" s="559"/>
      <c r="WIU23" s="559"/>
      <c r="WIV23" s="559"/>
      <c r="WIW23" s="559"/>
      <c r="WIX23" s="559"/>
      <c r="WIY23" s="559"/>
      <c r="WIZ23" s="559"/>
      <c r="WJA23" s="559"/>
      <c r="WJB23" s="559"/>
      <c r="WJC23" s="559"/>
      <c r="WJD23" s="559"/>
      <c r="WJE23" s="559"/>
      <c r="WJF23" s="559"/>
      <c r="WJG23" s="559"/>
      <c r="WJH23" s="559"/>
      <c r="WJI23" s="559"/>
      <c r="WJJ23" s="559"/>
      <c r="WJK23" s="559"/>
      <c r="WJL23" s="559"/>
      <c r="WJM23" s="559"/>
      <c r="WJN23" s="559"/>
      <c r="WJO23" s="559"/>
      <c r="WJP23" s="559"/>
      <c r="WJQ23" s="559"/>
      <c r="WJR23" s="559"/>
      <c r="WJS23" s="559"/>
      <c r="WJT23" s="559"/>
      <c r="WJU23" s="559"/>
      <c r="WJV23" s="559"/>
      <c r="WJW23" s="559"/>
      <c r="WJX23" s="559"/>
      <c r="WJY23" s="559"/>
      <c r="WJZ23" s="559"/>
      <c r="WKA23" s="559"/>
      <c r="WKB23" s="559"/>
      <c r="WKC23" s="559"/>
      <c r="WKD23" s="559"/>
      <c r="WKE23" s="559"/>
      <c r="WKF23" s="559"/>
      <c r="WKG23" s="559"/>
      <c r="WKH23" s="559"/>
      <c r="WKI23" s="559"/>
      <c r="WKJ23" s="559"/>
      <c r="WKK23" s="559"/>
      <c r="WKL23" s="559"/>
      <c r="WKM23" s="559"/>
      <c r="WKN23" s="559"/>
      <c r="WKO23" s="559"/>
      <c r="WKP23" s="559"/>
      <c r="WKQ23" s="559"/>
      <c r="WKR23" s="559"/>
      <c r="WKS23" s="559"/>
      <c r="WKT23" s="559"/>
      <c r="WKU23" s="559"/>
      <c r="WKV23" s="559"/>
      <c r="WKW23" s="559"/>
      <c r="WKX23" s="559"/>
      <c r="WKY23" s="559"/>
      <c r="WKZ23" s="559"/>
      <c r="WLA23" s="559"/>
      <c r="WLB23" s="559"/>
      <c r="WLC23" s="559"/>
      <c r="WLD23" s="559"/>
      <c r="WLE23" s="559"/>
      <c r="WLF23" s="559"/>
      <c r="WLG23" s="559"/>
      <c r="WLH23" s="559"/>
      <c r="WLI23" s="559"/>
      <c r="WLJ23" s="559"/>
      <c r="WLK23" s="559"/>
      <c r="WLL23" s="559"/>
      <c r="WLM23" s="559"/>
      <c r="WLN23" s="559"/>
      <c r="WLO23" s="559"/>
      <c r="WLP23" s="559"/>
      <c r="WLQ23" s="559"/>
      <c r="WLR23" s="559"/>
      <c r="WLS23" s="559"/>
      <c r="WLT23" s="559"/>
      <c r="WLU23" s="559"/>
      <c r="WLV23" s="559"/>
      <c r="WLW23" s="559"/>
      <c r="WLX23" s="559"/>
      <c r="WLY23" s="559"/>
      <c r="WLZ23" s="559"/>
      <c r="WMA23" s="559"/>
      <c r="WMB23" s="559"/>
      <c r="WMC23" s="559"/>
      <c r="WMD23" s="559"/>
      <c r="WME23" s="559"/>
      <c r="WMF23" s="559"/>
      <c r="WMG23" s="559"/>
      <c r="WMH23" s="559"/>
      <c r="WMI23" s="559"/>
      <c r="WMJ23" s="559"/>
      <c r="WMK23" s="559"/>
      <c r="WML23" s="559"/>
      <c r="WMM23" s="559"/>
      <c r="WMN23" s="559"/>
      <c r="WMO23" s="559"/>
      <c r="WMP23" s="559"/>
      <c r="WMQ23" s="559"/>
      <c r="WMR23" s="559"/>
      <c r="WMS23" s="559"/>
      <c r="WMT23" s="559"/>
      <c r="WMU23" s="559"/>
      <c r="WMV23" s="559"/>
      <c r="WMW23" s="559"/>
      <c r="WMX23" s="559"/>
      <c r="WMY23" s="559"/>
      <c r="WMZ23" s="559"/>
      <c r="WNA23" s="559"/>
      <c r="WNB23" s="559"/>
      <c r="WNC23" s="559"/>
      <c r="WND23" s="559"/>
      <c r="WNE23" s="559"/>
      <c r="WNF23" s="559"/>
      <c r="WNG23" s="559"/>
      <c r="WNH23" s="559"/>
      <c r="WNI23" s="559"/>
      <c r="WNJ23" s="559"/>
      <c r="WNK23" s="559"/>
      <c r="WNL23" s="559"/>
      <c r="WNM23" s="559"/>
      <c r="WNN23" s="559"/>
      <c r="WNO23" s="559"/>
      <c r="WNP23" s="559"/>
      <c r="WNQ23" s="559"/>
      <c r="WNR23" s="559"/>
      <c r="WNS23" s="559"/>
      <c r="WNT23" s="559"/>
      <c r="WNU23" s="559"/>
      <c r="WNV23" s="559"/>
      <c r="WNW23" s="559"/>
      <c r="WNX23" s="559"/>
      <c r="WNY23" s="559"/>
      <c r="WNZ23" s="559"/>
      <c r="WOA23" s="559"/>
      <c r="WOB23" s="559"/>
      <c r="WOC23" s="559"/>
      <c r="WOD23" s="559"/>
      <c r="WOE23" s="559"/>
      <c r="WOF23" s="559"/>
      <c r="WOG23" s="559"/>
      <c r="WOH23" s="559"/>
      <c r="WOI23" s="559"/>
      <c r="WOJ23" s="559"/>
      <c r="WOK23" s="559"/>
      <c r="WOL23" s="559"/>
      <c r="WOM23" s="559"/>
      <c r="WON23" s="559"/>
      <c r="WOO23" s="559"/>
      <c r="WOP23" s="559"/>
      <c r="WOQ23" s="559"/>
      <c r="WOR23" s="559"/>
      <c r="WOS23" s="559"/>
      <c r="WOT23" s="559"/>
      <c r="WOU23" s="559"/>
      <c r="WOV23" s="559"/>
      <c r="WOW23" s="559"/>
      <c r="WOX23" s="559"/>
      <c r="WOY23" s="559"/>
      <c r="WOZ23" s="559"/>
      <c r="WPA23" s="559"/>
      <c r="WPB23" s="559"/>
      <c r="WPC23" s="559"/>
      <c r="WPD23" s="559"/>
      <c r="WPE23" s="559"/>
      <c r="WPF23" s="559"/>
      <c r="WPG23" s="559"/>
      <c r="WPH23" s="559"/>
      <c r="WPI23" s="559"/>
      <c r="WPJ23" s="559"/>
      <c r="WPK23" s="559"/>
      <c r="WPL23" s="559"/>
      <c r="WPM23" s="559"/>
      <c r="WPN23" s="559"/>
      <c r="WPO23" s="559"/>
      <c r="WPP23" s="559"/>
      <c r="WPQ23" s="559"/>
      <c r="WPR23" s="559"/>
      <c r="WPS23" s="559"/>
      <c r="WPT23" s="559"/>
      <c r="WPU23" s="559"/>
      <c r="WPV23" s="559"/>
      <c r="WPW23" s="559"/>
      <c r="WPX23" s="559"/>
      <c r="WPY23" s="559"/>
      <c r="WPZ23" s="559"/>
      <c r="WQA23" s="559"/>
      <c r="WQB23" s="559"/>
      <c r="WQC23" s="559"/>
      <c r="WQD23" s="559"/>
      <c r="WQE23" s="559"/>
      <c r="WQF23" s="559"/>
      <c r="WQG23" s="559"/>
      <c r="WQH23" s="559"/>
      <c r="WQI23" s="559"/>
      <c r="WQJ23" s="559"/>
      <c r="WQK23" s="559"/>
      <c r="WQL23" s="559"/>
      <c r="WQM23" s="559"/>
      <c r="WQN23" s="559"/>
      <c r="WQO23" s="559"/>
      <c r="WQP23" s="559"/>
      <c r="WQQ23" s="559"/>
      <c r="WQR23" s="559"/>
      <c r="WQS23" s="559"/>
      <c r="WQT23" s="559"/>
      <c r="WQU23" s="559"/>
      <c r="WQV23" s="559"/>
      <c r="WQW23" s="559"/>
      <c r="WQX23" s="559"/>
      <c r="WQY23" s="559"/>
      <c r="WQZ23" s="559"/>
      <c r="WRA23" s="559"/>
      <c r="WRB23" s="559"/>
      <c r="WRC23" s="559"/>
      <c r="WRD23" s="559"/>
      <c r="WRE23" s="559"/>
      <c r="WRF23" s="559"/>
      <c r="WRG23" s="559"/>
      <c r="WRH23" s="559"/>
      <c r="WRI23" s="559"/>
      <c r="WRJ23" s="559"/>
      <c r="WRK23" s="559"/>
      <c r="WRL23" s="559"/>
      <c r="WRM23" s="559"/>
      <c r="WRN23" s="559"/>
      <c r="WRO23" s="559"/>
      <c r="WRP23" s="559"/>
      <c r="WRQ23" s="559"/>
      <c r="WRR23" s="559"/>
      <c r="WRS23" s="559"/>
      <c r="WRT23" s="559"/>
      <c r="WRU23" s="559"/>
      <c r="WRV23" s="559"/>
      <c r="WRW23" s="559"/>
      <c r="WRX23" s="559"/>
      <c r="WRY23" s="559"/>
      <c r="WRZ23" s="559"/>
      <c r="WSA23" s="559"/>
      <c r="WSB23" s="559"/>
      <c r="WSC23" s="559"/>
      <c r="WSD23" s="559"/>
      <c r="WSE23" s="559"/>
      <c r="WSF23" s="559"/>
      <c r="WSG23" s="559"/>
      <c r="WSH23" s="559"/>
      <c r="WSI23" s="559"/>
      <c r="WSJ23" s="559"/>
      <c r="WSK23" s="559"/>
      <c r="WSL23" s="559"/>
      <c r="WSM23" s="559"/>
      <c r="WSN23" s="559"/>
      <c r="WSO23" s="559"/>
      <c r="WSP23" s="559"/>
      <c r="WSQ23" s="559"/>
      <c r="WSR23" s="559"/>
      <c r="WSS23" s="559"/>
      <c r="WST23" s="559"/>
      <c r="WSU23" s="559"/>
      <c r="WSV23" s="559"/>
      <c r="WSW23" s="559"/>
      <c r="WSX23" s="559"/>
      <c r="WSY23" s="559"/>
      <c r="WSZ23" s="559"/>
      <c r="WTA23" s="559"/>
      <c r="WTB23" s="559"/>
      <c r="WTC23" s="559"/>
      <c r="WTD23" s="559"/>
      <c r="WTE23" s="559"/>
      <c r="WTF23" s="559"/>
      <c r="WTG23" s="559"/>
      <c r="WTH23" s="559"/>
      <c r="WTI23" s="559"/>
      <c r="WTJ23" s="559"/>
      <c r="WTK23" s="559"/>
      <c r="WTL23" s="559"/>
      <c r="WTM23" s="559"/>
      <c r="WTN23" s="559"/>
      <c r="WTO23" s="559"/>
      <c r="WTP23" s="559"/>
      <c r="WTQ23" s="559"/>
      <c r="WTR23" s="559"/>
      <c r="WTS23" s="559"/>
      <c r="WTT23" s="559"/>
      <c r="WTU23" s="559"/>
      <c r="WTV23" s="559"/>
      <c r="WTW23" s="559"/>
      <c r="WTX23" s="559"/>
      <c r="WTY23" s="559"/>
      <c r="WTZ23" s="559"/>
      <c r="WUA23" s="559"/>
      <c r="WUB23" s="559"/>
      <c r="WUC23" s="559"/>
      <c r="WUD23" s="559"/>
      <c r="WUE23" s="559"/>
      <c r="WUF23" s="559"/>
      <c r="WUG23" s="559"/>
      <c r="WUH23" s="559"/>
      <c r="WUI23" s="559"/>
      <c r="WUJ23" s="559"/>
      <c r="WUK23" s="559"/>
      <c r="WUL23" s="559"/>
      <c r="WUM23" s="559"/>
      <c r="WUN23" s="559"/>
      <c r="WUO23" s="559"/>
      <c r="WUP23" s="559"/>
      <c r="WUQ23" s="559"/>
      <c r="WUR23" s="559"/>
      <c r="WUS23" s="559"/>
      <c r="WUT23" s="559"/>
      <c r="WUU23" s="559"/>
      <c r="WUV23" s="559"/>
      <c r="WUW23" s="559"/>
      <c r="WUX23" s="559"/>
      <c r="WUY23" s="559"/>
      <c r="WUZ23" s="559"/>
      <c r="WVA23" s="559"/>
      <c r="WVB23" s="559"/>
      <c r="WVC23" s="559"/>
      <c r="WVD23" s="559"/>
      <c r="WVE23" s="559"/>
      <c r="WVF23" s="559"/>
      <c r="WVG23" s="559"/>
      <c r="WVH23" s="559"/>
      <c r="WVI23" s="559"/>
      <c r="WVJ23" s="559"/>
      <c r="WVK23" s="559"/>
      <c r="WVL23" s="559"/>
      <c r="WVM23" s="559"/>
      <c r="WVN23" s="559"/>
      <c r="WVO23" s="559"/>
      <c r="WVP23" s="559"/>
      <c r="WVQ23" s="559"/>
      <c r="WVR23" s="559"/>
      <c r="WVS23" s="559"/>
      <c r="WVT23" s="559"/>
      <c r="WVU23" s="559"/>
      <c r="WVV23" s="559"/>
      <c r="WVW23" s="559"/>
      <c r="WVX23" s="559"/>
      <c r="WVY23" s="559"/>
      <c r="WVZ23" s="559"/>
      <c r="WWA23" s="559"/>
      <c r="WWB23" s="559"/>
      <c r="WWC23" s="559"/>
      <c r="WWD23" s="559"/>
      <c r="WWE23" s="559"/>
      <c r="WWF23" s="559"/>
      <c r="WWG23" s="559"/>
      <c r="WWH23" s="559"/>
      <c r="WWI23" s="559"/>
      <c r="WWJ23" s="559"/>
      <c r="WWK23" s="559"/>
      <c r="WWL23" s="559"/>
      <c r="WWM23" s="559"/>
      <c r="WWN23" s="559"/>
      <c r="WWO23" s="559"/>
      <c r="WWP23" s="559"/>
      <c r="WWQ23" s="559"/>
      <c r="WWR23" s="559"/>
      <c r="WWS23" s="559"/>
      <c r="WWT23" s="559"/>
      <c r="WWU23" s="559"/>
      <c r="WWV23" s="559"/>
      <c r="WWW23" s="559"/>
      <c r="WWX23" s="559"/>
      <c r="WWY23" s="559"/>
      <c r="WWZ23" s="559"/>
      <c r="WXA23" s="559"/>
      <c r="WXB23" s="559"/>
      <c r="WXC23" s="559"/>
      <c r="WXD23" s="559"/>
      <c r="WXE23" s="559"/>
      <c r="WXF23" s="559"/>
      <c r="WXG23" s="559"/>
      <c r="WXH23" s="559"/>
      <c r="WXI23" s="559"/>
      <c r="WXJ23" s="559"/>
      <c r="WXK23" s="559"/>
      <c r="WXL23" s="559"/>
      <c r="WXM23" s="559"/>
      <c r="WXN23" s="559"/>
      <c r="WXO23" s="559"/>
      <c r="WXP23" s="559"/>
      <c r="WXQ23" s="559"/>
      <c r="WXR23" s="559"/>
      <c r="WXS23" s="559"/>
      <c r="WXT23" s="559"/>
      <c r="WXU23" s="559"/>
      <c r="WXV23" s="559"/>
      <c r="WXW23" s="559"/>
      <c r="WXX23" s="559"/>
      <c r="WXY23" s="559"/>
      <c r="WXZ23" s="559"/>
      <c r="WYA23" s="559"/>
      <c r="WYB23" s="559"/>
      <c r="WYC23" s="559"/>
      <c r="WYD23" s="559"/>
      <c r="WYE23" s="559"/>
      <c r="WYF23" s="559"/>
      <c r="WYG23" s="559"/>
      <c r="WYH23" s="559"/>
      <c r="WYI23" s="559"/>
      <c r="WYJ23" s="559"/>
      <c r="WYK23" s="559"/>
      <c r="WYL23" s="559"/>
      <c r="WYM23" s="559"/>
      <c r="WYN23" s="559"/>
      <c r="WYO23" s="559"/>
      <c r="WYP23" s="559"/>
      <c r="WYQ23" s="559"/>
      <c r="WYR23" s="559"/>
      <c r="WYS23" s="559"/>
      <c r="WYT23" s="559"/>
      <c r="WYU23" s="559"/>
      <c r="WYV23" s="559"/>
      <c r="WYW23" s="559"/>
      <c r="WYX23" s="559"/>
      <c r="WYY23" s="559"/>
      <c r="WYZ23" s="559"/>
      <c r="WZA23" s="559"/>
      <c r="WZB23" s="559"/>
      <c r="WZC23" s="559"/>
      <c r="WZD23" s="559"/>
      <c r="WZE23" s="559"/>
      <c r="WZF23" s="559"/>
      <c r="WZG23" s="559"/>
      <c r="WZH23" s="559"/>
      <c r="WZI23" s="559"/>
      <c r="WZJ23" s="559"/>
      <c r="WZK23" s="559"/>
      <c r="WZL23" s="559"/>
      <c r="WZM23" s="559"/>
      <c r="WZN23" s="559"/>
      <c r="WZO23" s="559"/>
      <c r="WZP23" s="559"/>
      <c r="WZQ23" s="559"/>
      <c r="WZR23" s="559"/>
      <c r="WZS23" s="559"/>
      <c r="WZT23" s="559"/>
      <c r="WZU23" s="559"/>
      <c r="WZV23" s="559"/>
      <c r="WZW23" s="559"/>
      <c r="WZX23" s="559"/>
      <c r="WZY23" s="559"/>
      <c r="WZZ23" s="559"/>
      <c r="XAA23" s="559"/>
      <c r="XAB23" s="559"/>
      <c r="XAC23" s="559"/>
      <c r="XAD23" s="559"/>
      <c r="XAE23" s="559"/>
      <c r="XAF23" s="559"/>
      <c r="XAG23" s="559"/>
      <c r="XAH23" s="559"/>
      <c r="XAI23" s="559"/>
      <c r="XAJ23" s="559"/>
      <c r="XAK23" s="559"/>
      <c r="XAL23" s="559"/>
      <c r="XAM23" s="559"/>
      <c r="XAN23" s="559"/>
      <c r="XAO23" s="559"/>
      <c r="XAP23" s="559"/>
      <c r="XAQ23" s="559"/>
      <c r="XAR23" s="559"/>
      <c r="XAS23" s="559"/>
      <c r="XAT23" s="559"/>
      <c r="XAU23" s="559"/>
      <c r="XAV23" s="559"/>
      <c r="XAW23" s="559"/>
      <c r="XAX23" s="559"/>
      <c r="XAY23" s="559"/>
      <c r="XAZ23" s="559"/>
      <c r="XBA23" s="559"/>
      <c r="XBB23" s="559"/>
      <c r="XBC23" s="559"/>
      <c r="XBD23" s="559"/>
      <c r="XBE23" s="559"/>
      <c r="XBF23" s="559"/>
      <c r="XBG23" s="559"/>
      <c r="XBH23" s="559"/>
      <c r="XBI23" s="559"/>
      <c r="XBJ23" s="559"/>
      <c r="XBK23" s="559"/>
      <c r="XBL23" s="559"/>
      <c r="XBM23" s="559"/>
      <c r="XBN23" s="559"/>
      <c r="XBO23" s="559"/>
      <c r="XBP23" s="559"/>
      <c r="XBQ23" s="559"/>
      <c r="XBR23" s="559"/>
      <c r="XBS23" s="559"/>
      <c r="XBT23" s="559"/>
      <c r="XBU23" s="559"/>
      <c r="XBV23" s="559"/>
      <c r="XBW23" s="559"/>
      <c r="XBX23" s="559"/>
      <c r="XBY23" s="559"/>
      <c r="XBZ23" s="559"/>
      <c r="XCA23" s="559"/>
      <c r="XCB23" s="559"/>
      <c r="XCC23" s="559"/>
      <c r="XCD23" s="559"/>
      <c r="XCE23" s="559"/>
      <c r="XCF23" s="559"/>
      <c r="XCG23" s="559"/>
      <c r="XCH23" s="559"/>
      <c r="XCI23" s="559"/>
      <c r="XCJ23" s="559"/>
      <c r="XCK23" s="559"/>
      <c r="XCL23" s="559"/>
      <c r="XCM23" s="559"/>
      <c r="XCN23" s="559"/>
      <c r="XCO23" s="559"/>
      <c r="XCP23" s="559"/>
      <c r="XCQ23" s="559"/>
      <c r="XCR23" s="559"/>
      <c r="XCS23" s="559"/>
      <c r="XCT23" s="559"/>
      <c r="XCU23" s="559"/>
      <c r="XCV23" s="559"/>
      <c r="XCW23" s="559"/>
      <c r="XCX23" s="559"/>
      <c r="XCY23" s="559"/>
      <c r="XCZ23" s="559"/>
      <c r="XDA23" s="559"/>
      <c r="XDB23" s="559"/>
      <c r="XDC23" s="559"/>
      <c r="XDD23" s="559"/>
      <c r="XDE23" s="559"/>
      <c r="XDF23" s="559"/>
      <c r="XDG23" s="559"/>
      <c r="XDH23" s="559"/>
      <c r="XDI23" s="559"/>
      <c r="XDJ23" s="559"/>
      <c r="XDK23" s="559"/>
      <c r="XDL23" s="559"/>
      <c r="XDM23" s="559"/>
      <c r="XDN23" s="559"/>
      <c r="XDO23" s="559"/>
      <c r="XDP23" s="559"/>
      <c r="XDQ23" s="559"/>
      <c r="XDR23" s="559"/>
      <c r="XDS23" s="559"/>
      <c r="XDT23" s="559"/>
      <c r="XDU23" s="559"/>
      <c r="XDV23" s="559"/>
      <c r="XDW23" s="559"/>
      <c r="XDX23" s="559"/>
      <c r="XDY23" s="559"/>
      <c r="XDZ23" s="559"/>
      <c r="XEA23" s="559"/>
      <c r="XEB23" s="559"/>
      <c r="XEC23" s="559"/>
      <c r="XED23" s="559"/>
      <c r="XEE23" s="559"/>
      <c r="XEF23" s="559"/>
      <c r="XEG23" s="559"/>
      <c r="XEH23" s="559"/>
      <c r="XEI23" s="559"/>
      <c r="XEJ23" s="559"/>
      <c r="XEK23" s="559"/>
      <c r="XEL23" s="559"/>
      <c r="XEM23" s="559"/>
      <c r="XEN23" s="559"/>
      <c r="XEO23" s="559"/>
      <c r="XEP23" s="559"/>
      <c r="XEQ23" s="559"/>
      <c r="XER23" s="559"/>
      <c r="XES23" s="559"/>
      <c r="XET23" s="559"/>
      <c r="XEU23" s="559"/>
      <c r="XEV23" s="559"/>
      <c r="XEW23" s="559"/>
      <c r="XEX23" s="559"/>
      <c r="XEY23" s="559"/>
      <c r="XEZ23" s="559"/>
      <c r="XFA23" s="559"/>
      <c r="XFB23" s="559"/>
      <c r="XFC23" s="559"/>
    </row>
    <row r="25" spans="1:16383">
      <c r="B25" s="7" t="s">
        <v>459</v>
      </c>
      <c r="H25" s="442">
        <f>PPMT($C$14/12,H21,$C$10*12,-$C$8)</f>
        <v>56696.330157206619</v>
      </c>
      <c r="I25" s="442">
        <f>PPMT($C$14/12,I21,$C$10*12,-$C$8)</f>
        <v>56932.564866194967</v>
      </c>
      <c r="J25" s="442">
        <f t="shared" ref="J25:BU25" si="14">PPMT($C$14/12,J21,$C$10*12,-$C$8)</f>
        <v>57169.783886470781</v>
      </c>
      <c r="K25" s="442">
        <f t="shared" si="14"/>
        <v>57407.991319331086</v>
      </c>
      <c r="L25" s="442">
        <f t="shared" si="14"/>
        <v>57647.191283161636</v>
      </c>
      <c r="M25" s="442">
        <f t="shared" si="14"/>
        <v>57887.387913508144</v>
      </c>
      <c r="N25" s="442">
        <f t="shared" si="14"/>
        <v>58128.585363147751</v>
      </c>
      <c r="O25" s="442">
        <f t="shared" si="14"/>
        <v>58370.78780216087</v>
      </c>
      <c r="P25" s="442">
        <f t="shared" si="14"/>
        <v>58613.999418003201</v>
      </c>
      <c r="Q25" s="442">
        <f t="shared" si="14"/>
        <v>58858.224415578225</v>
      </c>
      <c r="R25" s="442">
        <f t="shared" si="14"/>
        <v>59103.467017309791</v>
      </c>
      <c r="S25" s="442">
        <f t="shared" si="14"/>
        <v>59349.731463215256</v>
      </c>
      <c r="T25" s="442">
        <f t="shared" si="14"/>
        <v>59597.022010978646</v>
      </c>
      <c r="U25" s="442">
        <f t="shared" si="14"/>
        <v>59845.342936024397</v>
      </c>
      <c r="V25" s="442">
        <f t="shared" si="14"/>
        <v>60094.698531591152</v>
      </c>
      <c r="W25" s="442">
        <f t="shared" si="14"/>
        <v>60345.093108806126</v>
      </c>
      <c r="X25" s="442">
        <f t="shared" si="14"/>
        <v>60596.530996759488</v>
      </c>
      <c r="Y25" s="442">
        <f t="shared" si="14"/>
        <v>60849.016542579317</v>
      </c>
      <c r="Z25" s="442">
        <f t="shared" si="14"/>
        <v>61102.554111506739</v>
      </c>
      <c r="AA25" s="442">
        <f t="shared" si="14"/>
        <v>61357.148086971341</v>
      </c>
      <c r="AB25" s="442">
        <f t="shared" si="14"/>
        <v>61612.802870667059</v>
      </c>
      <c r="AC25" s="442">
        <f t="shared" si="14"/>
        <v>61869.522882628167</v>
      </c>
      <c r="AD25" s="442">
        <f t="shared" si="14"/>
        <v>62127.312561305793</v>
      </c>
      <c r="AE25" s="442">
        <f t="shared" si="14"/>
        <v>62386.176363644554</v>
      </c>
      <c r="AF25" s="442">
        <f t="shared" si="14"/>
        <v>62646.118765159743</v>
      </c>
      <c r="AG25" s="442">
        <f t="shared" si="14"/>
        <v>62907.144260014575</v>
      </c>
      <c r="AH25" s="442">
        <f t="shared" si="14"/>
        <v>63169.257361097974</v>
      </c>
      <c r="AI25" s="442">
        <f t="shared" si="14"/>
        <v>63432.462600102532</v>
      </c>
      <c r="AJ25" s="442">
        <f t="shared" si="14"/>
        <v>63696.764527602965</v>
      </c>
      <c r="AK25" s="442">
        <f t="shared" si="14"/>
        <v>63962.167713134659</v>
      </c>
      <c r="AL25" s="442">
        <f t="shared" si="14"/>
        <v>64228.676745272707</v>
      </c>
      <c r="AM25" s="442">
        <f t="shared" si="14"/>
        <v>64496.296231711349</v>
      </c>
      <c r="AN25" s="442">
        <f t="shared" si="14"/>
        <v>64765.030799343484</v>
      </c>
      <c r="AO25" s="442">
        <f t="shared" si="14"/>
        <v>65034.885094340745</v>
      </c>
      <c r="AP25" s="442">
        <f t="shared" si="14"/>
        <v>65305.863782233835</v>
      </c>
      <c r="AQ25" s="442">
        <f t="shared" si="14"/>
        <v>65577.971547993133</v>
      </c>
      <c r="AR25" s="442">
        <f t="shared" si="14"/>
        <v>65851.213096109772</v>
      </c>
      <c r="AS25" s="442">
        <f t="shared" si="14"/>
        <v>66125.593150676897</v>
      </c>
      <c r="AT25" s="442">
        <f t="shared" si="14"/>
        <v>66401.116455471376</v>
      </c>
      <c r="AU25" s="442">
        <f t="shared" si="14"/>
        <v>66677.787774035853</v>
      </c>
      <c r="AV25" s="442">
        <f t="shared" si="14"/>
        <v>66955.611889761014</v>
      </c>
      <c r="AW25" s="442">
        <f t="shared" si="14"/>
        <v>67234.593605968344</v>
      </c>
      <c r="AX25" s="442">
        <f t="shared" si="14"/>
        <v>67514.737745993218</v>
      </c>
      <c r="AY25" s="442">
        <f t="shared" si="14"/>
        <v>67796.049153268177</v>
      </c>
      <c r="AZ25" s="442">
        <f t="shared" si="14"/>
        <v>68078.532691406799</v>
      </c>
      <c r="BA25" s="442">
        <f t="shared" si="14"/>
        <v>68362.193244287657</v>
      </c>
      <c r="BB25" s="442">
        <f t="shared" si="14"/>
        <v>68647.035716138867</v>
      </c>
      <c r="BC25" s="442">
        <f t="shared" si="14"/>
        <v>68933.065031622755</v>
      </c>
      <c r="BD25" s="442">
        <f t="shared" si="14"/>
        <v>69220.286135921197</v>
      </c>
      <c r="BE25" s="442">
        <f t="shared" si="14"/>
        <v>69508.703994820855</v>
      </c>
      <c r="BF25" s="442">
        <f t="shared" si="14"/>
        <v>69798.323594799294</v>
      </c>
      <c r="BG25" s="442">
        <f t="shared" si="14"/>
        <v>70089.149943110955</v>
      </c>
      <c r="BH25" s="442">
        <f t="shared" si="14"/>
        <v>70381.188067873925</v>
      </c>
      <c r="BI25" s="442">
        <f t="shared" si="14"/>
        <v>70674.44301815673</v>
      </c>
      <c r="BJ25" s="442">
        <f t="shared" si="14"/>
        <v>70968.919864065698</v>
      </c>
      <c r="BK25" s="442">
        <f t="shared" si="14"/>
        <v>71264.623696832656</v>
      </c>
      <c r="BL25" s="442">
        <f t="shared" si="14"/>
        <v>71561.559628902774</v>
      </c>
      <c r="BM25" s="442">
        <f t="shared" si="14"/>
        <v>71859.732794023221</v>
      </c>
      <c r="BN25" s="442">
        <f t="shared" si="14"/>
        <v>72159.148347331633</v>
      </c>
      <c r="BO25" s="442">
        <f t="shared" si="14"/>
        <v>72459.811465445528</v>
      </c>
      <c r="BP25" s="442">
        <f t="shared" si="14"/>
        <v>72761.727346551546</v>
      </c>
      <c r="BQ25" s="442">
        <f t="shared" si="14"/>
        <v>73064.901210495504</v>
      </c>
      <c r="BR25" s="442">
        <f t="shared" si="14"/>
        <v>73369.338298872579</v>
      </c>
      <c r="BS25" s="442">
        <f t="shared" si="14"/>
        <v>73675.043875117874</v>
      </c>
      <c r="BT25" s="442">
        <f t="shared" si="14"/>
        <v>73982.023224597535</v>
      </c>
      <c r="BU25" s="442">
        <f t="shared" si="14"/>
        <v>74290.281654700011</v>
      </c>
      <c r="BV25" s="442">
        <f t="shared" ref="BV25:EG25" si="15">PPMT($C$14/12,BV21,$C$10*12,-$C$8)</f>
        <v>74599.824494927947</v>
      </c>
      <c r="BW25" s="442">
        <f t="shared" si="15"/>
        <v>74910.657096990137</v>
      </c>
      <c r="BX25" s="442">
        <f t="shared" si="15"/>
        <v>75222.784834894293</v>
      </c>
      <c r="BY25" s="442">
        <f t="shared" si="15"/>
        <v>75536.213105039657</v>
      </c>
      <c r="BZ25" s="442">
        <f t="shared" si="15"/>
        <v>75850.947326310663</v>
      </c>
      <c r="CA25" s="442">
        <f t="shared" si="15"/>
        <v>76166.992940170283</v>
      </c>
      <c r="CB25" s="442">
        <f t="shared" si="15"/>
        <v>76484.355410754331</v>
      </c>
      <c r="CC25" s="442">
        <f t="shared" si="15"/>
        <v>76803.040224965807</v>
      </c>
      <c r="CD25" s="442">
        <f t="shared" si="15"/>
        <v>77123.052892569845</v>
      </c>
      <c r="CE25" s="442">
        <f t="shared" si="15"/>
        <v>77444.398946288857</v>
      </c>
      <c r="CF25" s="442">
        <f t="shared" si="15"/>
        <v>77767.083941898411</v>
      </c>
      <c r="CG25" s="442">
        <f t="shared" si="15"/>
        <v>78091.113458322987</v>
      </c>
      <c r="CH25" s="442">
        <f t="shared" si="15"/>
        <v>78416.493097732658</v>
      </c>
      <c r="CI25" s="442">
        <f t="shared" si="15"/>
        <v>78743.228485639891</v>
      </c>
      <c r="CJ25" s="442">
        <f t="shared" si="15"/>
        <v>79071.32527099672</v>
      </c>
      <c r="CK25" s="442">
        <f t="shared" si="15"/>
        <v>79400.78912629254</v>
      </c>
      <c r="CL25" s="442">
        <f t="shared" si="15"/>
        <v>79731.625747652084</v>
      </c>
      <c r="CM25" s="442">
        <f t="shared" si="15"/>
        <v>80063.84085493398</v>
      </c>
      <c r="CN25" s="442">
        <f t="shared" si="15"/>
        <v>80397.440191829519</v>
      </c>
      <c r="CO25" s="442">
        <f t="shared" si="15"/>
        <v>80732.429525962158</v>
      </c>
      <c r="CP25" s="442">
        <f t="shared" si="15"/>
        <v>81068.814648986998</v>
      </c>
      <c r="CQ25" s="442">
        <f t="shared" si="15"/>
        <v>81406.601376691106</v>
      </c>
      <c r="CR25" s="442">
        <f t="shared" si="15"/>
        <v>81745.795549093978</v>
      </c>
      <c r="CS25" s="442">
        <f t="shared" si="15"/>
        <v>82086.40303054855</v>
      </c>
      <c r="CT25" s="442">
        <f t="shared" si="15"/>
        <v>82428.429709842487</v>
      </c>
      <c r="CU25" s="442">
        <f t="shared" si="15"/>
        <v>82771.88150030018</v>
      </c>
      <c r="CV25" s="442">
        <f t="shared" si="15"/>
        <v>83116.764339884772</v>
      </c>
      <c r="CW25" s="442">
        <f t="shared" si="15"/>
        <v>83463.08419130095</v>
      </c>
      <c r="CX25" s="442">
        <f t="shared" si="15"/>
        <v>83810.847042098045</v>
      </c>
      <c r="CY25" s="442">
        <f t="shared" si="15"/>
        <v>84160.058904773425</v>
      </c>
      <c r="CZ25" s="442">
        <f t="shared" si="15"/>
        <v>84510.725816876671</v>
      </c>
      <c r="DA25" s="442">
        <f t="shared" si="15"/>
        <v>84862.85384111364</v>
      </c>
      <c r="DB25" s="442">
        <f t="shared" si="15"/>
        <v>85216.449065451627</v>
      </c>
      <c r="DC25" s="442">
        <f t="shared" si="15"/>
        <v>85571.517603224333</v>
      </c>
      <c r="DD25" s="442">
        <f t="shared" si="15"/>
        <v>85928.065593237785</v>
      </c>
      <c r="DE25" s="442">
        <f t="shared" si="15"/>
        <v>86286.099199876262</v>
      </c>
      <c r="DF25" s="442">
        <f t="shared" si="15"/>
        <v>86645.624613209089</v>
      </c>
      <c r="DG25" s="442">
        <f t="shared" si="15"/>
        <v>87006.64804909745</v>
      </c>
      <c r="DH25" s="442">
        <f t="shared" si="15"/>
        <v>87369.175749302012</v>
      </c>
      <c r="DI25" s="442">
        <f t="shared" si="15"/>
        <v>87733.213981590787</v>
      </c>
      <c r="DJ25" s="442">
        <f t="shared" si="15"/>
        <v>88098.769039847408</v>
      </c>
      <c r="DK25" s="442">
        <f t="shared" si="15"/>
        <v>88465.847244180113</v>
      </c>
      <c r="DL25" s="442">
        <f t="shared" si="15"/>
        <v>88834.454941030854</v>
      </c>
      <c r="DM25" s="442">
        <f t="shared" si="15"/>
        <v>89204.59850328516</v>
      </c>
      <c r="DN25" s="442">
        <f t="shared" si="15"/>
        <v>89576.284330382186</v>
      </c>
      <c r="DO25" s="442">
        <f t="shared" si="15"/>
        <v>89949.518848425447</v>
      </c>
      <c r="DP25" s="442">
        <f t="shared" si="15"/>
        <v>90324.308510293864</v>
      </c>
      <c r="DQ25" s="442">
        <f t="shared" si="15"/>
        <v>90700.65979575344</v>
      </c>
      <c r="DR25" s="442">
        <f t="shared" si="15"/>
        <v>91078.579211569071</v>
      </c>
      <c r="DS25" s="442">
        <f t="shared" si="15"/>
        <v>91458.073291617271</v>
      </c>
      <c r="DT25" s="442">
        <f t="shared" si="15"/>
        <v>91839.148596999003</v>
      </c>
      <c r="DU25" s="442">
        <f t="shared" si="15"/>
        <v>92221.81171615317</v>
      </c>
      <c r="DV25" s="442">
        <f t="shared" si="15"/>
        <v>92606.069264970487</v>
      </c>
      <c r="DW25" s="442">
        <f t="shared" si="15"/>
        <v>92991.92788690787</v>
      </c>
      <c r="DX25" s="442">
        <f t="shared" si="15"/>
        <v>93379.39425310331</v>
      </c>
      <c r="DY25" s="442">
        <f t="shared" si="15"/>
        <v>93768.475062491241</v>
      </c>
      <c r="DZ25" s="442">
        <f t="shared" si="15"/>
        <v>94159.177041918287</v>
      </c>
      <c r="EA25" s="442">
        <f t="shared" si="15"/>
        <v>94551.506946259615</v>
      </c>
      <c r="EB25" s="442">
        <f t="shared" si="15"/>
        <v>94945.47155853569</v>
      </c>
      <c r="EC25" s="442">
        <f t="shared" si="15"/>
        <v>95341.07769002959</v>
      </c>
      <c r="ED25" s="442">
        <f t="shared" si="15"/>
        <v>95738.332180404715</v>
      </c>
      <c r="EE25" s="442">
        <f t="shared" si="15"/>
        <v>96137.241897823071</v>
      </c>
      <c r="EF25" s="442">
        <f t="shared" si="15"/>
        <v>96537.813739063989</v>
      </c>
      <c r="EG25" s="442">
        <f t="shared" si="15"/>
        <v>96940.054629643433</v>
      </c>
      <c r="EH25" s="442">
        <f t="shared" ref="EH25:GS25" si="16">PPMT($C$14/12,EH21,$C$10*12,-$C$8)</f>
        <v>97343.971523933607</v>
      </c>
      <c r="EI25" s="442">
        <f t="shared" si="16"/>
        <v>97749.571405283335</v>
      </c>
      <c r="EJ25" s="442">
        <f t="shared" si="16"/>
        <v>98156.861286138679</v>
      </c>
      <c r="EK25" s="442">
        <f t="shared" si="16"/>
        <v>98565.848208164258</v>
      </c>
      <c r="EL25" s="442">
        <f t="shared" si="16"/>
        <v>98976.539242364932</v>
      </c>
      <c r="EM25" s="442">
        <f t="shared" si="16"/>
        <v>99388.941489208126</v>
      </c>
      <c r="EN25" s="442">
        <f t="shared" si="16"/>
        <v>99803.062078746487</v>
      </c>
      <c r="EO25" s="442">
        <f t="shared" si="16"/>
        <v>100218.90817074128</v>
      </c>
      <c r="EP25" s="442">
        <f t="shared" si="16"/>
        <v>100636.48695478604</v>
      </c>
      <c r="EQ25" s="442">
        <f t="shared" si="16"/>
        <v>101055.80565043098</v>
      </c>
      <c r="ER25" s="442">
        <f t="shared" si="16"/>
        <v>101476.87150730776</v>
      </c>
      <c r="ES25" s="442">
        <f t="shared" si="16"/>
        <v>101899.69180525489</v>
      </c>
      <c r="ET25" s="442">
        <f t="shared" si="16"/>
        <v>102324.27385444344</v>
      </c>
      <c r="EU25" s="442">
        <f t="shared" si="16"/>
        <v>102750.62499550362</v>
      </c>
      <c r="EV25" s="442">
        <f t="shared" si="16"/>
        <v>103178.75259965155</v>
      </c>
      <c r="EW25" s="442">
        <f t="shared" si="16"/>
        <v>103608.66406881675</v>
      </c>
      <c r="EX25" s="442">
        <f t="shared" si="16"/>
        <v>104040.36683577017</v>
      </c>
      <c r="EY25" s="442">
        <f t="shared" si="16"/>
        <v>104473.86836425254</v>
      </c>
      <c r="EZ25" s="442">
        <f t="shared" si="16"/>
        <v>104909.17614910359</v>
      </c>
      <c r="FA25" s="442">
        <f t="shared" si="16"/>
        <v>105346.29771639153</v>
      </c>
      <c r="FB25" s="442">
        <f t="shared" si="16"/>
        <v>105785.24062354317</v>
      </c>
      <c r="FC25" s="442">
        <f t="shared" si="16"/>
        <v>106226.0124594746</v>
      </c>
      <c r="FD25" s="442">
        <f t="shared" si="16"/>
        <v>106668.62084472242</v>
      </c>
      <c r="FE25" s="442">
        <f t="shared" si="16"/>
        <v>107113.07343157542</v>
      </c>
      <c r="FF25" s="442">
        <f t="shared" si="16"/>
        <v>107559.37790420698</v>
      </c>
      <c r="FG25" s="442">
        <f t="shared" si="16"/>
        <v>108007.54197880784</v>
      </c>
      <c r="FH25" s="442">
        <f t="shared" si="16"/>
        <v>108457.57340371955</v>
      </c>
      <c r="FI25" s="442">
        <f t="shared" si="16"/>
        <v>108909.47995956836</v>
      </c>
      <c r="FJ25" s="442">
        <f t="shared" si="16"/>
        <v>109363.2694593999</v>
      </c>
      <c r="FK25" s="442">
        <f t="shared" si="16"/>
        <v>109818.94974881408</v>
      </c>
      <c r="FL25" s="442">
        <f t="shared" si="16"/>
        <v>110276.5287061008</v>
      </c>
      <c r="FM25" s="442">
        <f t="shared" si="16"/>
        <v>110736.01424237622</v>
      </c>
      <c r="FN25" s="442">
        <f t="shared" si="16"/>
        <v>111197.41430171947</v>
      </c>
      <c r="FO25" s="442">
        <f t="shared" si="16"/>
        <v>111660.73686130997</v>
      </c>
      <c r="FP25" s="442">
        <f t="shared" si="16"/>
        <v>112125.9899315654</v>
      </c>
      <c r="FQ25" s="442">
        <f t="shared" si="16"/>
        <v>112593.18155628027</v>
      </c>
      <c r="FR25" s="442">
        <f t="shared" si="16"/>
        <v>113062.31981276476</v>
      </c>
      <c r="FS25" s="442">
        <f t="shared" si="16"/>
        <v>113533.41281198461</v>
      </c>
      <c r="FT25" s="442">
        <f t="shared" si="16"/>
        <v>114006.46869870122</v>
      </c>
      <c r="FU25" s="442">
        <f t="shared" si="16"/>
        <v>114481.49565161248</v>
      </c>
      <c r="FV25" s="442">
        <f t="shared" si="16"/>
        <v>114958.50188349419</v>
      </c>
      <c r="FW25" s="442">
        <f t="shared" si="16"/>
        <v>115437.49564134209</v>
      </c>
      <c r="FX25" s="442">
        <f t="shared" si="16"/>
        <v>115918.48520651435</v>
      </c>
      <c r="FY25" s="442">
        <f t="shared" si="16"/>
        <v>116401.47889487482</v>
      </c>
      <c r="FZ25" s="442">
        <f t="shared" si="16"/>
        <v>116886.4850569368</v>
      </c>
      <c r="GA25" s="442">
        <f t="shared" si="16"/>
        <v>117373.51207800738</v>
      </c>
      <c r="GB25" s="442">
        <f t="shared" si="16"/>
        <v>117862.56837833241</v>
      </c>
      <c r="GC25" s="442">
        <f t="shared" si="16"/>
        <v>118353.66241324213</v>
      </c>
      <c r="GD25" s="442">
        <f t="shared" si="16"/>
        <v>118846.80267329729</v>
      </c>
      <c r="GE25" s="442">
        <f t="shared" si="16"/>
        <v>119341.99768443604</v>
      </c>
      <c r="GF25" s="442">
        <f t="shared" si="16"/>
        <v>119839.25600812119</v>
      </c>
      <c r="GG25" s="442">
        <f t="shared" si="16"/>
        <v>120338.58624148836</v>
      </c>
      <c r="GH25" s="442">
        <f t="shared" si="16"/>
        <v>120839.99701749456</v>
      </c>
      <c r="GI25" s="442">
        <f t="shared" si="16"/>
        <v>121343.49700506743</v>
      </c>
      <c r="GJ25" s="442">
        <f t="shared" si="16"/>
        <v>121849.09490925522</v>
      </c>
      <c r="GK25" s="442">
        <f t="shared" si="16"/>
        <v>122356.79947137712</v>
      </c>
      <c r="GL25" s="442">
        <f t="shared" si="16"/>
        <v>122866.61946917452</v>
      </c>
      <c r="GM25" s="442">
        <f t="shared" si="16"/>
        <v>123378.56371696274</v>
      </c>
      <c r="GN25" s="442">
        <f t="shared" si="16"/>
        <v>123892.64106578343</v>
      </c>
      <c r="GO25" s="442">
        <f t="shared" si="16"/>
        <v>124408.86040355754</v>
      </c>
      <c r="GP25" s="442">
        <f t="shared" si="16"/>
        <v>124927.23065523902</v>
      </c>
      <c r="GQ25" s="442">
        <f t="shared" si="16"/>
        <v>125447.76078296918</v>
      </c>
      <c r="GR25" s="442">
        <f t="shared" si="16"/>
        <v>125970.45978623156</v>
      </c>
      <c r="GS25" s="442">
        <f t="shared" si="16"/>
        <v>126495.33670200752</v>
      </c>
      <c r="GT25" s="442">
        <f t="shared" ref="GT25:JE25" si="17">PPMT($C$14/12,GT21,$C$10*12,-$C$8)</f>
        <v>127022.40060493254</v>
      </c>
      <c r="GU25" s="442">
        <f t="shared" si="17"/>
        <v>127551.66060745309</v>
      </c>
      <c r="GV25" s="442">
        <f t="shared" si="17"/>
        <v>128083.12585998417</v>
      </c>
      <c r="GW25" s="442">
        <f t="shared" si="17"/>
        <v>128616.80555106743</v>
      </c>
      <c r="GX25" s="442">
        <f t="shared" si="17"/>
        <v>129152.70890753022</v>
      </c>
      <c r="GY25" s="442">
        <f t="shared" si="17"/>
        <v>129690.84519464489</v>
      </c>
      <c r="GZ25" s="442">
        <f t="shared" si="17"/>
        <v>130231.22371628929</v>
      </c>
      <c r="HA25" s="442">
        <f t="shared" si="17"/>
        <v>130773.85381510714</v>
      </c>
      <c r="HB25" s="442">
        <f t="shared" si="17"/>
        <v>131318.7448726701</v>
      </c>
      <c r="HC25" s="442">
        <f t="shared" si="17"/>
        <v>131865.90630963954</v>
      </c>
      <c r="HD25" s="442">
        <f t="shared" si="17"/>
        <v>132415.34758592973</v>
      </c>
      <c r="HE25" s="442">
        <f t="shared" si="17"/>
        <v>132967.0782008711</v>
      </c>
      <c r="HF25" s="442">
        <f t="shared" si="17"/>
        <v>133521.10769337471</v>
      </c>
      <c r="HG25" s="442">
        <f t="shared" si="17"/>
        <v>134077.4456420971</v>
      </c>
      <c r="HH25" s="442">
        <f t="shared" si="17"/>
        <v>134636.10166560585</v>
      </c>
      <c r="HI25" s="442">
        <f t="shared" si="17"/>
        <v>135197.08542254585</v>
      </c>
      <c r="HJ25" s="442">
        <f t="shared" si="17"/>
        <v>135760.40661180645</v>
      </c>
      <c r="HK25" s="442">
        <f t="shared" si="17"/>
        <v>136326.07497268901</v>
      </c>
      <c r="HL25" s="442">
        <f t="shared" si="17"/>
        <v>136894.1002850752</v>
      </c>
      <c r="HM25" s="442">
        <f t="shared" si="17"/>
        <v>137464.49236959638</v>
      </c>
      <c r="HN25" s="442">
        <f t="shared" si="17"/>
        <v>138037.26108780302</v>
      </c>
      <c r="HO25" s="442">
        <f t="shared" si="17"/>
        <v>138612.41634233552</v>
      </c>
      <c r="HP25" s="442">
        <f t="shared" si="17"/>
        <v>139189.96807709525</v>
      </c>
      <c r="HQ25" s="442">
        <f t="shared" si="17"/>
        <v>139769.9262774165</v>
      </c>
      <c r="HR25" s="442">
        <f t="shared" si="17"/>
        <v>140352.30097023904</v>
      </c>
      <c r="HS25" s="442">
        <f t="shared" si="17"/>
        <v>140937.1022242817</v>
      </c>
      <c r="HT25" s="442">
        <f t="shared" si="17"/>
        <v>141524.34015021622</v>
      </c>
      <c r="HU25" s="442">
        <f t="shared" si="17"/>
        <v>142114.02490084211</v>
      </c>
      <c r="HV25" s="442">
        <f t="shared" si="17"/>
        <v>142706.1666712623</v>
      </c>
      <c r="HW25" s="442">
        <f t="shared" si="17"/>
        <v>143300.77569905919</v>
      </c>
      <c r="HX25" s="442">
        <f t="shared" si="17"/>
        <v>143897.86226447197</v>
      </c>
      <c r="HY25" s="442">
        <f t="shared" si="17"/>
        <v>144497.43669057393</v>
      </c>
      <c r="HZ25" s="442">
        <f t="shared" si="17"/>
        <v>145099.50934345133</v>
      </c>
      <c r="IA25" s="442">
        <f t="shared" si="17"/>
        <v>145704.09063238237</v>
      </c>
      <c r="IB25" s="442">
        <f t="shared" si="17"/>
        <v>146311.19101001733</v>
      </c>
      <c r="IC25" s="442">
        <f t="shared" si="17"/>
        <v>146920.82097255904</v>
      </c>
      <c r="ID25" s="442">
        <f t="shared" si="17"/>
        <v>147532.9910599447</v>
      </c>
      <c r="IE25" s="442">
        <f t="shared" si="17"/>
        <v>148147.7118560278</v>
      </c>
      <c r="IF25" s="442">
        <f t="shared" si="17"/>
        <v>148764.99398876127</v>
      </c>
      <c r="IG25" s="442">
        <f t="shared" si="17"/>
        <v>149384.84813038108</v>
      </c>
      <c r="IH25" s="442">
        <f t="shared" si="17"/>
        <v>150007.28499759099</v>
      </c>
      <c r="II25" s="442">
        <f t="shared" si="17"/>
        <v>150632.31535174762</v>
      </c>
      <c r="IJ25" s="442">
        <f t="shared" si="17"/>
        <v>151259.9499990466</v>
      </c>
      <c r="IK25" s="442">
        <f t="shared" si="17"/>
        <v>151890.19979070927</v>
      </c>
      <c r="IL25" s="442">
        <f t="shared" si="17"/>
        <v>152523.07562317056</v>
      </c>
      <c r="IM25" s="442">
        <f t="shared" si="17"/>
        <v>153158.58843826712</v>
      </c>
      <c r="IN25" s="442">
        <f t="shared" si="17"/>
        <v>153796.74922342654</v>
      </c>
      <c r="IO25" s="442">
        <f t="shared" si="17"/>
        <v>154437.56901185747</v>
      </c>
      <c r="IP25" s="442">
        <f t="shared" si="17"/>
        <v>155081.05888274024</v>
      </c>
      <c r="IQ25" s="442">
        <f t="shared" si="17"/>
        <v>155727.22996141831</v>
      </c>
      <c r="IR25" s="442">
        <f t="shared" si="17"/>
        <v>156376.09341959091</v>
      </c>
      <c r="IS25" s="442">
        <f t="shared" si="17"/>
        <v>157027.66047550587</v>
      </c>
      <c r="IT25" s="442">
        <f t="shared" si="17"/>
        <v>157681.9423941538</v>
      </c>
      <c r="IU25" s="442">
        <f t="shared" si="17"/>
        <v>158338.95048746277</v>
      </c>
      <c r="IV25" s="442">
        <f t="shared" si="17"/>
        <v>158998.69611449388</v>
      </c>
      <c r="IW25" s="442">
        <f t="shared" si="17"/>
        <v>159661.19068163761</v>
      </c>
      <c r="IX25" s="442">
        <f t="shared" si="17"/>
        <v>160326.44564281113</v>
      </c>
      <c r="IY25" s="442">
        <f t="shared" si="17"/>
        <v>160994.47249965614</v>
      </c>
      <c r="IZ25" s="442">
        <f t="shared" si="17"/>
        <v>161665.28280173804</v>
      </c>
      <c r="JA25" s="442">
        <f t="shared" si="17"/>
        <v>162338.88814674527</v>
      </c>
      <c r="JB25" s="442">
        <f t="shared" si="17"/>
        <v>163015.30018069004</v>
      </c>
      <c r="JC25" s="442">
        <f t="shared" si="17"/>
        <v>163694.53059810959</v>
      </c>
      <c r="JD25" s="442">
        <f t="shared" si="17"/>
        <v>164376.59114226839</v>
      </c>
      <c r="JE25" s="442">
        <f t="shared" si="17"/>
        <v>165061.49360536117</v>
      </c>
      <c r="JF25" s="442">
        <f t="shared" ref="JF25:LQ25" si="18">PPMT($C$14/12,JF21,$C$10*12,-$C$8)</f>
        <v>165749.24982871686</v>
      </c>
      <c r="JG25" s="442">
        <f t="shared" si="18"/>
        <v>166439.87170300315</v>
      </c>
      <c r="JH25" s="442">
        <f t="shared" si="18"/>
        <v>167133.37116843235</v>
      </c>
      <c r="JI25" s="442">
        <f t="shared" si="18"/>
        <v>167829.76021496748</v>
      </c>
      <c r="JJ25" s="442">
        <f t="shared" si="18"/>
        <v>168529.05088252985</v>
      </c>
      <c r="JK25" s="442">
        <f t="shared" si="18"/>
        <v>169231.25526120706</v>
      </c>
      <c r="JL25" s="442">
        <f t="shared" si="18"/>
        <v>169936.38549146208</v>
      </c>
      <c r="JM25" s="442">
        <f t="shared" si="18"/>
        <v>170644.45376434317</v>
      </c>
      <c r="JN25" s="442">
        <f t="shared" si="18"/>
        <v>171355.4723216946</v>
      </c>
      <c r="JO25" s="442">
        <f t="shared" si="18"/>
        <v>172069.4534563683</v>
      </c>
      <c r="JP25" s="442">
        <f t="shared" si="18"/>
        <v>172786.40951243651</v>
      </c>
      <c r="JQ25" s="442">
        <f t="shared" si="18"/>
        <v>173506.35288540504</v>
      </c>
      <c r="JR25" s="442">
        <f t="shared" si="18"/>
        <v>174229.2960224275</v>
      </c>
      <c r="JS25" s="442">
        <f t="shared" si="18"/>
        <v>174955.25142252102</v>
      </c>
      <c r="JT25" s="442">
        <f t="shared" si="18"/>
        <v>175684.23163678145</v>
      </c>
      <c r="JU25" s="442">
        <f t="shared" si="18"/>
        <v>176416.24926860139</v>
      </c>
      <c r="JV25" s="442">
        <f t="shared" si="18"/>
        <v>177151.31697388727</v>
      </c>
      <c r="JW25" s="442">
        <f t="shared" si="18"/>
        <v>177889.44746127847</v>
      </c>
      <c r="JX25" s="442">
        <f t="shared" si="18"/>
        <v>178630.65349236707</v>
      </c>
      <c r="JY25" s="442">
        <f t="shared" si="18"/>
        <v>179374.94788191863</v>
      </c>
      <c r="JZ25" s="442">
        <f t="shared" si="18"/>
        <v>180122.34349809328</v>
      </c>
      <c r="KA25" s="442">
        <f t="shared" si="18"/>
        <v>180872.85326266868</v>
      </c>
      <c r="KB25" s="442">
        <f t="shared" si="18"/>
        <v>181626.49015126316</v>
      </c>
      <c r="KC25" s="442">
        <f t="shared" si="18"/>
        <v>182383.26719356005</v>
      </c>
      <c r="KD25" s="442">
        <f t="shared" si="18"/>
        <v>183143.19747353322</v>
      </c>
      <c r="KE25" s="442">
        <f t="shared" si="18"/>
        <v>183906.29412967296</v>
      </c>
      <c r="KF25" s="442">
        <f t="shared" si="18"/>
        <v>184672.57035521325</v>
      </c>
      <c r="KG25" s="442">
        <f t="shared" si="18"/>
        <v>185442.03939835998</v>
      </c>
      <c r="KH25" s="442">
        <f t="shared" si="18"/>
        <v>186214.71456251983</v>
      </c>
      <c r="KI25" s="442">
        <f t="shared" si="18"/>
        <v>186990.60920653032</v>
      </c>
      <c r="KJ25" s="442">
        <f t="shared" si="18"/>
        <v>187769.73674489086</v>
      </c>
      <c r="KK25" s="442">
        <f t="shared" si="18"/>
        <v>188552.11064799459</v>
      </c>
      <c r="KL25" s="442">
        <f t="shared" si="18"/>
        <v>189337.74444236123</v>
      </c>
      <c r="KM25" s="442">
        <f t="shared" si="18"/>
        <v>190126.65171087102</v>
      </c>
      <c r="KN25" s="442">
        <f t="shared" si="18"/>
        <v>190918.84609299965</v>
      </c>
      <c r="KO25" s="442">
        <f t="shared" si="18"/>
        <v>191714.34128505384</v>
      </c>
      <c r="KP25" s="442">
        <f t="shared" si="18"/>
        <v>192513.15104040824</v>
      </c>
      <c r="KQ25" s="442">
        <f t="shared" si="18"/>
        <v>193315.28916974325</v>
      </c>
      <c r="KR25" s="442">
        <f t="shared" si="18"/>
        <v>194120.76954128384</v>
      </c>
      <c r="KS25" s="442">
        <f t="shared" si="18"/>
        <v>194929.60608103921</v>
      </c>
      <c r="KT25" s="442">
        <f t="shared" si="18"/>
        <v>195741.81277304352</v>
      </c>
      <c r="KU25" s="442">
        <f t="shared" si="18"/>
        <v>196557.40365959788</v>
      </c>
      <c r="KV25" s="442">
        <f t="shared" si="18"/>
        <v>197376.39284151286</v>
      </c>
      <c r="KW25" s="442">
        <f t="shared" si="18"/>
        <v>198198.79447835253</v>
      </c>
      <c r="KX25" s="442">
        <f t="shared" si="18"/>
        <v>199024.62278867897</v>
      </c>
      <c r="KY25" s="442">
        <f t="shared" si="18"/>
        <v>199853.89205029848</v>
      </c>
      <c r="KZ25" s="442">
        <f t="shared" si="18"/>
        <v>200686.61660050804</v>
      </c>
      <c r="LA25" s="442">
        <f t="shared" si="18"/>
        <v>201522.8108363435</v>
      </c>
      <c r="LB25" s="442">
        <f t="shared" si="18"/>
        <v>202362.48921482827</v>
      </c>
      <c r="LC25" s="442">
        <f t="shared" si="18"/>
        <v>203205.66625322337</v>
      </c>
      <c r="LD25" s="442">
        <f t="shared" si="18"/>
        <v>204052.35652927851</v>
      </c>
      <c r="LE25" s="442">
        <f t="shared" si="18"/>
        <v>204902.57468148382</v>
      </c>
      <c r="LF25" s="442">
        <f t="shared" si="18"/>
        <v>205756.33540932334</v>
      </c>
      <c r="LG25" s="442">
        <f t="shared" si="18"/>
        <v>206613.65347352886</v>
      </c>
      <c r="LH25" s="442">
        <f t="shared" si="18"/>
        <v>207474.5436963352</v>
      </c>
      <c r="LI25" s="442">
        <f t="shared" si="18"/>
        <v>208339.02096173662</v>
      </c>
      <c r="LJ25" s="442">
        <f t="shared" si="18"/>
        <v>209207.10021574385</v>
      </c>
      <c r="LK25" s="442">
        <f t="shared" si="18"/>
        <v>210078.79646664276</v>
      </c>
      <c r="LL25" s="442">
        <f t="shared" si="18"/>
        <v>210954.12478525378</v>
      </c>
      <c r="LM25" s="442">
        <f t="shared" si="18"/>
        <v>211833.10030519235</v>
      </c>
      <c r="LN25" s="442">
        <f t="shared" si="18"/>
        <v>212715.73822313067</v>
      </c>
      <c r="LO25" s="442">
        <f t="shared" si="18"/>
        <v>213602.05379906035</v>
      </c>
      <c r="LP25" s="442">
        <f t="shared" si="18"/>
        <v>214492.06235655642</v>
      </c>
      <c r="LQ25" s="442">
        <f t="shared" si="18"/>
        <v>215385.77928304209</v>
      </c>
      <c r="LR25" s="442">
        <f t="shared" ref="LR25:NC25" si="19">PPMT($C$14/12,LR21,$C$10*12,-$C$8)</f>
        <v>216283.2200300548</v>
      </c>
      <c r="LS25" s="442">
        <f t="shared" si="19"/>
        <v>217184.40011351331</v>
      </c>
      <c r="LT25" s="442">
        <f t="shared" si="19"/>
        <v>218089.33511398631</v>
      </c>
      <c r="LU25" s="442">
        <f t="shared" si="19"/>
        <v>218998.04067696125</v>
      </c>
      <c r="LV25" s="442">
        <f t="shared" si="19"/>
        <v>219910.53251311523</v>
      </c>
      <c r="LW25" s="442">
        <f t="shared" si="19"/>
        <v>220826.82639858656</v>
      </c>
      <c r="LX25" s="442">
        <f t="shared" si="19"/>
        <v>221746.93817524737</v>
      </c>
      <c r="LY25" s="442">
        <f t="shared" si="19"/>
        <v>222670.88375097752</v>
      </c>
      <c r="LZ25" s="442">
        <f t="shared" si="19"/>
        <v>223598.67909993991</v>
      </c>
      <c r="MA25" s="442">
        <f t="shared" si="19"/>
        <v>224530.34026285636</v>
      </c>
      <c r="MB25" s="442">
        <f t="shared" si="19"/>
        <v>225465.88334728492</v>
      </c>
      <c r="MC25" s="442">
        <f t="shared" si="19"/>
        <v>226405.3245278986</v>
      </c>
      <c r="MD25" s="442">
        <f t="shared" si="19"/>
        <v>227348.68004676484</v>
      </c>
      <c r="ME25" s="442">
        <f t="shared" si="19"/>
        <v>228295.96621362638</v>
      </c>
      <c r="MF25" s="442">
        <f t="shared" si="19"/>
        <v>229247.19940618318</v>
      </c>
      <c r="MG25" s="442">
        <f t="shared" si="19"/>
        <v>230202.39607037557</v>
      </c>
      <c r="MH25" s="442">
        <f t="shared" si="19"/>
        <v>231161.57272066883</v>
      </c>
      <c r="MI25" s="442">
        <f t="shared" si="19"/>
        <v>232124.74594033827</v>
      </c>
      <c r="MJ25" s="442">
        <f t="shared" si="19"/>
        <v>233091.93238175634</v>
      </c>
      <c r="MK25" s="442">
        <f t="shared" si="19"/>
        <v>234063.14876668033</v>
      </c>
      <c r="ML25" s="442">
        <f t="shared" si="19"/>
        <v>235038.41188654152</v>
      </c>
      <c r="MM25" s="442">
        <f t="shared" si="19"/>
        <v>236017.73860273545</v>
      </c>
      <c r="MN25" s="442">
        <f t="shared" si="19"/>
        <v>237001.14584691348</v>
      </c>
      <c r="MO25" s="442">
        <f t="shared" si="19"/>
        <v>237988.65062127562</v>
      </c>
      <c r="MP25" s="442">
        <f t="shared" si="19"/>
        <v>238980.26999886427</v>
      </c>
      <c r="MQ25" s="442">
        <f t="shared" si="19"/>
        <v>239976.02112385957</v>
      </c>
      <c r="MR25" s="442">
        <f t="shared" si="19"/>
        <v>240975.92121187563</v>
      </c>
      <c r="MS25" s="442">
        <f t="shared" si="19"/>
        <v>241979.98755025843</v>
      </c>
      <c r="MT25" s="442">
        <f t="shared" si="19"/>
        <v>242988.23749838449</v>
      </c>
      <c r="MU25" s="442">
        <f t="shared" si="19"/>
        <v>244000.6884879611</v>
      </c>
      <c r="MV25" s="442">
        <f t="shared" si="19"/>
        <v>245017.35802332763</v>
      </c>
      <c r="MW25" s="442">
        <f t="shared" si="19"/>
        <v>246038.26368175817</v>
      </c>
      <c r="MX25" s="442">
        <f t="shared" si="19"/>
        <v>247063.42311376552</v>
      </c>
      <c r="MY25" s="442">
        <f t="shared" si="19"/>
        <v>248092.85404340617</v>
      </c>
      <c r="MZ25" s="442">
        <f t="shared" si="19"/>
        <v>249126.57426858702</v>
      </c>
      <c r="NA25" s="442">
        <f t="shared" si="19"/>
        <v>250164.60166137281</v>
      </c>
      <c r="NB25" s="442">
        <f t="shared" si="19"/>
        <v>251206.9541682952</v>
      </c>
      <c r="NC25" s="442">
        <f t="shared" si="19"/>
        <v>252253.64981066308</v>
      </c>
      <c r="ND25" s="442"/>
      <c r="NE25" s="442"/>
      <c r="NF25" s="442"/>
      <c r="NG25" s="442"/>
      <c r="NH25" s="442"/>
      <c r="NI25" s="442"/>
      <c r="NJ25" s="442"/>
      <c r="NK25" s="442"/>
      <c r="NL25" s="442"/>
      <c r="NM25" s="442"/>
      <c r="NN25" s="442"/>
      <c r="NO25" s="442"/>
      <c r="NP25" s="442"/>
      <c r="NQ25" s="442"/>
      <c r="NR25" s="442"/>
      <c r="NS25" s="442"/>
      <c r="NT25" s="442"/>
      <c r="NU25" s="442"/>
      <c r="NV25" s="442"/>
      <c r="NW25" s="442"/>
      <c r="NX25" s="442"/>
      <c r="NY25" s="442"/>
      <c r="NZ25" s="442"/>
      <c r="OA25" s="442"/>
      <c r="OB25" s="442"/>
      <c r="OC25" s="442"/>
      <c r="OD25" s="442"/>
      <c r="OE25" s="442"/>
      <c r="OF25" s="442"/>
      <c r="OG25" s="442"/>
    </row>
    <row r="26" spans="1:16383">
      <c r="B26" s="7" t="s">
        <v>113</v>
      </c>
      <c r="H26" s="442">
        <f>$C$8*($C$14/12)</f>
        <v>196608.37652766754</v>
      </c>
      <c r="I26" s="442">
        <f>H32*($C$14/12)</f>
        <v>196372.14181867917</v>
      </c>
      <c r="J26" s="442">
        <f t="shared" ref="J26:BU26" si="20">I32*($C$14/12)</f>
        <v>196134.92279840339</v>
      </c>
      <c r="K26" s="442">
        <f t="shared" si="20"/>
        <v>195896.71536554309</v>
      </c>
      <c r="L26" s="442">
        <f t="shared" si="20"/>
        <v>195657.51540171256</v>
      </c>
      <c r="M26" s="442">
        <f t="shared" si="20"/>
        <v>195417.31877136606</v>
      </c>
      <c r="N26" s="442">
        <f t="shared" si="20"/>
        <v>195176.12132172644</v>
      </c>
      <c r="O26" s="442">
        <f t="shared" si="20"/>
        <v>194933.9188827133</v>
      </c>
      <c r="P26" s="442">
        <f t="shared" si="20"/>
        <v>194690.70726687097</v>
      </c>
      <c r="Q26" s="442">
        <f t="shared" si="20"/>
        <v>194446.48226929596</v>
      </c>
      <c r="R26" s="442">
        <f t="shared" si="20"/>
        <v>194201.23966756437</v>
      </c>
      <c r="S26" s="442">
        <f t="shared" si="20"/>
        <v>193954.97522165894</v>
      </c>
      <c r="T26" s="442">
        <f t="shared" si="20"/>
        <v>193707.68467389554</v>
      </c>
      <c r="U26" s="442">
        <f t="shared" si="20"/>
        <v>193459.36374884978</v>
      </c>
      <c r="V26" s="442">
        <f t="shared" si="20"/>
        <v>193210.00815328301</v>
      </c>
      <c r="W26" s="442">
        <f t="shared" si="20"/>
        <v>192959.61357606805</v>
      </c>
      <c r="X26" s="442">
        <f t="shared" si="20"/>
        <v>192708.17568811469</v>
      </c>
      <c r="Y26" s="442">
        <f t="shared" si="20"/>
        <v>192455.69014229486</v>
      </c>
      <c r="Z26" s="442">
        <f t="shared" si="20"/>
        <v>192202.15257336746</v>
      </c>
      <c r="AA26" s="442">
        <f t="shared" si="20"/>
        <v>191947.55859790285</v>
      </c>
      <c r="AB26" s="442">
        <f t="shared" si="20"/>
        <v>191691.90381420715</v>
      </c>
      <c r="AC26" s="442">
        <f t="shared" si="20"/>
        <v>191435.18380224603</v>
      </c>
      <c r="AD26" s="442">
        <f t="shared" si="20"/>
        <v>191177.3941235684</v>
      </c>
      <c r="AE26" s="442">
        <f t="shared" si="20"/>
        <v>190918.53032122966</v>
      </c>
      <c r="AF26" s="442">
        <f t="shared" si="20"/>
        <v>190658.58791971445</v>
      </c>
      <c r="AG26" s="442">
        <f t="shared" si="20"/>
        <v>190397.56242485961</v>
      </c>
      <c r="AH26" s="442">
        <f t="shared" si="20"/>
        <v>190135.44932377624</v>
      </c>
      <c r="AI26" s="442">
        <f t="shared" si="20"/>
        <v>189872.24408477166</v>
      </c>
      <c r="AJ26" s="442">
        <f t="shared" si="20"/>
        <v>189607.94215727123</v>
      </c>
      <c r="AK26" s="442">
        <f t="shared" si="20"/>
        <v>189342.53897173953</v>
      </c>
      <c r="AL26" s="442">
        <f t="shared" si="20"/>
        <v>189076.02993960149</v>
      </c>
      <c r="AM26" s="442">
        <f t="shared" si="20"/>
        <v>188808.41045316283</v>
      </c>
      <c r="AN26" s="442">
        <f t="shared" si="20"/>
        <v>188539.67588553071</v>
      </c>
      <c r="AO26" s="442">
        <f t="shared" si="20"/>
        <v>188269.82159053345</v>
      </c>
      <c r="AP26" s="442">
        <f t="shared" si="20"/>
        <v>187998.84290264038</v>
      </c>
      <c r="AQ26" s="442">
        <f t="shared" si="20"/>
        <v>187726.73513688106</v>
      </c>
      <c r="AR26" s="442">
        <f t="shared" si="20"/>
        <v>187453.49358876442</v>
      </c>
      <c r="AS26" s="442">
        <f t="shared" si="20"/>
        <v>187179.1135341973</v>
      </c>
      <c r="AT26" s="442">
        <f t="shared" si="20"/>
        <v>186903.59022940282</v>
      </c>
      <c r="AU26" s="442">
        <f t="shared" si="20"/>
        <v>186626.91891083834</v>
      </c>
      <c r="AV26" s="442">
        <f t="shared" si="20"/>
        <v>186349.0947951132</v>
      </c>
      <c r="AW26" s="442">
        <f t="shared" si="20"/>
        <v>186070.11307890585</v>
      </c>
      <c r="AX26" s="442">
        <f t="shared" si="20"/>
        <v>185789.96893888101</v>
      </c>
      <c r="AY26" s="442">
        <f t="shared" si="20"/>
        <v>185508.65753160603</v>
      </c>
      <c r="AZ26" s="442">
        <f t="shared" si="20"/>
        <v>185226.17399346741</v>
      </c>
      <c r="BA26" s="442">
        <f t="shared" si="20"/>
        <v>184942.51344058657</v>
      </c>
      <c r="BB26" s="442">
        <f t="shared" si="20"/>
        <v>184657.67096873536</v>
      </c>
      <c r="BC26" s="442">
        <f t="shared" si="20"/>
        <v>184371.64165325146</v>
      </c>
      <c r="BD26" s="442">
        <f t="shared" si="20"/>
        <v>184084.42054895303</v>
      </c>
      <c r="BE26" s="442">
        <f t="shared" si="20"/>
        <v>183796.00269005337</v>
      </c>
      <c r="BF26" s="442">
        <f t="shared" si="20"/>
        <v>183506.38309007496</v>
      </c>
      <c r="BG26" s="442">
        <f t="shared" si="20"/>
        <v>183215.55674176328</v>
      </c>
      <c r="BH26" s="442">
        <f t="shared" si="20"/>
        <v>182923.51861700031</v>
      </c>
      <c r="BI26" s="442">
        <f t="shared" si="20"/>
        <v>182630.26366671748</v>
      </c>
      <c r="BJ26" s="442">
        <f t="shared" si="20"/>
        <v>182335.78682080851</v>
      </c>
      <c r="BK26" s="442">
        <f t="shared" si="20"/>
        <v>182040.08298804157</v>
      </c>
      <c r="BL26" s="442">
        <f t="shared" si="20"/>
        <v>181743.14705597144</v>
      </c>
      <c r="BM26" s="442">
        <f t="shared" si="20"/>
        <v>181444.97389085099</v>
      </c>
      <c r="BN26" s="442">
        <f t="shared" si="20"/>
        <v>181145.55833754258</v>
      </c>
      <c r="BO26" s="442">
        <f t="shared" si="20"/>
        <v>180844.89521942867</v>
      </c>
      <c r="BP26" s="442">
        <f t="shared" si="20"/>
        <v>180542.97933832268</v>
      </c>
      <c r="BQ26" s="442">
        <f t="shared" si="20"/>
        <v>180239.80547437869</v>
      </c>
      <c r="BR26" s="442">
        <f t="shared" si="20"/>
        <v>179935.36838600165</v>
      </c>
      <c r="BS26" s="442">
        <f t="shared" si="20"/>
        <v>179629.66280975632</v>
      </c>
      <c r="BT26" s="442">
        <f t="shared" si="20"/>
        <v>179322.68346027666</v>
      </c>
      <c r="BU26" s="442">
        <f t="shared" si="20"/>
        <v>179014.42503017417</v>
      </c>
      <c r="BV26" s="442">
        <f t="shared" ref="BV26:EG26" si="21">BU32*($C$14/12)</f>
        <v>178704.88218994625</v>
      </c>
      <c r="BW26" s="442">
        <f t="shared" si="21"/>
        <v>178394.04958788404</v>
      </c>
      <c r="BX26" s="442">
        <f t="shared" si="21"/>
        <v>178081.92184997993</v>
      </c>
      <c r="BY26" s="442">
        <f t="shared" si="21"/>
        <v>177768.49357983455</v>
      </c>
      <c r="BZ26" s="442">
        <f t="shared" si="21"/>
        <v>177453.75935856355</v>
      </c>
      <c r="CA26" s="442">
        <f t="shared" si="21"/>
        <v>177137.71374470391</v>
      </c>
      <c r="CB26" s="442">
        <f t="shared" si="21"/>
        <v>176820.35127411986</v>
      </c>
      <c r="CC26" s="442">
        <f t="shared" si="21"/>
        <v>176501.66645990839</v>
      </c>
      <c r="CD26" s="442">
        <f t="shared" si="21"/>
        <v>176181.65379230437</v>
      </c>
      <c r="CE26" s="442">
        <f t="shared" si="21"/>
        <v>175860.30773858531</v>
      </c>
      <c r="CF26" s="442">
        <f t="shared" si="21"/>
        <v>175537.62274297577</v>
      </c>
      <c r="CG26" s="442">
        <f t="shared" si="21"/>
        <v>175213.59322655119</v>
      </c>
      <c r="CH26" s="442">
        <f t="shared" si="21"/>
        <v>174888.21358714154</v>
      </c>
      <c r="CI26" s="442">
        <f t="shared" si="21"/>
        <v>174561.47819923432</v>
      </c>
      <c r="CJ26" s="442">
        <f t="shared" si="21"/>
        <v>174233.38141387751</v>
      </c>
      <c r="CK26" s="442">
        <f t="shared" si="21"/>
        <v>173903.91755858168</v>
      </c>
      <c r="CL26" s="442">
        <f t="shared" si="21"/>
        <v>173573.08093722214</v>
      </c>
      <c r="CM26" s="442">
        <f t="shared" si="21"/>
        <v>173240.86582994027</v>
      </c>
      <c r="CN26" s="442">
        <f t="shared" si="21"/>
        <v>172907.26649304471</v>
      </c>
      <c r="CO26" s="442">
        <f t="shared" si="21"/>
        <v>172572.2771589121</v>
      </c>
      <c r="CP26" s="442">
        <f t="shared" si="21"/>
        <v>172235.89203588723</v>
      </c>
      <c r="CQ26" s="442">
        <f t="shared" si="21"/>
        <v>171898.10530818312</v>
      </c>
      <c r="CR26" s="442">
        <f t="shared" si="21"/>
        <v>171558.91113578025</v>
      </c>
      <c r="CS26" s="442">
        <f t="shared" si="21"/>
        <v>171218.30365432569</v>
      </c>
      <c r="CT26" s="442">
        <f t="shared" si="21"/>
        <v>170876.27697503171</v>
      </c>
      <c r="CU26" s="442">
        <f t="shared" si="21"/>
        <v>170532.82518457403</v>
      </c>
      <c r="CV26" s="442">
        <f t="shared" si="21"/>
        <v>170187.94234498945</v>
      </c>
      <c r="CW26" s="442">
        <f t="shared" si="21"/>
        <v>169841.62249357323</v>
      </c>
      <c r="CX26" s="442">
        <f t="shared" si="21"/>
        <v>169493.85964277617</v>
      </c>
      <c r="CY26" s="442">
        <f t="shared" si="21"/>
        <v>169144.64778010076</v>
      </c>
      <c r="CZ26" s="442">
        <f t="shared" si="21"/>
        <v>168793.98086799751</v>
      </c>
      <c r="DA26" s="442">
        <f t="shared" si="21"/>
        <v>168441.85284376054</v>
      </c>
      <c r="DB26" s="442">
        <f t="shared" si="21"/>
        <v>168088.25761942257</v>
      </c>
      <c r="DC26" s="442">
        <f t="shared" si="21"/>
        <v>167733.18908164985</v>
      </c>
      <c r="DD26" s="442">
        <f t="shared" si="21"/>
        <v>167376.64109163641</v>
      </c>
      <c r="DE26" s="442">
        <f t="shared" si="21"/>
        <v>167018.60748499792</v>
      </c>
      <c r="DF26" s="442">
        <f t="shared" si="21"/>
        <v>166659.08207166512</v>
      </c>
      <c r="DG26" s="442">
        <f t="shared" si="21"/>
        <v>166298.05863577675</v>
      </c>
      <c r="DH26" s="442">
        <f t="shared" si="21"/>
        <v>165935.53093557217</v>
      </c>
      <c r="DI26" s="442">
        <f t="shared" si="21"/>
        <v>165571.49270328341</v>
      </c>
      <c r="DJ26" s="442">
        <f t="shared" si="21"/>
        <v>165205.9376450268</v>
      </c>
      <c r="DK26" s="442">
        <f t="shared" si="21"/>
        <v>164838.8594406941</v>
      </c>
      <c r="DL26" s="442">
        <f t="shared" si="21"/>
        <v>164470.25174384334</v>
      </c>
      <c r="DM26" s="442">
        <f t="shared" si="21"/>
        <v>164100.10818158902</v>
      </c>
      <c r="DN26" s="442">
        <f t="shared" si="21"/>
        <v>163728.42235449201</v>
      </c>
      <c r="DO26" s="442">
        <f t="shared" si="21"/>
        <v>163355.18783644875</v>
      </c>
      <c r="DP26" s="442">
        <f t="shared" si="21"/>
        <v>162980.3981745803</v>
      </c>
      <c r="DQ26" s="442">
        <f t="shared" si="21"/>
        <v>162604.04688912074</v>
      </c>
      <c r="DR26" s="442">
        <f t="shared" si="21"/>
        <v>162226.1274733051</v>
      </c>
      <c r="DS26" s="442">
        <f t="shared" si="21"/>
        <v>161846.6333932569</v>
      </c>
      <c r="DT26" s="442">
        <f t="shared" si="21"/>
        <v>161465.55808787516</v>
      </c>
      <c r="DU26" s="442">
        <f t="shared" si="21"/>
        <v>161082.894968721</v>
      </c>
      <c r="DV26" s="442">
        <f t="shared" si="21"/>
        <v>160698.63741990368</v>
      </c>
      <c r="DW26" s="442">
        <f t="shared" si="21"/>
        <v>160312.77879796631</v>
      </c>
      <c r="DX26" s="442">
        <f t="shared" si="21"/>
        <v>159925.31243177084</v>
      </c>
      <c r="DY26" s="442">
        <f t="shared" si="21"/>
        <v>159536.23162238291</v>
      </c>
      <c r="DZ26" s="442">
        <f t="shared" si="21"/>
        <v>159145.52964295587</v>
      </c>
      <c r="EA26" s="442">
        <f t="shared" si="21"/>
        <v>158753.19973861455</v>
      </c>
      <c r="EB26" s="442">
        <f t="shared" si="21"/>
        <v>158359.23512633846</v>
      </c>
      <c r="EC26" s="442">
        <f t="shared" si="21"/>
        <v>157963.62899484456</v>
      </c>
      <c r="ED26" s="442">
        <f t="shared" si="21"/>
        <v>157566.37450446945</v>
      </c>
      <c r="EE26" s="442">
        <f t="shared" si="21"/>
        <v>157167.46478705111</v>
      </c>
      <c r="EF26" s="442">
        <f t="shared" si="21"/>
        <v>156766.89294581019</v>
      </c>
      <c r="EG26" s="442">
        <f t="shared" si="21"/>
        <v>156364.65205523078</v>
      </c>
      <c r="EH26" s="442">
        <f t="shared" ref="EH26:GS26" si="22">EG32*($C$14/12)</f>
        <v>155960.73516094056</v>
      </c>
      <c r="EI26" s="442">
        <f t="shared" si="22"/>
        <v>155555.13527959085</v>
      </c>
      <c r="EJ26" s="442">
        <f t="shared" si="22"/>
        <v>155147.84539873549</v>
      </c>
      <c r="EK26" s="442">
        <f t="shared" si="22"/>
        <v>154738.85847670992</v>
      </c>
      <c r="EL26" s="442">
        <f t="shared" si="22"/>
        <v>154328.16744250921</v>
      </c>
      <c r="EM26" s="442">
        <f t="shared" si="22"/>
        <v>153915.76519566603</v>
      </c>
      <c r="EN26" s="442">
        <f t="shared" si="22"/>
        <v>153501.64460612769</v>
      </c>
      <c r="EO26" s="442">
        <f t="shared" si="22"/>
        <v>153085.79851413291</v>
      </c>
      <c r="EP26" s="442">
        <f t="shared" si="22"/>
        <v>152668.21973008814</v>
      </c>
      <c r="EQ26" s="442">
        <f t="shared" si="22"/>
        <v>152248.9010344432</v>
      </c>
      <c r="ER26" s="442">
        <f t="shared" si="22"/>
        <v>151827.83517756642</v>
      </c>
      <c r="ES26" s="442">
        <f t="shared" si="22"/>
        <v>151405.0148796193</v>
      </c>
      <c r="ET26" s="442">
        <f t="shared" si="22"/>
        <v>150980.43283043071</v>
      </c>
      <c r="EU26" s="442">
        <f t="shared" si="22"/>
        <v>150554.08168937053</v>
      </c>
      <c r="EV26" s="442">
        <f t="shared" si="22"/>
        <v>150125.95408522259</v>
      </c>
      <c r="EW26" s="442">
        <f t="shared" si="22"/>
        <v>149696.04261605738</v>
      </c>
      <c r="EX26" s="442">
        <f t="shared" si="22"/>
        <v>149264.339849104</v>
      </c>
      <c r="EY26" s="442">
        <f t="shared" si="22"/>
        <v>148830.83832062161</v>
      </c>
      <c r="EZ26" s="442">
        <f t="shared" si="22"/>
        <v>148395.53053577055</v>
      </c>
      <c r="FA26" s="442">
        <f t="shared" si="22"/>
        <v>147958.40896848263</v>
      </c>
      <c r="FB26" s="442">
        <f t="shared" si="22"/>
        <v>147519.46606133098</v>
      </c>
      <c r="FC26" s="442">
        <f t="shared" si="22"/>
        <v>147078.69422539958</v>
      </c>
      <c r="FD26" s="442">
        <f t="shared" si="22"/>
        <v>146636.08584015176</v>
      </c>
      <c r="FE26" s="442">
        <f t="shared" si="22"/>
        <v>146191.63325329876</v>
      </c>
      <c r="FF26" s="442">
        <f t="shared" si="22"/>
        <v>145745.32878066722</v>
      </c>
      <c r="FG26" s="442">
        <f t="shared" si="22"/>
        <v>145297.16470606634</v>
      </c>
      <c r="FH26" s="442">
        <f t="shared" si="22"/>
        <v>144847.13328115465</v>
      </c>
      <c r="FI26" s="442">
        <f t="shared" si="22"/>
        <v>144395.22672530584</v>
      </c>
      <c r="FJ26" s="442">
        <f t="shared" si="22"/>
        <v>143941.43722547428</v>
      </c>
      <c r="FK26" s="442">
        <f t="shared" si="22"/>
        <v>143485.75693606015</v>
      </c>
      <c r="FL26" s="442">
        <f t="shared" si="22"/>
        <v>143028.17797877343</v>
      </c>
      <c r="FM26" s="442">
        <f t="shared" si="22"/>
        <v>142568.692442498</v>
      </c>
      <c r="FN26" s="442">
        <f t="shared" si="22"/>
        <v>142107.29238315477</v>
      </c>
      <c r="FO26" s="442">
        <f t="shared" si="22"/>
        <v>141643.96982356429</v>
      </c>
      <c r="FP26" s="442">
        <f t="shared" si="22"/>
        <v>141178.71675330881</v>
      </c>
      <c r="FQ26" s="442">
        <f t="shared" si="22"/>
        <v>140711.52512859396</v>
      </c>
      <c r="FR26" s="442">
        <f t="shared" si="22"/>
        <v>140242.38687210946</v>
      </c>
      <c r="FS26" s="442">
        <f t="shared" si="22"/>
        <v>139771.2938728896</v>
      </c>
      <c r="FT26" s="442">
        <f t="shared" si="22"/>
        <v>139298.23798617302</v>
      </c>
      <c r="FU26" s="442">
        <f t="shared" si="22"/>
        <v>138823.21103326176</v>
      </c>
      <c r="FV26" s="442">
        <f t="shared" si="22"/>
        <v>138346.20480138002</v>
      </c>
      <c r="FW26" s="442">
        <f t="shared" si="22"/>
        <v>137867.21104353212</v>
      </c>
      <c r="FX26" s="442">
        <f t="shared" si="22"/>
        <v>137386.22147835986</v>
      </c>
      <c r="FY26" s="442">
        <f t="shared" si="22"/>
        <v>136903.22778999939</v>
      </c>
      <c r="FZ26" s="442">
        <f t="shared" si="22"/>
        <v>136418.2216279374</v>
      </c>
      <c r="GA26" s="442">
        <f t="shared" si="22"/>
        <v>135931.19460686683</v>
      </c>
      <c r="GB26" s="442">
        <f t="shared" si="22"/>
        <v>135442.1383065418</v>
      </c>
      <c r="GC26" s="442">
        <f t="shared" si="22"/>
        <v>134951.0442716321</v>
      </c>
      <c r="GD26" s="442">
        <f t="shared" si="22"/>
        <v>134457.9040115769</v>
      </c>
      <c r="GE26" s="442">
        <f t="shared" si="22"/>
        <v>133962.70900043816</v>
      </c>
      <c r="GF26" s="442">
        <f t="shared" si="22"/>
        <v>133465.45067675301</v>
      </c>
      <c r="GG26" s="442">
        <f t="shared" si="22"/>
        <v>132966.12044338585</v>
      </c>
      <c r="GH26" s="442">
        <f t="shared" si="22"/>
        <v>132464.70966737965</v>
      </c>
      <c r="GI26" s="442">
        <f t="shared" si="22"/>
        <v>131961.20967980675</v>
      </c>
      <c r="GJ26" s="442">
        <f t="shared" si="22"/>
        <v>131455.61177561895</v>
      </c>
      <c r="GK26" s="442">
        <f t="shared" si="22"/>
        <v>130947.90721349706</v>
      </c>
      <c r="GL26" s="442">
        <f t="shared" si="22"/>
        <v>130438.08721569966</v>
      </c>
      <c r="GM26" s="442">
        <f t="shared" si="22"/>
        <v>129926.14296791144</v>
      </c>
      <c r="GN26" s="442">
        <f t="shared" si="22"/>
        <v>129412.06561909076</v>
      </c>
      <c r="GO26" s="442">
        <f t="shared" si="22"/>
        <v>128895.84628131666</v>
      </c>
      <c r="GP26" s="442">
        <f t="shared" si="22"/>
        <v>128377.47602963517</v>
      </c>
      <c r="GQ26" s="442">
        <f t="shared" si="22"/>
        <v>127856.94590190501</v>
      </c>
      <c r="GR26" s="442">
        <f t="shared" si="22"/>
        <v>127334.24689864264</v>
      </c>
      <c r="GS26" s="442">
        <f t="shared" si="22"/>
        <v>126809.36998286667</v>
      </c>
      <c r="GT26" s="442">
        <f t="shared" ref="GT26:JE26" si="23">GS32*($C$14/12)</f>
        <v>126282.30607994164</v>
      </c>
      <c r="GU26" s="442">
        <f t="shared" si="23"/>
        <v>125753.0460774211</v>
      </c>
      <c r="GV26" s="442">
        <f t="shared" si="23"/>
        <v>125221.58082489003</v>
      </c>
      <c r="GW26" s="442">
        <f t="shared" si="23"/>
        <v>124687.90113380676</v>
      </c>
      <c r="GX26" s="442">
        <f t="shared" si="23"/>
        <v>124151.99777734399</v>
      </c>
      <c r="GY26" s="442">
        <f t="shared" si="23"/>
        <v>123613.86149022928</v>
      </c>
      <c r="GZ26" s="442">
        <f t="shared" si="23"/>
        <v>123073.48296858493</v>
      </c>
      <c r="HA26" s="442">
        <f t="shared" si="23"/>
        <v>122530.85286976706</v>
      </c>
      <c r="HB26" s="442">
        <f t="shared" si="23"/>
        <v>121985.9618122041</v>
      </c>
      <c r="HC26" s="442">
        <f t="shared" si="23"/>
        <v>121438.80037523464</v>
      </c>
      <c r="HD26" s="442">
        <f t="shared" si="23"/>
        <v>120889.35909894448</v>
      </c>
      <c r="HE26" s="442">
        <f t="shared" si="23"/>
        <v>120337.6284840031</v>
      </c>
      <c r="HF26" s="442">
        <f t="shared" si="23"/>
        <v>119783.59899149949</v>
      </c>
      <c r="HG26" s="442">
        <f t="shared" si="23"/>
        <v>119227.26104277709</v>
      </c>
      <c r="HH26" s="442">
        <f t="shared" si="23"/>
        <v>118668.60501926835</v>
      </c>
      <c r="HI26" s="442">
        <f t="shared" si="23"/>
        <v>118107.62126232832</v>
      </c>
      <c r="HJ26" s="442">
        <f t="shared" si="23"/>
        <v>117544.30007306772</v>
      </c>
      <c r="HK26" s="442">
        <f t="shared" si="23"/>
        <v>116978.63171218519</v>
      </c>
      <c r="HL26" s="442">
        <f t="shared" si="23"/>
        <v>116410.60639979898</v>
      </c>
      <c r="HM26" s="442">
        <f t="shared" si="23"/>
        <v>115840.21431527783</v>
      </c>
      <c r="HN26" s="442">
        <f t="shared" si="23"/>
        <v>115267.44559707119</v>
      </c>
      <c r="HO26" s="442">
        <f t="shared" si="23"/>
        <v>114692.29034253868</v>
      </c>
      <c r="HP26" s="442">
        <f t="shared" si="23"/>
        <v>114114.73860777894</v>
      </c>
      <c r="HQ26" s="442">
        <f t="shared" si="23"/>
        <v>113534.7804074577</v>
      </c>
      <c r="HR26" s="442">
        <f t="shared" si="23"/>
        <v>112952.40571463513</v>
      </c>
      <c r="HS26" s="442">
        <f t="shared" si="23"/>
        <v>112367.60446059247</v>
      </c>
      <c r="HT26" s="442">
        <f t="shared" si="23"/>
        <v>111780.36653465797</v>
      </c>
      <c r="HU26" s="442">
        <f t="shared" si="23"/>
        <v>111190.68178403207</v>
      </c>
      <c r="HV26" s="442">
        <f t="shared" si="23"/>
        <v>110598.54001361188</v>
      </c>
      <c r="HW26" s="442">
        <f t="shared" si="23"/>
        <v>110003.93098581496</v>
      </c>
      <c r="HX26" s="442">
        <f t="shared" si="23"/>
        <v>109406.84442040221</v>
      </c>
      <c r="HY26" s="442">
        <f t="shared" si="23"/>
        <v>108807.26999430025</v>
      </c>
      <c r="HZ26" s="442">
        <f t="shared" si="23"/>
        <v>108205.19734142286</v>
      </c>
      <c r="IA26" s="442">
        <f t="shared" si="23"/>
        <v>107600.61605249181</v>
      </c>
      <c r="IB26" s="442">
        <f t="shared" si="23"/>
        <v>106993.51567485688</v>
      </c>
      <c r="IC26" s="442">
        <f t="shared" si="23"/>
        <v>106383.88571231514</v>
      </c>
      <c r="ID26" s="442">
        <f t="shared" si="23"/>
        <v>105771.71562492948</v>
      </c>
      <c r="IE26" s="442">
        <f t="shared" si="23"/>
        <v>105156.99482884638</v>
      </c>
      <c r="IF26" s="442">
        <f t="shared" si="23"/>
        <v>104539.71269611294</v>
      </c>
      <c r="IG26" s="442">
        <f t="shared" si="23"/>
        <v>103919.85855449311</v>
      </c>
      <c r="IH26" s="442">
        <f t="shared" si="23"/>
        <v>103297.42168728317</v>
      </c>
      <c r="II26" s="442">
        <f t="shared" si="23"/>
        <v>102672.39133312655</v>
      </c>
      <c r="IJ26" s="442">
        <f t="shared" si="23"/>
        <v>102044.75668582761</v>
      </c>
      <c r="IK26" s="442">
        <f t="shared" si="23"/>
        <v>101414.50689416492</v>
      </c>
      <c r="IL26" s="442">
        <f t="shared" si="23"/>
        <v>100781.63106170364</v>
      </c>
      <c r="IM26" s="442">
        <f t="shared" si="23"/>
        <v>100146.11824660709</v>
      </c>
      <c r="IN26" s="442">
        <f t="shared" si="23"/>
        <v>99507.957461447644</v>
      </c>
      <c r="IO26" s="442">
        <f t="shared" si="23"/>
        <v>98867.137673016696</v>
      </c>
      <c r="IP26" s="442">
        <f t="shared" si="23"/>
        <v>98223.647802133972</v>
      </c>
      <c r="IQ26" s="442">
        <f t="shared" si="23"/>
        <v>97577.476723455882</v>
      </c>
      <c r="IR26" s="442">
        <f t="shared" si="23"/>
        <v>96928.613265283318</v>
      </c>
      <c r="IS26" s="442">
        <f t="shared" si="23"/>
        <v>96277.04620936836</v>
      </c>
      <c r="IT26" s="442">
        <f t="shared" si="23"/>
        <v>95622.764290720414</v>
      </c>
      <c r="IU26" s="442">
        <f t="shared" si="23"/>
        <v>94965.756197411436</v>
      </c>
      <c r="IV26" s="442">
        <f t="shared" si="23"/>
        <v>94306.010570380357</v>
      </c>
      <c r="IW26" s="442">
        <f t="shared" si="23"/>
        <v>93643.516003236626</v>
      </c>
      <c r="IX26" s="442">
        <f t="shared" si="23"/>
        <v>92978.261042063139</v>
      </c>
      <c r="IY26" s="442">
        <f t="shared" si="23"/>
        <v>92310.234185218098</v>
      </c>
      <c r="IZ26" s="442">
        <f t="shared" si="23"/>
        <v>91639.423883136187</v>
      </c>
      <c r="JA26" s="442">
        <f t="shared" si="23"/>
        <v>90965.818538128937</v>
      </c>
      <c r="JB26" s="442">
        <f t="shared" si="23"/>
        <v>90289.406504184168</v>
      </c>
      <c r="JC26" s="442">
        <f t="shared" si="23"/>
        <v>89610.176086764623</v>
      </c>
      <c r="JD26" s="442">
        <f t="shared" si="23"/>
        <v>88928.115542605825</v>
      </c>
      <c r="JE26" s="442">
        <f t="shared" si="23"/>
        <v>88243.213079513051</v>
      </c>
      <c r="JF26" s="442">
        <f t="shared" ref="JF26:LQ26" si="24">JE32*($C$14/12)</f>
        <v>87555.456856157383</v>
      </c>
      <c r="JG26" s="442">
        <f t="shared" si="24"/>
        <v>86864.834981871056</v>
      </c>
      <c r="JH26" s="442">
        <f t="shared" si="24"/>
        <v>86171.335516441875</v>
      </c>
      <c r="JI26" s="442">
        <f t="shared" si="24"/>
        <v>85474.946469906747</v>
      </c>
      <c r="JJ26" s="442">
        <f t="shared" si="24"/>
        <v>84775.655802344394</v>
      </c>
      <c r="JK26" s="442">
        <f t="shared" si="24"/>
        <v>84073.451423667182</v>
      </c>
      <c r="JL26" s="442">
        <f t="shared" si="24"/>
        <v>83368.32119341215</v>
      </c>
      <c r="JM26" s="442">
        <f t="shared" si="24"/>
        <v>82660.252920531057</v>
      </c>
      <c r="JN26" s="442">
        <f t="shared" si="24"/>
        <v>81949.234363179639</v>
      </c>
      <c r="JO26" s="442">
        <f t="shared" si="24"/>
        <v>81235.253228505913</v>
      </c>
      <c r="JP26" s="442">
        <f t="shared" si="24"/>
        <v>80518.297172437713</v>
      </c>
      <c r="JQ26" s="442">
        <f t="shared" si="24"/>
        <v>79798.353799469231</v>
      </c>
      <c r="JR26" s="442">
        <f t="shared" si="24"/>
        <v>79075.410662446695</v>
      </c>
      <c r="JS26" s="442">
        <f t="shared" si="24"/>
        <v>78349.455262353251</v>
      </c>
      <c r="JT26" s="442">
        <f t="shared" si="24"/>
        <v>77620.475048092747</v>
      </c>
      <c r="JU26" s="442">
        <f t="shared" si="24"/>
        <v>76888.457416272824</v>
      </c>
      <c r="JV26" s="442">
        <f t="shared" si="24"/>
        <v>76153.389710986987</v>
      </c>
      <c r="JW26" s="442">
        <f t="shared" si="24"/>
        <v>75415.259223595785</v>
      </c>
      <c r="JX26" s="442">
        <f t="shared" si="24"/>
        <v>74674.053192507126</v>
      </c>
      <c r="JY26" s="442">
        <f t="shared" si="24"/>
        <v>73929.758802955592</v>
      </c>
      <c r="JZ26" s="442">
        <f t="shared" si="24"/>
        <v>73182.363186780931</v>
      </c>
      <c r="KA26" s="442">
        <f t="shared" si="24"/>
        <v>72431.853422205546</v>
      </c>
      <c r="KB26" s="442">
        <f t="shared" si="24"/>
        <v>71678.216533611092</v>
      </c>
      <c r="KC26" s="442">
        <f t="shared" si="24"/>
        <v>70921.439491314159</v>
      </c>
      <c r="KD26" s="442">
        <f t="shared" si="24"/>
        <v>70161.509211340992</v>
      </c>
      <c r="KE26" s="442">
        <f t="shared" si="24"/>
        <v>69398.41255520127</v>
      </c>
      <c r="KF26" s="442">
        <f t="shared" si="24"/>
        <v>68632.136329660963</v>
      </c>
      <c r="KG26" s="442">
        <f t="shared" si="24"/>
        <v>67862.667286514246</v>
      </c>
      <c r="KH26" s="442">
        <f t="shared" si="24"/>
        <v>67089.992122354408</v>
      </c>
      <c r="KI26" s="442">
        <f t="shared" si="24"/>
        <v>66314.097478343916</v>
      </c>
      <c r="KJ26" s="442">
        <f t="shared" si="24"/>
        <v>65534.969939983363</v>
      </c>
      <c r="KK26" s="442">
        <f t="shared" si="24"/>
        <v>64752.596036879659</v>
      </c>
      <c r="KL26" s="442">
        <f t="shared" si="24"/>
        <v>63966.962242513007</v>
      </c>
      <c r="KM26" s="442">
        <f t="shared" si="24"/>
        <v>63178.054974003171</v>
      </c>
      <c r="KN26" s="442">
        <f t="shared" si="24"/>
        <v>62385.860591874545</v>
      </c>
      <c r="KO26" s="442">
        <f t="shared" si="24"/>
        <v>61590.365399820381</v>
      </c>
      <c r="KP26" s="442">
        <f t="shared" si="24"/>
        <v>60791.555644465989</v>
      </c>
      <c r="KQ26" s="442">
        <f t="shared" si="24"/>
        <v>59989.417515130954</v>
      </c>
      <c r="KR26" s="442">
        <f t="shared" si="24"/>
        <v>59183.937143590352</v>
      </c>
      <c r="KS26" s="442">
        <f t="shared" si="24"/>
        <v>58375.100603835002</v>
      </c>
      <c r="KT26" s="442">
        <f t="shared" si="24"/>
        <v>57562.893911830673</v>
      </c>
      <c r="KU26" s="442">
        <f t="shared" si="24"/>
        <v>56747.303025276327</v>
      </c>
      <c r="KV26" s="442">
        <f t="shared" si="24"/>
        <v>55928.313843361342</v>
      </c>
      <c r="KW26" s="442">
        <f t="shared" si="24"/>
        <v>55105.912206521709</v>
      </c>
      <c r="KX26" s="442">
        <f t="shared" si="24"/>
        <v>54280.083896195232</v>
      </c>
      <c r="KY26" s="442">
        <f t="shared" si="24"/>
        <v>53450.814634575741</v>
      </c>
      <c r="KZ26" s="442">
        <f t="shared" si="24"/>
        <v>52618.090084366166</v>
      </c>
      <c r="LA26" s="442">
        <f t="shared" si="24"/>
        <v>51781.895848530716</v>
      </c>
      <c r="LB26" s="442">
        <f t="shared" si="24"/>
        <v>50942.217470045951</v>
      </c>
      <c r="LC26" s="442">
        <f t="shared" si="24"/>
        <v>50099.040431650836</v>
      </c>
      <c r="LD26" s="442">
        <f t="shared" si="24"/>
        <v>49252.350155595734</v>
      </c>
      <c r="LE26" s="442">
        <f t="shared" si="24"/>
        <v>48402.132003390405</v>
      </c>
      <c r="LF26" s="442">
        <f t="shared" si="24"/>
        <v>47548.371275550897</v>
      </c>
      <c r="LG26" s="442">
        <f t="shared" si="24"/>
        <v>46691.053211345381</v>
      </c>
      <c r="LH26" s="442">
        <f t="shared" si="24"/>
        <v>45830.162988539014</v>
      </c>
      <c r="LI26" s="442">
        <f t="shared" si="24"/>
        <v>44965.68572313762</v>
      </c>
      <c r="LJ26" s="442">
        <f t="shared" si="24"/>
        <v>44097.606469130384</v>
      </c>
      <c r="LK26" s="442">
        <f t="shared" si="24"/>
        <v>43225.910218231453</v>
      </c>
      <c r="LL26" s="442">
        <f t="shared" si="24"/>
        <v>42350.58189962044</v>
      </c>
      <c r="LM26" s="442">
        <f t="shared" si="24"/>
        <v>41471.606379681878</v>
      </c>
      <c r="LN26" s="442">
        <f t="shared" si="24"/>
        <v>40588.968461743578</v>
      </c>
      <c r="LO26" s="442">
        <f t="shared" si="24"/>
        <v>39702.65288581387</v>
      </c>
      <c r="LP26" s="442">
        <f t="shared" si="24"/>
        <v>38812.64432831778</v>
      </c>
      <c r="LQ26" s="442">
        <f t="shared" si="24"/>
        <v>37918.92740183213</v>
      </c>
      <c r="LR26" s="442">
        <f t="shared" ref="LR26:NC26" si="25">LQ32*($C$14/12)</f>
        <v>37021.486654819455</v>
      </c>
      <c r="LS26" s="442">
        <f t="shared" si="25"/>
        <v>36120.306571360896</v>
      </c>
      <c r="LT26" s="442">
        <f t="shared" si="25"/>
        <v>35215.371570887917</v>
      </c>
      <c r="LU26" s="442">
        <f t="shared" si="25"/>
        <v>34306.66600791298</v>
      </c>
      <c r="LV26" s="442">
        <f t="shared" si="25"/>
        <v>33394.174171758968</v>
      </c>
      <c r="LW26" s="442">
        <f t="shared" si="25"/>
        <v>32477.880286287655</v>
      </c>
      <c r="LX26" s="442">
        <f t="shared" si="25"/>
        <v>31557.768509626876</v>
      </c>
      <c r="LY26" s="442">
        <f t="shared" si="25"/>
        <v>30633.822933896681</v>
      </c>
      <c r="LZ26" s="442">
        <f t="shared" si="25"/>
        <v>29706.027584934272</v>
      </c>
      <c r="MA26" s="442">
        <f t="shared" si="25"/>
        <v>28774.366422017858</v>
      </c>
      <c r="MB26" s="442">
        <f t="shared" si="25"/>
        <v>27838.823337589289</v>
      </c>
      <c r="MC26" s="442">
        <f t="shared" si="25"/>
        <v>26899.3821569756</v>
      </c>
      <c r="MD26" s="442">
        <f t="shared" si="25"/>
        <v>25956.026638109357</v>
      </c>
      <c r="ME26" s="442">
        <f t="shared" si="25"/>
        <v>25008.740471247835</v>
      </c>
      <c r="MF26" s="442">
        <f t="shared" si="25"/>
        <v>24057.507278691057</v>
      </c>
      <c r="MG26" s="442">
        <f t="shared" si="25"/>
        <v>23102.310614498627</v>
      </c>
      <c r="MH26" s="442">
        <f t="shared" si="25"/>
        <v>22143.133964205394</v>
      </c>
      <c r="MI26" s="442">
        <f t="shared" si="25"/>
        <v>21179.96074453594</v>
      </c>
      <c r="MJ26" s="442">
        <f t="shared" si="25"/>
        <v>20212.774303117865</v>
      </c>
      <c r="MK26" s="442">
        <f t="shared" si="25"/>
        <v>19241.557918193877</v>
      </c>
      <c r="ML26" s="442">
        <f t="shared" si="25"/>
        <v>18266.29479833271</v>
      </c>
      <c r="MM26" s="442">
        <f t="shared" si="25"/>
        <v>17286.968082138785</v>
      </c>
      <c r="MN26" s="442">
        <f t="shared" si="25"/>
        <v>16303.56083796072</v>
      </c>
      <c r="MO26" s="442">
        <f t="shared" si="25"/>
        <v>15316.05606359858</v>
      </c>
      <c r="MP26" s="442">
        <f t="shared" si="25"/>
        <v>14324.436686009933</v>
      </c>
      <c r="MQ26" s="442">
        <f t="shared" si="25"/>
        <v>13328.685561014665</v>
      </c>
      <c r="MR26" s="442">
        <f t="shared" si="25"/>
        <v>12328.785472998583</v>
      </c>
      <c r="MS26" s="442">
        <f t="shared" si="25"/>
        <v>11324.719134615769</v>
      </c>
      <c r="MT26" s="442">
        <f t="shared" si="25"/>
        <v>10316.469186489692</v>
      </c>
      <c r="MU26" s="442">
        <f t="shared" si="25"/>
        <v>9304.0181969130899</v>
      </c>
      <c r="MV26" s="442">
        <f t="shared" si="25"/>
        <v>8287.3486615465845</v>
      </c>
      <c r="MW26" s="442">
        <f t="shared" si="25"/>
        <v>7266.4430031160528</v>
      </c>
      <c r="MX26" s="442">
        <f t="shared" si="25"/>
        <v>6241.2835711087273</v>
      </c>
      <c r="MY26" s="442">
        <f t="shared" si="25"/>
        <v>5211.8526414680382</v>
      </c>
      <c r="MZ26" s="442">
        <f t="shared" si="25"/>
        <v>4178.1324162871788</v>
      </c>
      <c r="NA26" s="442">
        <f t="shared" si="25"/>
        <v>3140.1050235013995</v>
      </c>
      <c r="NB26" s="442">
        <f t="shared" si="25"/>
        <v>2097.752516579013</v>
      </c>
      <c r="NC26" s="442">
        <f t="shared" si="25"/>
        <v>1051.0568742111163</v>
      </c>
      <c r="ND26" s="442"/>
      <c r="NE26" s="442"/>
      <c r="NF26" s="442"/>
      <c r="NG26" s="442"/>
      <c r="NH26" s="442"/>
      <c r="NI26" s="442"/>
      <c r="NJ26" s="442"/>
      <c r="NK26" s="442"/>
      <c r="NL26" s="442"/>
      <c r="NM26" s="442"/>
      <c r="NN26" s="442"/>
      <c r="NO26" s="442"/>
      <c r="NP26" s="442"/>
      <c r="NQ26" s="442"/>
      <c r="NR26" s="442"/>
      <c r="NS26" s="442"/>
      <c r="NT26" s="442"/>
      <c r="NU26" s="442"/>
      <c r="NV26" s="442"/>
      <c r="NW26" s="442"/>
      <c r="NX26" s="442"/>
      <c r="NY26" s="442"/>
      <c r="NZ26" s="442"/>
      <c r="OA26" s="442"/>
      <c r="OB26" s="442"/>
      <c r="OC26" s="442"/>
      <c r="OD26" s="442"/>
      <c r="OE26" s="442"/>
      <c r="OF26" s="442"/>
      <c r="OG26" s="442"/>
    </row>
    <row r="27" spans="1:16383">
      <c r="B27" s="7" t="s">
        <v>460</v>
      </c>
      <c r="H27" s="442">
        <f>H26+H25</f>
        <v>253304.70668487417</v>
      </c>
      <c r="I27" s="442">
        <f t="shared" ref="I27:BT27" si="26">I26+I25</f>
        <v>253304.70668487414</v>
      </c>
      <c r="J27" s="442">
        <f t="shared" si="26"/>
        <v>253304.70668487417</v>
      </c>
      <c r="K27" s="442">
        <f t="shared" si="26"/>
        <v>253304.70668487417</v>
      </c>
      <c r="L27" s="442">
        <f t="shared" si="26"/>
        <v>253304.7066848742</v>
      </c>
      <c r="M27" s="442">
        <f t="shared" si="26"/>
        <v>253304.7066848742</v>
      </c>
      <c r="N27" s="442">
        <f t="shared" si="26"/>
        <v>253304.7066848742</v>
      </c>
      <c r="O27" s="442">
        <f t="shared" si="26"/>
        <v>253304.70668487417</v>
      </c>
      <c r="P27" s="442">
        <f t="shared" si="26"/>
        <v>253304.70668487417</v>
      </c>
      <c r="Q27" s="442">
        <f t="shared" si="26"/>
        <v>253304.7066848742</v>
      </c>
      <c r="R27" s="442">
        <f t="shared" si="26"/>
        <v>253304.70668487417</v>
      </c>
      <c r="S27" s="442">
        <f t="shared" si="26"/>
        <v>253304.7066848742</v>
      </c>
      <c r="T27" s="442">
        <f t="shared" si="26"/>
        <v>253304.7066848742</v>
      </c>
      <c r="U27" s="442">
        <f t="shared" si="26"/>
        <v>253304.70668487417</v>
      </c>
      <c r="V27" s="442">
        <f t="shared" si="26"/>
        <v>253304.70668487417</v>
      </c>
      <c r="W27" s="442">
        <f t="shared" si="26"/>
        <v>253304.70668487417</v>
      </c>
      <c r="X27" s="442">
        <f t="shared" si="26"/>
        <v>253304.70668487417</v>
      </c>
      <c r="Y27" s="442">
        <f t="shared" si="26"/>
        <v>253304.70668487417</v>
      </c>
      <c r="Z27" s="442">
        <f t="shared" si="26"/>
        <v>253304.7066848742</v>
      </c>
      <c r="AA27" s="442">
        <f t="shared" si="26"/>
        <v>253304.7066848742</v>
      </c>
      <c r="AB27" s="442">
        <f t="shared" si="26"/>
        <v>253304.7066848742</v>
      </c>
      <c r="AC27" s="442">
        <f t="shared" si="26"/>
        <v>253304.7066848742</v>
      </c>
      <c r="AD27" s="442">
        <f t="shared" si="26"/>
        <v>253304.7066848742</v>
      </c>
      <c r="AE27" s="442">
        <f t="shared" si="26"/>
        <v>253304.7066848742</v>
      </c>
      <c r="AF27" s="442">
        <f t="shared" si="26"/>
        <v>253304.7066848742</v>
      </c>
      <c r="AG27" s="442">
        <f t="shared" si="26"/>
        <v>253304.7066848742</v>
      </c>
      <c r="AH27" s="442">
        <f t="shared" si="26"/>
        <v>253304.7066848742</v>
      </c>
      <c r="AI27" s="442">
        <f t="shared" si="26"/>
        <v>253304.7066848742</v>
      </c>
      <c r="AJ27" s="442">
        <f t="shared" si="26"/>
        <v>253304.7066848742</v>
      </c>
      <c r="AK27" s="442">
        <f t="shared" si="26"/>
        <v>253304.7066848742</v>
      </c>
      <c r="AL27" s="442">
        <f t="shared" si="26"/>
        <v>253304.7066848742</v>
      </c>
      <c r="AM27" s="442">
        <f t="shared" si="26"/>
        <v>253304.70668487417</v>
      </c>
      <c r="AN27" s="442">
        <f t="shared" si="26"/>
        <v>253304.7066848742</v>
      </c>
      <c r="AO27" s="442">
        <f t="shared" si="26"/>
        <v>253304.7066848742</v>
      </c>
      <c r="AP27" s="442">
        <f t="shared" si="26"/>
        <v>253304.7066848742</v>
      </c>
      <c r="AQ27" s="442">
        <f t="shared" si="26"/>
        <v>253304.7066848742</v>
      </c>
      <c r="AR27" s="442">
        <f t="shared" si="26"/>
        <v>253304.7066848742</v>
      </c>
      <c r="AS27" s="442">
        <f t="shared" si="26"/>
        <v>253304.7066848742</v>
      </c>
      <c r="AT27" s="442">
        <f t="shared" si="26"/>
        <v>253304.7066848742</v>
      </c>
      <c r="AU27" s="442">
        <f t="shared" si="26"/>
        <v>253304.7066848742</v>
      </c>
      <c r="AV27" s="442">
        <f t="shared" si="26"/>
        <v>253304.7066848742</v>
      </c>
      <c r="AW27" s="442">
        <f t="shared" si="26"/>
        <v>253304.7066848742</v>
      </c>
      <c r="AX27" s="442">
        <f t="shared" si="26"/>
        <v>253304.70668487423</v>
      </c>
      <c r="AY27" s="442">
        <f t="shared" si="26"/>
        <v>253304.7066848742</v>
      </c>
      <c r="AZ27" s="442">
        <f t="shared" si="26"/>
        <v>253304.7066848742</v>
      </c>
      <c r="BA27" s="442">
        <f t="shared" si="26"/>
        <v>253304.70668487423</v>
      </c>
      <c r="BB27" s="442">
        <f t="shared" si="26"/>
        <v>253304.70668487423</v>
      </c>
      <c r="BC27" s="442">
        <f t="shared" si="26"/>
        <v>253304.7066848742</v>
      </c>
      <c r="BD27" s="442">
        <f t="shared" si="26"/>
        <v>253304.70668487423</v>
      </c>
      <c r="BE27" s="442">
        <f t="shared" si="26"/>
        <v>253304.70668487423</v>
      </c>
      <c r="BF27" s="442">
        <f t="shared" si="26"/>
        <v>253304.70668487425</v>
      </c>
      <c r="BG27" s="442">
        <f t="shared" si="26"/>
        <v>253304.70668487425</v>
      </c>
      <c r="BH27" s="442">
        <f t="shared" si="26"/>
        <v>253304.70668487425</v>
      </c>
      <c r="BI27" s="442">
        <f t="shared" si="26"/>
        <v>253304.7066848742</v>
      </c>
      <c r="BJ27" s="442">
        <f t="shared" si="26"/>
        <v>253304.7066848742</v>
      </c>
      <c r="BK27" s="442">
        <f t="shared" si="26"/>
        <v>253304.70668487423</v>
      </c>
      <c r="BL27" s="442">
        <f t="shared" si="26"/>
        <v>253304.7066848742</v>
      </c>
      <c r="BM27" s="442">
        <f t="shared" si="26"/>
        <v>253304.7066848742</v>
      </c>
      <c r="BN27" s="442">
        <f t="shared" si="26"/>
        <v>253304.7066848742</v>
      </c>
      <c r="BO27" s="442">
        <f t="shared" si="26"/>
        <v>253304.7066848742</v>
      </c>
      <c r="BP27" s="442">
        <f t="shared" si="26"/>
        <v>253304.70668487423</v>
      </c>
      <c r="BQ27" s="442">
        <f t="shared" si="26"/>
        <v>253304.7066848742</v>
      </c>
      <c r="BR27" s="442">
        <f t="shared" si="26"/>
        <v>253304.70668487423</v>
      </c>
      <c r="BS27" s="442">
        <f t="shared" si="26"/>
        <v>253304.7066848742</v>
      </c>
      <c r="BT27" s="442">
        <f t="shared" si="26"/>
        <v>253304.7066848742</v>
      </c>
      <c r="BU27" s="442">
        <f t="shared" ref="BU27:EF27" si="27">BU26+BU25</f>
        <v>253304.7066848742</v>
      </c>
      <c r="BV27" s="442">
        <f t="shared" si="27"/>
        <v>253304.7066848742</v>
      </c>
      <c r="BW27" s="442">
        <f t="shared" si="27"/>
        <v>253304.7066848742</v>
      </c>
      <c r="BX27" s="442">
        <f t="shared" si="27"/>
        <v>253304.70668487423</v>
      </c>
      <c r="BY27" s="442">
        <f t="shared" si="27"/>
        <v>253304.7066848742</v>
      </c>
      <c r="BZ27" s="442">
        <f t="shared" si="27"/>
        <v>253304.7066848742</v>
      </c>
      <c r="CA27" s="442">
        <f t="shared" si="27"/>
        <v>253304.7066848742</v>
      </c>
      <c r="CB27" s="442">
        <f t="shared" si="27"/>
        <v>253304.7066848742</v>
      </c>
      <c r="CC27" s="442">
        <f t="shared" si="27"/>
        <v>253304.7066848742</v>
      </c>
      <c r="CD27" s="442">
        <f t="shared" si="27"/>
        <v>253304.7066848742</v>
      </c>
      <c r="CE27" s="442">
        <f t="shared" si="27"/>
        <v>253304.70668487417</v>
      </c>
      <c r="CF27" s="442">
        <f t="shared" si="27"/>
        <v>253304.7066848742</v>
      </c>
      <c r="CG27" s="442">
        <f t="shared" si="27"/>
        <v>253304.7066848742</v>
      </c>
      <c r="CH27" s="442">
        <f t="shared" si="27"/>
        <v>253304.7066848742</v>
      </c>
      <c r="CI27" s="442">
        <f t="shared" si="27"/>
        <v>253304.7066848742</v>
      </c>
      <c r="CJ27" s="442">
        <f t="shared" si="27"/>
        <v>253304.70668487423</v>
      </c>
      <c r="CK27" s="442">
        <f t="shared" si="27"/>
        <v>253304.70668487423</v>
      </c>
      <c r="CL27" s="442">
        <f t="shared" si="27"/>
        <v>253304.70668487423</v>
      </c>
      <c r="CM27" s="442">
        <f t="shared" si="27"/>
        <v>253304.70668487425</v>
      </c>
      <c r="CN27" s="442">
        <f t="shared" si="27"/>
        <v>253304.70668487423</v>
      </c>
      <c r="CO27" s="442">
        <f t="shared" si="27"/>
        <v>253304.70668487425</v>
      </c>
      <c r="CP27" s="442">
        <f t="shared" si="27"/>
        <v>253304.70668487423</v>
      </c>
      <c r="CQ27" s="442">
        <f t="shared" si="27"/>
        <v>253304.70668487423</v>
      </c>
      <c r="CR27" s="442">
        <f t="shared" si="27"/>
        <v>253304.70668487423</v>
      </c>
      <c r="CS27" s="442">
        <f t="shared" si="27"/>
        <v>253304.70668487425</v>
      </c>
      <c r="CT27" s="442">
        <f t="shared" si="27"/>
        <v>253304.7066848742</v>
      </c>
      <c r="CU27" s="442">
        <f t="shared" si="27"/>
        <v>253304.7066848742</v>
      </c>
      <c r="CV27" s="442">
        <f t="shared" si="27"/>
        <v>253304.70668487423</v>
      </c>
      <c r="CW27" s="442">
        <f t="shared" si="27"/>
        <v>253304.7066848742</v>
      </c>
      <c r="CX27" s="442">
        <f t="shared" si="27"/>
        <v>253304.7066848742</v>
      </c>
      <c r="CY27" s="442">
        <f t="shared" si="27"/>
        <v>253304.7066848742</v>
      </c>
      <c r="CZ27" s="442">
        <f t="shared" si="27"/>
        <v>253304.7066848742</v>
      </c>
      <c r="DA27" s="442">
        <f t="shared" si="27"/>
        <v>253304.7066848742</v>
      </c>
      <c r="DB27" s="442">
        <f t="shared" si="27"/>
        <v>253304.7066848742</v>
      </c>
      <c r="DC27" s="442">
        <f t="shared" si="27"/>
        <v>253304.7066848742</v>
      </c>
      <c r="DD27" s="442">
        <f t="shared" si="27"/>
        <v>253304.7066848742</v>
      </c>
      <c r="DE27" s="442">
        <f t="shared" si="27"/>
        <v>253304.7066848742</v>
      </c>
      <c r="DF27" s="442">
        <f t="shared" si="27"/>
        <v>253304.7066848742</v>
      </c>
      <c r="DG27" s="442">
        <f t="shared" si="27"/>
        <v>253304.7066848742</v>
      </c>
      <c r="DH27" s="442">
        <f t="shared" si="27"/>
        <v>253304.7066848742</v>
      </c>
      <c r="DI27" s="442">
        <f t="shared" si="27"/>
        <v>253304.7066848742</v>
      </c>
      <c r="DJ27" s="442">
        <f t="shared" si="27"/>
        <v>253304.7066848742</v>
      </c>
      <c r="DK27" s="442">
        <f t="shared" si="27"/>
        <v>253304.7066848742</v>
      </c>
      <c r="DL27" s="442">
        <f t="shared" si="27"/>
        <v>253304.7066848742</v>
      </c>
      <c r="DM27" s="442">
        <f t="shared" si="27"/>
        <v>253304.7066848742</v>
      </c>
      <c r="DN27" s="442">
        <f t="shared" si="27"/>
        <v>253304.7066848742</v>
      </c>
      <c r="DO27" s="442">
        <f t="shared" si="27"/>
        <v>253304.7066848742</v>
      </c>
      <c r="DP27" s="442">
        <f t="shared" si="27"/>
        <v>253304.70668487417</v>
      </c>
      <c r="DQ27" s="442">
        <f t="shared" si="27"/>
        <v>253304.7066848742</v>
      </c>
      <c r="DR27" s="442">
        <f t="shared" si="27"/>
        <v>253304.70668487417</v>
      </c>
      <c r="DS27" s="442">
        <f t="shared" si="27"/>
        <v>253304.70668487417</v>
      </c>
      <c r="DT27" s="442">
        <f t="shared" si="27"/>
        <v>253304.70668487417</v>
      </c>
      <c r="DU27" s="442">
        <f t="shared" si="27"/>
        <v>253304.70668487417</v>
      </c>
      <c r="DV27" s="442">
        <f t="shared" si="27"/>
        <v>253304.70668487417</v>
      </c>
      <c r="DW27" s="442">
        <f t="shared" si="27"/>
        <v>253304.7066848742</v>
      </c>
      <c r="DX27" s="442">
        <f t="shared" si="27"/>
        <v>253304.70668487414</v>
      </c>
      <c r="DY27" s="442">
        <f t="shared" si="27"/>
        <v>253304.70668487414</v>
      </c>
      <c r="DZ27" s="442">
        <f t="shared" si="27"/>
        <v>253304.70668487414</v>
      </c>
      <c r="EA27" s="442">
        <f t="shared" si="27"/>
        <v>253304.70668487417</v>
      </c>
      <c r="EB27" s="442">
        <f t="shared" si="27"/>
        <v>253304.70668487414</v>
      </c>
      <c r="EC27" s="442">
        <f t="shared" si="27"/>
        <v>253304.70668487414</v>
      </c>
      <c r="ED27" s="442">
        <f t="shared" si="27"/>
        <v>253304.70668487417</v>
      </c>
      <c r="EE27" s="442">
        <f t="shared" si="27"/>
        <v>253304.7066848742</v>
      </c>
      <c r="EF27" s="442">
        <f t="shared" si="27"/>
        <v>253304.7066848742</v>
      </c>
      <c r="EG27" s="442">
        <f t="shared" ref="EG27:GR27" si="28">EG26+EG25</f>
        <v>253304.7066848742</v>
      </c>
      <c r="EH27" s="442">
        <f t="shared" si="28"/>
        <v>253304.70668487417</v>
      </c>
      <c r="EI27" s="442">
        <f t="shared" si="28"/>
        <v>253304.7066848742</v>
      </c>
      <c r="EJ27" s="442">
        <f t="shared" si="28"/>
        <v>253304.70668487417</v>
      </c>
      <c r="EK27" s="442">
        <f t="shared" si="28"/>
        <v>253304.7066848742</v>
      </c>
      <c r="EL27" s="442">
        <f t="shared" si="28"/>
        <v>253304.70668487414</v>
      </c>
      <c r="EM27" s="442">
        <f t="shared" si="28"/>
        <v>253304.70668487414</v>
      </c>
      <c r="EN27" s="442">
        <f t="shared" si="28"/>
        <v>253304.7066848742</v>
      </c>
      <c r="EO27" s="442">
        <f t="shared" si="28"/>
        <v>253304.7066848742</v>
      </c>
      <c r="EP27" s="442">
        <f t="shared" si="28"/>
        <v>253304.7066848742</v>
      </c>
      <c r="EQ27" s="442">
        <f t="shared" si="28"/>
        <v>253304.7066848742</v>
      </c>
      <c r="ER27" s="442">
        <f t="shared" si="28"/>
        <v>253304.7066848742</v>
      </c>
      <c r="ES27" s="442">
        <f t="shared" si="28"/>
        <v>253304.7066848742</v>
      </c>
      <c r="ET27" s="442">
        <f t="shared" si="28"/>
        <v>253304.70668487414</v>
      </c>
      <c r="EU27" s="442">
        <f t="shared" si="28"/>
        <v>253304.70668487414</v>
      </c>
      <c r="EV27" s="442">
        <f t="shared" si="28"/>
        <v>253304.70668487414</v>
      </c>
      <c r="EW27" s="442">
        <f t="shared" si="28"/>
        <v>253304.70668487414</v>
      </c>
      <c r="EX27" s="442">
        <f t="shared" si="28"/>
        <v>253304.70668487417</v>
      </c>
      <c r="EY27" s="442">
        <f t="shared" si="28"/>
        <v>253304.70668487414</v>
      </c>
      <c r="EZ27" s="442">
        <f t="shared" si="28"/>
        <v>253304.70668487414</v>
      </c>
      <c r="FA27" s="442">
        <f t="shared" si="28"/>
        <v>253304.70668487417</v>
      </c>
      <c r="FB27" s="442">
        <f t="shared" si="28"/>
        <v>253304.70668487414</v>
      </c>
      <c r="FC27" s="442">
        <f t="shared" si="28"/>
        <v>253304.7066848742</v>
      </c>
      <c r="FD27" s="442">
        <f t="shared" si="28"/>
        <v>253304.7066848742</v>
      </c>
      <c r="FE27" s="442">
        <f t="shared" si="28"/>
        <v>253304.7066848742</v>
      </c>
      <c r="FF27" s="442">
        <f t="shared" si="28"/>
        <v>253304.7066848742</v>
      </c>
      <c r="FG27" s="442">
        <f t="shared" si="28"/>
        <v>253304.7066848742</v>
      </c>
      <c r="FH27" s="442">
        <f t="shared" si="28"/>
        <v>253304.7066848742</v>
      </c>
      <c r="FI27" s="442">
        <f t="shared" si="28"/>
        <v>253304.7066848742</v>
      </c>
      <c r="FJ27" s="442">
        <f t="shared" si="28"/>
        <v>253304.7066848742</v>
      </c>
      <c r="FK27" s="442">
        <f t="shared" si="28"/>
        <v>253304.70668487423</v>
      </c>
      <c r="FL27" s="442">
        <f t="shared" si="28"/>
        <v>253304.70668487423</v>
      </c>
      <c r="FM27" s="442">
        <f t="shared" si="28"/>
        <v>253304.7066848742</v>
      </c>
      <c r="FN27" s="442">
        <f t="shared" si="28"/>
        <v>253304.70668487425</v>
      </c>
      <c r="FO27" s="442">
        <f t="shared" si="28"/>
        <v>253304.70668487425</v>
      </c>
      <c r="FP27" s="442">
        <f t="shared" si="28"/>
        <v>253304.7066848742</v>
      </c>
      <c r="FQ27" s="442">
        <f t="shared" si="28"/>
        <v>253304.70668487423</v>
      </c>
      <c r="FR27" s="442">
        <f t="shared" si="28"/>
        <v>253304.70668487423</v>
      </c>
      <c r="FS27" s="442">
        <f t="shared" si="28"/>
        <v>253304.7066848742</v>
      </c>
      <c r="FT27" s="442">
        <f t="shared" si="28"/>
        <v>253304.70668487425</v>
      </c>
      <c r="FU27" s="442">
        <f t="shared" si="28"/>
        <v>253304.70668487425</v>
      </c>
      <c r="FV27" s="442">
        <f t="shared" si="28"/>
        <v>253304.7066848742</v>
      </c>
      <c r="FW27" s="442">
        <f t="shared" si="28"/>
        <v>253304.7066848742</v>
      </c>
      <c r="FX27" s="442">
        <f t="shared" si="28"/>
        <v>253304.7066848742</v>
      </c>
      <c r="FY27" s="442">
        <f t="shared" si="28"/>
        <v>253304.7066848742</v>
      </c>
      <c r="FZ27" s="442">
        <f t="shared" si="28"/>
        <v>253304.7066848742</v>
      </c>
      <c r="GA27" s="442">
        <f t="shared" si="28"/>
        <v>253304.7066848742</v>
      </c>
      <c r="GB27" s="442">
        <f t="shared" si="28"/>
        <v>253304.7066848742</v>
      </c>
      <c r="GC27" s="442">
        <f t="shared" si="28"/>
        <v>253304.70668487423</v>
      </c>
      <c r="GD27" s="442">
        <f t="shared" si="28"/>
        <v>253304.7066848742</v>
      </c>
      <c r="GE27" s="442">
        <f t="shared" si="28"/>
        <v>253304.7066848742</v>
      </c>
      <c r="GF27" s="442">
        <f t="shared" si="28"/>
        <v>253304.7066848742</v>
      </c>
      <c r="GG27" s="442">
        <f t="shared" si="28"/>
        <v>253304.7066848742</v>
      </c>
      <c r="GH27" s="442">
        <f t="shared" si="28"/>
        <v>253304.7066848742</v>
      </c>
      <c r="GI27" s="442">
        <f t="shared" si="28"/>
        <v>253304.7066848742</v>
      </c>
      <c r="GJ27" s="442">
        <f t="shared" si="28"/>
        <v>253304.70668487417</v>
      </c>
      <c r="GK27" s="442">
        <f t="shared" si="28"/>
        <v>253304.7066848742</v>
      </c>
      <c r="GL27" s="442">
        <f t="shared" si="28"/>
        <v>253304.7066848742</v>
      </c>
      <c r="GM27" s="442">
        <f t="shared" si="28"/>
        <v>253304.7066848742</v>
      </c>
      <c r="GN27" s="442">
        <f t="shared" si="28"/>
        <v>253304.7066848742</v>
      </c>
      <c r="GO27" s="442">
        <f t="shared" si="28"/>
        <v>253304.7066848742</v>
      </c>
      <c r="GP27" s="442">
        <f t="shared" si="28"/>
        <v>253304.7066848742</v>
      </c>
      <c r="GQ27" s="442">
        <f t="shared" si="28"/>
        <v>253304.7066848742</v>
      </c>
      <c r="GR27" s="442">
        <f t="shared" si="28"/>
        <v>253304.7066848742</v>
      </c>
      <c r="GS27" s="442">
        <f t="shared" ref="GS27:JD27" si="29">GS26+GS25</f>
        <v>253304.7066848742</v>
      </c>
      <c r="GT27" s="442">
        <f t="shared" si="29"/>
        <v>253304.7066848742</v>
      </c>
      <c r="GU27" s="442">
        <f t="shared" si="29"/>
        <v>253304.7066848742</v>
      </c>
      <c r="GV27" s="442">
        <f t="shared" si="29"/>
        <v>253304.7066848742</v>
      </c>
      <c r="GW27" s="442">
        <f t="shared" si="29"/>
        <v>253304.7066848742</v>
      </c>
      <c r="GX27" s="442">
        <f t="shared" si="29"/>
        <v>253304.7066848742</v>
      </c>
      <c r="GY27" s="442">
        <f t="shared" si="29"/>
        <v>253304.70668487417</v>
      </c>
      <c r="GZ27" s="442">
        <f t="shared" si="29"/>
        <v>253304.7066848742</v>
      </c>
      <c r="HA27" s="442">
        <f t="shared" si="29"/>
        <v>253304.7066848742</v>
      </c>
      <c r="HB27" s="442">
        <f t="shared" si="29"/>
        <v>253304.7066848742</v>
      </c>
      <c r="HC27" s="442">
        <f t="shared" si="29"/>
        <v>253304.7066848742</v>
      </c>
      <c r="HD27" s="442">
        <f t="shared" si="29"/>
        <v>253304.7066848742</v>
      </c>
      <c r="HE27" s="442">
        <f t="shared" si="29"/>
        <v>253304.7066848742</v>
      </c>
      <c r="HF27" s="442">
        <f t="shared" si="29"/>
        <v>253304.7066848742</v>
      </c>
      <c r="HG27" s="442">
        <f t="shared" si="29"/>
        <v>253304.7066848742</v>
      </c>
      <c r="HH27" s="442">
        <f t="shared" si="29"/>
        <v>253304.7066848742</v>
      </c>
      <c r="HI27" s="442">
        <f t="shared" si="29"/>
        <v>253304.70668487417</v>
      </c>
      <c r="HJ27" s="442">
        <f t="shared" si="29"/>
        <v>253304.70668487417</v>
      </c>
      <c r="HK27" s="442">
        <f t="shared" si="29"/>
        <v>253304.7066848742</v>
      </c>
      <c r="HL27" s="442">
        <f t="shared" si="29"/>
        <v>253304.7066848742</v>
      </c>
      <c r="HM27" s="442">
        <f t="shared" si="29"/>
        <v>253304.7066848742</v>
      </c>
      <c r="HN27" s="442">
        <f t="shared" si="29"/>
        <v>253304.7066848742</v>
      </c>
      <c r="HO27" s="442">
        <f t="shared" si="29"/>
        <v>253304.7066848742</v>
      </c>
      <c r="HP27" s="442">
        <f t="shared" si="29"/>
        <v>253304.7066848742</v>
      </c>
      <c r="HQ27" s="442">
        <f t="shared" si="29"/>
        <v>253304.7066848742</v>
      </c>
      <c r="HR27" s="442">
        <f t="shared" si="29"/>
        <v>253304.70668487417</v>
      </c>
      <c r="HS27" s="442">
        <f t="shared" si="29"/>
        <v>253304.70668487417</v>
      </c>
      <c r="HT27" s="442">
        <f t="shared" si="29"/>
        <v>253304.7066848742</v>
      </c>
      <c r="HU27" s="442">
        <f t="shared" si="29"/>
        <v>253304.7066848742</v>
      </c>
      <c r="HV27" s="442">
        <f t="shared" si="29"/>
        <v>253304.7066848742</v>
      </c>
      <c r="HW27" s="442">
        <f t="shared" si="29"/>
        <v>253304.70668487414</v>
      </c>
      <c r="HX27" s="442">
        <f t="shared" si="29"/>
        <v>253304.7066848742</v>
      </c>
      <c r="HY27" s="442">
        <f t="shared" si="29"/>
        <v>253304.7066848742</v>
      </c>
      <c r="HZ27" s="442">
        <f t="shared" si="29"/>
        <v>253304.7066848742</v>
      </c>
      <c r="IA27" s="442">
        <f t="shared" si="29"/>
        <v>253304.7066848742</v>
      </c>
      <c r="IB27" s="442">
        <f t="shared" si="29"/>
        <v>253304.7066848742</v>
      </c>
      <c r="IC27" s="442">
        <f t="shared" si="29"/>
        <v>253304.7066848742</v>
      </c>
      <c r="ID27" s="442">
        <f t="shared" si="29"/>
        <v>253304.7066848742</v>
      </c>
      <c r="IE27" s="442">
        <f t="shared" si="29"/>
        <v>253304.7066848742</v>
      </c>
      <c r="IF27" s="442">
        <f t="shared" si="29"/>
        <v>253304.7066848742</v>
      </c>
      <c r="IG27" s="442">
        <f t="shared" si="29"/>
        <v>253304.7066848742</v>
      </c>
      <c r="IH27" s="442">
        <f t="shared" si="29"/>
        <v>253304.70668487417</v>
      </c>
      <c r="II27" s="442">
        <f t="shared" si="29"/>
        <v>253304.70668487417</v>
      </c>
      <c r="IJ27" s="442">
        <f t="shared" si="29"/>
        <v>253304.7066848742</v>
      </c>
      <c r="IK27" s="442">
        <f t="shared" si="29"/>
        <v>253304.7066848742</v>
      </c>
      <c r="IL27" s="442">
        <f t="shared" si="29"/>
        <v>253304.7066848742</v>
      </c>
      <c r="IM27" s="442">
        <f t="shared" si="29"/>
        <v>253304.7066848742</v>
      </c>
      <c r="IN27" s="442">
        <f t="shared" si="29"/>
        <v>253304.7066848742</v>
      </c>
      <c r="IO27" s="442">
        <f t="shared" si="29"/>
        <v>253304.70668487417</v>
      </c>
      <c r="IP27" s="442">
        <f t="shared" si="29"/>
        <v>253304.7066848742</v>
      </c>
      <c r="IQ27" s="442">
        <f t="shared" si="29"/>
        <v>253304.7066848742</v>
      </c>
      <c r="IR27" s="442">
        <f t="shared" si="29"/>
        <v>253304.70668487423</v>
      </c>
      <c r="IS27" s="442">
        <f t="shared" si="29"/>
        <v>253304.70668487423</v>
      </c>
      <c r="IT27" s="442">
        <f t="shared" si="29"/>
        <v>253304.7066848742</v>
      </c>
      <c r="IU27" s="442">
        <f t="shared" si="29"/>
        <v>253304.7066848742</v>
      </c>
      <c r="IV27" s="442">
        <f t="shared" si="29"/>
        <v>253304.70668487425</v>
      </c>
      <c r="IW27" s="442">
        <f t="shared" si="29"/>
        <v>253304.70668487425</v>
      </c>
      <c r="IX27" s="442">
        <f t="shared" si="29"/>
        <v>253304.70668487425</v>
      </c>
      <c r="IY27" s="442">
        <f t="shared" si="29"/>
        <v>253304.70668487425</v>
      </c>
      <c r="IZ27" s="442">
        <f t="shared" si="29"/>
        <v>253304.70668487423</v>
      </c>
      <c r="JA27" s="442">
        <f t="shared" si="29"/>
        <v>253304.7066848742</v>
      </c>
      <c r="JB27" s="442">
        <f t="shared" si="29"/>
        <v>253304.7066848742</v>
      </c>
      <c r="JC27" s="442">
        <f t="shared" si="29"/>
        <v>253304.7066848742</v>
      </c>
      <c r="JD27" s="442">
        <f t="shared" si="29"/>
        <v>253304.7066848742</v>
      </c>
      <c r="JE27" s="442">
        <f t="shared" ref="JE27:LP27" si="30">JE26+JE25</f>
        <v>253304.70668487423</v>
      </c>
      <c r="JF27" s="442">
        <f t="shared" si="30"/>
        <v>253304.70668487425</v>
      </c>
      <c r="JG27" s="442">
        <f t="shared" si="30"/>
        <v>253304.7066848742</v>
      </c>
      <c r="JH27" s="442">
        <f t="shared" si="30"/>
        <v>253304.70668487423</v>
      </c>
      <c r="JI27" s="442">
        <f t="shared" si="30"/>
        <v>253304.70668487423</v>
      </c>
      <c r="JJ27" s="442">
        <f t="shared" si="30"/>
        <v>253304.70668487425</v>
      </c>
      <c r="JK27" s="442">
        <f t="shared" si="30"/>
        <v>253304.70668487425</v>
      </c>
      <c r="JL27" s="442">
        <f t="shared" si="30"/>
        <v>253304.70668487423</v>
      </c>
      <c r="JM27" s="442">
        <f t="shared" si="30"/>
        <v>253304.70668487423</v>
      </c>
      <c r="JN27" s="442">
        <f t="shared" si="30"/>
        <v>253304.70668487425</v>
      </c>
      <c r="JO27" s="442">
        <f t="shared" si="30"/>
        <v>253304.7066848742</v>
      </c>
      <c r="JP27" s="442">
        <f t="shared" si="30"/>
        <v>253304.70668487423</v>
      </c>
      <c r="JQ27" s="442">
        <f t="shared" si="30"/>
        <v>253304.70668487425</v>
      </c>
      <c r="JR27" s="442">
        <f t="shared" si="30"/>
        <v>253304.7066848742</v>
      </c>
      <c r="JS27" s="442">
        <f t="shared" si="30"/>
        <v>253304.70668487425</v>
      </c>
      <c r="JT27" s="442">
        <f t="shared" si="30"/>
        <v>253304.7066848742</v>
      </c>
      <c r="JU27" s="442">
        <f t="shared" si="30"/>
        <v>253304.7066848742</v>
      </c>
      <c r="JV27" s="442">
        <f t="shared" si="30"/>
        <v>253304.70668487425</v>
      </c>
      <c r="JW27" s="442">
        <f t="shared" si="30"/>
        <v>253304.70668487425</v>
      </c>
      <c r="JX27" s="442">
        <f t="shared" si="30"/>
        <v>253304.7066848742</v>
      </c>
      <c r="JY27" s="442">
        <f t="shared" si="30"/>
        <v>253304.70668487423</v>
      </c>
      <c r="JZ27" s="442">
        <f t="shared" si="30"/>
        <v>253304.7066848742</v>
      </c>
      <c r="KA27" s="442">
        <f t="shared" si="30"/>
        <v>253304.70668487423</v>
      </c>
      <c r="KB27" s="442">
        <f t="shared" si="30"/>
        <v>253304.70668487425</v>
      </c>
      <c r="KC27" s="442">
        <f t="shared" si="30"/>
        <v>253304.7066848742</v>
      </c>
      <c r="KD27" s="442">
        <f t="shared" si="30"/>
        <v>253304.7066848742</v>
      </c>
      <c r="KE27" s="442">
        <f t="shared" si="30"/>
        <v>253304.70668487423</v>
      </c>
      <c r="KF27" s="442">
        <f t="shared" si="30"/>
        <v>253304.7066848742</v>
      </c>
      <c r="KG27" s="442">
        <f t="shared" si="30"/>
        <v>253304.70668487423</v>
      </c>
      <c r="KH27" s="442">
        <f t="shared" si="30"/>
        <v>253304.70668487425</v>
      </c>
      <c r="KI27" s="442">
        <f t="shared" si="30"/>
        <v>253304.70668487425</v>
      </c>
      <c r="KJ27" s="442">
        <f t="shared" si="30"/>
        <v>253304.70668487423</v>
      </c>
      <c r="KK27" s="442">
        <f t="shared" si="30"/>
        <v>253304.70668487425</v>
      </c>
      <c r="KL27" s="442">
        <f t="shared" si="30"/>
        <v>253304.70668487425</v>
      </c>
      <c r="KM27" s="442">
        <f t="shared" si="30"/>
        <v>253304.7066848742</v>
      </c>
      <c r="KN27" s="442">
        <f t="shared" si="30"/>
        <v>253304.7066848742</v>
      </c>
      <c r="KO27" s="442">
        <f t="shared" si="30"/>
        <v>253304.70668487423</v>
      </c>
      <c r="KP27" s="442">
        <f t="shared" si="30"/>
        <v>253304.70668487423</v>
      </c>
      <c r="KQ27" s="442">
        <f t="shared" si="30"/>
        <v>253304.7066848742</v>
      </c>
      <c r="KR27" s="442">
        <f t="shared" si="30"/>
        <v>253304.7066848742</v>
      </c>
      <c r="KS27" s="442">
        <f t="shared" si="30"/>
        <v>253304.7066848742</v>
      </c>
      <c r="KT27" s="442">
        <f t="shared" si="30"/>
        <v>253304.7066848742</v>
      </c>
      <c r="KU27" s="442">
        <f t="shared" si="30"/>
        <v>253304.7066848742</v>
      </c>
      <c r="KV27" s="442">
        <f t="shared" si="30"/>
        <v>253304.7066848742</v>
      </c>
      <c r="KW27" s="442">
        <f t="shared" si="30"/>
        <v>253304.70668487425</v>
      </c>
      <c r="KX27" s="442">
        <f t="shared" si="30"/>
        <v>253304.7066848742</v>
      </c>
      <c r="KY27" s="442">
        <f t="shared" si="30"/>
        <v>253304.70668487423</v>
      </c>
      <c r="KZ27" s="442">
        <f t="shared" si="30"/>
        <v>253304.7066848742</v>
      </c>
      <c r="LA27" s="442">
        <f t="shared" si="30"/>
        <v>253304.70668487423</v>
      </c>
      <c r="LB27" s="442">
        <f t="shared" si="30"/>
        <v>253304.70668487423</v>
      </c>
      <c r="LC27" s="442">
        <f t="shared" si="30"/>
        <v>253304.7066848742</v>
      </c>
      <c r="LD27" s="442">
        <f t="shared" si="30"/>
        <v>253304.70668487425</v>
      </c>
      <c r="LE27" s="442">
        <f t="shared" si="30"/>
        <v>253304.70668487423</v>
      </c>
      <c r="LF27" s="442">
        <f t="shared" si="30"/>
        <v>253304.70668487423</v>
      </c>
      <c r="LG27" s="442">
        <f t="shared" si="30"/>
        <v>253304.70668487425</v>
      </c>
      <c r="LH27" s="442">
        <f t="shared" si="30"/>
        <v>253304.7066848742</v>
      </c>
      <c r="LI27" s="442">
        <f t="shared" si="30"/>
        <v>253304.70668487425</v>
      </c>
      <c r="LJ27" s="442">
        <f t="shared" si="30"/>
        <v>253304.70668487423</v>
      </c>
      <c r="LK27" s="442">
        <f t="shared" si="30"/>
        <v>253304.7066848742</v>
      </c>
      <c r="LL27" s="442">
        <f t="shared" si="30"/>
        <v>253304.70668487423</v>
      </c>
      <c r="LM27" s="442">
        <f t="shared" si="30"/>
        <v>253304.70668487423</v>
      </c>
      <c r="LN27" s="442">
        <f t="shared" si="30"/>
        <v>253304.70668487425</v>
      </c>
      <c r="LO27" s="442">
        <f t="shared" si="30"/>
        <v>253304.70668487423</v>
      </c>
      <c r="LP27" s="442">
        <f t="shared" si="30"/>
        <v>253304.7066848742</v>
      </c>
      <c r="LQ27" s="442">
        <f t="shared" ref="LQ27:NC27" si="31">LQ26+LQ25</f>
        <v>253304.70668487423</v>
      </c>
      <c r="LR27" s="442">
        <f t="shared" si="31"/>
        <v>253304.70668487425</v>
      </c>
      <c r="LS27" s="442">
        <f t="shared" si="31"/>
        <v>253304.7066848742</v>
      </c>
      <c r="LT27" s="442">
        <f t="shared" si="31"/>
        <v>253304.70668487423</v>
      </c>
      <c r="LU27" s="442">
        <f t="shared" si="31"/>
        <v>253304.70668487423</v>
      </c>
      <c r="LV27" s="442">
        <f t="shared" si="31"/>
        <v>253304.7066848742</v>
      </c>
      <c r="LW27" s="442">
        <f t="shared" si="31"/>
        <v>253304.70668487423</v>
      </c>
      <c r="LX27" s="442">
        <f t="shared" si="31"/>
        <v>253304.70668487425</v>
      </c>
      <c r="LY27" s="442">
        <f t="shared" si="31"/>
        <v>253304.7066848742</v>
      </c>
      <c r="LZ27" s="442">
        <f t="shared" si="31"/>
        <v>253304.7066848742</v>
      </c>
      <c r="MA27" s="442">
        <f t="shared" si="31"/>
        <v>253304.70668487423</v>
      </c>
      <c r="MB27" s="442">
        <f t="shared" si="31"/>
        <v>253304.7066848742</v>
      </c>
      <c r="MC27" s="442">
        <f t="shared" si="31"/>
        <v>253304.7066848742</v>
      </c>
      <c r="MD27" s="442">
        <f t="shared" si="31"/>
        <v>253304.7066848742</v>
      </c>
      <c r="ME27" s="442">
        <f t="shared" si="31"/>
        <v>253304.70668487423</v>
      </c>
      <c r="MF27" s="442">
        <f t="shared" si="31"/>
        <v>253304.70668487423</v>
      </c>
      <c r="MG27" s="442">
        <f t="shared" si="31"/>
        <v>253304.7066848742</v>
      </c>
      <c r="MH27" s="442">
        <f t="shared" si="31"/>
        <v>253304.70668487423</v>
      </c>
      <c r="MI27" s="442">
        <f t="shared" si="31"/>
        <v>253304.7066848742</v>
      </c>
      <c r="MJ27" s="442">
        <f t="shared" si="31"/>
        <v>253304.7066848742</v>
      </c>
      <c r="MK27" s="442">
        <f t="shared" si="31"/>
        <v>253304.7066848742</v>
      </c>
      <c r="ML27" s="442">
        <f t="shared" si="31"/>
        <v>253304.70668487423</v>
      </c>
      <c r="MM27" s="442">
        <f t="shared" si="31"/>
        <v>253304.70668487423</v>
      </c>
      <c r="MN27" s="442">
        <f t="shared" si="31"/>
        <v>253304.7066848742</v>
      </c>
      <c r="MO27" s="442">
        <f t="shared" si="31"/>
        <v>253304.7066848742</v>
      </c>
      <c r="MP27" s="442">
        <f t="shared" si="31"/>
        <v>253304.7066848742</v>
      </c>
      <c r="MQ27" s="442">
        <f t="shared" si="31"/>
        <v>253304.70668487423</v>
      </c>
      <c r="MR27" s="442">
        <f t="shared" si="31"/>
        <v>253304.7066848742</v>
      </c>
      <c r="MS27" s="442">
        <f t="shared" si="31"/>
        <v>253304.7066848742</v>
      </c>
      <c r="MT27" s="442">
        <f t="shared" si="31"/>
        <v>253304.7066848742</v>
      </c>
      <c r="MU27" s="442">
        <f t="shared" si="31"/>
        <v>253304.7066848742</v>
      </c>
      <c r="MV27" s="442">
        <f t="shared" si="31"/>
        <v>253304.70668487423</v>
      </c>
      <c r="MW27" s="442">
        <f t="shared" si="31"/>
        <v>253304.70668487423</v>
      </c>
      <c r="MX27" s="442">
        <f t="shared" si="31"/>
        <v>253304.70668487425</v>
      </c>
      <c r="MY27" s="442">
        <f t="shared" si="31"/>
        <v>253304.7066848742</v>
      </c>
      <c r="MZ27" s="442">
        <f t="shared" si="31"/>
        <v>253304.7066848742</v>
      </c>
      <c r="NA27" s="442">
        <f t="shared" si="31"/>
        <v>253304.70668487423</v>
      </c>
      <c r="NB27" s="442">
        <f t="shared" si="31"/>
        <v>253304.7066848742</v>
      </c>
      <c r="NC27" s="442">
        <f t="shared" si="31"/>
        <v>253304.7066848742</v>
      </c>
      <c r="ND27" s="442"/>
      <c r="NE27" s="442"/>
      <c r="NF27" s="442"/>
      <c r="NG27" s="442"/>
      <c r="NH27" s="442"/>
      <c r="NI27" s="442"/>
      <c r="NJ27" s="442"/>
      <c r="NK27" s="442"/>
      <c r="NL27" s="442"/>
      <c r="NM27" s="442"/>
      <c r="NN27" s="442"/>
      <c r="NO27" s="442"/>
      <c r="NP27" s="442"/>
      <c r="NQ27" s="442"/>
      <c r="NR27" s="442"/>
      <c r="NS27" s="442"/>
      <c r="NT27" s="442"/>
      <c r="NU27" s="442"/>
      <c r="NV27" s="442"/>
      <c r="NW27" s="442"/>
      <c r="NX27" s="442"/>
      <c r="NY27" s="442"/>
      <c r="NZ27" s="442"/>
      <c r="OA27" s="442"/>
      <c r="OB27" s="442"/>
      <c r="OC27" s="442"/>
      <c r="OD27" s="442"/>
      <c r="OE27" s="442"/>
      <c r="OF27" s="442"/>
      <c r="OG27" s="442"/>
    </row>
    <row r="28" spans="1:16383">
      <c r="B28" s="7" t="s">
        <v>461</v>
      </c>
      <c r="H28" s="442">
        <f>IF(MONTH(H23)=2,ROUND($C$8*$C$16*YEARFRAC(H23,G23),2),G28)</f>
        <v>9830.42</v>
      </c>
      <c r="I28" s="442">
        <f>IF(MONTH(I23)=2,ROUND(H32*$C$16*YEARFRAC(I23,H23),2),H28)</f>
        <v>9830.42</v>
      </c>
      <c r="J28" s="442">
        <f t="shared" ref="J28:BU28" si="32">IF(MONTH(J23)=2,ROUND(I32*$C$16*YEARFRAC(J23,I23),2),I28)</f>
        <v>9830.42</v>
      </c>
      <c r="K28" s="442">
        <f t="shared" si="32"/>
        <v>9830.42</v>
      </c>
      <c r="L28" s="442">
        <f t="shared" si="32"/>
        <v>9830.42</v>
      </c>
      <c r="M28" s="442">
        <f t="shared" si="32"/>
        <v>9830.42</v>
      </c>
      <c r="N28" s="442">
        <f t="shared" si="32"/>
        <v>9830.42</v>
      </c>
      <c r="O28" s="442">
        <f t="shared" si="32"/>
        <v>9830.42</v>
      </c>
      <c r="P28" s="442">
        <f t="shared" si="32"/>
        <v>9830.42</v>
      </c>
      <c r="Q28" s="442">
        <f t="shared" si="32"/>
        <v>9830.42</v>
      </c>
      <c r="R28" s="442">
        <f t="shared" si="32"/>
        <v>9830.42</v>
      </c>
      <c r="S28" s="442">
        <f t="shared" si="32"/>
        <v>9830.42</v>
      </c>
      <c r="T28" s="442">
        <f t="shared" si="32"/>
        <v>9685.3799999999992</v>
      </c>
      <c r="U28" s="442">
        <f t="shared" si="32"/>
        <v>9685.3799999999992</v>
      </c>
      <c r="V28" s="442">
        <f t="shared" si="32"/>
        <v>9685.3799999999992</v>
      </c>
      <c r="W28" s="442">
        <f t="shared" si="32"/>
        <v>9685.3799999999992</v>
      </c>
      <c r="X28" s="442">
        <f t="shared" si="32"/>
        <v>9685.3799999999992</v>
      </c>
      <c r="Y28" s="442">
        <f t="shared" si="32"/>
        <v>9685.3799999999992</v>
      </c>
      <c r="Z28" s="442">
        <f t="shared" si="32"/>
        <v>9685.3799999999992</v>
      </c>
      <c r="AA28" s="442">
        <f t="shared" si="32"/>
        <v>9685.3799999999992</v>
      </c>
      <c r="AB28" s="442">
        <f t="shared" si="32"/>
        <v>9685.3799999999992</v>
      </c>
      <c r="AC28" s="442">
        <f t="shared" si="32"/>
        <v>9685.3799999999992</v>
      </c>
      <c r="AD28" s="442">
        <f t="shared" si="32"/>
        <v>9685.3799999999992</v>
      </c>
      <c r="AE28" s="442">
        <f t="shared" si="32"/>
        <v>9685.3799999999992</v>
      </c>
      <c r="AF28" s="442">
        <f t="shared" si="32"/>
        <v>9532.93</v>
      </c>
      <c r="AG28" s="442">
        <f t="shared" si="32"/>
        <v>9532.93</v>
      </c>
      <c r="AH28" s="442">
        <f t="shared" si="32"/>
        <v>9532.93</v>
      </c>
      <c r="AI28" s="442">
        <f t="shared" si="32"/>
        <v>9532.93</v>
      </c>
      <c r="AJ28" s="442">
        <f t="shared" si="32"/>
        <v>9532.93</v>
      </c>
      <c r="AK28" s="442">
        <f t="shared" si="32"/>
        <v>9532.93</v>
      </c>
      <c r="AL28" s="442">
        <f t="shared" si="32"/>
        <v>9532.93</v>
      </c>
      <c r="AM28" s="442">
        <f t="shared" si="32"/>
        <v>9532.93</v>
      </c>
      <c r="AN28" s="442">
        <f t="shared" si="32"/>
        <v>9532.93</v>
      </c>
      <c r="AO28" s="442">
        <f t="shared" si="32"/>
        <v>9532.93</v>
      </c>
      <c r="AP28" s="442">
        <f t="shared" si="32"/>
        <v>9532.93</v>
      </c>
      <c r="AQ28" s="442">
        <f t="shared" si="32"/>
        <v>9532.93</v>
      </c>
      <c r="AR28" s="442">
        <f t="shared" si="32"/>
        <v>9372.67</v>
      </c>
      <c r="AS28" s="442">
        <f t="shared" si="32"/>
        <v>9372.67</v>
      </c>
      <c r="AT28" s="442">
        <f t="shared" si="32"/>
        <v>9372.67</v>
      </c>
      <c r="AU28" s="442">
        <f t="shared" si="32"/>
        <v>9372.67</v>
      </c>
      <c r="AV28" s="442">
        <f t="shared" si="32"/>
        <v>9372.67</v>
      </c>
      <c r="AW28" s="442">
        <f t="shared" si="32"/>
        <v>9372.67</v>
      </c>
      <c r="AX28" s="442">
        <f t="shared" si="32"/>
        <v>9372.67</v>
      </c>
      <c r="AY28" s="442">
        <f t="shared" si="32"/>
        <v>9372.67</v>
      </c>
      <c r="AZ28" s="442">
        <f t="shared" si="32"/>
        <v>9372.67</v>
      </c>
      <c r="BA28" s="442">
        <f t="shared" si="32"/>
        <v>9372.67</v>
      </c>
      <c r="BB28" s="442">
        <f t="shared" si="32"/>
        <v>9372.67</v>
      </c>
      <c r="BC28" s="442">
        <f t="shared" si="32"/>
        <v>9372.67</v>
      </c>
      <c r="BD28" s="442">
        <f t="shared" si="32"/>
        <v>9204.2199999999993</v>
      </c>
      <c r="BE28" s="442">
        <f t="shared" si="32"/>
        <v>9204.2199999999993</v>
      </c>
      <c r="BF28" s="442">
        <f t="shared" si="32"/>
        <v>9204.2199999999993</v>
      </c>
      <c r="BG28" s="442">
        <f t="shared" si="32"/>
        <v>9204.2199999999993</v>
      </c>
      <c r="BH28" s="442">
        <f t="shared" si="32"/>
        <v>9204.2199999999993</v>
      </c>
      <c r="BI28" s="442">
        <f t="shared" si="32"/>
        <v>9204.2199999999993</v>
      </c>
      <c r="BJ28" s="442">
        <f t="shared" si="32"/>
        <v>9204.2199999999993</v>
      </c>
      <c r="BK28" s="442">
        <f t="shared" si="32"/>
        <v>9204.2199999999993</v>
      </c>
      <c r="BL28" s="442">
        <f t="shared" si="32"/>
        <v>9204.2199999999993</v>
      </c>
      <c r="BM28" s="442">
        <f t="shared" si="32"/>
        <v>9204.2199999999993</v>
      </c>
      <c r="BN28" s="442">
        <f t="shared" si="32"/>
        <v>9204.2199999999993</v>
      </c>
      <c r="BO28" s="442">
        <f t="shared" si="32"/>
        <v>9204.2199999999993</v>
      </c>
      <c r="BP28" s="442">
        <f t="shared" si="32"/>
        <v>9027.15</v>
      </c>
      <c r="BQ28" s="442">
        <f t="shared" si="32"/>
        <v>9027.15</v>
      </c>
      <c r="BR28" s="442">
        <f t="shared" si="32"/>
        <v>9027.15</v>
      </c>
      <c r="BS28" s="442">
        <f t="shared" si="32"/>
        <v>9027.15</v>
      </c>
      <c r="BT28" s="442">
        <f t="shared" si="32"/>
        <v>9027.15</v>
      </c>
      <c r="BU28" s="442">
        <f t="shared" si="32"/>
        <v>9027.15</v>
      </c>
      <c r="BV28" s="442">
        <f t="shared" ref="BV28:EG28" si="33">IF(MONTH(BV23)=2,ROUND(BU32*$C$16*YEARFRAC(BV23,BU23),2),BU28)</f>
        <v>9027.15</v>
      </c>
      <c r="BW28" s="442">
        <f t="shared" si="33"/>
        <v>9027.15</v>
      </c>
      <c r="BX28" s="442">
        <f t="shared" si="33"/>
        <v>9027.15</v>
      </c>
      <c r="BY28" s="442">
        <f t="shared" si="33"/>
        <v>9027.15</v>
      </c>
      <c r="BZ28" s="442">
        <f t="shared" si="33"/>
        <v>9027.15</v>
      </c>
      <c r="CA28" s="442">
        <f t="shared" si="33"/>
        <v>9027.15</v>
      </c>
      <c r="CB28" s="442">
        <f t="shared" si="33"/>
        <v>8841.02</v>
      </c>
      <c r="CC28" s="442">
        <f t="shared" si="33"/>
        <v>8841.02</v>
      </c>
      <c r="CD28" s="442">
        <f t="shared" si="33"/>
        <v>8841.02</v>
      </c>
      <c r="CE28" s="442">
        <f t="shared" si="33"/>
        <v>8841.02</v>
      </c>
      <c r="CF28" s="442">
        <f t="shared" si="33"/>
        <v>8841.02</v>
      </c>
      <c r="CG28" s="442">
        <f t="shared" si="33"/>
        <v>8841.02</v>
      </c>
      <c r="CH28" s="442">
        <f t="shared" si="33"/>
        <v>8841.02</v>
      </c>
      <c r="CI28" s="442">
        <f t="shared" si="33"/>
        <v>8841.02</v>
      </c>
      <c r="CJ28" s="442">
        <f t="shared" si="33"/>
        <v>8841.02</v>
      </c>
      <c r="CK28" s="442">
        <f t="shared" si="33"/>
        <v>8841.02</v>
      </c>
      <c r="CL28" s="442">
        <f t="shared" si="33"/>
        <v>8841.02</v>
      </c>
      <c r="CM28" s="442">
        <f t="shared" si="33"/>
        <v>8841.02</v>
      </c>
      <c r="CN28" s="442">
        <f t="shared" si="33"/>
        <v>8645.36</v>
      </c>
      <c r="CO28" s="442">
        <f t="shared" si="33"/>
        <v>8645.36</v>
      </c>
      <c r="CP28" s="442">
        <f t="shared" si="33"/>
        <v>8645.36</v>
      </c>
      <c r="CQ28" s="442">
        <f t="shared" si="33"/>
        <v>8645.36</v>
      </c>
      <c r="CR28" s="442">
        <f t="shared" si="33"/>
        <v>8645.36</v>
      </c>
      <c r="CS28" s="442">
        <f t="shared" si="33"/>
        <v>8645.36</v>
      </c>
      <c r="CT28" s="442">
        <f t="shared" si="33"/>
        <v>8645.36</v>
      </c>
      <c r="CU28" s="442">
        <f t="shared" si="33"/>
        <v>8645.36</v>
      </c>
      <c r="CV28" s="442">
        <f t="shared" si="33"/>
        <v>8645.36</v>
      </c>
      <c r="CW28" s="442">
        <f t="shared" si="33"/>
        <v>8645.36</v>
      </c>
      <c r="CX28" s="442">
        <f t="shared" si="33"/>
        <v>8645.36</v>
      </c>
      <c r="CY28" s="442">
        <f t="shared" si="33"/>
        <v>8645.36</v>
      </c>
      <c r="CZ28" s="442">
        <f t="shared" si="33"/>
        <v>8439.7000000000007</v>
      </c>
      <c r="DA28" s="442">
        <f t="shared" si="33"/>
        <v>8439.7000000000007</v>
      </c>
      <c r="DB28" s="442">
        <f t="shared" si="33"/>
        <v>8439.7000000000007</v>
      </c>
      <c r="DC28" s="442">
        <f t="shared" si="33"/>
        <v>8439.7000000000007</v>
      </c>
      <c r="DD28" s="442">
        <f t="shared" si="33"/>
        <v>8439.7000000000007</v>
      </c>
      <c r="DE28" s="442">
        <f t="shared" si="33"/>
        <v>8439.7000000000007</v>
      </c>
      <c r="DF28" s="442">
        <f t="shared" si="33"/>
        <v>8439.7000000000007</v>
      </c>
      <c r="DG28" s="442">
        <f t="shared" si="33"/>
        <v>8439.7000000000007</v>
      </c>
      <c r="DH28" s="442">
        <f t="shared" si="33"/>
        <v>8439.7000000000007</v>
      </c>
      <c r="DI28" s="442">
        <f t="shared" si="33"/>
        <v>8439.7000000000007</v>
      </c>
      <c r="DJ28" s="442">
        <f t="shared" si="33"/>
        <v>8439.7000000000007</v>
      </c>
      <c r="DK28" s="442">
        <f t="shared" si="33"/>
        <v>8439.7000000000007</v>
      </c>
      <c r="DL28" s="442">
        <f t="shared" si="33"/>
        <v>8223.51</v>
      </c>
      <c r="DM28" s="442">
        <f t="shared" si="33"/>
        <v>8223.51</v>
      </c>
      <c r="DN28" s="442">
        <f t="shared" si="33"/>
        <v>8223.51</v>
      </c>
      <c r="DO28" s="442">
        <f t="shared" si="33"/>
        <v>8223.51</v>
      </c>
      <c r="DP28" s="442">
        <f t="shared" si="33"/>
        <v>8223.51</v>
      </c>
      <c r="DQ28" s="442">
        <f t="shared" si="33"/>
        <v>8223.51</v>
      </c>
      <c r="DR28" s="442">
        <f t="shared" si="33"/>
        <v>8223.51</v>
      </c>
      <c r="DS28" s="442">
        <f t="shared" si="33"/>
        <v>8223.51</v>
      </c>
      <c r="DT28" s="442">
        <f t="shared" si="33"/>
        <v>8223.51</v>
      </c>
      <c r="DU28" s="442">
        <f t="shared" si="33"/>
        <v>8223.51</v>
      </c>
      <c r="DV28" s="442">
        <f t="shared" si="33"/>
        <v>8223.51</v>
      </c>
      <c r="DW28" s="442">
        <f t="shared" si="33"/>
        <v>8223.51</v>
      </c>
      <c r="DX28" s="442">
        <f t="shared" si="33"/>
        <v>7996.27</v>
      </c>
      <c r="DY28" s="442">
        <f t="shared" si="33"/>
        <v>7996.27</v>
      </c>
      <c r="DZ28" s="442">
        <f t="shared" si="33"/>
        <v>7996.27</v>
      </c>
      <c r="EA28" s="442">
        <f t="shared" si="33"/>
        <v>7996.27</v>
      </c>
      <c r="EB28" s="442">
        <f t="shared" si="33"/>
        <v>7996.27</v>
      </c>
      <c r="EC28" s="442">
        <f t="shared" si="33"/>
        <v>7996.27</v>
      </c>
      <c r="ED28" s="442">
        <f t="shared" si="33"/>
        <v>7996.27</v>
      </c>
      <c r="EE28" s="442">
        <f t="shared" si="33"/>
        <v>7996.27</v>
      </c>
      <c r="EF28" s="442">
        <f t="shared" si="33"/>
        <v>7996.27</v>
      </c>
      <c r="EG28" s="442">
        <f t="shared" si="33"/>
        <v>7996.27</v>
      </c>
      <c r="EH28" s="442">
        <f t="shared" ref="EH28:GS28" si="34">IF(MONTH(EH23)=2,ROUND(EG32*$C$16*YEARFRAC(EH23,EG23),2),EG28)</f>
        <v>7996.27</v>
      </c>
      <c r="EI28" s="442">
        <f t="shared" si="34"/>
        <v>7996.27</v>
      </c>
      <c r="EJ28" s="442">
        <f t="shared" si="34"/>
        <v>7757.39</v>
      </c>
      <c r="EK28" s="442">
        <f t="shared" si="34"/>
        <v>7757.39</v>
      </c>
      <c r="EL28" s="442">
        <f t="shared" si="34"/>
        <v>7757.39</v>
      </c>
      <c r="EM28" s="442">
        <f t="shared" si="34"/>
        <v>7757.39</v>
      </c>
      <c r="EN28" s="442">
        <f t="shared" si="34"/>
        <v>7757.39</v>
      </c>
      <c r="EO28" s="442">
        <f t="shared" si="34"/>
        <v>7757.39</v>
      </c>
      <c r="EP28" s="442">
        <f t="shared" si="34"/>
        <v>7757.39</v>
      </c>
      <c r="EQ28" s="442">
        <f t="shared" si="34"/>
        <v>7757.39</v>
      </c>
      <c r="ER28" s="442">
        <f t="shared" si="34"/>
        <v>7757.39</v>
      </c>
      <c r="ES28" s="442">
        <f t="shared" si="34"/>
        <v>7757.39</v>
      </c>
      <c r="ET28" s="442">
        <f t="shared" si="34"/>
        <v>7757.39</v>
      </c>
      <c r="EU28" s="442">
        <f t="shared" si="34"/>
        <v>7757.39</v>
      </c>
      <c r="EV28" s="442">
        <f t="shared" si="34"/>
        <v>7506.3</v>
      </c>
      <c r="EW28" s="442">
        <f t="shared" si="34"/>
        <v>7506.3</v>
      </c>
      <c r="EX28" s="442">
        <f t="shared" si="34"/>
        <v>7506.3</v>
      </c>
      <c r="EY28" s="442">
        <f t="shared" si="34"/>
        <v>7506.3</v>
      </c>
      <c r="EZ28" s="442">
        <f t="shared" si="34"/>
        <v>7506.3</v>
      </c>
      <c r="FA28" s="442">
        <f t="shared" si="34"/>
        <v>7506.3</v>
      </c>
      <c r="FB28" s="442">
        <f t="shared" si="34"/>
        <v>7506.3</v>
      </c>
      <c r="FC28" s="442">
        <f t="shared" si="34"/>
        <v>7506.3</v>
      </c>
      <c r="FD28" s="442">
        <f t="shared" si="34"/>
        <v>7506.3</v>
      </c>
      <c r="FE28" s="442">
        <f t="shared" si="34"/>
        <v>7506.3</v>
      </c>
      <c r="FF28" s="442">
        <f t="shared" si="34"/>
        <v>7506.3</v>
      </c>
      <c r="FG28" s="442">
        <f t="shared" si="34"/>
        <v>7506.3</v>
      </c>
      <c r="FH28" s="442">
        <f t="shared" si="34"/>
        <v>7242.36</v>
      </c>
      <c r="FI28" s="442">
        <f t="shared" si="34"/>
        <v>7242.36</v>
      </c>
      <c r="FJ28" s="442">
        <f t="shared" si="34"/>
        <v>7242.36</v>
      </c>
      <c r="FK28" s="442">
        <f t="shared" si="34"/>
        <v>7242.36</v>
      </c>
      <c r="FL28" s="442">
        <f t="shared" si="34"/>
        <v>7242.36</v>
      </c>
      <c r="FM28" s="442">
        <f t="shared" si="34"/>
        <v>7242.36</v>
      </c>
      <c r="FN28" s="442">
        <f t="shared" si="34"/>
        <v>7242.36</v>
      </c>
      <c r="FO28" s="442">
        <f t="shared" si="34"/>
        <v>7242.36</v>
      </c>
      <c r="FP28" s="442">
        <f t="shared" si="34"/>
        <v>7242.36</v>
      </c>
      <c r="FQ28" s="442">
        <f t="shared" si="34"/>
        <v>7242.36</v>
      </c>
      <c r="FR28" s="442">
        <f t="shared" si="34"/>
        <v>7242.36</v>
      </c>
      <c r="FS28" s="442">
        <f t="shared" si="34"/>
        <v>7242.36</v>
      </c>
      <c r="FT28" s="442">
        <f t="shared" si="34"/>
        <v>6964.91</v>
      </c>
      <c r="FU28" s="442">
        <f t="shared" si="34"/>
        <v>6964.91</v>
      </c>
      <c r="FV28" s="442">
        <f t="shared" si="34"/>
        <v>6964.91</v>
      </c>
      <c r="FW28" s="442">
        <f t="shared" si="34"/>
        <v>6964.91</v>
      </c>
      <c r="FX28" s="442">
        <f t="shared" si="34"/>
        <v>6964.91</v>
      </c>
      <c r="FY28" s="442">
        <f t="shared" si="34"/>
        <v>6964.91</v>
      </c>
      <c r="FZ28" s="442">
        <f t="shared" si="34"/>
        <v>6964.91</v>
      </c>
      <c r="GA28" s="442">
        <f t="shared" si="34"/>
        <v>6964.91</v>
      </c>
      <c r="GB28" s="442">
        <f t="shared" si="34"/>
        <v>6964.91</v>
      </c>
      <c r="GC28" s="442">
        <f t="shared" si="34"/>
        <v>6964.91</v>
      </c>
      <c r="GD28" s="442">
        <f t="shared" si="34"/>
        <v>6964.91</v>
      </c>
      <c r="GE28" s="442">
        <f t="shared" si="34"/>
        <v>6964.91</v>
      </c>
      <c r="GF28" s="442">
        <f t="shared" si="34"/>
        <v>6673.27</v>
      </c>
      <c r="GG28" s="442">
        <f t="shared" si="34"/>
        <v>6673.27</v>
      </c>
      <c r="GH28" s="442">
        <f t="shared" si="34"/>
        <v>6673.27</v>
      </c>
      <c r="GI28" s="442">
        <f t="shared" si="34"/>
        <v>6673.27</v>
      </c>
      <c r="GJ28" s="442">
        <f t="shared" si="34"/>
        <v>6673.27</v>
      </c>
      <c r="GK28" s="442">
        <f t="shared" si="34"/>
        <v>6673.27</v>
      </c>
      <c r="GL28" s="442">
        <f t="shared" si="34"/>
        <v>6673.27</v>
      </c>
      <c r="GM28" s="442">
        <f t="shared" si="34"/>
        <v>6673.27</v>
      </c>
      <c r="GN28" s="442">
        <f t="shared" si="34"/>
        <v>6673.27</v>
      </c>
      <c r="GO28" s="442">
        <f t="shared" si="34"/>
        <v>6673.27</v>
      </c>
      <c r="GP28" s="442">
        <f t="shared" si="34"/>
        <v>6673.27</v>
      </c>
      <c r="GQ28" s="442">
        <f t="shared" si="34"/>
        <v>6673.27</v>
      </c>
      <c r="GR28" s="442">
        <f t="shared" si="34"/>
        <v>6366.71</v>
      </c>
      <c r="GS28" s="442">
        <f t="shared" si="34"/>
        <v>6366.71</v>
      </c>
      <c r="GT28" s="442">
        <f t="shared" ref="GT28:JE28" si="35">IF(MONTH(GT23)=2,ROUND(GS32*$C$16*YEARFRAC(GT23,GS23),2),GS28)</f>
        <v>6366.71</v>
      </c>
      <c r="GU28" s="442">
        <f t="shared" si="35"/>
        <v>6366.71</v>
      </c>
      <c r="GV28" s="442">
        <f t="shared" si="35"/>
        <v>6366.71</v>
      </c>
      <c r="GW28" s="442">
        <f t="shared" si="35"/>
        <v>6366.71</v>
      </c>
      <c r="GX28" s="442">
        <f t="shared" si="35"/>
        <v>6366.71</v>
      </c>
      <c r="GY28" s="442">
        <f t="shared" si="35"/>
        <v>6366.71</v>
      </c>
      <c r="GZ28" s="442">
        <f t="shared" si="35"/>
        <v>6366.71</v>
      </c>
      <c r="HA28" s="442">
        <f t="shared" si="35"/>
        <v>6366.71</v>
      </c>
      <c r="HB28" s="442">
        <f t="shared" si="35"/>
        <v>6366.71</v>
      </c>
      <c r="HC28" s="442">
        <f t="shared" si="35"/>
        <v>6366.71</v>
      </c>
      <c r="HD28" s="442">
        <f t="shared" si="35"/>
        <v>6044.47</v>
      </c>
      <c r="HE28" s="442">
        <f t="shared" si="35"/>
        <v>6044.47</v>
      </c>
      <c r="HF28" s="442">
        <f t="shared" si="35"/>
        <v>6044.47</v>
      </c>
      <c r="HG28" s="442">
        <f t="shared" si="35"/>
        <v>6044.47</v>
      </c>
      <c r="HH28" s="442">
        <f t="shared" si="35"/>
        <v>6044.47</v>
      </c>
      <c r="HI28" s="442">
        <f t="shared" si="35"/>
        <v>6044.47</v>
      </c>
      <c r="HJ28" s="442">
        <f t="shared" si="35"/>
        <v>6044.47</v>
      </c>
      <c r="HK28" s="442">
        <f t="shared" si="35"/>
        <v>6044.47</v>
      </c>
      <c r="HL28" s="442">
        <f t="shared" si="35"/>
        <v>6044.47</v>
      </c>
      <c r="HM28" s="442">
        <f t="shared" si="35"/>
        <v>6044.47</v>
      </c>
      <c r="HN28" s="442">
        <f t="shared" si="35"/>
        <v>6044.47</v>
      </c>
      <c r="HO28" s="442">
        <f t="shared" si="35"/>
        <v>6044.47</v>
      </c>
      <c r="HP28" s="442">
        <f t="shared" si="35"/>
        <v>5705.74</v>
      </c>
      <c r="HQ28" s="442">
        <f t="shared" si="35"/>
        <v>5705.74</v>
      </c>
      <c r="HR28" s="442">
        <f t="shared" si="35"/>
        <v>5705.74</v>
      </c>
      <c r="HS28" s="442">
        <f t="shared" si="35"/>
        <v>5705.74</v>
      </c>
      <c r="HT28" s="442">
        <f t="shared" si="35"/>
        <v>5705.74</v>
      </c>
      <c r="HU28" s="442">
        <f t="shared" si="35"/>
        <v>5705.74</v>
      </c>
      <c r="HV28" s="442">
        <f t="shared" si="35"/>
        <v>5705.74</v>
      </c>
      <c r="HW28" s="442">
        <f t="shared" si="35"/>
        <v>5705.74</v>
      </c>
      <c r="HX28" s="442">
        <f t="shared" si="35"/>
        <v>5705.74</v>
      </c>
      <c r="HY28" s="442">
        <f t="shared" si="35"/>
        <v>5705.74</v>
      </c>
      <c r="HZ28" s="442">
        <f t="shared" si="35"/>
        <v>5705.74</v>
      </c>
      <c r="IA28" s="442">
        <f t="shared" si="35"/>
        <v>5705.74</v>
      </c>
      <c r="IB28" s="442">
        <f t="shared" si="35"/>
        <v>5349.68</v>
      </c>
      <c r="IC28" s="442">
        <f t="shared" si="35"/>
        <v>5349.68</v>
      </c>
      <c r="ID28" s="442">
        <f t="shared" si="35"/>
        <v>5349.68</v>
      </c>
      <c r="IE28" s="442">
        <f t="shared" si="35"/>
        <v>5349.68</v>
      </c>
      <c r="IF28" s="442">
        <f t="shared" si="35"/>
        <v>5349.68</v>
      </c>
      <c r="IG28" s="442">
        <f t="shared" si="35"/>
        <v>5349.68</v>
      </c>
      <c r="IH28" s="442">
        <f t="shared" si="35"/>
        <v>5349.68</v>
      </c>
      <c r="II28" s="442">
        <f t="shared" si="35"/>
        <v>5349.68</v>
      </c>
      <c r="IJ28" s="442">
        <f t="shared" si="35"/>
        <v>5349.68</v>
      </c>
      <c r="IK28" s="442">
        <f t="shared" si="35"/>
        <v>5349.68</v>
      </c>
      <c r="IL28" s="442">
        <f t="shared" si="35"/>
        <v>5349.68</v>
      </c>
      <c r="IM28" s="442">
        <f t="shared" si="35"/>
        <v>5349.68</v>
      </c>
      <c r="IN28" s="442">
        <f t="shared" si="35"/>
        <v>4975.3999999999996</v>
      </c>
      <c r="IO28" s="442">
        <f t="shared" si="35"/>
        <v>4975.3999999999996</v>
      </c>
      <c r="IP28" s="442">
        <f t="shared" si="35"/>
        <v>4975.3999999999996</v>
      </c>
      <c r="IQ28" s="442">
        <f t="shared" si="35"/>
        <v>4975.3999999999996</v>
      </c>
      <c r="IR28" s="442">
        <f t="shared" si="35"/>
        <v>4975.3999999999996</v>
      </c>
      <c r="IS28" s="442">
        <f t="shared" si="35"/>
        <v>4975.3999999999996</v>
      </c>
      <c r="IT28" s="442">
        <f t="shared" si="35"/>
        <v>4975.3999999999996</v>
      </c>
      <c r="IU28" s="442">
        <f t="shared" si="35"/>
        <v>4975.3999999999996</v>
      </c>
      <c r="IV28" s="442">
        <f t="shared" si="35"/>
        <v>4975.3999999999996</v>
      </c>
      <c r="IW28" s="442">
        <f t="shared" si="35"/>
        <v>4975.3999999999996</v>
      </c>
      <c r="IX28" s="442">
        <f t="shared" si="35"/>
        <v>4975.3999999999996</v>
      </c>
      <c r="IY28" s="442">
        <f t="shared" si="35"/>
        <v>4975.3999999999996</v>
      </c>
      <c r="IZ28" s="442">
        <f t="shared" si="35"/>
        <v>4581.97</v>
      </c>
      <c r="JA28" s="442">
        <f t="shared" si="35"/>
        <v>4581.97</v>
      </c>
      <c r="JB28" s="442">
        <f t="shared" si="35"/>
        <v>4581.97</v>
      </c>
      <c r="JC28" s="442">
        <f t="shared" si="35"/>
        <v>4581.97</v>
      </c>
      <c r="JD28" s="442">
        <f t="shared" si="35"/>
        <v>4581.97</v>
      </c>
      <c r="JE28" s="442">
        <f t="shared" si="35"/>
        <v>4581.97</v>
      </c>
      <c r="JF28" s="442">
        <f t="shared" ref="JF28:LQ28" si="36">IF(MONTH(JF23)=2,ROUND(JE32*$C$16*YEARFRAC(JF23,JE23),2),JE28)</f>
        <v>4581.97</v>
      </c>
      <c r="JG28" s="442">
        <f t="shared" si="36"/>
        <v>4581.97</v>
      </c>
      <c r="JH28" s="442">
        <f t="shared" si="36"/>
        <v>4581.97</v>
      </c>
      <c r="JI28" s="442">
        <f t="shared" si="36"/>
        <v>4581.97</v>
      </c>
      <c r="JJ28" s="442">
        <f t="shared" si="36"/>
        <v>4581.97</v>
      </c>
      <c r="JK28" s="442">
        <f t="shared" si="36"/>
        <v>4581.97</v>
      </c>
      <c r="JL28" s="442">
        <f t="shared" si="36"/>
        <v>4168.42</v>
      </c>
      <c r="JM28" s="442">
        <f t="shared" si="36"/>
        <v>4168.42</v>
      </c>
      <c r="JN28" s="442">
        <f t="shared" si="36"/>
        <v>4168.42</v>
      </c>
      <c r="JO28" s="442">
        <f t="shared" si="36"/>
        <v>4168.42</v>
      </c>
      <c r="JP28" s="442">
        <f t="shared" si="36"/>
        <v>4168.42</v>
      </c>
      <c r="JQ28" s="442">
        <f t="shared" si="36"/>
        <v>4168.42</v>
      </c>
      <c r="JR28" s="442">
        <f t="shared" si="36"/>
        <v>4168.42</v>
      </c>
      <c r="JS28" s="442">
        <f t="shared" si="36"/>
        <v>4168.42</v>
      </c>
      <c r="JT28" s="442">
        <f t="shared" si="36"/>
        <v>4168.42</v>
      </c>
      <c r="JU28" s="442">
        <f t="shared" si="36"/>
        <v>4168.42</v>
      </c>
      <c r="JV28" s="442">
        <f t="shared" si="36"/>
        <v>4168.42</v>
      </c>
      <c r="JW28" s="442">
        <f t="shared" si="36"/>
        <v>4168.42</v>
      </c>
      <c r="JX28" s="442">
        <f t="shared" si="36"/>
        <v>3733.7</v>
      </c>
      <c r="JY28" s="442">
        <f t="shared" si="36"/>
        <v>3733.7</v>
      </c>
      <c r="JZ28" s="442">
        <f t="shared" si="36"/>
        <v>3733.7</v>
      </c>
      <c r="KA28" s="442">
        <f t="shared" si="36"/>
        <v>3733.7</v>
      </c>
      <c r="KB28" s="442">
        <f t="shared" si="36"/>
        <v>3733.7</v>
      </c>
      <c r="KC28" s="442">
        <f t="shared" si="36"/>
        <v>3733.7</v>
      </c>
      <c r="KD28" s="442">
        <f t="shared" si="36"/>
        <v>3733.7</v>
      </c>
      <c r="KE28" s="442">
        <f t="shared" si="36"/>
        <v>3733.7</v>
      </c>
      <c r="KF28" s="442">
        <f t="shared" si="36"/>
        <v>3733.7</v>
      </c>
      <c r="KG28" s="442">
        <f t="shared" si="36"/>
        <v>3733.7</v>
      </c>
      <c r="KH28" s="442">
        <f t="shared" si="36"/>
        <v>3733.7</v>
      </c>
      <c r="KI28" s="442">
        <f t="shared" si="36"/>
        <v>3733.7</v>
      </c>
      <c r="KJ28" s="442">
        <f t="shared" si="36"/>
        <v>3276.75</v>
      </c>
      <c r="KK28" s="442">
        <f t="shared" si="36"/>
        <v>3276.75</v>
      </c>
      <c r="KL28" s="442">
        <f t="shared" si="36"/>
        <v>3276.75</v>
      </c>
      <c r="KM28" s="442">
        <f t="shared" si="36"/>
        <v>3276.75</v>
      </c>
      <c r="KN28" s="442">
        <f t="shared" si="36"/>
        <v>3276.75</v>
      </c>
      <c r="KO28" s="442">
        <f t="shared" si="36"/>
        <v>3276.75</v>
      </c>
      <c r="KP28" s="442">
        <f t="shared" si="36"/>
        <v>3276.75</v>
      </c>
      <c r="KQ28" s="442">
        <f t="shared" si="36"/>
        <v>3276.75</v>
      </c>
      <c r="KR28" s="442">
        <f t="shared" si="36"/>
        <v>3276.75</v>
      </c>
      <c r="KS28" s="442">
        <f t="shared" si="36"/>
        <v>3276.75</v>
      </c>
      <c r="KT28" s="442">
        <f t="shared" si="36"/>
        <v>3276.75</v>
      </c>
      <c r="KU28" s="442">
        <f t="shared" si="36"/>
        <v>3276.75</v>
      </c>
      <c r="KV28" s="442">
        <f t="shared" si="36"/>
        <v>2796.42</v>
      </c>
      <c r="KW28" s="442">
        <f t="shared" si="36"/>
        <v>2796.42</v>
      </c>
      <c r="KX28" s="442">
        <f t="shared" si="36"/>
        <v>2796.42</v>
      </c>
      <c r="KY28" s="442">
        <f t="shared" si="36"/>
        <v>2796.42</v>
      </c>
      <c r="KZ28" s="442">
        <f t="shared" si="36"/>
        <v>2796.42</v>
      </c>
      <c r="LA28" s="442">
        <f t="shared" si="36"/>
        <v>2796.42</v>
      </c>
      <c r="LB28" s="442">
        <f t="shared" si="36"/>
        <v>2796.42</v>
      </c>
      <c r="LC28" s="442">
        <f t="shared" si="36"/>
        <v>2796.42</v>
      </c>
      <c r="LD28" s="442">
        <f t="shared" si="36"/>
        <v>2796.42</v>
      </c>
      <c r="LE28" s="442">
        <f t="shared" si="36"/>
        <v>2796.42</v>
      </c>
      <c r="LF28" s="442">
        <f t="shared" si="36"/>
        <v>2796.42</v>
      </c>
      <c r="LG28" s="442">
        <f t="shared" si="36"/>
        <v>2796.42</v>
      </c>
      <c r="LH28" s="442">
        <f t="shared" si="36"/>
        <v>2291.5100000000002</v>
      </c>
      <c r="LI28" s="442">
        <f t="shared" si="36"/>
        <v>2291.5100000000002</v>
      </c>
      <c r="LJ28" s="442">
        <f t="shared" si="36"/>
        <v>2291.5100000000002</v>
      </c>
      <c r="LK28" s="442">
        <f t="shared" si="36"/>
        <v>2291.5100000000002</v>
      </c>
      <c r="LL28" s="442">
        <f t="shared" si="36"/>
        <v>2291.5100000000002</v>
      </c>
      <c r="LM28" s="442">
        <f t="shared" si="36"/>
        <v>2291.5100000000002</v>
      </c>
      <c r="LN28" s="442">
        <f t="shared" si="36"/>
        <v>2291.5100000000002</v>
      </c>
      <c r="LO28" s="442">
        <f t="shared" si="36"/>
        <v>2291.5100000000002</v>
      </c>
      <c r="LP28" s="442">
        <f t="shared" si="36"/>
        <v>2291.5100000000002</v>
      </c>
      <c r="LQ28" s="442">
        <f t="shared" si="36"/>
        <v>2291.5100000000002</v>
      </c>
      <c r="LR28" s="442">
        <f t="shared" ref="LR28:NC28" si="37">IF(MONTH(LR23)=2,ROUND(LQ32*$C$16*YEARFRAC(LR23,LQ23),2),LQ28)</f>
        <v>2291.5100000000002</v>
      </c>
      <c r="LS28" s="442">
        <f t="shared" si="37"/>
        <v>2291.5100000000002</v>
      </c>
      <c r="LT28" s="442">
        <f t="shared" si="37"/>
        <v>1760.77</v>
      </c>
      <c r="LU28" s="442">
        <f t="shared" si="37"/>
        <v>1760.77</v>
      </c>
      <c r="LV28" s="442">
        <f t="shared" si="37"/>
        <v>1760.77</v>
      </c>
      <c r="LW28" s="442">
        <f t="shared" si="37"/>
        <v>1760.77</v>
      </c>
      <c r="LX28" s="442">
        <f t="shared" si="37"/>
        <v>1760.77</v>
      </c>
      <c r="LY28" s="442">
        <f t="shared" si="37"/>
        <v>1760.77</v>
      </c>
      <c r="LZ28" s="442">
        <f t="shared" si="37"/>
        <v>1760.77</v>
      </c>
      <c r="MA28" s="442">
        <f t="shared" si="37"/>
        <v>1760.77</v>
      </c>
      <c r="MB28" s="442">
        <f t="shared" si="37"/>
        <v>1760.77</v>
      </c>
      <c r="MC28" s="442">
        <f t="shared" si="37"/>
        <v>1760.77</v>
      </c>
      <c r="MD28" s="442">
        <f t="shared" si="37"/>
        <v>1760.77</v>
      </c>
      <c r="ME28" s="442">
        <f t="shared" si="37"/>
        <v>1760.77</v>
      </c>
      <c r="MF28" s="442">
        <f t="shared" si="37"/>
        <v>1202.8800000000001</v>
      </c>
      <c r="MG28" s="442">
        <f t="shared" si="37"/>
        <v>1202.8800000000001</v>
      </c>
      <c r="MH28" s="442">
        <f t="shared" si="37"/>
        <v>1202.8800000000001</v>
      </c>
      <c r="MI28" s="442">
        <f t="shared" si="37"/>
        <v>1202.8800000000001</v>
      </c>
      <c r="MJ28" s="442">
        <f t="shared" si="37"/>
        <v>1202.8800000000001</v>
      </c>
      <c r="MK28" s="442">
        <f t="shared" si="37"/>
        <v>1202.8800000000001</v>
      </c>
      <c r="ML28" s="442">
        <f t="shared" si="37"/>
        <v>1202.8800000000001</v>
      </c>
      <c r="MM28" s="442">
        <f t="shared" si="37"/>
        <v>1202.8800000000001</v>
      </c>
      <c r="MN28" s="442">
        <f t="shared" si="37"/>
        <v>1202.8800000000001</v>
      </c>
      <c r="MO28" s="442">
        <f t="shared" si="37"/>
        <v>1202.8800000000001</v>
      </c>
      <c r="MP28" s="442">
        <f t="shared" si="37"/>
        <v>1202.8800000000001</v>
      </c>
      <c r="MQ28" s="442">
        <f t="shared" si="37"/>
        <v>1202.8800000000001</v>
      </c>
      <c r="MR28" s="442">
        <f t="shared" si="37"/>
        <v>616.44000000000005</v>
      </c>
      <c r="MS28" s="442">
        <f t="shared" si="37"/>
        <v>616.44000000000005</v>
      </c>
      <c r="MT28" s="442">
        <f t="shared" si="37"/>
        <v>616.44000000000005</v>
      </c>
      <c r="MU28" s="442">
        <f t="shared" si="37"/>
        <v>616.44000000000005</v>
      </c>
      <c r="MV28" s="442">
        <f t="shared" si="37"/>
        <v>616.44000000000005</v>
      </c>
      <c r="MW28" s="442">
        <f t="shared" si="37"/>
        <v>616.44000000000005</v>
      </c>
      <c r="MX28" s="442">
        <f t="shared" si="37"/>
        <v>616.44000000000005</v>
      </c>
      <c r="MY28" s="442">
        <f t="shared" si="37"/>
        <v>616.44000000000005</v>
      </c>
      <c r="MZ28" s="442">
        <f t="shared" si="37"/>
        <v>616.44000000000005</v>
      </c>
      <c r="NA28" s="442">
        <f t="shared" si="37"/>
        <v>616.44000000000005</v>
      </c>
      <c r="NB28" s="442">
        <f t="shared" si="37"/>
        <v>616.44000000000005</v>
      </c>
      <c r="NC28" s="442">
        <f t="shared" si="37"/>
        <v>616.44000000000005</v>
      </c>
      <c r="ND28" s="442"/>
      <c r="NE28" s="442"/>
      <c r="NF28" s="442"/>
      <c r="NG28" s="442"/>
      <c r="NH28" s="442"/>
      <c r="NI28" s="442"/>
      <c r="NJ28" s="442"/>
      <c r="NK28" s="442"/>
      <c r="NL28" s="442"/>
      <c r="NM28" s="442"/>
      <c r="NN28" s="442"/>
      <c r="NO28" s="442"/>
      <c r="NP28" s="442"/>
      <c r="NQ28" s="442"/>
      <c r="NR28" s="442"/>
      <c r="NS28" s="442"/>
      <c r="NT28" s="442"/>
      <c r="NU28" s="442"/>
      <c r="NV28" s="442"/>
      <c r="NW28" s="442"/>
      <c r="NX28" s="442"/>
      <c r="NY28" s="442"/>
      <c r="NZ28" s="442"/>
      <c r="OA28" s="442"/>
      <c r="OB28" s="442"/>
      <c r="OC28" s="442"/>
      <c r="OD28" s="442"/>
      <c r="OE28" s="442"/>
      <c r="OF28" s="442"/>
      <c r="OG28" s="442"/>
    </row>
    <row r="29" spans="1:16383">
      <c r="B29" s="7" t="s">
        <v>462</v>
      </c>
      <c r="H29" s="442">
        <f>IF(MONTH(H23)=2,ROUND($C$8*$C$15*YEARFRAC(H23,G23),2),G29)</f>
        <v>19660.84</v>
      </c>
      <c r="I29" s="442">
        <f>IF(MONTH(I23)=2,ROUND(H32*$C$15*YEARFRAC(I23,H23),2),H29)</f>
        <v>19660.84</v>
      </c>
      <c r="J29" s="442">
        <f t="shared" ref="J29:BU29" si="38">IF(MONTH(J23)=2,ROUND(I32*$C$15*YEARFRAC(J23,I23),2),I29)</f>
        <v>19660.84</v>
      </c>
      <c r="K29" s="442">
        <f t="shared" si="38"/>
        <v>19660.84</v>
      </c>
      <c r="L29" s="442">
        <f t="shared" si="38"/>
        <v>19660.84</v>
      </c>
      <c r="M29" s="442">
        <f t="shared" si="38"/>
        <v>19660.84</v>
      </c>
      <c r="N29" s="442">
        <f t="shared" si="38"/>
        <v>19660.84</v>
      </c>
      <c r="O29" s="442">
        <f t="shared" si="38"/>
        <v>19660.84</v>
      </c>
      <c r="P29" s="442">
        <f t="shared" si="38"/>
        <v>19660.84</v>
      </c>
      <c r="Q29" s="442">
        <f t="shared" si="38"/>
        <v>19660.84</v>
      </c>
      <c r="R29" s="442">
        <f t="shared" si="38"/>
        <v>19660.84</v>
      </c>
      <c r="S29" s="442">
        <f t="shared" si="38"/>
        <v>19660.84</v>
      </c>
      <c r="T29" s="442">
        <f t="shared" si="38"/>
        <v>19370.77</v>
      </c>
      <c r="U29" s="442">
        <f t="shared" si="38"/>
        <v>19370.77</v>
      </c>
      <c r="V29" s="442">
        <f t="shared" si="38"/>
        <v>19370.77</v>
      </c>
      <c r="W29" s="442">
        <f t="shared" si="38"/>
        <v>19370.77</v>
      </c>
      <c r="X29" s="442">
        <f t="shared" si="38"/>
        <v>19370.77</v>
      </c>
      <c r="Y29" s="442">
        <f t="shared" si="38"/>
        <v>19370.77</v>
      </c>
      <c r="Z29" s="442">
        <f t="shared" si="38"/>
        <v>19370.77</v>
      </c>
      <c r="AA29" s="442">
        <f t="shared" si="38"/>
        <v>19370.77</v>
      </c>
      <c r="AB29" s="442">
        <f t="shared" si="38"/>
        <v>19370.77</v>
      </c>
      <c r="AC29" s="442">
        <f t="shared" si="38"/>
        <v>19370.77</v>
      </c>
      <c r="AD29" s="442">
        <f t="shared" si="38"/>
        <v>19370.77</v>
      </c>
      <c r="AE29" s="442">
        <f t="shared" si="38"/>
        <v>19370.77</v>
      </c>
      <c r="AF29" s="442">
        <f t="shared" si="38"/>
        <v>19065.86</v>
      </c>
      <c r="AG29" s="442">
        <f t="shared" si="38"/>
        <v>19065.86</v>
      </c>
      <c r="AH29" s="442">
        <f t="shared" si="38"/>
        <v>19065.86</v>
      </c>
      <c r="AI29" s="442">
        <f t="shared" si="38"/>
        <v>19065.86</v>
      </c>
      <c r="AJ29" s="442">
        <f t="shared" si="38"/>
        <v>19065.86</v>
      </c>
      <c r="AK29" s="442">
        <f t="shared" si="38"/>
        <v>19065.86</v>
      </c>
      <c r="AL29" s="442">
        <f t="shared" si="38"/>
        <v>19065.86</v>
      </c>
      <c r="AM29" s="442">
        <f t="shared" si="38"/>
        <v>19065.86</v>
      </c>
      <c r="AN29" s="442">
        <f t="shared" si="38"/>
        <v>19065.86</v>
      </c>
      <c r="AO29" s="442">
        <f t="shared" si="38"/>
        <v>19065.86</v>
      </c>
      <c r="AP29" s="442">
        <f t="shared" si="38"/>
        <v>19065.86</v>
      </c>
      <c r="AQ29" s="442">
        <f t="shared" si="38"/>
        <v>19065.86</v>
      </c>
      <c r="AR29" s="442">
        <f t="shared" si="38"/>
        <v>18745.349999999999</v>
      </c>
      <c r="AS29" s="442">
        <f t="shared" si="38"/>
        <v>18745.349999999999</v>
      </c>
      <c r="AT29" s="442">
        <f t="shared" si="38"/>
        <v>18745.349999999999</v>
      </c>
      <c r="AU29" s="442">
        <f t="shared" si="38"/>
        <v>18745.349999999999</v>
      </c>
      <c r="AV29" s="442">
        <f t="shared" si="38"/>
        <v>18745.349999999999</v>
      </c>
      <c r="AW29" s="442">
        <f t="shared" si="38"/>
        <v>18745.349999999999</v>
      </c>
      <c r="AX29" s="442">
        <f t="shared" si="38"/>
        <v>18745.349999999999</v>
      </c>
      <c r="AY29" s="442">
        <f t="shared" si="38"/>
        <v>18745.349999999999</v>
      </c>
      <c r="AZ29" s="442">
        <f t="shared" si="38"/>
        <v>18745.349999999999</v>
      </c>
      <c r="BA29" s="442">
        <f t="shared" si="38"/>
        <v>18745.349999999999</v>
      </c>
      <c r="BB29" s="442">
        <f t="shared" si="38"/>
        <v>18745.349999999999</v>
      </c>
      <c r="BC29" s="442">
        <f t="shared" si="38"/>
        <v>18745.349999999999</v>
      </c>
      <c r="BD29" s="442">
        <f t="shared" si="38"/>
        <v>18408.439999999999</v>
      </c>
      <c r="BE29" s="442">
        <f t="shared" si="38"/>
        <v>18408.439999999999</v>
      </c>
      <c r="BF29" s="442">
        <f t="shared" si="38"/>
        <v>18408.439999999999</v>
      </c>
      <c r="BG29" s="442">
        <f t="shared" si="38"/>
        <v>18408.439999999999</v>
      </c>
      <c r="BH29" s="442">
        <f t="shared" si="38"/>
        <v>18408.439999999999</v>
      </c>
      <c r="BI29" s="442">
        <f t="shared" si="38"/>
        <v>18408.439999999999</v>
      </c>
      <c r="BJ29" s="442">
        <f t="shared" si="38"/>
        <v>18408.439999999999</v>
      </c>
      <c r="BK29" s="442">
        <f t="shared" si="38"/>
        <v>18408.439999999999</v>
      </c>
      <c r="BL29" s="442">
        <f t="shared" si="38"/>
        <v>18408.439999999999</v>
      </c>
      <c r="BM29" s="442">
        <f t="shared" si="38"/>
        <v>18408.439999999999</v>
      </c>
      <c r="BN29" s="442">
        <f t="shared" si="38"/>
        <v>18408.439999999999</v>
      </c>
      <c r="BO29" s="442">
        <f t="shared" si="38"/>
        <v>18408.439999999999</v>
      </c>
      <c r="BP29" s="442">
        <f t="shared" si="38"/>
        <v>18054.3</v>
      </c>
      <c r="BQ29" s="442">
        <f t="shared" si="38"/>
        <v>18054.3</v>
      </c>
      <c r="BR29" s="442">
        <f t="shared" si="38"/>
        <v>18054.3</v>
      </c>
      <c r="BS29" s="442">
        <f t="shared" si="38"/>
        <v>18054.3</v>
      </c>
      <c r="BT29" s="442">
        <f t="shared" si="38"/>
        <v>18054.3</v>
      </c>
      <c r="BU29" s="442">
        <f t="shared" si="38"/>
        <v>18054.3</v>
      </c>
      <c r="BV29" s="442">
        <f t="shared" ref="BV29:EG29" si="39">IF(MONTH(BV23)=2,ROUND(BU32*$C$15*YEARFRAC(BV23,BU23),2),BU29)</f>
        <v>18054.3</v>
      </c>
      <c r="BW29" s="442">
        <f t="shared" si="39"/>
        <v>18054.3</v>
      </c>
      <c r="BX29" s="442">
        <f t="shared" si="39"/>
        <v>18054.3</v>
      </c>
      <c r="BY29" s="442">
        <f t="shared" si="39"/>
        <v>18054.3</v>
      </c>
      <c r="BZ29" s="442">
        <f t="shared" si="39"/>
        <v>18054.3</v>
      </c>
      <c r="CA29" s="442">
        <f t="shared" si="39"/>
        <v>18054.3</v>
      </c>
      <c r="CB29" s="442">
        <f t="shared" si="39"/>
        <v>17682.04</v>
      </c>
      <c r="CC29" s="442">
        <f t="shared" si="39"/>
        <v>17682.04</v>
      </c>
      <c r="CD29" s="442">
        <f t="shared" si="39"/>
        <v>17682.04</v>
      </c>
      <c r="CE29" s="442">
        <f t="shared" si="39"/>
        <v>17682.04</v>
      </c>
      <c r="CF29" s="442">
        <f t="shared" si="39"/>
        <v>17682.04</v>
      </c>
      <c r="CG29" s="442">
        <f t="shared" si="39"/>
        <v>17682.04</v>
      </c>
      <c r="CH29" s="442">
        <f t="shared" si="39"/>
        <v>17682.04</v>
      </c>
      <c r="CI29" s="442">
        <f t="shared" si="39"/>
        <v>17682.04</v>
      </c>
      <c r="CJ29" s="442">
        <f t="shared" si="39"/>
        <v>17682.04</v>
      </c>
      <c r="CK29" s="442">
        <f t="shared" si="39"/>
        <v>17682.04</v>
      </c>
      <c r="CL29" s="442">
        <f t="shared" si="39"/>
        <v>17682.04</v>
      </c>
      <c r="CM29" s="442">
        <f t="shared" si="39"/>
        <v>17682.04</v>
      </c>
      <c r="CN29" s="442">
        <f t="shared" si="39"/>
        <v>17290.73</v>
      </c>
      <c r="CO29" s="442">
        <f t="shared" si="39"/>
        <v>17290.73</v>
      </c>
      <c r="CP29" s="442">
        <f t="shared" si="39"/>
        <v>17290.73</v>
      </c>
      <c r="CQ29" s="442">
        <f t="shared" si="39"/>
        <v>17290.73</v>
      </c>
      <c r="CR29" s="442">
        <f t="shared" si="39"/>
        <v>17290.73</v>
      </c>
      <c r="CS29" s="442">
        <f t="shared" si="39"/>
        <v>17290.73</v>
      </c>
      <c r="CT29" s="442">
        <f t="shared" si="39"/>
        <v>17290.73</v>
      </c>
      <c r="CU29" s="442">
        <f t="shared" si="39"/>
        <v>17290.73</v>
      </c>
      <c r="CV29" s="442">
        <f t="shared" si="39"/>
        <v>17290.73</v>
      </c>
      <c r="CW29" s="442">
        <f t="shared" si="39"/>
        <v>17290.73</v>
      </c>
      <c r="CX29" s="442">
        <f t="shared" si="39"/>
        <v>17290.73</v>
      </c>
      <c r="CY29" s="442">
        <f t="shared" si="39"/>
        <v>17290.73</v>
      </c>
      <c r="CZ29" s="442">
        <f t="shared" si="39"/>
        <v>16879.400000000001</v>
      </c>
      <c r="DA29" s="442">
        <f t="shared" si="39"/>
        <v>16879.400000000001</v>
      </c>
      <c r="DB29" s="442">
        <f t="shared" si="39"/>
        <v>16879.400000000001</v>
      </c>
      <c r="DC29" s="442">
        <f t="shared" si="39"/>
        <v>16879.400000000001</v>
      </c>
      <c r="DD29" s="442">
        <f t="shared" si="39"/>
        <v>16879.400000000001</v>
      </c>
      <c r="DE29" s="442">
        <f t="shared" si="39"/>
        <v>16879.400000000001</v>
      </c>
      <c r="DF29" s="442">
        <f t="shared" si="39"/>
        <v>16879.400000000001</v>
      </c>
      <c r="DG29" s="442">
        <f t="shared" si="39"/>
        <v>16879.400000000001</v>
      </c>
      <c r="DH29" s="442">
        <f t="shared" si="39"/>
        <v>16879.400000000001</v>
      </c>
      <c r="DI29" s="442">
        <f t="shared" si="39"/>
        <v>16879.400000000001</v>
      </c>
      <c r="DJ29" s="442">
        <f t="shared" si="39"/>
        <v>16879.400000000001</v>
      </c>
      <c r="DK29" s="442">
        <f t="shared" si="39"/>
        <v>16879.400000000001</v>
      </c>
      <c r="DL29" s="442">
        <f t="shared" si="39"/>
        <v>16447.03</v>
      </c>
      <c r="DM29" s="442">
        <f t="shared" si="39"/>
        <v>16447.03</v>
      </c>
      <c r="DN29" s="442">
        <f t="shared" si="39"/>
        <v>16447.03</v>
      </c>
      <c r="DO29" s="442">
        <f t="shared" si="39"/>
        <v>16447.03</v>
      </c>
      <c r="DP29" s="442">
        <f t="shared" si="39"/>
        <v>16447.03</v>
      </c>
      <c r="DQ29" s="442">
        <f t="shared" si="39"/>
        <v>16447.03</v>
      </c>
      <c r="DR29" s="442">
        <f t="shared" si="39"/>
        <v>16447.03</v>
      </c>
      <c r="DS29" s="442">
        <f t="shared" si="39"/>
        <v>16447.03</v>
      </c>
      <c r="DT29" s="442">
        <f t="shared" si="39"/>
        <v>16447.03</v>
      </c>
      <c r="DU29" s="442">
        <f t="shared" si="39"/>
        <v>16447.03</v>
      </c>
      <c r="DV29" s="442">
        <f t="shared" si="39"/>
        <v>16447.03</v>
      </c>
      <c r="DW29" s="442">
        <f t="shared" si="39"/>
        <v>16447.03</v>
      </c>
      <c r="DX29" s="442">
        <f t="shared" si="39"/>
        <v>15992.53</v>
      </c>
      <c r="DY29" s="442">
        <f t="shared" si="39"/>
        <v>15992.53</v>
      </c>
      <c r="DZ29" s="442">
        <f t="shared" si="39"/>
        <v>15992.53</v>
      </c>
      <c r="EA29" s="442">
        <f t="shared" si="39"/>
        <v>15992.53</v>
      </c>
      <c r="EB29" s="442">
        <f t="shared" si="39"/>
        <v>15992.53</v>
      </c>
      <c r="EC29" s="442">
        <f t="shared" si="39"/>
        <v>15992.53</v>
      </c>
      <c r="ED29" s="442">
        <f t="shared" si="39"/>
        <v>15992.53</v>
      </c>
      <c r="EE29" s="442">
        <f t="shared" si="39"/>
        <v>15992.53</v>
      </c>
      <c r="EF29" s="442">
        <f t="shared" si="39"/>
        <v>15992.53</v>
      </c>
      <c r="EG29" s="442">
        <f t="shared" si="39"/>
        <v>15992.53</v>
      </c>
      <c r="EH29" s="442">
        <f t="shared" ref="EH29:GS29" si="40">IF(MONTH(EH23)=2,ROUND(EG32*$C$15*YEARFRAC(EH23,EG23),2),EG29)</f>
        <v>15992.53</v>
      </c>
      <c r="EI29" s="442">
        <f t="shared" si="40"/>
        <v>15992.53</v>
      </c>
      <c r="EJ29" s="442">
        <f t="shared" si="40"/>
        <v>15514.78</v>
      </c>
      <c r="EK29" s="442">
        <f t="shared" si="40"/>
        <v>15514.78</v>
      </c>
      <c r="EL29" s="442">
        <f t="shared" si="40"/>
        <v>15514.78</v>
      </c>
      <c r="EM29" s="442">
        <f t="shared" si="40"/>
        <v>15514.78</v>
      </c>
      <c r="EN29" s="442">
        <f t="shared" si="40"/>
        <v>15514.78</v>
      </c>
      <c r="EO29" s="442">
        <f t="shared" si="40"/>
        <v>15514.78</v>
      </c>
      <c r="EP29" s="442">
        <f t="shared" si="40"/>
        <v>15514.78</v>
      </c>
      <c r="EQ29" s="442">
        <f t="shared" si="40"/>
        <v>15514.78</v>
      </c>
      <c r="ER29" s="442">
        <f t="shared" si="40"/>
        <v>15514.78</v>
      </c>
      <c r="ES29" s="442">
        <f t="shared" si="40"/>
        <v>15514.78</v>
      </c>
      <c r="ET29" s="442">
        <f t="shared" si="40"/>
        <v>15514.78</v>
      </c>
      <c r="EU29" s="442">
        <f t="shared" si="40"/>
        <v>15514.78</v>
      </c>
      <c r="EV29" s="442">
        <f t="shared" si="40"/>
        <v>15012.6</v>
      </c>
      <c r="EW29" s="442">
        <f t="shared" si="40"/>
        <v>15012.6</v>
      </c>
      <c r="EX29" s="442">
        <f t="shared" si="40"/>
        <v>15012.6</v>
      </c>
      <c r="EY29" s="442">
        <f t="shared" si="40"/>
        <v>15012.6</v>
      </c>
      <c r="EZ29" s="442">
        <f t="shared" si="40"/>
        <v>15012.6</v>
      </c>
      <c r="FA29" s="442">
        <f t="shared" si="40"/>
        <v>15012.6</v>
      </c>
      <c r="FB29" s="442">
        <f t="shared" si="40"/>
        <v>15012.6</v>
      </c>
      <c r="FC29" s="442">
        <f t="shared" si="40"/>
        <v>15012.6</v>
      </c>
      <c r="FD29" s="442">
        <f t="shared" si="40"/>
        <v>15012.6</v>
      </c>
      <c r="FE29" s="442">
        <f t="shared" si="40"/>
        <v>15012.6</v>
      </c>
      <c r="FF29" s="442">
        <f t="shared" si="40"/>
        <v>15012.6</v>
      </c>
      <c r="FG29" s="442">
        <f t="shared" si="40"/>
        <v>15012.6</v>
      </c>
      <c r="FH29" s="442">
        <f t="shared" si="40"/>
        <v>14484.71</v>
      </c>
      <c r="FI29" s="442">
        <f t="shared" si="40"/>
        <v>14484.71</v>
      </c>
      <c r="FJ29" s="442">
        <f t="shared" si="40"/>
        <v>14484.71</v>
      </c>
      <c r="FK29" s="442">
        <f t="shared" si="40"/>
        <v>14484.71</v>
      </c>
      <c r="FL29" s="442">
        <f t="shared" si="40"/>
        <v>14484.71</v>
      </c>
      <c r="FM29" s="442">
        <f t="shared" si="40"/>
        <v>14484.71</v>
      </c>
      <c r="FN29" s="442">
        <f t="shared" si="40"/>
        <v>14484.71</v>
      </c>
      <c r="FO29" s="442">
        <f t="shared" si="40"/>
        <v>14484.71</v>
      </c>
      <c r="FP29" s="442">
        <f t="shared" si="40"/>
        <v>14484.71</v>
      </c>
      <c r="FQ29" s="442">
        <f t="shared" si="40"/>
        <v>14484.71</v>
      </c>
      <c r="FR29" s="442">
        <f t="shared" si="40"/>
        <v>14484.71</v>
      </c>
      <c r="FS29" s="442">
        <f t="shared" si="40"/>
        <v>14484.71</v>
      </c>
      <c r="FT29" s="442">
        <f t="shared" si="40"/>
        <v>13929.82</v>
      </c>
      <c r="FU29" s="442">
        <f t="shared" si="40"/>
        <v>13929.82</v>
      </c>
      <c r="FV29" s="442">
        <f t="shared" si="40"/>
        <v>13929.82</v>
      </c>
      <c r="FW29" s="442">
        <f t="shared" si="40"/>
        <v>13929.82</v>
      </c>
      <c r="FX29" s="442">
        <f t="shared" si="40"/>
        <v>13929.82</v>
      </c>
      <c r="FY29" s="442">
        <f t="shared" si="40"/>
        <v>13929.82</v>
      </c>
      <c r="FZ29" s="442">
        <f t="shared" si="40"/>
        <v>13929.82</v>
      </c>
      <c r="GA29" s="442">
        <f t="shared" si="40"/>
        <v>13929.82</v>
      </c>
      <c r="GB29" s="442">
        <f t="shared" si="40"/>
        <v>13929.82</v>
      </c>
      <c r="GC29" s="442">
        <f t="shared" si="40"/>
        <v>13929.82</v>
      </c>
      <c r="GD29" s="442">
        <f t="shared" si="40"/>
        <v>13929.82</v>
      </c>
      <c r="GE29" s="442">
        <f t="shared" si="40"/>
        <v>13929.82</v>
      </c>
      <c r="GF29" s="442">
        <f t="shared" si="40"/>
        <v>13346.55</v>
      </c>
      <c r="GG29" s="442">
        <f t="shared" si="40"/>
        <v>13346.55</v>
      </c>
      <c r="GH29" s="442">
        <f t="shared" si="40"/>
        <v>13346.55</v>
      </c>
      <c r="GI29" s="442">
        <f t="shared" si="40"/>
        <v>13346.55</v>
      </c>
      <c r="GJ29" s="442">
        <f t="shared" si="40"/>
        <v>13346.55</v>
      </c>
      <c r="GK29" s="442">
        <f t="shared" si="40"/>
        <v>13346.55</v>
      </c>
      <c r="GL29" s="442">
        <f t="shared" si="40"/>
        <v>13346.55</v>
      </c>
      <c r="GM29" s="442">
        <f t="shared" si="40"/>
        <v>13346.55</v>
      </c>
      <c r="GN29" s="442">
        <f t="shared" si="40"/>
        <v>13346.55</v>
      </c>
      <c r="GO29" s="442">
        <f t="shared" si="40"/>
        <v>13346.55</v>
      </c>
      <c r="GP29" s="442">
        <f t="shared" si="40"/>
        <v>13346.55</v>
      </c>
      <c r="GQ29" s="442">
        <f t="shared" si="40"/>
        <v>13346.55</v>
      </c>
      <c r="GR29" s="442">
        <f t="shared" si="40"/>
        <v>12733.42</v>
      </c>
      <c r="GS29" s="442">
        <f t="shared" si="40"/>
        <v>12733.42</v>
      </c>
      <c r="GT29" s="442">
        <f t="shared" ref="GT29:JE29" si="41">IF(MONTH(GT23)=2,ROUND(GS32*$C$15*YEARFRAC(GT23,GS23),2),GS29)</f>
        <v>12733.42</v>
      </c>
      <c r="GU29" s="442">
        <f t="shared" si="41"/>
        <v>12733.42</v>
      </c>
      <c r="GV29" s="442">
        <f t="shared" si="41"/>
        <v>12733.42</v>
      </c>
      <c r="GW29" s="442">
        <f t="shared" si="41"/>
        <v>12733.42</v>
      </c>
      <c r="GX29" s="442">
        <f t="shared" si="41"/>
        <v>12733.42</v>
      </c>
      <c r="GY29" s="442">
        <f t="shared" si="41"/>
        <v>12733.42</v>
      </c>
      <c r="GZ29" s="442">
        <f t="shared" si="41"/>
        <v>12733.42</v>
      </c>
      <c r="HA29" s="442">
        <f t="shared" si="41"/>
        <v>12733.42</v>
      </c>
      <c r="HB29" s="442">
        <f t="shared" si="41"/>
        <v>12733.42</v>
      </c>
      <c r="HC29" s="442">
        <f t="shared" si="41"/>
        <v>12733.42</v>
      </c>
      <c r="HD29" s="442">
        <f t="shared" si="41"/>
        <v>12088.94</v>
      </c>
      <c r="HE29" s="442">
        <f t="shared" si="41"/>
        <v>12088.94</v>
      </c>
      <c r="HF29" s="442">
        <f t="shared" si="41"/>
        <v>12088.94</v>
      </c>
      <c r="HG29" s="442">
        <f t="shared" si="41"/>
        <v>12088.94</v>
      </c>
      <c r="HH29" s="442">
        <f t="shared" si="41"/>
        <v>12088.94</v>
      </c>
      <c r="HI29" s="442">
        <f t="shared" si="41"/>
        <v>12088.94</v>
      </c>
      <c r="HJ29" s="442">
        <f t="shared" si="41"/>
        <v>12088.94</v>
      </c>
      <c r="HK29" s="442">
        <f t="shared" si="41"/>
        <v>12088.94</v>
      </c>
      <c r="HL29" s="442">
        <f t="shared" si="41"/>
        <v>12088.94</v>
      </c>
      <c r="HM29" s="442">
        <f t="shared" si="41"/>
        <v>12088.94</v>
      </c>
      <c r="HN29" s="442">
        <f t="shared" si="41"/>
        <v>12088.94</v>
      </c>
      <c r="HO29" s="442">
        <f t="shared" si="41"/>
        <v>12088.94</v>
      </c>
      <c r="HP29" s="442">
        <f t="shared" si="41"/>
        <v>11411.47</v>
      </c>
      <c r="HQ29" s="442">
        <f t="shared" si="41"/>
        <v>11411.47</v>
      </c>
      <c r="HR29" s="442">
        <f t="shared" si="41"/>
        <v>11411.47</v>
      </c>
      <c r="HS29" s="442">
        <f t="shared" si="41"/>
        <v>11411.47</v>
      </c>
      <c r="HT29" s="442">
        <f t="shared" si="41"/>
        <v>11411.47</v>
      </c>
      <c r="HU29" s="442">
        <f t="shared" si="41"/>
        <v>11411.47</v>
      </c>
      <c r="HV29" s="442">
        <f t="shared" si="41"/>
        <v>11411.47</v>
      </c>
      <c r="HW29" s="442">
        <f t="shared" si="41"/>
        <v>11411.47</v>
      </c>
      <c r="HX29" s="442">
        <f t="shared" si="41"/>
        <v>11411.47</v>
      </c>
      <c r="HY29" s="442">
        <f t="shared" si="41"/>
        <v>11411.47</v>
      </c>
      <c r="HZ29" s="442">
        <f t="shared" si="41"/>
        <v>11411.47</v>
      </c>
      <c r="IA29" s="442">
        <f t="shared" si="41"/>
        <v>11411.47</v>
      </c>
      <c r="IB29" s="442">
        <f t="shared" si="41"/>
        <v>10699.35</v>
      </c>
      <c r="IC29" s="442">
        <f t="shared" si="41"/>
        <v>10699.35</v>
      </c>
      <c r="ID29" s="442">
        <f t="shared" si="41"/>
        <v>10699.35</v>
      </c>
      <c r="IE29" s="442">
        <f t="shared" si="41"/>
        <v>10699.35</v>
      </c>
      <c r="IF29" s="442">
        <f t="shared" si="41"/>
        <v>10699.35</v>
      </c>
      <c r="IG29" s="442">
        <f t="shared" si="41"/>
        <v>10699.35</v>
      </c>
      <c r="IH29" s="442">
        <f t="shared" si="41"/>
        <v>10699.35</v>
      </c>
      <c r="II29" s="442">
        <f t="shared" si="41"/>
        <v>10699.35</v>
      </c>
      <c r="IJ29" s="442">
        <f t="shared" si="41"/>
        <v>10699.35</v>
      </c>
      <c r="IK29" s="442">
        <f t="shared" si="41"/>
        <v>10699.35</v>
      </c>
      <c r="IL29" s="442">
        <f t="shared" si="41"/>
        <v>10699.35</v>
      </c>
      <c r="IM29" s="442">
        <f t="shared" si="41"/>
        <v>10699.35</v>
      </c>
      <c r="IN29" s="442">
        <f t="shared" si="41"/>
        <v>9950.7999999999993</v>
      </c>
      <c r="IO29" s="442">
        <f t="shared" si="41"/>
        <v>9950.7999999999993</v>
      </c>
      <c r="IP29" s="442">
        <f t="shared" si="41"/>
        <v>9950.7999999999993</v>
      </c>
      <c r="IQ29" s="442">
        <f t="shared" si="41"/>
        <v>9950.7999999999993</v>
      </c>
      <c r="IR29" s="442">
        <f t="shared" si="41"/>
        <v>9950.7999999999993</v>
      </c>
      <c r="IS29" s="442">
        <f t="shared" si="41"/>
        <v>9950.7999999999993</v>
      </c>
      <c r="IT29" s="442">
        <f t="shared" si="41"/>
        <v>9950.7999999999993</v>
      </c>
      <c r="IU29" s="442">
        <f t="shared" si="41"/>
        <v>9950.7999999999993</v>
      </c>
      <c r="IV29" s="442">
        <f t="shared" si="41"/>
        <v>9950.7999999999993</v>
      </c>
      <c r="IW29" s="442">
        <f t="shared" si="41"/>
        <v>9950.7999999999993</v>
      </c>
      <c r="IX29" s="442">
        <f t="shared" si="41"/>
        <v>9950.7999999999993</v>
      </c>
      <c r="IY29" s="442">
        <f t="shared" si="41"/>
        <v>9950.7999999999993</v>
      </c>
      <c r="IZ29" s="442">
        <f t="shared" si="41"/>
        <v>9163.94</v>
      </c>
      <c r="JA29" s="442">
        <f t="shared" si="41"/>
        <v>9163.94</v>
      </c>
      <c r="JB29" s="442">
        <f t="shared" si="41"/>
        <v>9163.94</v>
      </c>
      <c r="JC29" s="442">
        <f t="shared" si="41"/>
        <v>9163.94</v>
      </c>
      <c r="JD29" s="442">
        <f t="shared" si="41"/>
        <v>9163.94</v>
      </c>
      <c r="JE29" s="442">
        <f t="shared" si="41"/>
        <v>9163.94</v>
      </c>
      <c r="JF29" s="442">
        <f t="shared" ref="JF29:LQ29" si="42">IF(MONTH(JF23)=2,ROUND(JE32*$C$15*YEARFRAC(JF23,JE23),2),JE29)</f>
        <v>9163.94</v>
      </c>
      <c r="JG29" s="442">
        <f t="shared" si="42"/>
        <v>9163.94</v>
      </c>
      <c r="JH29" s="442">
        <f t="shared" si="42"/>
        <v>9163.94</v>
      </c>
      <c r="JI29" s="442">
        <f t="shared" si="42"/>
        <v>9163.94</v>
      </c>
      <c r="JJ29" s="442">
        <f t="shared" si="42"/>
        <v>9163.94</v>
      </c>
      <c r="JK29" s="442">
        <f t="shared" si="42"/>
        <v>9163.94</v>
      </c>
      <c r="JL29" s="442">
        <f t="shared" si="42"/>
        <v>8336.83</v>
      </c>
      <c r="JM29" s="442">
        <f t="shared" si="42"/>
        <v>8336.83</v>
      </c>
      <c r="JN29" s="442">
        <f t="shared" si="42"/>
        <v>8336.83</v>
      </c>
      <c r="JO29" s="442">
        <f t="shared" si="42"/>
        <v>8336.83</v>
      </c>
      <c r="JP29" s="442">
        <f t="shared" si="42"/>
        <v>8336.83</v>
      </c>
      <c r="JQ29" s="442">
        <f t="shared" si="42"/>
        <v>8336.83</v>
      </c>
      <c r="JR29" s="442">
        <f t="shared" si="42"/>
        <v>8336.83</v>
      </c>
      <c r="JS29" s="442">
        <f t="shared" si="42"/>
        <v>8336.83</v>
      </c>
      <c r="JT29" s="442">
        <f t="shared" si="42"/>
        <v>8336.83</v>
      </c>
      <c r="JU29" s="442">
        <f t="shared" si="42"/>
        <v>8336.83</v>
      </c>
      <c r="JV29" s="442">
        <f t="shared" si="42"/>
        <v>8336.83</v>
      </c>
      <c r="JW29" s="442">
        <f t="shared" si="42"/>
        <v>8336.83</v>
      </c>
      <c r="JX29" s="442">
        <f t="shared" si="42"/>
        <v>7467.41</v>
      </c>
      <c r="JY29" s="442">
        <f t="shared" si="42"/>
        <v>7467.41</v>
      </c>
      <c r="JZ29" s="442">
        <f t="shared" si="42"/>
        <v>7467.41</v>
      </c>
      <c r="KA29" s="442">
        <f t="shared" si="42"/>
        <v>7467.41</v>
      </c>
      <c r="KB29" s="442">
        <f t="shared" si="42"/>
        <v>7467.41</v>
      </c>
      <c r="KC29" s="442">
        <f t="shared" si="42"/>
        <v>7467.41</v>
      </c>
      <c r="KD29" s="442">
        <f t="shared" si="42"/>
        <v>7467.41</v>
      </c>
      <c r="KE29" s="442">
        <f t="shared" si="42"/>
        <v>7467.41</v>
      </c>
      <c r="KF29" s="442">
        <f t="shared" si="42"/>
        <v>7467.41</v>
      </c>
      <c r="KG29" s="442">
        <f t="shared" si="42"/>
        <v>7467.41</v>
      </c>
      <c r="KH29" s="442">
        <f t="shared" si="42"/>
        <v>7467.41</v>
      </c>
      <c r="KI29" s="442">
        <f t="shared" si="42"/>
        <v>7467.41</v>
      </c>
      <c r="KJ29" s="442">
        <f t="shared" si="42"/>
        <v>6553.5</v>
      </c>
      <c r="KK29" s="442">
        <f t="shared" si="42"/>
        <v>6553.5</v>
      </c>
      <c r="KL29" s="442">
        <f t="shared" si="42"/>
        <v>6553.5</v>
      </c>
      <c r="KM29" s="442">
        <f t="shared" si="42"/>
        <v>6553.5</v>
      </c>
      <c r="KN29" s="442">
        <f t="shared" si="42"/>
        <v>6553.5</v>
      </c>
      <c r="KO29" s="442">
        <f t="shared" si="42"/>
        <v>6553.5</v>
      </c>
      <c r="KP29" s="442">
        <f t="shared" si="42"/>
        <v>6553.5</v>
      </c>
      <c r="KQ29" s="442">
        <f t="shared" si="42"/>
        <v>6553.5</v>
      </c>
      <c r="KR29" s="442">
        <f t="shared" si="42"/>
        <v>6553.5</v>
      </c>
      <c r="KS29" s="442">
        <f t="shared" si="42"/>
        <v>6553.5</v>
      </c>
      <c r="KT29" s="442">
        <f t="shared" si="42"/>
        <v>6553.5</v>
      </c>
      <c r="KU29" s="442">
        <f t="shared" si="42"/>
        <v>6553.5</v>
      </c>
      <c r="KV29" s="442">
        <f t="shared" si="42"/>
        <v>5592.83</v>
      </c>
      <c r="KW29" s="442">
        <f t="shared" si="42"/>
        <v>5592.83</v>
      </c>
      <c r="KX29" s="442">
        <f t="shared" si="42"/>
        <v>5592.83</v>
      </c>
      <c r="KY29" s="442">
        <f t="shared" si="42"/>
        <v>5592.83</v>
      </c>
      <c r="KZ29" s="442">
        <f t="shared" si="42"/>
        <v>5592.83</v>
      </c>
      <c r="LA29" s="442">
        <f t="shared" si="42"/>
        <v>5592.83</v>
      </c>
      <c r="LB29" s="442">
        <f t="shared" si="42"/>
        <v>5592.83</v>
      </c>
      <c r="LC29" s="442">
        <f t="shared" si="42"/>
        <v>5592.83</v>
      </c>
      <c r="LD29" s="442">
        <f t="shared" si="42"/>
        <v>5592.83</v>
      </c>
      <c r="LE29" s="442">
        <f t="shared" si="42"/>
        <v>5592.83</v>
      </c>
      <c r="LF29" s="442">
        <f t="shared" si="42"/>
        <v>5592.83</v>
      </c>
      <c r="LG29" s="442">
        <f t="shared" si="42"/>
        <v>5592.83</v>
      </c>
      <c r="LH29" s="442">
        <f t="shared" si="42"/>
        <v>4583.0200000000004</v>
      </c>
      <c r="LI29" s="442">
        <f t="shared" si="42"/>
        <v>4583.0200000000004</v>
      </c>
      <c r="LJ29" s="442">
        <f t="shared" si="42"/>
        <v>4583.0200000000004</v>
      </c>
      <c r="LK29" s="442">
        <f t="shared" si="42"/>
        <v>4583.0200000000004</v>
      </c>
      <c r="LL29" s="442">
        <f t="shared" si="42"/>
        <v>4583.0200000000004</v>
      </c>
      <c r="LM29" s="442">
        <f t="shared" si="42"/>
        <v>4583.0200000000004</v>
      </c>
      <c r="LN29" s="442">
        <f t="shared" si="42"/>
        <v>4583.0200000000004</v>
      </c>
      <c r="LO29" s="442">
        <f t="shared" si="42"/>
        <v>4583.0200000000004</v>
      </c>
      <c r="LP29" s="442">
        <f t="shared" si="42"/>
        <v>4583.0200000000004</v>
      </c>
      <c r="LQ29" s="442">
        <f t="shared" si="42"/>
        <v>4583.0200000000004</v>
      </c>
      <c r="LR29" s="442">
        <f t="shared" ref="LR29:NC29" si="43">IF(MONTH(LR23)=2,ROUND(LQ32*$C$15*YEARFRAC(LR23,LQ23),2),LQ29)</f>
        <v>4583.0200000000004</v>
      </c>
      <c r="LS29" s="442">
        <f t="shared" si="43"/>
        <v>4583.0200000000004</v>
      </c>
      <c r="LT29" s="442">
        <f t="shared" si="43"/>
        <v>3521.54</v>
      </c>
      <c r="LU29" s="442">
        <f t="shared" si="43"/>
        <v>3521.54</v>
      </c>
      <c r="LV29" s="442">
        <f t="shared" si="43"/>
        <v>3521.54</v>
      </c>
      <c r="LW29" s="442">
        <f t="shared" si="43"/>
        <v>3521.54</v>
      </c>
      <c r="LX29" s="442">
        <f t="shared" si="43"/>
        <v>3521.54</v>
      </c>
      <c r="LY29" s="442">
        <f t="shared" si="43"/>
        <v>3521.54</v>
      </c>
      <c r="LZ29" s="442">
        <f t="shared" si="43"/>
        <v>3521.54</v>
      </c>
      <c r="MA29" s="442">
        <f t="shared" si="43"/>
        <v>3521.54</v>
      </c>
      <c r="MB29" s="442">
        <f t="shared" si="43"/>
        <v>3521.54</v>
      </c>
      <c r="MC29" s="442">
        <f t="shared" si="43"/>
        <v>3521.54</v>
      </c>
      <c r="MD29" s="442">
        <f t="shared" si="43"/>
        <v>3521.54</v>
      </c>
      <c r="ME29" s="442">
        <f t="shared" si="43"/>
        <v>3521.54</v>
      </c>
      <c r="MF29" s="442">
        <f t="shared" si="43"/>
        <v>2405.75</v>
      </c>
      <c r="MG29" s="442">
        <f t="shared" si="43"/>
        <v>2405.75</v>
      </c>
      <c r="MH29" s="442">
        <f t="shared" si="43"/>
        <v>2405.75</v>
      </c>
      <c r="MI29" s="442">
        <f t="shared" si="43"/>
        <v>2405.75</v>
      </c>
      <c r="MJ29" s="442">
        <f t="shared" si="43"/>
        <v>2405.75</v>
      </c>
      <c r="MK29" s="442">
        <f t="shared" si="43"/>
        <v>2405.75</v>
      </c>
      <c r="ML29" s="442">
        <f t="shared" si="43"/>
        <v>2405.75</v>
      </c>
      <c r="MM29" s="442">
        <f t="shared" si="43"/>
        <v>2405.75</v>
      </c>
      <c r="MN29" s="442">
        <f t="shared" si="43"/>
        <v>2405.75</v>
      </c>
      <c r="MO29" s="442">
        <f t="shared" si="43"/>
        <v>2405.75</v>
      </c>
      <c r="MP29" s="442">
        <f t="shared" si="43"/>
        <v>2405.75</v>
      </c>
      <c r="MQ29" s="442">
        <f t="shared" si="43"/>
        <v>2405.75</v>
      </c>
      <c r="MR29" s="442">
        <f t="shared" si="43"/>
        <v>1232.8800000000001</v>
      </c>
      <c r="MS29" s="442">
        <f t="shared" si="43"/>
        <v>1232.8800000000001</v>
      </c>
      <c r="MT29" s="442">
        <f t="shared" si="43"/>
        <v>1232.8800000000001</v>
      </c>
      <c r="MU29" s="442">
        <f t="shared" si="43"/>
        <v>1232.8800000000001</v>
      </c>
      <c r="MV29" s="442">
        <f t="shared" si="43"/>
        <v>1232.8800000000001</v>
      </c>
      <c r="MW29" s="442">
        <f t="shared" si="43"/>
        <v>1232.8800000000001</v>
      </c>
      <c r="MX29" s="442">
        <f t="shared" si="43"/>
        <v>1232.8800000000001</v>
      </c>
      <c r="MY29" s="442">
        <f t="shared" si="43"/>
        <v>1232.8800000000001</v>
      </c>
      <c r="MZ29" s="442">
        <f t="shared" si="43"/>
        <v>1232.8800000000001</v>
      </c>
      <c r="NA29" s="442">
        <f t="shared" si="43"/>
        <v>1232.8800000000001</v>
      </c>
      <c r="NB29" s="442">
        <f t="shared" si="43"/>
        <v>1232.8800000000001</v>
      </c>
      <c r="NC29" s="442">
        <f t="shared" si="43"/>
        <v>1232.8800000000001</v>
      </c>
      <c r="ND29" s="442"/>
      <c r="NE29" s="442"/>
      <c r="NF29" s="442"/>
      <c r="NG29" s="442"/>
      <c r="NH29" s="442"/>
      <c r="NI29" s="442"/>
      <c r="NJ29" s="442"/>
      <c r="NK29" s="442"/>
      <c r="NL29" s="442"/>
      <c r="NM29" s="442"/>
      <c r="NN29" s="442"/>
      <c r="NO29" s="442"/>
      <c r="NP29" s="442"/>
      <c r="NQ29" s="442"/>
      <c r="NR29" s="442"/>
      <c r="NS29" s="442"/>
      <c r="NT29" s="442"/>
      <c r="NU29" s="442"/>
      <c r="NV29" s="442"/>
      <c r="NW29" s="442"/>
      <c r="NX29" s="442"/>
      <c r="NY29" s="442"/>
      <c r="NZ29" s="442"/>
      <c r="OA29" s="442"/>
      <c r="OB29" s="442"/>
      <c r="OC29" s="442"/>
      <c r="OD29" s="442"/>
      <c r="OE29" s="442"/>
      <c r="OF29" s="442"/>
      <c r="OG29" s="442"/>
    </row>
    <row r="30" spans="1:16383">
      <c r="B30" s="7" t="s">
        <v>463</v>
      </c>
      <c r="H30" s="442">
        <f>IF(H21=1,$C$8*$C$15,0)</f>
        <v>235930.05183320105</v>
      </c>
      <c r="I30" s="442">
        <f>IF(I21=1,$C$8*$C$15,0)</f>
        <v>0</v>
      </c>
      <c r="J30" s="442">
        <f t="shared" ref="J30:BU30" si="44">IF(J21=1,$C$8*$C$15,0)</f>
        <v>0</v>
      </c>
      <c r="K30" s="442">
        <f t="shared" si="44"/>
        <v>0</v>
      </c>
      <c r="L30" s="442">
        <f t="shared" si="44"/>
        <v>0</v>
      </c>
      <c r="M30" s="442">
        <f t="shared" si="44"/>
        <v>0</v>
      </c>
      <c r="N30" s="442">
        <f t="shared" si="44"/>
        <v>0</v>
      </c>
      <c r="O30" s="442">
        <f t="shared" si="44"/>
        <v>0</v>
      </c>
      <c r="P30" s="442">
        <f t="shared" si="44"/>
        <v>0</v>
      </c>
      <c r="Q30" s="442">
        <f t="shared" si="44"/>
        <v>0</v>
      </c>
      <c r="R30" s="442">
        <f t="shared" si="44"/>
        <v>0</v>
      </c>
      <c r="S30" s="442">
        <f t="shared" si="44"/>
        <v>0</v>
      </c>
      <c r="T30" s="442">
        <f t="shared" si="44"/>
        <v>0</v>
      </c>
      <c r="U30" s="442">
        <f t="shared" si="44"/>
        <v>0</v>
      </c>
      <c r="V30" s="442">
        <f t="shared" si="44"/>
        <v>0</v>
      </c>
      <c r="W30" s="442">
        <f t="shared" si="44"/>
        <v>0</v>
      </c>
      <c r="X30" s="442">
        <f t="shared" si="44"/>
        <v>0</v>
      </c>
      <c r="Y30" s="442">
        <f t="shared" si="44"/>
        <v>0</v>
      </c>
      <c r="Z30" s="442">
        <f t="shared" si="44"/>
        <v>0</v>
      </c>
      <c r="AA30" s="442">
        <f t="shared" si="44"/>
        <v>0</v>
      </c>
      <c r="AB30" s="442">
        <f t="shared" si="44"/>
        <v>0</v>
      </c>
      <c r="AC30" s="442">
        <f t="shared" si="44"/>
        <v>0</v>
      </c>
      <c r="AD30" s="442">
        <f t="shared" si="44"/>
        <v>0</v>
      </c>
      <c r="AE30" s="442">
        <f t="shared" si="44"/>
        <v>0</v>
      </c>
      <c r="AF30" s="442">
        <f t="shared" si="44"/>
        <v>0</v>
      </c>
      <c r="AG30" s="442">
        <f t="shared" si="44"/>
        <v>0</v>
      </c>
      <c r="AH30" s="442">
        <f t="shared" si="44"/>
        <v>0</v>
      </c>
      <c r="AI30" s="442">
        <f t="shared" si="44"/>
        <v>0</v>
      </c>
      <c r="AJ30" s="442">
        <f t="shared" si="44"/>
        <v>0</v>
      </c>
      <c r="AK30" s="442">
        <f t="shared" si="44"/>
        <v>0</v>
      </c>
      <c r="AL30" s="442">
        <f t="shared" si="44"/>
        <v>0</v>
      </c>
      <c r="AM30" s="442">
        <f t="shared" si="44"/>
        <v>0</v>
      </c>
      <c r="AN30" s="442">
        <f t="shared" si="44"/>
        <v>0</v>
      </c>
      <c r="AO30" s="442">
        <f t="shared" si="44"/>
        <v>0</v>
      </c>
      <c r="AP30" s="442">
        <f t="shared" si="44"/>
        <v>0</v>
      </c>
      <c r="AQ30" s="442">
        <f t="shared" si="44"/>
        <v>0</v>
      </c>
      <c r="AR30" s="442">
        <f t="shared" si="44"/>
        <v>0</v>
      </c>
      <c r="AS30" s="442">
        <f t="shared" si="44"/>
        <v>0</v>
      </c>
      <c r="AT30" s="442">
        <f t="shared" si="44"/>
        <v>0</v>
      </c>
      <c r="AU30" s="442">
        <f t="shared" si="44"/>
        <v>0</v>
      </c>
      <c r="AV30" s="442">
        <f t="shared" si="44"/>
        <v>0</v>
      </c>
      <c r="AW30" s="442">
        <f t="shared" si="44"/>
        <v>0</v>
      </c>
      <c r="AX30" s="442">
        <f t="shared" si="44"/>
        <v>0</v>
      </c>
      <c r="AY30" s="442">
        <f t="shared" si="44"/>
        <v>0</v>
      </c>
      <c r="AZ30" s="442">
        <f t="shared" si="44"/>
        <v>0</v>
      </c>
      <c r="BA30" s="442">
        <f t="shared" si="44"/>
        <v>0</v>
      </c>
      <c r="BB30" s="442">
        <f t="shared" si="44"/>
        <v>0</v>
      </c>
      <c r="BC30" s="442">
        <f t="shared" si="44"/>
        <v>0</v>
      </c>
      <c r="BD30" s="442">
        <f t="shared" si="44"/>
        <v>0</v>
      </c>
      <c r="BE30" s="442">
        <f t="shared" si="44"/>
        <v>0</v>
      </c>
      <c r="BF30" s="442">
        <f t="shared" si="44"/>
        <v>0</v>
      </c>
      <c r="BG30" s="442">
        <f t="shared" si="44"/>
        <v>0</v>
      </c>
      <c r="BH30" s="442">
        <f t="shared" si="44"/>
        <v>0</v>
      </c>
      <c r="BI30" s="442">
        <f t="shared" si="44"/>
        <v>0</v>
      </c>
      <c r="BJ30" s="442">
        <f t="shared" si="44"/>
        <v>0</v>
      </c>
      <c r="BK30" s="442">
        <f t="shared" si="44"/>
        <v>0</v>
      </c>
      <c r="BL30" s="442">
        <f t="shared" si="44"/>
        <v>0</v>
      </c>
      <c r="BM30" s="442">
        <f t="shared" si="44"/>
        <v>0</v>
      </c>
      <c r="BN30" s="442">
        <f t="shared" si="44"/>
        <v>0</v>
      </c>
      <c r="BO30" s="442">
        <f t="shared" si="44"/>
        <v>0</v>
      </c>
      <c r="BP30" s="442">
        <f t="shared" si="44"/>
        <v>0</v>
      </c>
      <c r="BQ30" s="442">
        <f t="shared" si="44"/>
        <v>0</v>
      </c>
      <c r="BR30" s="442">
        <f t="shared" si="44"/>
        <v>0</v>
      </c>
      <c r="BS30" s="442">
        <f t="shared" si="44"/>
        <v>0</v>
      </c>
      <c r="BT30" s="442">
        <f t="shared" si="44"/>
        <v>0</v>
      </c>
      <c r="BU30" s="442">
        <f t="shared" si="44"/>
        <v>0</v>
      </c>
      <c r="BV30" s="442">
        <f t="shared" ref="BV30:EG30" si="45">IF(BV21=1,$C$8*$C$15,0)</f>
        <v>0</v>
      </c>
      <c r="BW30" s="442">
        <f t="shared" si="45"/>
        <v>0</v>
      </c>
      <c r="BX30" s="442">
        <f t="shared" si="45"/>
        <v>0</v>
      </c>
      <c r="BY30" s="442">
        <f t="shared" si="45"/>
        <v>0</v>
      </c>
      <c r="BZ30" s="442">
        <f t="shared" si="45"/>
        <v>0</v>
      </c>
      <c r="CA30" s="442">
        <f t="shared" si="45"/>
        <v>0</v>
      </c>
      <c r="CB30" s="442">
        <f t="shared" si="45"/>
        <v>0</v>
      </c>
      <c r="CC30" s="442">
        <f t="shared" si="45"/>
        <v>0</v>
      </c>
      <c r="CD30" s="442">
        <f t="shared" si="45"/>
        <v>0</v>
      </c>
      <c r="CE30" s="442">
        <f t="shared" si="45"/>
        <v>0</v>
      </c>
      <c r="CF30" s="442">
        <f t="shared" si="45"/>
        <v>0</v>
      </c>
      <c r="CG30" s="442">
        <f t="shared" si="45"/>
        <v>0</v>
      </c>
      <c r="CH30" s="442">
        <f t="shared" si="45"/>
        <v>0</v>
      </c>
      <c r="CI30" s="442">
        <f t="shared" si="45"/>
        <v>0</v>
      </c>
      <c r="CJ30" s="442">
        <f t="shared" si="45"/>
        <v>0</v>
      </c>
      <c r="CK30" s="442">
        <f t="shared" si="45"/>
        <v>0</v>
      </c>
      <c r="CL30" s="442">
        <f t="shared" si="45"/>
        <v>0</v>
      </c>
      <c r="CM30" s="442">
        <f t="shared" si="45"/>
        <v>0</v>
      </c>
      <c r="CN30" s="442">
        <f t="shared" si="45"/>
        <v>0</v>
      </c>
      <c r="CO30" s="442">
        <f t="shared" si="45"/>
        <v>0</v>
      </c>
      <c r="CP30" s="442">
        <f t="shared" si="45"/>
        <v>0</v>
      </c>
      <c r="CQ30" s="442">
        <f t="shared" si="45"/>
        <v>0</v>
      </c>
      <c r="CR30" s="442">
        <f t="shared" si="45"/>
        <v>0</v>
      </c>
      <c r="CS30" s="442">
        <f t="shared" si="45"/>
        <v>0</v>
      </c>
      <c r="CT30" s="442">
        <f t="shared" si="45"/>
        <v>0</v>
      </c>
      <c r="CU30" s="442">
        <f t="shared" si="45"/>
        <v>0</v>
      </c>
      <c r="CV30" s="442">
        <f t="shared" si="45"/>
        <v>0</v>
      </c>
      <c r="CW30" s="442">
        <f t="shared" si="45"/>
        <v>0</v>
      </c>
      <c r="CX30" s="442">
        <f t="shared" si="45"/>
        <v>0</v>
      </c>
      <c r="CY30" s="442">
        <f t="shared" si="45"/>
        <v>0</v>
      </c>
      <c r="CZ30" s="442">
        <f t="shared" si="45"/>
        <v>0</v>
      </c>
      <c r="DA30" s="442">
        <f t="shared" si="45"/>
        <v>0</v>
      </c>
      <c r="DB30" s="442">
        <f t="shared" si="45"/>
        <v>0</v>
      </c>
      <c r="DC30" s="442">
        <f t="shared" si="45"/>
        <v>0</v>
      </c>
      <c r="DD30" s="442">
        <f t="shared" si="45"/>
        <v>0</v>
      </c>
      <c r="DE30" s="442">
        <f t="shared" si="45"/>
        <v>0</v>
      </c>
      <c r="DF30" s="442">
        <f t="shared" si="45"/>
        <v>0</v>
      </c>
      <c r="DG30" s="442">
        <f t="shared" si="45"/>
        <v>0</v>
      </c>
      <c r="DH30" s="442">
        <f t="shared" si="45"/>
        <v>0</v>
      </c>
      <c r="DI30" s="442">
        <f t="shared" si="45"/>
        <v>0</v>
      </c>
      <c r="DJ30" s="442">
        <f t="shared" si="45"/>
        <v>0</v>
      </c>
      <c r="DK30" s="442">
        <f t="shared" si="45"/>
        <v>0</v>
      </c>
      <c r="DL30" s="442">
        <f t="shared" si="45"/>
        <v>0</v>
      </c>
      <c r="DM30" s="442">
        <f t="shared" si="45"/>
        <v>0</v>
      </c>
      <c r="DN30" s="442">
        <f t="shared" si="45"/>
        <v>0</v>
      </c>
      <c r="DO30" s="442">
        <f t="shared" si="45"/>
        <v>0</v>
      </c>
      <c r="DP30" s="442">
        <f t="shared" si="45"/>
        <v>0</v>
      </c>
      <c r="DQ30" s="442">
        <f t="shared" si="45"/>
        <v>0</v>
      </c>
      <c r="DR30" s="442">
        <f t="shared" si="45"/>
        <v>0</v>
      </c>
      <c r="DS30" s="442">
        <f t="shared" si="45"/>
        <v>0</v>
      </c>
      <c r="DT30" s="442">
        <f t="shared" si="45"/>
        <v>0</v>
      </c>
      <c r="DU30" s="442">
        <f t="shared" si="45"/>
        <v>0</v>
      </c>
      <c r="DV30" s="442">
        <f t="shared" si="45"/>
        <v>0</v>
      </c>
      <c r="DW30" s="442">
        <f t="shared" si="45"/>
        <v>0</v>
      </c>
      <c r="DX30" s="442">
        <f t="shared" si="45"/>
        <v>0</v>
      </c>
      <c r="DY30" s="442">
        <f t="shared" si="45"/>
        <v>0</v>
      </c>
      <c r="DZ30" s="442">
        <f t="shared" si="45"/>
        <v>0</v>
      </c>
      <c r="EA30" s="442">
        <f t="shared" si="45"/>
        <v>0</v>
      </c>
      <c r="EB30" s="442">
        <f t="shared" si="45"/>
        <v>0</v>
      </c>
      <c r="EC30" s="442">
        <f t="shared" si="45"/>
        <v>0</v>
      </c>
      <c r="ED30" s="442">
        <f t="shared" si="45"/>
        <v>0</v>
      </c>
      <c r="EE30" s="442">
        <f t="shared" si="45"/>
        <v>0</v>
      </c>
      <c r="EF30" s="442">
        <f t="shared" si="45"/>
        <v>0</v>
      </c>
      <c r="EG30" s="442">
        <f t="shared" si="45"/>
        <v>0</v>
      </c>
      <c r="EH30" s="442">
        <f t="shared" ref="EH30:GS30" si="46">IF(EH21=1,$C$8*$C$15,0)</f>
        <v>0</v>
      </c>
      <c r="EI30" s="442">
        <f t="shared" si="46"/>
        <v>0</v>
      </c>
      <c r="EJ30" s="442">
        <f t="shared" si="46"/>
        <v>0</v>
      </c>
      <c r="EK30" s="442">
        <f t="shared" si="46"/>
        <v>0</v>
      </c>
      <c r="EL30" s="442">
        <f t="shared" si="46"/>
        <v>0</v>
      </c>
      <c r="EM30" s="442">
        <f t="shared" si="46"/>
        <v>0</v>
      </c>
      <c r="EN30" s="442">
        <f t="shared" si="46"/>
        <v>0</v>
      </c>
      <c r="EO30" s="442">
        <f t="shared" si="46"/>
        <v>0</v>
      </c>
      <c r="EP30" s="442">
        <f t="shared" si="46"/>
        <v>0</v>
      </c>
      <c r="EQ30" s="442">
        <f t="shared" si="46"/>
        <v>0</v>
      </c>
      <c r="ER30" s="442">
        <f t="shared" si="46"/>
        <v>0</v>
      </c>
      <c r="ES30" s="442">
        <f t="shared" si="46"/>
        <v>0</v>
      </c>
      <c r="ET30" s="442">
        <f t="shared" si="46"/>
        <v>0</v>
      </c>
      <c r="EU30" s="442">
        <f t="shared" si="46"/>
        <v>0</v>
      </c>
      <c r="EV30" s="442">
        <f t="shared" si="46"/>
        <v>0</v>
      </c>
      <c r="EW30" s="442">
        <f t="shared" si="46"/>
        <v>0</v>
      </c>
      <c r="EX30" s="442">
        <f t="shared" si="46"/>
        <v>0</v>
      </c>
      <c r="EY30" s="442">
        <f t="shared" si="46"/>
        <v>0</v>
      </c>
      <c r="EZ30" s="442">
        <f t="shared" si="46"/>
        <v>0</v>
      </c>
      <c r="FA30" s="442">
        <f t="shared" si="46"/>
        <v>0</v>
      </c>
      <c r="FB30" s="442">
        <f t="shared" si="46"/>
        <v>0</v>
      </c>
      <c r="FC30" s="442">
        <f t="shared" si="46"/>
        <v>0</v>
      </c>
      <c r="FD30" s="442">
        <f t="shared" si="46"/>
        <v>0</v>
      </c>
      <c r="FE30" s="442">
        <f t="shared" si="46"/>
        <v>0</v>
      </c>
      <c r="FF30" s="442">
        <f t="shared" si="46"/>
        <v>0</v>
      </c>
      <c r="FG30" s="442">
        <f t="shared" si="46"/>
        <v>0</v>
      </c>
      <c r="FH30" s="442">
        <f t="shared" si="46"/>
        <v>0</v>
      </c>
      <c r="FI30" s="442">
        <f t="shared" si="46"/>
        <v>0</v>
      </c>
      <c r="FJ30" s="442">
        <f t="shared" si="46"/>
        <v>0</v>
      </c>
      <c r="FK30" s="442">
        <f t="shared" si="46"/>
        <v>0</v>
      </c>
      <c r="FL30" s="442">
        <f t="shared" si="46"/>
        <v>0</v>
      </c>
      <c r="FM30" s="442">
        <f t="shared" si="46"/>
        <v>0</v>
      </c>
      <c r="FN30" s="442">
        <f t="shared" si="46"/>
        <v>0</v>
      </c>
      <c r="FO30" s="442">
        <f t="shared" si="46"/>
        <v>0</v>
      </c>
      <c r="FP30" s="442">
        <f t="shared" si="46"/>
        <v>0</v>
      </c>
      <c r="FQ30" s="442">
        <f t="shared" si="46"/>
        <v>0</v>
      </c>
      <c r="FR30" s="442">
        <f t="shared" si="46"/>
        <v>0</v>
      </c>
      <c r="FS30" s="442">
        <f t="shared" si="46"/>
        <v>0</v>
      </c>
      <c r="FT30" s="442">
        <f t="shared" si="46"/>
        <v>0</v>
      </c>
      <c r="FU30" s="442">
        <f t="shared" si="46"/>
        <v>0</v>
      </c>
      <c r="FV30" s="442">
        <f t="shared" si="46"/>
        <v>0</v>
      </c>
      <c r="FW30" s="442">
        <f t="shared" si="46"/>
        <v>0</v>
      </c>
      <c r="FX30" s="442">
        <f t="shared" si="46"/>
        <v>0</v>
      </c>
      <c r="FY30" s="442">
        <f t="shared" si="46"/>
        <v>0</v>
      </c>
      <c r="FZ30" s="442">
        <f t="shared" si="46"/>
        <v>0</v>
      </c>
      <c r="GA30" s="442">
        <f t="shared" si="46"/>
        <v>0</v>
      </c>
      <c r="GB30" s="442">
        <f t="shared" si="46"/>
        <v>0</v>
      </c>
      <c r="GC30" s="442">
        <f t="shared" si="46"/>
        <v>0</v>
      </c>
      <c r="GD30" s="442">
        <f t="shared" si="46"/>
        <v>0</v>
      </c>
      <c r="GE30" s="442">
        <f t="shared" si="46"/>
        <v>0</v>
      </c>
      <c r="GF30" s="442">
        <f t="shared" si="46"/>
        <v>0</v>
      </c>
      <c r="GG30" s="442">
        <f t="shared" si="46"/>
        <v>0</v>
      </c>
      <c r="GH30" s="442">
        <f t="shared" si="46"/>
        <v>0</v>
      </c>
      <c r="GI30" s="442">
        <f t="shared" si="46"/>
        <v>0</v>
      </c>
      <c r="GJ30" s="442">
        <f t="shared" si="46"/>
        <v>0</v>
      </c>
      <c r="GK30" s="442">
        <f t="shared" si="46"/>
        <v>0</v>
      </c>
      <c r="GL30" s="442">
        <f t="shared" si="46"/>
        <v>0</v>
      </c>
      <c r="GM30" s="442">
        <f t="shared" si="46"/>
        <v>0</v>
      </c>
      <c r="GN30" s="442">
        <f t="shared" si="46"/>
        <v>0</v>
      </c>
      <c r="GO30" s="442">
        <f t="shared" si="46"/>
        <v>0</v>
      </c>
      <c r="GP30" s="442">
        <f t="shared" si="46"/>
        <v>0</v>
      </c>
      <c r="GQ30" s="442">
        <f t="shared" si="46"/>
        <v>0</v>
      </c>
      <c r="GR30" s="442">
        <f t="shared" si="46"/>
        <v>0</v>
      </c>
      <c r="GS30" s="442">
        <f t="shared" si="46"/>
        <v>0</v>
      </c>
      <c r="GT30" s="442">
        <f t="shared" ref="GT30:JE30" si="47">IF(GT21=1,$C$8*$C$15,0)</f>
        <v>0</v>
      </c>
      <c r="GU30" s="442">
        <f t="shared" si="47"/>
        <v>0</v>
      </c>
      <c r="GV30" s="442">
        <f t="shared" si="47"/>
        <v>0</v>
      </c>
      <c r="GW30" s="442">
        <f t="shared" si="47"/>
        <v>0</v>
      </c>
      <c r="GX30" s="442">
        <f t="shared" si="47"/>
        <v>0</v>
      </c>
      <c r="GY30" s="442">
        <f t="shared" si="47"/>
        <v>0</v>
      </c>
      <c r="GZ30" s="442">
        <f t="shared" si="47"/>
        <v>0</v>
      </c>
      <c r="HA30" s="442">
        <f t="shared" si="47"/>
        <v>0</v>
      </c>
      <c r="HB30" s="442">
        <f t="shared" si="47"/>
        <v>0</v>
      </c>
      <c r="HC30" s="442">
        <f t="shared" si="47"/>
        <v>0</v>
      </c>
      <c r="HD30" s="442">
        <f t="shared" si="47"/>
        <v>0</v>
      </c>
      <c r="HE30" s="442">
        <f t="shared" si="47"/>
        <v>0</v>
      </c>
      <c r="HF30" s="442">
        <f t="shared" si="47"/>
        <v>0</v>
      </c>
      <c r="HG30" s="442">
        <f t="shared" si="47"/>
        <v>0</v>
      </c>
      <c r="HH30" s="442">
        <f t="shared" si="47"/>
        <v>0</v>
      </c>
      <c r="HI30" s="442">
        <f t="shared" si="47"/>
        <v>0</v>
      </c>
      <c r="HJ30" s="442">
        <f t="shared" si="47"/>
        <v>0</v>
      </c>
      <c r="HK30" s="442">
        <f t="shared" si="47"/>
        <v>0</v>
      </c>
      <c r="HL30" s="442">
        <f t="shared" si="47"/>
        <v>0</v>
      </c>
      <c r="HM30" s="442">
        <f t="shared" si="47"/>
        <v>0</v>
      </c>
      <c r="HN30" s="442">
        <f t="shared" si="47"/>
        <v>0</v>
      </c>
      <c r="HO30" s="442">
        <f t="shared" si="47"/>
        <v>0</v>
      </c>
      <c r="HP30" s="442">
        <f t="shared" si="47"/>
        <v>0</v>
      </c>
      <c r="HQ30" s="442">
        <f t="shared" si="47"/>
        <v>0</v>
      </c>
      <c r="HR30" s="442">
        <f t="shared" si="47"/>
        <v>0</v>
      </c>
      <c r="HS30" s="442">
        <f t="shared" si="47"/>
        <v>0</v>
      </c>
      <c r="HT30" s="442">
        <f t="shared" si="47"/>
        <v>0</v>
      </c>
      <c r="HU30" s="442">
        <f t="shared" si="47"/>
        <v>0</v>
      </c>
      <c r="HV30" s="442">
        <f t="shared" si="47"/>
        <v>0</v>
      </c>
      <c r="HW30" s="442">
        <f t="shared" si="47"/>
        <v>0</v>
      </c>
      <c r="HX30" s="442">
        <f t="shared" si="47"/>
        <v>0</v>
      </c>
      <c r="HY30" s="442">
        <f t="shared" si="47"/>
        <v>0</v>
      </c>
      <c r="HZ30" s="442">
        <f t="shared" si="47"/>
        <v>0</v>
      </c>
      <c r="IA30" s="442">
        <f t="shared" si="47"/>
        <v>0</v>
      </c>
      <c r="IB30" s="442">
        <f t="shared" si="47"/>
        <v>0</v>
      </c>
      <c r="IC30" s="442">
        <f t="shared" si="47"/>
        <v>0</v>
      </c>
      <c r="ID30" s="442">
        <f t="shared" si="47"/>
        <v>0</v>
      </c>
      <c r="IE30" s="442">
        <f t="shared" si="47"/>
        <v>0</v>
      </c>
      <c r="IF30" s="442">
        <f t="shared" si="47"/>
        <v>0</v>
      </c>
      <c r="IG30" s="442">
        <f t="shared" si="47"/>
        <v>0</v>
      </c>
      <c r="IH30" s="442">
        <f t="shared" si="47"/>
        <v>0</v>
      </c>
      <c r="II30" s="442">
        <f t="shared" si="47"/>
        <v>0</v>
      </c>
      <c r="IJ30" s="442">
        <f t="shared" si="47"/>
        <v>0</v>
      </c>
      <c r="IK30" s="442">
        <f t="shared" si="47"/>
        <v>0</v>
      </c>
      <c r="IL30" s="442">
        <f t="shared" si="47"/>
        <v>0</v>
      </c>
      <c r="IM30" s="442">
        <f t="shared" si="47"/>
        <v>0</v>
      </c>
      <c r="IN30" s="442">
        <f t="shared" si="47"/>
        <v>0</v>
      </c>
      <c r="IO30" s="442">
        <f t="shared" si="47"/>
        <v>0</v>
      </c>
      <c r="IP30" s="442">
        <f t="shared" si="47"/>
        <v>0</v>
      </c>
      <c r="IQ30" s="442">
        <f t="shared" si="47"/>
        <v>0</v>
      </c>
      <c r="IR30" s="442">
        <f t="shared" si="47"/>
        <v>0</v>
      </c>
      <c r="IS30" s="442">
        <f t="shared" si="47"/>
        <v>0</v>
      </c>
      <c r="IT30" s="442">
        <f t="shared" si="47"/>
        <v>0</v>
      </c>
      <c r="IU30" s="442">
        <f t="shared" si="47"/>
        <v>0</v>
      </c>
      <c r="IV30" s="442">
        <f t="shared" si="47"/>
        <v>0</v>
      </c>
      <c r="IW30" s="442">
        <f t="shared" si="47"/>
        <v>0</v>
      </c>
      <c r="IX30" s="442">
        <f t="shared" si="47"/>
        <v>0</v>
      </c>
      <c r="IY30" s="442">
        <f t="shared" si="47"/>
        <v>0</v>
      </c>
      <c r="IZ30" s="442">
        <f t="shared" si="47"/>
        <v>0</v>
      </c>
      <c r="JA30" s="442">
        <f t="shared" si="47"/>
        <v>0</v>
      </c>
      <c r="JB30" s="442">
        <f t="shared" si="47"/>
        <v>0</v>
      </c>
      <c r="JC30" s="442">
        <f t="shared" si="47"/>
        <v>0</v>
      </c>
      <c r="JD30" s="442">
        <f t="shared" si="47"/>
        <v>0</v>
      </c>
      <c r="JE30" s="442">
        <f t="shared" si="47"/>
        <v>0</v>
      </c>
      <c r="JF30" s="442">
        <f t="shared" ref="JF30:LQ30" si="48">IF(JF21=1,$C$8*$C$15,0)</f>
        <v>0</v>
      </c>
      <c r="JG30" s="442">
        <f t="shared" si="48"/>
        <v>0</v>
      </c>
      <c r="JH30" s="442">
        <f t="shared" si="48"/>
        <v>0</v>
      </c>
      <c r="JI30" s="442">
        <f t="shared" si="48"/>
        <v>0</v>
      </c>
      <c r="JJ30" s="442">
        <f t="shared" si="48"/>
        <v>0</v>
      </c>
      <c r="JK30" s="442">
        <f t="shared" si="48"/>
        <v>0</v>
      </c>
      <c r="JL30" s="442">
        <f t="shared" si="48"/>
        <v>0</v>
      </c>
      <c r="JM30" s="442">
        <f t="shared" si="48"/>
        <v>0</v>
      </c>
      <c r="JN30" s="442">
        <f t="shared" si="48"/>
        <v>0</v>
      </c>
      <c r="JO30" s="442">
        <f t="shared" si="48"/>
        <v>0</v>
      </c>
      <c r="JP30" s="442">
        <f t="shared" si="48"/>
        <v>0</v>
      </c>
      <c r="JQ30" s="442">
        <f t="shared" si="48"/>
        <v>0</v>
      </c>
      <c r="JR30" s="442">
        <f t="shared" si="48"/>
        <v>0</v>
      </c>
      <c r="JS30" s="442">
        <f t="shared" si="48"/>
        <v>0</v>
      </c>
      <c r="JT30" s="442">
        <f t="shared" si="48"/>
        <v>0</v>
      </c>
      <c r="JU30" s="442">
        <f t="shared" si="48"/>
        <v>0</v>
      </c>
      <c r="JV30" s="442">
        <f t="shared" si="48"/>
        <v>0</v>
      </c>
      <c r="JW30" s="442">
        <f t="shared" si="48"/>
        <v>0</v>
      </c>
      <c r="JX30" s="442">
        <f t="shared" si="48"/>
        <v>0</v>
      </c>
      <c r="JY30" s="442">
        <f t="shared" si="48"/>
        <v>0</v>
      </c>
      <c r="JZ30" s="442">
        <f t="shared" si="48"/>
        <v>0</v>
      </c>
      <c r="KA30" s="442">
        <f t="shared" si="48"/>
        <v>0</v>
      </c>
      <c r="KB30" s="442">
        <f t="shared" si="48"/>
        <v>0</v>
      </c>
      <c r="KC30" s="442">
        <f t="shared" si="48"/>
        <v>0</v>
      </c>
      <c r="KD30" s="442">
        <f t="shared" si="48"/>
        <v>0</v>
      </c>
      <c r="KE30" s="442">
        <f t="shared" si="48"/>
        <v>0</v>
      </c>
      <c r="KF30" s="442">
        <f t="shared" si="48"/>
        <v>0</v>
      </c>
      <c r="KG30" s="442">
        <f t="shared" si="48"/>
        <v>0</v>
      </c>
      <c r="KH30" s="442">
        <f t="shared" si="48"/>
        <v>0</v>
      </c>
      <c r="KI30" s="442">
        <f t="shared" si="48"/>
        <v>0</v>
      </c>
      <c r="KJ30" s="442">
        <f t="shared" si="48"/>
        <v>0</v>
      </c>
      <c r="KK30" s="442">
        <f t="shared" si="48"/>
        <v>0</v>
      </c>
      <c r="KL30" s="442">
        <f t="shared" si="48"/>
        <v>0</v>
      </c>
      <c r="KM30" s="442">
        <f t="shared" si="48"/>
        <v>0</v>
      </c>
      <c r="KN30" s="442">
        <f t="shared" si="48"/>
        <v>0</v>
      </c>
      <c r="KO30" s="442">
        <f t="shared" si="48"/>
        <v>0</v>
      </c>
      <c r="KP30" s="442">
        <f t="shared" si="48"/>
        <v>0</v>
      </c>
      <c r="KQ30" s="442">
        <f t="shared" si="48"/>
        <v>0</v>
      </c>
      <c r="KR30" s="442">
        <f t="shared" si="48"/>
        <v>0</v>
      </c>
      <c r="KS30" s="442">
        <f t="shared" si="48"/>
        <v>0</v>
      </c>
      <c r="KT30" s="442">
        <f t="shared" si="48"/>
        <v>0</v>
      </c>
      <c r="KU30" s="442">
        <f t="shared" si="48"/>
        <v>0</v>
      </c>
      <c r="KV30" s="442">
        <f t="shared" si="48"/>
        <v>0</v>
      </c>
      <c r="KW30" s="442">
        <f t="shared" si="48"/>
        <v>0</v>
      </c>
      <c r="KX30" s="442">
        <f t="shared" si="48"/>
        <v>0</v>
      </c>
      <c r="KY30" s="442">
        <f t="shared" si="48"/>
        <v>0</v>
      </c>
      <c r="KZ30" s="442">
        <f t="shared" si="48"/>
        <v>0</v>
      </c>
      <c r="LA30" s="442">
        <f t="shared" si="48"/>
        <v>0</v>
      </c>
      <c r="LB30" s="442">
        <f t="shared" si="48"/>
        <v>0</v>
      </c>
      <c r="LC30" s="442">
        <f t="shared" si="48"/>
        <v>0</v>
      </c>
      <c r="LD30" s="442">
        <f t="shared" si="48"/>
        <v>0</v>
      </c>
      <c r="LE30" s="442">
        <f t="shared" si="48"/>
        <v>0</v>
      </c>
      <c r="LF30" s="442">
        <f t="shared" si="48"/>
        <v>0</v>
      </c>
      <c r="LG30" s="442">
        <f t="shared" si="48"/>
        <v>0</v>
      </c>
      <c r="LH30" s="442">
        <f t="shared" si="48"/>
        <v>0</v>
      </c>
      <c r="LI30" s="442">
        <f t="shared" si="48"/>
        <v>0</v>
      </c>
      <c r="LJ30" s="442">
        <f t="shared" si="48"/>
        <v>0</v>
      </c>
      <c r="LK30" s="442">
        <f t="shared" si="48"/>
        <v>0</v>
      </c>
      <c r="LL30" s="442">
        <f t="shared" si="48"/>
        <v>0</v>
      </c>
      <c r="LM30" s="442">
        <f t="shared" si="48"/>
        <v>0</v>
      </c>
      <c r="LN30" s="442">
        <f t="shared" si="48"/>
        <v>0</v>
      </c>
      <c r="LO30" s="442">
        <f t="shared" si="48"/>
        <v>0</v>
      </c>
      <c r="LP30" s="442">
        <f t="shared" si="48"/>
        <v>0</v>
      </c>
      <c r="LQ30" s="442">
        <f t="shared" si="48"/>
        <v>0</v>
      </c>
      <c r="LR30" s="442">
        <f t="shared" ref="LR30:NC30" si="49">IF(LR21=1,$C$8*$C$15,0)</f>
        <v>0</v>
      </c>
      <c r="LS30" s="442">
        <f t="shared" si="49"/>
        <v>0</v>
      </c>
      <c r="LT30" s="442">
        <f t="shared" si="49"/>
        <v>0</v>
      </c>
      <c r="LU30" s="442">
        <f t="shared" si="49"/>
        <v>0</v>
      </c>
      <c r="LV30" s="442">
        <f t="shared" si="49"/>
        <v>0</v>
      </c>
      <c r="LW30" s="442">
        <f t="shared" si="49"/>
        <v>0</v>
      </c>
      <c r="LX30" s="442">
        <f t="shared" si="49"/>
        <v>0</v>
      </c>
      <c r="LY30" s="442">
        <f t="shared" si="49"/>
        <v>0</v>
      </c>
      <c r="LZ30" s="442">
        <f t="shared" si="49"/>
        <v>0</v>
      </c>
      <c r="MA30" s="442">
        <f t="shared" si="49"/>
        <v>0</v>
      </c>
      <c r="MB30" s="442">
        <f t="shared" si="49"/>
        <v>0</v>
      </c>
      <c r="MC30" s="442">
        <f t="shared" si="49"/>
        <v>0</v>
      </c>
      <c r="MD30" s="442">
        <f t="shared" si="49"/>
        <v>0</v>
      </c>
      <c r="ME30" s="442">
        <f t="shared" si="49"/>
        <v>0</v>
      </c>
      <c r="MF30" s="442">
        <f t="shared" si="49"/>
        <v>0</v>
      </c>
      <c r="MG30" s="442">
        <f t="shared" si="49"/>
        <v>0</v>
      </c>
      <c r="MH30" s="442">
        <f t="shared" si="49"/>
        <v>0</v>
      </c>
      <c r="MI30" s="442">
        <f t="shared" si="49"/>
        <v>0</v>
      </c>
      <c r="MJ30" s="442">
        <f t="shared" si="49"/>
        <v>0</v>
      </c>
      <c r="MK30" s="442">
        <f t="shared" si="49"/>
        <v>0</v>
      </c>
      <c r="ML30" s="442">
        <f t="shared" si="49"/>
        <v>0</v>
      </c>
      <c r="MM30" s="442">
        <f t="shared" si="49"/>
        <v>0</v>
      </c>
      <c r="MN30" s="442">
        <f t="shared" si="49"/>
        <v>0</v>
      </c>
      <c r="MO30" s="442">
        <f t="shared" si="49"/>
        <v>0</v>
      </c>
      <c r="MP30" s="442">
        <f t="shared" si="49"/>
        <v>0</v>
      </c>
      <c r="MQ30" s="442">
        <f t="shared" si="49"/>
        <v>0</v>
      </c>
      <c r="MR30" s="442">
        <f t="shared" si="49"/>
        <v>0</v>
      </c>
      <c r="MS30" s="442">
        <f t="shared" si="49"/>
        <v>0</v>
      </c>
      <c r="MT30" s="442">
        <f t="shared" si="49"/>
        <v>0</v>
      </c>
      <c r="MU30" s="442">
        <f t="shared" si="49"/>
        <v>0</v>
      </c>
      <c r="MV30" s="442">
        <f t="shared" si="49"/>
        <v>0</v>
      </c>
      <c r="MW30" s="442">
        <f t="shared" si="49"/>
        <v>0</v>
      </c>
      <c r="MX30" s="442">
        <f t="shared" si="49"/>
        <v>0</v>
      </c>
      <c r="MY30" s="442">
        <f t="shared" si="49"/>
        <v>0</v>
      </c>
      <c r="MZ30" s="442">
        <f t="shared" si="49"/>
        <v>0</v>
      </c>
      <c r="NA30" s="442">
        <f t="shared" si="49"/>
        <v>0</v>
      </c>
      <c r="NB30" s="442">
        <f t="shared" si="49"/>
        <v>0</v>
      </c>
      <c r="NC30" s="442">
        <f t="shared" si="49"/>
        <v>0</v>
      </c>
      <c r="ND30" s="442"/>
      <c r="NE30" s="442"/>
      <c r="NF30" s="442"/>
      <c r="NG30" s="442"/>
      <c r="NH30" s="442"/>
      <c r="NI30" s="442"/>
      <c r="NJ30" s="442"/>
      <c r="NK30" s="442"/>
      <c r="NL30" s="442"/>
      <c r="NM30" s="442"/>
      <c r="NN30" s="442"/>
      <c r="NO30" s="442"/>
      <c r="NP30" s="442"/>
      <c r="NQ30" s="442"/>
      <c r="NR30" s="442"/>
      <c r="NS30" s="442"/>
      <c r="NT30" s="442"/>
      <c r="NU30" s="442"/>
      <c r="NV30" s="442"/>
      <c r="NW30" s="442"/>
      <c r="NX30" s="442"/>
      <c r="NY30" s="442"/>
      <c r="NZ30" s="442"/>
      <c r="OA30" s="442"/>
      <c r="OB30" s="442"/>
      <c r="OC30" s="442"/>
      <c r="OD30" s="442"/>
      <c r="OE30" s="442"/>
      <c r="OF30" s="442"/>
      <c r="OG30" s="442"/>
    </row>
    <row r="31" spans="1:16383">
      <c r="B31" s="7" t="s">
        <v>464</v>
      </c>
      <c r="H31" s="442">
        <f>SUM(H27:H29)</f>
        <v>282795.96668487421</v>
      </c>
      <c r="I31" s="442">
        <f>SUM(I27:I29)</f>
        <v>282795.96668487415</v>
      </c>
      <c r="J31" s="442">
        <f t="shared" ref="J31:BU31" si="50">SUM(J27:J29)</f>
        <v>282795.96668487421</v>
      </c>
      <c r="K31" s="442">
        <f t="shared" si="50"/>
        <v>282795.96668487421</v>
      </c>
      <c r="L31" s="442">
        <f t="shared" si="50"/>
        <v>282795.96668487421</v>
      </c>
      <c r="M31" s="442">
        <f t="shared" si="50"/>
        <v>282795.96668487421</v>
      </c>
      <c r="N31" s="442">
        <f t="shared" si="50"/>
        <v>282795.96668487421</v>
      </c>
      <c r="O31" s="442">
        <f t="shared" si="50"/>
        <v>282795.96668487421</v>
      </c>
      <c r="P31" s="442">
        <f t="shared" si="50"/>
        <v>282795.96668487421</v>
      </c>
      <c r="Q31" s="442">
        <f t="shared" si="50"/>
        <v>282795.96668487421</v>
      </c>
      <c r="R31" s="442">
        <f t="shared" si="50"/>
        <v>282795.96668487421</v>
      </c>
      <c r="S31" s="442">
        <f t="shared" si="50"/>
        <v>282795.96668487421</v>
      </c>
      <c r="T31" s="442">
        <f t="shared" si="50"/>
        <v>282360.85668487422</v>
      </c>
      <c r="U31" s="442">
        <f t="shared" si="50"/>
        <v>282360.85668487416</v>
      </c>
      <c r="V31" s="442">
        <f t="shared" si="50"/>
        <v>282360.85668487416</v>
      </c>
      <c r="W31" s="442">
        <f t="shared" si="50"/>
        <v>282360.85668487416</v>
      </c>
      <c r="X31" s="442">
        <f t="shared" si="50"/>
        <v>282360.85668487416</v>
      </c>
      <c r="Y31" s="442">
        <f t="shared" si="50"/>
        <v>282360.85668487416</v>
      </c>
      <c r="Z31" s="442">
        <f t="shared" si="50"/>
        <v>282360.85668487422</v>
      </c>
      <c r="AA31" s="442">
        <f t="shared" si="50"/>
        <v>282360.85668487422</v>
      </c>
      <c r="AB31" s="442">
        <f t="shared" si="50"/>
        <v>282360.85668487422</v>
      </c>
      <c r="AC31" s="442">
        <f t="shared" si="50"/>
        <v>282360.85668487422</v>
      </c>
      <c r="AD31" s="442">
        <f t="shared" si="50"/>
        <v>282360.85668487422</v>
      </c>
      <c r="AE31" s="442">
        <f t="shared" si="50"/>
        <v>282360.85668487422</v>
      </c>
      <c r="AF31" s="442">
        <f t="shared" si="50"/>
        <v>281903.49668487418</v>
      </c>
      <c r="AG31" s="442">
        <f t="shared" si="50"/>
        <v>281903.49668487418</v>
      </c>
      <c r="AH31" s="442">
        <f t="shared" si="50"/>
        <v>281903.49668487418</v>
      </c>
      <c r="AI31" s="442">
        <f t="shared" si="50"/>
        <v>281903.49668487418</v>
      </c>
      <c r="AJ31" s="442">
        <f t="shared" si="50"/>
        <v>281903.49668487418</v>
      </c>
      <c r="AK31" s="442">
        <f t="shared" si="50"/>
        <v>281903.49668487418</v>
      </c>
      <c r="AL31" s="442">
        <f t="shared" si="50"/>
        <v>281903.49668487418</v>
      </c>
      <c r="AM31" s="442">
        <f t="shared" si="50"/>
        <v>281903.49668487418</v>
      </c>
      <c r="AN31" s="442">
        <f t="shared" si="50"/>
        <v>281903.49668487418</v>
      </c>
      <c r="AO31" s="442">
        <f t="shared" si="50"/>
        <v>281903.49668487418</v>
      </c>
      <c r="AP31" s="442">
        <f t="shared" si="50"/>
        <v>281903.49668487418</v>
      </c>
      <c r="AQ31" s="442">
        <f t="shared" si="50"/>
        <v>281903.49668487418</v>
      </c>
      <c r="AR31" s="442">
        <f t="shared" si="50"/>
        <v>281422.72668487416</v>
      </c>
      <c r="AS31" s="442">
        <f t="shared" si="50"/>
        <v>281422.72668487416</v>
      </c>
      <c r="AT31" s="442">
        <f t="shared" si="50"/>
        <v>281422.72668487416</v>
      </c>
      <c r="AU31" s="442">
        <f t="shared" si="50"/>
        <v>281422.72668487416</v>
      </c>
      <c r="AV31" s="442">
        <f t="shared" si="50"/>
        <v>281422.72668487416</v>
      </c>
      <c r="AW31" s="442">
        <f t="shared" si="50"/>
        <v>281422.72668487416</v>
      </c>
      <c r="AX31" s="442">
        <f t="shared" si="50"/>
        <v>281422.72668487421</v>
      </c>
      <c r="AY31" s="442">
        <f t="shared" si="50"/>
        <v>281422.72668487416</v>
      </c>
      <c r="AZ31" s="442">
        <f t="shared" si="50"/>
        <v>281422.72668487416</v>
      </c>
      <c r="BA31" s="442">
        <f t="shared" si="50"/>
        <v>281422.72668487421</v>
      </c>
      <c r="BB31" s="442">
        <f t="shared" si="50"/>
        <v>281422.72668487421</v>
      </c>
      <c r="BC31" s="442">
        <f t="shared" si="50"/>
        <v>281422.72668487416</v>
      </c>
      <c r="BD31" s="442">
        <f t="shared" si="50"/>
        <v>280917.36668487423</v>
      </c>
      <c r="BE31" s="442">
        <f t="shared" si="50"/>
        <v>280917.36668487423</v>
      </c>
      <c r="BF31" s="442">
        <f t="shared" si="50"/>
        <v>280917.36668487423</v>
      </c>
      <c r="BG31" s="442">
        <f t="shared" si="50"/>
        <v>280917.36668487423</v>
      </c>
      <c r="BH31" s="442">
        <f t="shared" si="50"/>
        <v>280917.36668487423</v>
      </c>
      <c r="BI31" s="442">
        <f t="shared" si="50"/>
        <v>280917.36668487417</v>
      </c>
      <c r="BJ31" s="442">
        <f t="shared" si="50"/>
        <v>280917.36668487417</v>
      </c>
      <c r="BK31" s="442">
        <f t="shared" si="50"/>
        <v>280917.36668487423</v>
      </c>
      <c r="BL31" s="442">
        <f t="shared" si="50"/>
        <v>280917.36668487417</v>
      </c>
      <c r="BM31" s="442">
        <f t="shared" si="50"/>
        <v>280917.36668487417</v>
      </c>
      <c r="BN31" s="442">
        <f t="shared" si="50"/>
        <v>280917.36668487417</v>
      </c>
      <c r="BO31" s="442">
        <f t="shared" si="50"/>
        <v>280917.36668487417</v>
      </c>
      <c r="BP31" s="442">
        <f t="shared" si="50"/>
        <v>280386.15668487421</v>
      </c>
      <c r="BQ31" s="442">
        <f t="shared" si="50"/>
        <v>280386.15668487421</v>
      </c>
      <c r="BR31" s="442">
        <f t="shared" si="50"/>
        <v>280386.15668487421</v>
      </c>
      <c r="BS31" s="442">
        <f t="shared" si="50"/>
        <v>280386.15668487421</v>
      </c>
      <c r="BT31" s="442">
        <f t="shared" si="50"/>
        <v>280386.15668487421</v>
      </c>
      <c r="BU31" s="442">
        <f t="shared" si="50"/>
        <v>280386.15668487421</v>
      </c>
      <c r="BV31" s="442">
        <f t="shared" ref="BV31:EG31" si="51">SUM(BV27:BV29)</f>
        <v>280386.15668487421</v>
      </c>
      <c r="BW31" s="442">
        <f t="shared" si="51"/>
        <v>280386.15668487421</v>
      </c>
      <c r="BX31" s="442">
        <f t="shared" si="51"/>
        <v>280386.15668487421</v>
      </c>
      <c r="BY31" s="442">
        <f t="shared" si="51"/>
        <v>280386.15668487421</v>
      </c>
      <c r="BZ31" s="442">
        <f t="shared" si="51"/>
        <v>280386.15668487421</v>
      </c>
      <c r="CA31" s="442">
        <f t="shared" si="51"/>
        <v>280386.15668487421</v>
      </c>
      <c r="CB31" s="442">
        <f t="shared" si="51"/>
        <v>279827.76668487419</v>
      </c>
      <c r="CC31" s="442">
        <f t="shared" si="51"/>
        <v>279827.76668487419</v>
      </c>
      <c r="CD31" s="442">
        <f t="shared" si="51"/>
        <v>279827.76668487419</v>
      </c>
      <c r="CE31" s="442">
        <f t="shared" si="51"/>
        <v>279827.76668487414</v>
      </c>
      <c r="CF31" s="442">
        <f t="shared" si="51"/>
        <v>279827.76668487419</v>
      </c>
      <c r="CG31" s="442">
        <f t="shared" si="51"/>
        <v>279827.76668487419</v>
      </c>
      <c r="CH31" s="442">
        <f t="shared" si="51"/>
        <v>279827.76668487419</v>
      </c>
      <c r="CI31" s="442">
        <f t="shared" si="51"/>
        <v>279827.76668487419</v>
      </c>
      <c r="CJ31" s="442">
        <f t="shared" si="51"/>
        <v>279827.76668487419</v>
      </c>
      <c r="CK31" s="442">
        <f t="shared" si="51"/>
        <v>279827.76668487419</v>
      </c>
      <c r="CL31" s="442">
        <f t="shared" si="51"/>
        <v>279827.76668487419</v>
      </c>
      <c r="CM31" s="442">
        <f t="shared" si="51"/>
        <v>279827.76668487425</v>
      </c>
      <c r="CN31" s="442">
        <f t="shared" si="51"/>
        <v>279240.79668487422</v>
      </c>
      <c r="CO31" s="442">
        <f t="shared" si="51"/>
        <v>279240.79668487422</v>
      </c>
      <c r="CP31" s="442">
        <f t="shared" si="51"/>
        <v>279240.79668487422</v>
      </c>
      <c r="CQ31" s="442">
        <f t="shared" si="51"/>
        <v>279240.79668487422</v>
      </c>
      <c r="CR31" s="442">
        <f t="shared" si="51"/>
        <v>279240.79668487422</v>
      </c>
      <c r="CS31" s="442">
        <f t="shared" si="51"/>
        <v>279240.79668487422</v>
      </c>
      <c r="CT31" s="442">
        <f t="shared" si="51"/>
        <v>279240.79668487416</v>
      </c>
      <c r="CU31" s="442">
        <f t="shared" si="51"/>
        <v>279240.79668487416</v>
      </c>
      <c r="CV31" s="442">
        <f t="shared" si="51"/>
        <v>279240.79668487422</v>
      </c>
      <c r="CW31" s="442">
        <f t="shared" si="51"/>
        <v>279240.79668487416</v>
      </c>
      <c r="CX31" s="442">
        <f t="shared" si="51"/>
        <v>279240.79668487416</v>
      </c>
      <c r="CY31" s="442">
        <f t="shared" si="51"/>
        <v>279240.79668487416</v>
      </c>
      <c r="CZ31" s="442">
        <f t="shared" si="51"/>
        <v>278623.80668487423</v>
      </c>
      <c r="DA31" s="442">
        <f t="shared" si="51"/>
        <v>278623.80668487423</v>
      </c>
      <c r="DB31" s="442">
        <f t="shared" si="51"/>
        <v>278623.80668487423</v>
      </c>
      <c r="DC31" s="442">
        <f t="shared" si="51"/>
        <v>278623.80668487423</v>
      </c>
      <c r="DD31" s="442">
        <f t="shared" si="51"/>
        <v>278623.80668487423</v>
      </c>
      <c r="DE31" s="442">
        <f t="shared" si="51"/>
        <v>278623.80668487423</v>
      </c>
      <c r="DF31" s="442">
        <f t="shared" si="51"/>
        <v>278623.80668487423</v>
      </c>
      <c r="DG31" s="442">
        <f t="shared" si="51"/>
        <v>278623.80668487423</v>
      </c>
      <c r="DH31" s="442">
        <f t="shared" si="51"/>
        <v>278623.80668487423</v>
      </c>
      <c r="DI31" s="442">
        <f t="shared" si="51"/>
        <v>278623.80668487423</v>
      </c>
      <c r="DJ31" s="442">
        <f t="shared" si="51"/>
        <v>278623.80668487423</v>
      </c>
      <c r="DK31" s="442">
        <f t="shared" si="51"/>
        <v>278623.80668487423</v>
      </c>
      <c r="DL31" s="442">
        <f t="shared" si="51"/>
        <v>277975.24668487418</v>
      </c>
      <c r="DM31" s="442">
        <f t="shared" si="51"/>
        <v>277975.24668487418</v>
      </c>
      <c r="DN31" s="442">
        <f t="shared" si="51"/>
        <v>277975.24668487418</v>
      </c>
      <c r="DO31" s="442">
        <f t="shared" si="51"/>
        <v>277975.24668487418</v>
      </c>
      <c r="DP31" s="442">
        <f t="shared" si="51"/>
        <v>277975.24668487418</v>
      </c>
      <c r="DQ31" s="442">
        <f t="shared" si="51"/>
        <v>277975.24668487418</v>
      </c>
      <c r="DR31" s="442">
        <f t="shared" si="51"/>
        <v>277975.24668487418</v>
      </c>
      <c r="DS31" s="442">
        <f t="shared" si="51"/>
        <v>277975.24668487418</v>
      </c>
      <c r="DT31" s="442">
        <f t="shared" si="51"/>
        <v>277975.24668487418</v>
      </c>
      <c r="DU31" s="442">
        <f t="shared" si="51"/>
        <v>277975.24668487418</v>
      </c>
      <c r="DV31" s="442">
        <f t="shared" si="51"/>
        <v>277975.24668487418</v>
      </c>
      <c r="DW31" s="442">
        <f t="shared" si="51"/>
        <v>277975.24668487418</v>
      </c>
      <c r="DX31" s="442">
        <f t="shared" si="51"/>
        <v>277293.50668487413</v>
      </c>
      <c r="DY31" s="442">
        <f t="shared" si="51"/>
        <v>277293.50668487413</v>
      </c>
      <c r="DZ31" s="442">
        <f t="shared" si="51"/>
        <v>277293.50668487413</v>
      </c>
      <c r="EA31" s="442">
        <f t="shared" si="51"/>
        <v>277293.50668487418</v>
      </c>
      <c r="EB31" s="442">
        <f t="shared" si="51"/>
        <v>277293.50668487413</v>
      </c>
      <c r="EC31" s="442">
        <f t="shared" si="51"/>
        <v>277293.50668487413</v>
      </c>
      <c r="ED31" s="442">
        <f t="shared" si="51"/>
        <v>277293.50668487418</v>
      </c>
      <c r="EE31" s="442">
        <f t="shared" si="51"/>
        <v>277293.50668487418</v>
      </c>
      <c r="EF31" s="442">
        <f t="shared" si="51"/>
        <v>277293.50668487418</v>
      </c>
      <c r="EG31" s="442">
        <f t="shared" si="51"/>
        <v>277293.50668487418</v>
      </c>
      <c r="EH31" s="442">
        <f t="shared" ref="EH31:GS31" si="52">SUM(EH27:EH29)</f>
        <v>277293.50668487418</v>
      </c>
      <c r="EI31" s="442">
        <f t="shared" si="52"/>
        <v>277293.50668487418</v>
      </c>
      <c r="EJ31" s="442">
        <f t="shared" si="52"/>
        <v>276576.87668487418</v>
      </c>
      <c r="EK31" s="442">
        <f t="shared" si="52"/>
        <v>276576.87668487424</v>
      </c>
      <c r="EL31" s="442">
        <f t="shared" si="52"/>
        <v>276576.87668487418</v>
      </c>
      <c r="EM31" s="442">
        <f t="shared" si="52"/>
        <v>276576.87668487418</v>
      </c>
      <c r="EN31" s="442">
        <f t="shared" si="52"/>
        <v>276576.87668487424</v>
      </c>
      <c r="EO31" s="442">
        <f t="shared" si="52"/>
        <v>276576.87668487424</v>
      </c>
      <c r="EP31" s="442">
        <f t="shared" si="52"/>
        <v>276576.87668487424</v>
      </c>
      <c r="EQ31" s="442">
        <f t="shared" si="52"/>
        <v>276576.87668487424</v>
      </c>
      <c r="ER31" s="442">
        <f t="shared" si="52"/>
        <v>276576.87668487424</v>
      </c>
      <c r="ES31" s="442">
        <f t="shared" si="52"/>
        <v>276576.87668487424</v>
      </c>
      <c r="ET31" s="442">
        <f t="shared" si="52"/>
        <v>276576.87668487418</v>
      </c>
      <c r="EU31" s="442">
        <f t="shared" si="52"/>
        <v>276576.87668487418</v>
      </c>
      <c r="EV31" s="442">
        <f t="shared" si="52"/>
        <v>275823.6066848741</v>
      </c>
      <c r="EW31" s="442">
        <f t="shared" si="52"/>
        <v>275823.6066848741</v>
      </c>
      <c r="EX31" s="442">
        <f t="shared" si="52"/>
        <v>275823.60668487416</v>
      </c>
      <c r="EY31" s="442">
        <f t="shared" si="52"/>
        <v>275823.6066848741</v>
      </c>
      <c r="EZ31" s="442">
        <f t="shared" si="52"/>
        <v>275823.6066848741</v>
      </c>
      <c r="FA31" s="442">
        <f t="shared" si="52"/>
        <v>275823.60668487416</v>
      </c>
      <c r="FB31" s="442">
        <f t="shared" si="52"/>
        <v>275823.6066848741</v>
      </c>
      <c r="FC31" s="442">
        <f t="shared" si="52"/>
        <v>275823.60668487416</v>
      </c>
      <c r="FD31" s="442">
        <f t="shared" si="52"/>
        <v>275823.60668487416</v>
      </c>
      <c r="FE31" s="442">
        <f t="shared" si="52"/>
        <v>275823.60668487416</v>
      </c>
      <c r="FF31" s="442">
        <f t="shared" si="52"/>
        <v>275823.60668487416</v>
      </c>
      <c r="FG31" s="442">
        <f t="shared" si="52"/>
        <v>275823.60668487416</v>
      </c>
      <c r="FH31" s="442">
        <f t="shared" si="52"/>
        <v>275031.7766848742</v>
      </c>
      <c r="FI31" s="442">
        <f t="shared" si="52"/>
        <v>275031.7766848742</v>
      </c>
      <c r="FJ31" s="442">
        <f t="shared" si="52"/>
        <v>275031.7766848742</v>
      </c>
      <c r="FK31" s="442">
        <f t="shared" si="52"/>
        <v>275031.7766848742</v>
      </c>
      <c r="FL31" s="442">
        <f t="shared" si="52"/>
        <v>275031.7766848742</v>
      </c>
      <c r="FM31" s="442">
        <f t="shared" si="52"/>
        <v>275031.7766848742</v>
      </c>
      <c r="FN31" s="442">
        <f t="shared" si="52"/>
        <v>275031.77668487426</v>
      </c>
      <c r="FO31" s="442">
        <f t="shared" si="52"/>
        <v>275031.77668487426</v>
      </c>
      <c r="FP31" s="442">
        <f t="shared" si="52"/>
        <v>275031.7766848742</v>
      </c>
      <c r="FQ31" s="442">
        <f t="shared" si="52"/>
        <v>275031.7766848742</v>
      </c>
      <c r="FR31" s="442">
        <f t="shared" si="52"/>
        <v>275031.7766848742</v>
      </c>
      <c r="FS31" s="442">
        <f t="shared" si="52"/>
        <v>275031.7766848742</v>
      </c>
      <c r="FT31" s="442">
        <f t="shared" si="52"/>
        <v>274199.43668487424</v>
      </c>
      <c r="FU31" s="442">
        <f t="shared" si="52"/>
        <v>274199.43668487424</v>
      </c>
      <c r="FV31" s="442">
        <f t="shared" si="52"/>
        <v>274199.43668487418</v>
      </c>
      <c r="FW31" s="442">
        <f t="shared" si="52"/>
        <v>274199.43668487418</v>
      </c>
      <c r="FX31" s="442">
        <f t="shared" si="52"/>
        <v>274199.43668487418</v>
      </c>
      <c r="FY31" s="442">
        <f t="shared" si="52"/>
        <v>274199.43668487418</v>
      </c>
      <c r="FZ31" s="442">
        <f t="shared" si="52"/>
        <v>274199.43668487418</v>
      </c>
      <c r="GA31" s="442">
        <f t="shared" si="52"/>
        <v>274199.43668487418</v>
      </c>
      <c r="GB31" s="442">
        <f t="shared" si="52"/>
        <v>274199.43668487418</v>
      </c>
      <c r="GC31" s="442">
        <f t="shared" si="52"/>
        <v>274199.43668487424</v>
      </c>
      <c r="GD31" s="442">
        <f t="shared" si="52"/>
        <v>274199.43668487418</v>
      </c>
      <c r="GE31" s="442">
        <f t="shared" si="52"/>
        <v>274199.43668487418</v>
      </c>
      <c r="GF31" s="442">
        <f t="shared" si="52"/>
        <v>273324.5266848742</v>
      </c>
      <c r="GG31" s="442">
        <f t="shared" si="52"/>
        <v>273324.5266848742</v>
      </c>
      <c r="GH31" s="442">
        <f t="shared" si="52"/>
        <v>273324.5266848742</v>
      </c>
      <c r="GI31" s="442">
        <f t="shared" si="52"/>
        <v>273324.5266848742</v>
      </c>
      <c r="GJ31" s="442">
        <f t="shared" si="52"/>
        <v>273324.52668487414</v>
      </c>
      <c r="GK31" s="442">
        <f t="shared" si="52"/>
        <v>273324.5266848742</v>
      </c>
      <c r="GL31" s="442">
        <f t="shared" si="52"/>
        <v>273324.5266848742</v>
      </c>
      <c r="GM31" s="442">
        <f t="shared" si="52"/>
        <v>273324.5266848742</v>
      </c>
      <c r="GN31" s="442">
        <f t="shared" si="52"/>
        <v>273324.5266848742</v>
      </c>
      <c r="GO31" s="442">
        <f t="shared" si="52"/>
        <v>273324.5266848742</v>
      </c>
      <c r="GP31" s="442">
        <f t="shared" si="52"/>
        <v>273324.5266848742</v>
      </c>
      <c r="GQ31" s="442">
        <f t="shared" si="52"/>
        <v>273324.5266848742</v>
      </c>
      <c r="GR31" s="442">
        <f t="shared" si="52"/>
        <v>272404.8366848742</v>
      </c>
      <c r="GS31" s="442">
        <f t="shared" si="52"/>
        <v>272404.8366848742</v>
      </c>
      <c r="GT31" s="442">
        <f t="shared" ref="GT31:JE31" si="53">SUM(GT27:GT29)</f>
        <v>272404.8366848742</v>
      </c>
      <c r="GU31" s="442">
        <f t="shared" si="53"/>
        <v>272404.8366848742</v>
      </c>
      <c r="GV31" s="442">
        <f t="shared" si="53"/>
        <v>272404.8366848742</v>
      </c>
      <c r="GW31" s="442">
        <f t="shared" si="53"/>
        <v>272404.8366848742</v>
      </c>
      <c r="GX31" s="442">
        <f t="shared" si="53"/>
        <v>272404.8366848742</v>
      </c>
      <c r="GY31" s="442">
        <f t="shared" si="53"/>
        <v>272404.83668487414</v>
      </c>
      <c r="GZ31" s="442">
        <f t="shared" si="53"/>
        <v>272404.8366848742</v>
      </c>
      <c r="HA31" s="442">
        <f t="shared" si="53"/>
        <v>272404.8366848742</v>
      </c>
      <c r="HB31" s="442">
        <f t="shared" si="53"/>
        <v>272404.8366848742</v>
      </c>
      <c r="HC31" s="442">
        <f t="shared" si="53"/>
        <v>272404.8366848742</v>
      </c>
      <c r="HD31" s="442">
        <f t="shared" si="53"/>
        <v>271438.11668487417</v>
      </c>
      <c r="HE31" s="442">
        <f t="shared" si="53"/>
        <v>271438.11668487417</v>
      </c>
      <c r="HF31" s="442">
        <f t="shared" si="53"/>
        <v>271438.11668487417</v>
      </c>
      <c r="HG31" s="442">
        <f t="shared" si="53"/>
        <v>271438.11668487417</v>
      </c>
      <c r="HH31" s="442">
        <f t="shared" si="53"/>
        <v>271438.11668487417</v>
      </c>
      <c r="HI31" s="442">
        <f t="shared" si="53"/>
        <v>271438.11668487417</v>
      </c>
      <c r="HJ31" s="442">
        <f t="shared" si="53"/>
        <v>271438.11668487417</v>
      </c>
      <c r="HK31" s="442">
        <f t="shared" si="53"/>
        <v>271438.11668487417</v>
      </c>
      <c r="HL31" s="442">
        <f t="shared" si="53"/>
        <v>271438.11668487417</v>
      </c>
      <c r="HM31" s="442">
        <f t="shared" si="53"/>
        <v>271438.11668487417</v>
      </c>
      <c r="HN31" s="442">
        <f t="shared" si="53"/>
        <v>271438.11668487417</v>
      </c>
      <c r="HO31" s="442">
        <f t="shared" si="53"/>
        <v>271438.11668487417</v>
      </c>
      <c r="HP31" s="442">
        <f t="shared" si="53"/>
        <v>270421.91668487416</v>
      </c>
      <c r="HQ31" s="442">
        <f t="shared" si="53"/>
        <v>270421.91668487416</v>
      </c>
      <c r="HR31" s="442">
        <f t="shared" si="53"/>
        <v>270421.91668487416</v>
      </c>
      <c r="HS31" s="442">
        <f t="shared" si="53"/>
        <v>270421.91668487416</v>
      </c>
      <c r="HT31" s="442">
        <f t="shared" si="53"/>
        <v>270421.91668487416</v>
      </c>
      <c r="HU31" s="442">
        <f t="shared" si="53"/>
        <v>270421.91668487416</v>
      </c>
      <c r="HV31" s="442">
        <f t="shared" si="53"/>
        <v>270421.91668487416</v>
      </c>
      <c r="HW31" s="442">
        <f t="shared" si="53"/>
        <v>270421.9166848741</v>
      </c>
      <c r="HX31" s="442">
        <f t="shared" si="53"/>
        <v>270421.91668487416</v>
      </c>
      <c r="HY31" s="442">
        <f t="shared" si="53"/>
        <v>270421.91668487416</v>
      </c>
      <c r="HZ31" s="442">
        <f t="shared" si="53"/>
        <v>270421.91668487416</v>
      </c>
      <c r="IA31" s="442">
        <f t="shared" si="53"/>
        <v>270421.91668487416</v>
      </c>
      <c r="IB31" s="442">
        <f t="shared" si="53"/>
        <v>269353.73668487417</v>
      </c>
      <c r="IC31" s="442">
        <f t="shared" si="53"/>
        <v>269353.73668487417</v>
      </c>
      <c r="ID31" s="442">
        <f t="shared" si="53"/>
        <v>269353.73668487417</v>
      </c>
      <c r="IE31" s="442">
        <f t="shared" si="53"/>
        <v>269353.73668487417</v>
      </c>
      <c r="IF31" s="442">
        <f t="shared" si="53"/>
        <v>269353.73668487417</v>
      </c>
      <c r="IG31" s="442">
        <f t="shared" si="53"/>
        <v>269353.73668487417</v>
      </c>
      <c r="IH31" s="442">
        <f t="shared" si="53"/>
        <v>269353.73668487417</v>
      </c>
      <c r="II31" s="442">
        <f t="shared" si="53"/>
        <v>269353.73668487417</v>
      </c>
      <c r="IJ31" s="442">
        <f t="shared" si="53"/>
        <v>269353.73668487417</v>
      </c>
      <c r="IK31" s="442">
        <f t="shared" si="53"/>
        <v>269353.73668487417</v>
      </c>
      <c r="IL31" s="442">
        <f t="shared" si="53"/>
        <v>269353.73668487417</v>
      </c>
      <c r="IM31" s="442">
        <f t="shared" si="53"/>
        <v>269353.73668487417</v>
      </c>
      <c r="IN31" s="442">
        <f t="shared" si="53"/>
        <v>268230.90668487421</v>
      </c>
      <c r="IO31" s="442">
        <f t="shared" si="53"/>
        <v>268230.90668487415</v>
      </c>
      <c r="IP31" s="442">
        <f t="shared" si="53"/>
        <v>268230.90668487421</v>
      </c>
      <c r="IQ31" s="442">
        <f t="shared" si="53"/>
        <v>268230.90668487421</v>
      </c>
      <c r="IR31" s="442">
        <f t="shared" si="53"/>
        <v>268230.90668487421</v>
      </c>
      <c r="IS31" s="442">
        <f t="shared" si="53"/>
        <v>268230.90668487421</v>
      </c>
      <c r="IT31" s="442">
        <f t="shared" si="53"/>
        <v>268230.90668487421</v>
      </c>
      <c r="IU31" s="442">
        <f t="shared" si="53"/>
        <v>268230.90668487421</v>
      </c>
      <c r="IV31" s="442">
        <f t="shared" si="53"/>
        <v>268230.90668487427</v>
      </c>
      <c r="IW31" s="442">
        <f t="shared" si="53"/>
        <v>268230.90668487427</v>
      </c>
      <c r="IX31" s="442">
        <f t="shared" si="53"/>
        <v>268230.90668487427</v>
      </c>
      <c r="IY31" s="442">
        <f t="shared" si="53"/>
        <v>268230.90668487427</v>
      </c>
      <c r="IZ31" s="442">
        <f t="shared" si="53"/>
        <v>267050.61668487423</v>
      </c>
      <c r="JA31" s="442">
        <f t="shared" si="53"/>
        <v>267050.61668487417</v>
      </c>
      <c r="JB31" s="442">
        <f t="shared" si="53"/>
        <v>267050.61668487417</v>
      </c>
      <c r="JC31" s="442">
        <f t="shared" si="53"/>
        <v>267050.61668487417</v>
      </c>
      <c r="JD31" s="442">
        <f t="shared" si="53"/>
        <v>267050.61668487417</v>
      </c>
      <c r="JE31" s="442">
        <f t="shared" si="53"/>
        <v>267050.61668487423</v>
      </c>
      <c r="JF31" s="442">
        <f t="shared" ref="JF31:LQ31" si="54">SUM(JF27:JF29)</f>
        <v>267050.61668487423</v>
      </c>
      <c r="JG31" s="442">
        <f t="shared" si="54"/>
        <v>267050.61668487417</v>
      </c>
      <c r="JH31" s="442">
        <f t="shared" si="54"/>
        <v>267050.61668487423</v>
      </c>
      <c r="JI31" s="442">
        <f t="shared" si="54"/>
        <v>267050.61668487423</v>
      </c>
      <c r="JJ31" s="442">
        <f t="shared" si="54"/>
        <v>267050.61668487423</v>
      </c>
      <c r="JK31" s="442">
        <f t="shared" si="54"/>
        <v>267050.61668487423</v>
      </c>
      <c r="JL31" s="442">
        <f t="shared" si="54"/>
        <v>265809.95668487425</v>
      </c>
      <c r="JM31" s="442">
        <f t="shared" si="54"/>
        <v>265809.95668487425</v>
      </c>
      <c r="JN31" s="442">
        <f t="shared" si="54"/>
        <v>265809.95668487425</v>
      </c>
      <c r="JO31" s="442">
        <f t="shared" si="54"/>
        <v>265809.9566848742</v>
      </c>
      <c r="JP31" s="442">
        <f t="shared" si="54"/>
        <v>265809.95668487425</v>
      </c>
      <c r="JQ31" s="442">
        <f t="shared" si="54"/>
        <v>265809.95668487425</v>
      </c>
      <c r="JR31" s="442">
        <f t="shared" si="54"/>
        <v>265809.9566848742</v>
      </c>
      <c r="JS31" s="442">
        <f t="shared" si="54"/>
        <v>265809.95668487425</v>
      </c>
      <c r="JT31" s="442">
        <f t="shared" si="54"/>
        <v>265809.9566848742</v>
      </c>
      <c r="JU31" s="442">
        <f t="shared" si="54"/>
        <v>265809.9566848742</v>
      </c>
      <c r="JV31" s="442">
        <f t="shared" si="54"/>
        <v>265809.95668487425</v>
      </c>
      <c r="JW31" s="442">
        <f t="shared" si="54"/>
        <v>265809.95668487425</v>
      </c>
      <c r="JX31" s="442">
        <f t="shared" si="54"/>
        <v>264505.81668487418</v>
      </c>
      <c r="JY31" s="442">
        <f t="shared" si="54"/>
        <v>264505.81668487424</v>
      </c>
      <c r="JZ31" s="442">
        <f t="shared" si="54"/>
        <v>264505.81668487418</v>
      </c>
      <c r="KA31" s="442">
        <f t="shared" si="54"/>
        <v>264505.81668487424</v>
      </c>
      <c r="KB31" s="442">
        <f t="shared" si="54"/>
        <v>264505.81668487424</v>
      </c>
      <c r="KC31" s="442">
        <f t="shared" si="54"/>
        <v>264505.81668487418</v>
      </c>
      <c r="KD31" s="442">
        <f t="shared" si="54"/>
        <v>264505.81668487418</v>
      </c>
      <c r="KE31" s="442">
        <f t="shared" si="54"/>
        <v>264505.81668487424</v>
      </c>
      <c r="KF31" s="442">
        <f t="shared" si="54"/>
        <v>264505.81668487418</v>
      </c>
      <c r="KG31" s="442">
        <f t="shared" si="54"/>
        <v>264505.81668487424</v>
      </c>
      <c r="KH31" s="442">
        <f t="shared" si="54"/>
        <v>264505.81668487424</v>
      </c>
      <c r="KI31" s="442">
        <f t="shared" si="54"/>
        <v>264505.81668487424</v>
      </c>
      <c r="KJ31" s="442">
        <f t="shared" si="54"/>
        <v>263134.95668487425</v>
      </c>
      <c r="KK31" s="442">
        <f t="shared" si="54"/>
        <v>263134.95668487425</v>
      </c>
      <c r="KL31" s="442">
        <f t="shared" si="54"/>
        <v>263134.95668487425</v>
      </c>
      <c r="KM31" s="442">
        <f t="shared" si="54"/>
        <v>263134.9566848742</v>
      </c>
      <c r="KN31" s="442">
        <f t="shared" si="54"/>
        <v>263134.9566848742</v>
      </c>
      <c r="KO31" s="442">
        <f t="shared" si="54"/>
        <v>263134.95668487425</v>
      </c>
      <c r="KP31" s="442">
        <f t="shared" si="54"/>
        <v>263134.95668487425</v>
      </c>
      <c r="KQ31" s="442">
        <f t="shared" si="54"/>
        <v>263134.9566848742</v>
      </c>
      <c r="KR31" s="442">
        <f t="shared" si="54"/>
        <v>263134.9566848742</v>
      </c>
      <c r="KS31" s="442">
        <f t="shared" si="54"/>
        <v>263134.9566848742</v>
      </c>
      <c r="KT31" s="442">
        <f t="shared" si="54"/>
        <v>263134.9566848742</v>
      </c>
      <c r="KU31" s="442">
        <f t="shared" si="54"/>
        <v>263134.9566848742</v>
      </c>
      <c r="KV31" s="442">
        <f t="shared" si="54"/>
        <v>261693.9566848742</v>
      </c>
      <c r="KW31" s="442">
        <f t="shared" si="54"/>
        <v>261693.95668487425</v>
      </c>
      <c r="KX31" s="442">
        <f t="shared" si="54"/>
        <v>261693.9566848742</v>
      </c>
      <c r="KY31" s="442">
        <f t="shared" si="54"/>
        <v>261693.95668487423</v>
      </c>
      <c r="KZ31" s="442">
        <f t="shared" si="54"/>
        <v>261693.9566848742</v>
      </c>
      <c r="LA31" s="442">
        <f t="shared" si="54"/>
        <v>261693.95668487423</v>
      </c>
      <c r="LB31" s="442">
        <f t="shared" si="54"/>
        <v>261693.95668487423</v>
      </c>
      <c r="LC31" s="442">
        <f t="shared" si="54"/>
        <v>261693.9566848742</v>
      </c>
      <c r="LD31" s="442">
        <f t="shared" si="54"/>
        <v>261693.95668487425</v>
      </c>
      <c r="LE31" s="442">
        <f t="shared" si="54"/>
        <v>261693.95668487423</v>
      </c>
      <c r="LF31" s="442">
        <f t="shared" si="54"/>
        <v>261693.95668487423</v>
      </c>
      <c r="LG31" s="442">
        <f t="shared" si="54"/>
        <v>261693.95668487425</v>
      </c>
      <c r="LH31" s="442">
        <f t="shared" si="54"/>
        <v>260179.23668487419</v>
      </c>
      <c r="LI31" s="442">
        <f t="shared" si="54"/>
        <v>260179.23668487425</v>
      </c>
      <c r="LJ31" s="442">
        <f t="shared" si="54"/>
        <v>260179.23668487422</v>
      </c>
      <c r="LK31" s="442">
        <f t="shared" si="54"/>
        <v>260179.23668487419</v>
      </c>
      <c r="LL31" s="442">
        <f t="shared" si="54"/>
        <v>260179.23668487422</v>
      </c>
      <c r="LM31" s="442">
        <f t="shared" si="54"/>
        <v>260179.23668487422</v>
      </c>
      <c r="LN31" s="442">
        <f t="shared" si="54"/>
        <v>260179.23668487425</v>
      </c>
      <c r="LO31" s="442">
        <f t="shared" si="54"/>
        <v>260179.23668487422</v>
      </c>
      <c r="LP31" s="442">
        <f t="shared" si="54"/>
        <v>260179.23668487419</v>
      </c>
      <c r="LQ31" s="442">
        <f t="shared" si="54"/>
        <v>260179.23668487422</v>
      </c>
      <c r="LR31" s="442">
        <f t="shared" ref="LR31:NC31" si="55">SUM(LR27:LR29)</f>
        <v>260179.23668487425</v>
      </c>
      <c r="LS31" s="442">
        <f t="shared" si="55"/>
        <v>260179.23668487419</v>
      </c>
      <c r="LT31" s="442">
        <f t="shared" si="55"/>
        <v>258587.01668487422</v>
      </c>
      <c r="LU31" s="442">
        <f t="shared" si="55"/>
        <v>258587.01668487422</v>
      </c>
      <c r="LV31" s="442">
        <f t="shared" si="55"/>
        <v>258587.01668487419</v>
      </c>
      <c r="LW31" s="442">
        <f t="shared" si="55"/>
        <v>258587.01668487422</v>
      </c>
      <c r="LX31" s="442">
        <f t="shared" si="55"/>
        <v>258587.01668487425</v>
      </c>
      <c r="LY31" s="442">
        <f t="shared" si="55"/>
        <v>258587.01668487419</v>
      </c>
      <c r="LZ31" s="442">
        <f t="shared" si="55"/>
        <v>258587.01668487419</v>
      </c>
      <c r="MA31" s="442">
        <f t="shared" si="55"/>
        <v>258587.01668487422</v>
      </c>
      <c r="MB31" s="442">
        <f t="shared" si="55"/>
        <v>258587.01668487419</v>
      </c>
      <c r="MC31" s="442">
        <f t="shared" si="55"/>
        <v>258587.01668487419</v>
      </c>
      <c r="MD31" s="442">
        <f t="shared" si="55"/>
        <v>258587.01668487419</v>
      </c>
      <c r="ME31" s="442">
        <f t="shared" si="55"/>
        <v>258587.01668487422</v>
      </c>
      <c r="MF31" s="442">
        <f t="shared" si="55"/>
        <v>256913.33668487423</v>
      </c>
      <c r="MG31" s="442">
        <f t="shared" si="55"/>
        <v>256913.3366848742</v>
      </c>
      <c r="MH31" s="442">
        <f t="shared" si="55"/>
        <v>256913.33668487423</v>
      </c>
      <c r="MI31" s="442">
        <f t="shared" si="55"/>
        <v>256913.3366848742</v>
      </c>
      <c r="MJ31" s="442">
        <f t="shared" si="55"/>
        <v>256913.3366848742</v>
      </c>
      <c r="MK31" s="442">
        <f t="shared" si="55"/>
        <v>256913.3366848742</v>
      </c>
      <c r="ML31" s="442">
        <f t="shared" si="55"/>
        <v>256913.33668487423</v>
      </c>
      <c r="MM31" s="442">
        <f t="shared" si="55"/>
        <v>256913.33668487423</v>
      </c>
      <c r="MN31" s="442">
        <f t="shared" si="55"/>
        <v>256913.3366848742</v>
      </c>
      <c r="MO31" s="442">
        <f t="shared" si="55"/>
        <v>256913.3366848742</v>
      </c>
      <c r="MP31" s="442">
        <f t="shared" si="55"/>
        <v>256913.3366848742</v>
      </c>
      <c r="MQ31" s="442">
        <f t="shared" si="55"/>
        <v>256913.33668487423</v>
      </c>
      <c r="MR31" s="442">
        <f t="shared" si="55"/>
        <v>255154.0266848742</v>
      </c>
      <c r="MS31" s="442">
        <f t="shared" si="55"/>
        <v>255154.0266848742</v>
      </c>
      <c r="MT31" s="442">
        <f t="shared" si="55"/>
        <v>255154.0266848742</v>
      </c>
      <c r="MU31" s="442">
        <f t="shared" si="55"/>
        <v>255154.0266848742</v>
      </c>
      <c r="MV31" s="442">
        <f t="shared" si="55"/>
        <v>255154.02668487423</v>
      </c>
      <c r="MW31" s="442">
        <f t="shared" si="55"/>
        <v>255154.02668487423</v>
      </c>
      <c r="MX31" s="442">
        <f t="shared" si="55"/>
        <v>255154.02668487426</v>
      </c>
      <c r="MY31" s="442">
        <f t="shared" si="55"/>
        <v>255154.0266848742</v>
      </c>
      <c r="MZ31" s="442">
        <f t="shared" si="55"/>
        <v>255154.0266848742</v>
      </c>
      <c r="NA31" s="442">
        <f t="shared" si="55"/>
        <v>255154.02668487423</v>
      </c>
      <c r="NB31" s="442">
        <f t="shared" si="55"/>
        <v>255154.0266848742</v>
      </c>
      <c r="NC31" s="442">
        <f t="shared" si="55"/>
        <v>255154.0266848742</v>
      </c>
      <c r="ND31" s="442"/>
      <c r="NE31" s="442"/>
      <c r="NF31" s="442"/>
      <c r="NG31" s="442"/>
      <c r="NH31" s="442"/>
      <c r="NI31" s="442"/>
      <c r="NJ31" s="442"/>
      <c r="NK31" s="442"/>
      <c r="NL31" s="442"/>
      <c r="NM31" s="442"/>
      <c r="NN31" s="442"/>
      <c r="NO31" s="442"/>
      <c r="NP31" s="442"/>
      <c r="NQ31" s="442"/>
      <c r="NR31" s="442"/>
      <c r="NS31" s="442"/>
      <c r="NT31" s="442"/>
      <c r="NU31" s="442"/>
      <c r="NV31" s="442"/>
      <c r="NW31" s="442"/>
      <c r="NX31" s="442"/>
      <c r="NY31" s="442"/>
      <c r="NZ31" s="442"/>
      <c r="OA31" s="442"/>
      <c r="OB31" s="442"/>
      <c r="OC31" s="442"/>
      <c r="OD31" s="442"/>
      <c r="OE31" s="442"/>
      <c r="OF31" s="442"/>
      <c r="OG31" s="442"/>
    </row>
    <row r="32" spans="1:16383">
      <c r="B32" s="7" t="s">
        <v>465</v>
      </c>
      <c r="H32" s="442">
        <f>C8-H25</f>
        <v>47129314.036483005</v>
      </c>
      <c r="I32" s="442">
        <f>H32-I25</f>
        <v>47072381.471616812</v>
      </c>
      <c r="J32" s="442">
        <f t="shared" ref="J32:BU32" si="56">I32-J25</f>
        <v>47015211.687730342</v>
      </c>
      <c r="K32" s="442">
        <f t="shared" si="56"/>
        <v>46957803.696411014</v>
      </c>
      <c r="L32" s="442">
        <f t="shared" si="56"/>
        <v>46900156.505127855</v>
      </c>
      <c r="M32" s="442">
        <f t="shared" si="56"/>
        <v>46842269.117214344</v>
      </c>
      <c r="N32" s="442">
        <f t="shared" si="56"/>
        <v>46784140.531851195</v>
      </c>
      <c r="O32" s="442">
        <f t="shared" si="56"/>
        <v>46725769.744049035</v>
      </c>
      <c r="P32" s="442">
        <f t="shared" si="56"/>
        <v>46667155.74463103</v>
      </c>
      <c r="Q32" s="442">
        <f t="shared" si="56"/>
        <v>46608297.520215452</v>
      </c>
      <c r="R32" s="442">
        <f t="shared" si="56"/>
        <v>46549194.053198144</v>
      </c>
      <c r="S32" s="442">
        <f t="shared" si="56"/>
        <v>46489844.321734928</v>
      </c>
      <c r="T32" s="442">
        <f t="shared" si="56"/>
        <v>46430247.299723946</v>
      </c>
      <c r="U32" s="442">
        <f t="shared" si="56"/>
        <v>46370401.956787921</v>
      </c>
      <c r="V32" s="442">
        <f t="shared" si="56"/>
        <v>46310307.258256331</v>
      </c>
      <c r="W32" s="442">
        <f t="shared" si="56"/>
        <v>46249962.165147528</v>
      </c>
      <c r="X32" s="442">
        <f t="shared" si="56"/>
        <v>46189365.634150766</v>
      </c>
      <c r="Y32" s="442">
        <f t="shared" si="56"/>
        <v>46128516.61760819</v>
      </c>
      <c r="Z32" s="442">
        <f t="shared" si="56"/>
        <v>46067414.063496687</v>
      </c>
      <c r="AA32" s="442">
        <f t="shared" si="56"/>
        <v>46006056.915409714</v>
      </c>
      <c r="AB32" s="442">
        <f t="shared" si="56"/>
        <v>45944444.112539046</v>
      </c>
      <c r="AC32" s="442">
        <f t="shared" si="56"/>
        <v>45882574.58965642</v>
      </c>
      <c r="AD32" s="442">
        <f t="shared" si="56"/>
        <v>45820447.277095117</v>
      </c>
      <c r="AE32" s="442">
        <f t="shared" si="56"/>
        <v>45758061.10073147</v>
      </c>
      <c r="AF32" s="442">
        <f t="shared" si="56"/>
        <v>45695414.981966309</v>
      </c>
      <c r="AG32" s="442">
        <f t="shared" si="56"/>
        <v>45632507.837706298</v>
      </c>
      <c r="AH32" s="442">
        <f t="shared" si="56"/>
        <v>45569338.580345199</v>
      </c>
      <c r="AI32" s="442">
        <f t="shared" si="56"/>
        <v>45505906.117745094</v>
      </c>
      <c r="AJ32" s="442">
        <f t="shared" si="56"/>
        <v>45442209.35321749</v>
      </c>
      <c r="AK32" s="442">
        <f t="shared" si="56"/>
        <v>45378247.185504355</v>
      </c>
      <c r="AL32" s="442">
        <f t="shared" si="56"/>
        <v>45314018.508759081</v>
      </c>
      <c r="AM32" s="442">
        <f t="shared" si="56"/>
        <v>45249522.212527372</v>
      </c>
      <c r="AN32" s="442">
        <f t="shared" si="56"/>
        <v>45184757.181728028</v>
      </c>
      <c r="AO32" s="442">
        <f t="shared" si="56"/>
        <v>45119722.296633691</v>
      </c>
      <c r="AP32" s="442">
        <f t="shared" si="56"/>
        <v>45054416.432851456</v>
      </c>
      <c r="AQ32" s="442">
        <f t="shared" si="56"/>
        <v>44988838.461303465</v>
      </c>
      <c r="AR32" s="442">
        <f t="shared" si="56"/>
        <v>44922987.248207353</v>
      </c>
      <c r="AS32" s="442">
        <f t="shared" si="56"/>
        <v>44856861.655056678</v>
      </c>
      <c r="AT32" s="442">
        <f t="shared" si="56"/>
        <v>44790460.538601205</v>
      </c>
      <c r="AU32" s="442">
        <f t="shared" si="56"/>
        <v>44723782.750827171</v>
      </c>
      <c r="AV32" s="442">
        <f t="shared" si="56"/>
        <v>44656827.138937406</v>
      </c>
      <c r="AW32" s="442">
        <f t="shared" si="56"/>
        <v>44589592.545331441</v>
      </c>
      <c r="AX32" s="442">
        <f t="shared" si="56"/>
        <v>44522077.807585448</v>
      </c>
      <c r="AY32" s="442">
        <f t="shared" si="56"/>
        <v>44454281.75843218</v>
      </c>
      <c r="AZ32" s="442">
        <f t="shared" si="56"/>
        <v>44386203.225740775</v>
      </c>
      <c r="BA32" s="442">
        <f t="shared" si="56"/>
        <v>44317841.03249649</v>
      </c>
      <c r="BB32" s="442">
        <f t="shared" si="56"/>
        <v>44249193.996780351</v>
      </c>
      <c r="BC32" s="442">
        <f t="shared" si="56"/>
        <v>44180260.931748725</v>
      </c>
      <c r="BD32" s="442">
        <f t="shared" si="56"/>
        <v>44111040.645612806</v>
      </c>
      <c r="BE32" s="442">
        <f t="shared" si="56"/>
        <v>44041531.941617988</v>
      </c>
      <c r="BF32" s="442">
        <f t="shared" si="56"/>
        <v>43971733.618023187</v>
      </c>
      <c r="BG32" s="442">
        <f t="shared" si="56"/>
        <v>43901644.468080074</v>
      </c>
      <c r="BH32" s="442">
        <f t="shared" si="56"/>
        <v>43831263.280012198</v>
      </c>
      <c r="BI32" s="442">
        <f t="shared" si="56"/>
        <v>43760588.836994044</v>
      </c>
      <c r="BJ32" s="442">
        <f t="shared" si="56"/>
        <v>43689619.917129979</v>
      </c>
      <c r="BK32" s="442">
        <f t="shared" si="56"/>
        <v>43618355.293433145</v>
      </c>
      <c r="BL32" s="442">
        <f t="shared" si="56"/>
        <v>43546793.733804241</v>
      </c>
      <c r="BM32" s="442">
        <f t="shared" si="56"/>
        <v>43474934.001010217</v>
      </c>
      <c r="BN32" s="442">
        <f t="shared" si="56"/>
        <v>43402774.852662884</v>
      </c>
      <c r="BO32" s="442">
        <f t="shared" si="56"/>
        <v>43330315.041197442</v>
      </c>
      <c r="BP32" s="442">
        <f t="shared" si="56"/>
        <v>43257553.313850887</v>
      </c>
      <c r="BQ32" s="442">
        <f t="shared" si="56"/>
        <v>43184488.412640393</v>
      </c>
      <c r="BR32" s="442">
        <f t="shared" si="56"/>
        <v>43111119.074341521</v>
      </c>
      <c r="BS32" s="442">
        <f t="shared" si="56"/>
        <v>43037444.0304664</v>
      </c>
      <c r="BT32" s="442">
        <f t="shared" si="56"/>
        <v>42963462.0072418</v>
      </c>
      <c r="BU32" s="442">
        <f t="shared" si="56"/>
        <v>42889171.7255871</v>
      </c>
      <c r="BV32" s="442">
        <f t="shared" ref="BV32:EG32" si="57">BU32-BV25</f>
        <v>42814571.901092172</v>
      </c>
      <c r="BW32" s="442">
        <f t="shared" si="57"/>
        <v>42739661.243995182</v>
      </c>
      <c r="BX32" s="442">
        <f t="shared" si="57"/>
        <v>42664438.459160291</v>
      </c>
      <c r="BY32" s="442">
        <f t="shared" si="57"/>
        <v>42588902.246055253</v>
      </c>
      <c r="BZ32" s="442">
        <f t="shared" si="57"/>
        <v>42513051.298728943</v>
      </c>
      <c r="CA32" s="442">
        <f t="shared" si="57"/>
        <v>42436884.30578877</v>
      </c>
      <c r="CB32" s="442">
        <f t="shared" si="57"/>
        <v>42360399.950378016</v>
      </c>
      <c r="CC32" s="442">
        <f t="shared" si="57"/>
        <v>42283596.910153046</v>
      </c>
      <c r="CD32" s="442">
        <f t="shared" si="57"/>
        <v>42206473.857260473</v>
      </c>
      <c r="CE32" s="442">
        <f t="shared" si="57"/>
        <v>42129029.458314188</v>
      </c>
      <c r="CF32" s="442">
        <f t="shared" si="57"/>
        <v>42051262.374372289</v>
      </c>
      <c r="CG32" s="442">
        <f t="shared" si="57"/>
        <v>41973171.260913968</v>
      </c>
      <c r="CH32" s="442">
        <f t="shared" si="57"/>
        <v>41894754.767816238</v>
      </c>
      <c r="CI32" s="442">
        <f t="shared" si="57"/>
        <v>41816011.539330602</v>
      </c>
      <c r="CJ32" s="442">
        <f t="shared" si="57"/>
        <v>41736940.214059606</v>
      </c>
      <c r="CK32" s="442">
        <f t="shared" si="57"/>
        <v>41657539.424933314</v>
      </c>
      <c r="CL32" s="442">
        <f t="shared" si="57"/>
        <v>41577807.799185663</v>
      </c>
      <c r="CM32" s="442">
        <f t="shared" si="57"/>
        <v>41497743.958330728</v>
      </c>
      <c r="CN32" s="442">
        <f t="shared" si="57"/>
        <v>41417346.5181389</v>
      </c>
      <c r="CO32" s="442">
        <f t="shared" si="57"/>
        <v>41336614.088612936</v>
      </c>
      <c r="CP32" s="442">
        <f t="shared" si="57"/>
        <v>41255545.273963951</v>
      </c>
      <c r="CQ32" s="442">
        <f t="shared" si="57"/>
        <v>41174138.672587261</v>
      </c>
      <c r="CR32" s="442">
        <f t="shared" si="57"/>
        <v>41092392.877038166</v>
      </c>
      <c r="CS32" s="442">
        <f t="shared" si="57"/>
        <v>41010306.474007614</v>
      </c>
      <c r="CT32" s="442">
        <f t="shared" si="57"/>
        <v>40927878.04429777</v>
      </c>
      <c r="CU32" s="442">
        <f t="shared" si="57"/>
        <v>40845106.162797466</v>
      </c>
      <c r="CV32" s="442">
        <f t="shared" si="57"/>
        <v>40761989.398457579</v>
      </c>
      <c r="CW32" s="442">
        <f t="shared" si="57"/>
        <v>40678526.314266279</v>
      </c>
      <c r="CX32" s="442">
        <f t="shared" si="57"/>
        <v>40594715.467224181</v>
      </c>
      <c r="CY32" s="442">
        <f t="shared" si="57"/>
        <v>40510555.408319406</v>
      </c>
      <c r="CZ32" s="442">
        <f t="shared" si="57"/>
        <v>40426044.682502531</v>
      </c>
      <c r="DA32" s="442">
        <f t="shared" si="57"/>
        <v>40341181.828661419</v>
      </c>
      <c r="DB32" s="442">
        <f t="shared" si="57"/>
        <v>40255965.379595965</v>
      </c>
      <c r="DC32" s="442">
        <f t="shared" si="57"/>
        <v>40170393.861992739</v>
      </c>
      <c r="DD32" s="442">
        <f t="shared" si="57"/>
        <v>40084465.796399504</v>
      </c>
      <c r="DE32" s="442">
        <f t="shared" si="57"/>
        <v>39998179.697199628</v>
      </c>
      <c r="DF32" s="442">
        <f t="shared" si="57"/>
        <v>39911534.072586417</v>
      </c>
      <c r="DG32" s="442">
        <f t="shared" si="57"/>
        <v>39824527.424537323</v>
      </c>
      <c r="DH32" s="442">
        <f t="shared" si="57"/>
        <v>39737158.248788022</v>
      </c>
      <c r="DI32" s="442">
        <f t="shared" si="57"/>
        <v>39649425.03480643</v>
      </c>
      <c r="DJ32" s="442">
        <f t="shared" si="57"/>
        <v>39561326.265766583</v>
      </c>
      <c r="DK32" s="442">
        <f t="shared" si="57"/>
        <v>39472860.418522403</v>
      </c>
      <c r="DL32" s="442">
        <f t="shared" si="57"/>
        <v>39384025.963581368</v>
      </c>
      <c r="DM32" s="442">
        <f t="shared" si="57"/>
        <v>39294821.365078084</v>
      </c>
      <c r="DN32" s="442">
        <f t="shared" si="57"/>
        <v>39205245.080747701</v>
      </c>
      <c r="DO32" s="442">
        <f t="shared" si="57"/>
        <v>39115295.561899275</v>
      </c>
      <c r="DP32" s="442">
        <f t="shared" si="57"/>
        <v>39024971.253388979</v>
      </c>
      <c r="DQ32" s="442">
        <f t="shared" si="57"/>
        <v>38934270.593593225</v>
      </c>
      <c r="DR32" s="442">
        <f t="shared" si="57"/>
        <v>38843192.014381655</v>
      </c>
      <c r="DS32" s="442">
        <f t="shared" si="57"/>
        <v>38751733.94109004</v>
      </c>
      <c r="DT32" s="442">
        <f t="shared" si="57"/>
        <v>38659894.792493038</v>
      </c>
      <c r="DU32" s="442">
        <f t="shared" si="57"/>
        <v>38567672.980776884</v>
      </c>
      <c r="DV32" s="442">
        <f t="shared" si="57"/>
        <v>38475066.911511913</v>
      </c>
      <c r="DW32" s="442">
        <f t="shared" si="57"/>
        <v>38382074.983625002</v>
      </c>
      <c r="DX32" s="442">
        <f t="shared" si="57"/>
        <v>38288695.589371897</v>
      </c>
      <c r="DY32" s="442">
        <f t="shared" si="57"/>
        <v>38194927.114309408</v>
      </c>
      <c r="DZ32" s="442">
        <f t="shared" si="57"/>
        <v>38100767.93726749</v>
      </c>
      <c r="EA32" s="442">
        <f t="shared" si="57"/>
        <v>38006216.430321231</v>
      </c>
      <c r="EB32" s="442">
        <f t="shared" si="57"/>
        <v>37911270.958762698</v>
      </c>
      <c r="EC32" s="442">
        <f t="shared" si="57"/>
        <v>37815929.88107267</v>
      </c>
      <c r="ED32" s="442">
        <f t="shared" si="57"/>
        <v>37720191.548892267</v>
      </c>
      <c r="EE32" s="442">
        <f t="shared" si="57"/>
        <v>37624054.306994446</v>
      </c>
      <c r="EF32" s="442">
        <f t="shared" si="57"/>
        <v>37527516.493255384</v>
      </c>
      <c r="EG32" s="442">
        <f t="shared" si="57"/>
        <v>37430576.438625738</v>
      </c>
      <c r="EH32" s="442">
        <f t="shared" ref="EH32:GS32" si="58">EG32-EH25</f>
        <v>37333232.467101805</v>
      </c>
      <c r="EI32" s="442">
        <f t="shared" si="58"/>
        <v>37235482.895696521</v>
      </c>
      <c r="EJ32" s="442">
        <f t="shared" si="58"/>
        <v>37137326.03441038</v>
      </c>
      <c r="EK32" s="442">
        <f t="shared" si="58"/>
        <v>37038760.186202213</v>
      </c>
      <c r="EL32" s="442">
        <f t="shared" si="58"/>
        <v>36939783.646959849</v>
      </c>
      <c r="EM32" s="442">
        <f t="shared" si="58"/>
        <v>36840394.705470644</v>
      </c>
      <c r="EN32" s="442">
        <f t="shared" si="58"/>
        <v>36740591.6433919</v>
      </c>
      <c r="EO32" s="442">
        <f t="shared" si="58"/>
        <v>36640372.735221155</v>
      </c>
      <c r="EP32" s="442">
        <f t="shared" si="58"/>
        <v>36539736.248266369</v>
      </c>
      <c r="EQ32" s="442">
        <f t="shared" si="58"/>
        <v>36438680.442615941</v>
      </c>
      <c r="ER32" s="442">
        <f t="shared" si="58"/>
        <v>36337203.571108632</v>
      </c>
      <c r="ES32" s="442">
        <f t="shared" si="58"/>
        <v>36235303.879303373</v>
      </c>
      <c r="ET32" s="442">
        <f t="shared" si="58"/>
        <v>36132979.605448931</v>
      </c>
      <c r="EU32" s="442">
        <f t="shared" si="58"/>
        <v>36030228.980453424</v>
      </c>
      <c r="EV32" s="442">
        <f t="shared" si="58"/>
        <v>35927050.227853775</v>
      </c>
      <c r="EW32" s="442">
        <f t="shared" si="58"/>
        <v>35823441.563784957</v>
      </c>
      <c r="EX32" s="442">
        <f t="shared" si="58"/>
        <v>35719401.196949184</v>
      </c>
      <c r="EY32" s="442">
        <f t="shared" si="58"/>
        <v>35614927.328584932</v>
      </c>
      <c r="EZ32" s="442">
        <f t="shared" si="58"/>
        <v>35510018.152435832</v>
      </c>
      <c r="FA32" s="442">
        <f t="shared" si="58"/>
        <v>35404671.854719438</v>
      </c>
      <c r="FB32" s="442">
        <f t="shared" si="58"/>
        <v>35298886.614095896</v>
      </c>
      <c r="FC32" s="442">
        <f t="shared" si="58"/>
        <v>35192660.601636425</v>
      </c>
      <c r="FD32" s="442">
        <f t="shared" si="58"/>
        <v>35085991.980791703</v>
      </c>
      <c r="FE32" s="442">
        <f t="shared" si="58"/>
        <v>34978878.907360129</v>
      </c>
      <c r="FF32" s="442">
        <f t="shared" si="58"/>
        <v>34871319.529455923</v>
      </c>
      <c r="FG32" s="442">
        <f t="shared" si="58"/>
        <v>34763311.987477116</v>
      </c>
      <c r="FH32" s="442">
        <f t="shared" si="58"/>
        <v>34654854.4140734</v>
      </c>
      <c r="FI32" s="442">
        <f t="shared" si="58"/>
        <v>34545944.93411383</v>
      </c>
      <c r="FJ32" s="442">
        <f t="shared" si="58"/>
        <v>34436581.664654434</v>
      </c>
      <c r="FK32" s="442">
        <f t="shared" si="58"/>
        <v>34326762.71490562</v>
      </c>
      <c r="FL32" s="442">
        <f t="shared" si="58"/>
        <v>34216486.186199516</v>
      </c>
      <c r="FM32" s="442">
        <f t="shared" si="58"/>
        <v>34105750.171957143</v>
      </c>
      <c r="FN32" s="442">
        <f t="shared" si="58"/>
        <v>33994552.757655427</v>
      </c>
      <c r="FO32" s="442">
        <f t="shared" si="58"/>
        <v>33882892.020794116</v>
      </c>
      <c r="FP32" s="442">
        <f t="shared" si="58"/>
        <v>33770766.030862547</v>
      </c>
      <c r="FQ32" s="442">
        <f t="shared" si="58"/>
        <v>33658172.84930627</v>
      </c>
      <c r="FR32" s="442">
        <f t="shared" si="58"/>
        <v>33545110.529493507</v>
      </c>
      <c r="FS32" s="442">
        <f t="shared" si="58"/>
        <v>33431577.116681524</v>
      </c>
      <c r="FT32" s="442">
        <f t="shared" si="58"/>
        <v>33317570.647982821</v>
      </c>
      <c r="FU32" s="442">
        <f t="shared" si="58"/>
        <v>33203089.152331207</v>
      </c>
      <c r="FV32" s="442">
        <f t="shared" si="58"/>
        <v>33088130.650447711</v>
      </c>
      <c r="FW32" s="442">
        <f t="shared" si="58"/>
        <v>32972693.154806368</v>
      </c>
      <c r="FX32" s="442">
        <f t="shared" si="58"/>
        <v>32856774.669599853</v>
      </c>
      <c r="FY32" s="442">
        <f t="shared" si="58"/>
        <v>32740373.190704979</v>
      </c>
      <c r="FZ32" s="442">
        <f t="shared" si="58"/>
        <v>32623486.705648042</v>
      </c>
      <c r="GA32" s="442">
        <f t="shared" si="58"/>
        <v>32506113.193570036</v>
      </c>
      <c r="GB32" s="442">
        <f t="shared" si="58"/>
        <v>32388250.625191703</v>
      </c>
      <c r="GC32" s="442">
        <f t="shared" si="58"/>
        <v>32269896.96277846</v>
      </c>
      <c r="GD32" s="442">
        <f t="shared" si="58"/>
        <v>32151050.160105161</v>
      </c>
      <c r="GE32" s="442">
        <f t="shared" si="58"/>
        <v>32031708.162420724</v>
      </c>
      <c r="GF32" s="442">
        <f t="shared" si="58"/>
        <v>31911868.906412601</v>
      </c>
      <c r="GG32" s="442">
        <f t="shared" si="58"/>
        <v>31791530.320171114</v>
      </c>
      <c r="GH32" s="442">
        <f t="shared" si="58"/>
        <v>31670690.323153619</v>
      </c>
      <c r="GI32" s="442">
        <f t="shared" si="58"/>
        <v>31549346.826148551</v>
      </c>
      <c r="GJ32" s="442">
        <f t="shared" si="58"/>
        <v>31427497.731239296</v>
      </c>
      <c r="GK32" s="442">
        <f t="shared" si="58"/>
        <v>31305140.931767918</v>
      </c>
      <c r="GL32" s="442">
        <f t="shared" si="58"/>
        <v>31182274.312298745</v>
      </c>
      <c r="GM32" s="442">
        <f t="shared" si="58"/>
        <v>31058895.748581782</v>
      </c>
      <c r="GN32" s="442">
        <f t="shared" si="58"/>
        <v>30935003.107515998</v>
      </c>
      <c r="GO32" s="442">
        <f t="shared" si="58"/>
        <v>30810594.247112442</v>
      </c>
      <c r="GP32" s="442">
        <f t="shared" si="58"/>
        <v>30685667.016457204</v>
      </c>
      <c r="GQ32" s="442">
        <f t="shared" si="58"/>
        <v>30560219.255674236</v>
      </c>
      <c r="GR32" s="442">
        <f t="shared" si="58"/>
        <v>30434248.795888003</v>
      </c>
      <c r="GS32" s="442">
        <f t="shared" si="58"/>
        <v>30307753.459185995</v>
      </c>
      <c r="GT32" s="442">
        <f t="shared" ref="GT32:JE32" si="59">GS32-GT25</f>
        <v>30180731.058581062</v>
      </c>
      <c r="GU32" s="442">
        <f t="shared" si="59"/>
        <v>30053179.397973608</v>
      </c>
      <c r="GV32" s="442">
        <f t="shared" si="59"/>
        <v>29925096.272113625</v>
      </c>
      <c r="GW32" s="442">
        <f t="shared" si="59"/>
        <v>29796479.466562558</v>
      </c>
      <c r="GX32" s="442">
        <f t="shared" si="59"/>
        <v>29667326.757655028</v>
      </c>
      <c r="GY32" s="442">
        <f t="shared" si="59"/>
        <v>29537635.912460383</v>
      </c>
      <c r="GZ32" s="442">
        <f t="shared" si="59"/>
        <v>29407404.688744094</v>
      </c>
      <c r="HA32" s="442">
        <f t="shared" si="59"/>
        <v>29276630.834928986</v>
      </c>
      <c r="HB32" s="442">
        <f t="shared" si="59"/>
        <v>29145312.090056315</v>
      </c>
      <c r="HC32" s="442">
        <f t="shared" si="59"/>
        <v>29013446.183746677</v>
      </c>
      <c r="HD32" s="442">
        <f t="shared" si="59"/>
        <v>28881030.836160745</v>
      </c>
      <c r="HE32" s="442">
        <f t="shared" si="59"/>
        <v>28748063.757959876</v>
      </c>
      <c r="HF32" s="442">
        <f t="shared" si="59"/>
        <v>28614542.650266502</v>
      </c>
      <c r="HG32" s="442">
        <f t="shared" si="59"/>
        <v>28480465.204624403</v>
      </c>
      <c r="HH32" s="442">
        <f t="shared" si="59"/>
        <v>28345829.102958798</v>
      </c>
      <c r="HI32" s="442">
        <f t="shared" si="59"/>
        <v>28210632.017536253</v>
      </c>
      <c r="HJ32" s="442">
        <f t="shared" si="59"/>
        <v>28074871.610924445</v>
      </c>
      <c r="HK32" s="442">
        <f t="shared" si="59"/>
        <v>27938545.535951756</v>
      </c>
      <c r="HL32" s="442">
        <f t="shared" si="59"/>
        <v>27801651.43566668</v>
      </c>
      <c r="HM32" s="442">
        <f t="shared" si="59"/>
        <v>27664186.943297084</v>
      </c>
      <c r="HN32" s="442">
        <f t="shared" si="59"/>
        <v>27526149.682209283</v>
      </c>
      <c r="HO32" s="442">
        <f t="shared" si="59"/>
        <v>27387537.265866946</v>
      </c>
      <c r="HP32" s="442">
        <f t="shared" si="59"/>
        <v>27248347.297789849</v>
      </c>
      <c r="HQ32" s="442">
        <f t="shared" si="59"/>
        <v>27108577.371512432</v>
      </c>
      <c r="HR32" s="442">
        <f t="shared" si="59"/>
        <v>26968225.070542194</v>
      </c>
      <c r="HS32" s="442">
        <f t="shared" si="59"/>
        <v>26827287.968317911</v>
      </c>
      <c r="HT32" s="442">
        <f t="shared" si="59"/>
        <v>26685763.628167696</v>
      </c>
      <c r="HU32" s="442">
        <f t="shared" si="59"/>
        <v>26543649.603266854</v>
      </c>
      <c r="HV32" s="442">
        <f t="shared" si="59"/>
        <v>26400943.436595593</v>
      </c>
      <c r="HW32" s="442">
        <f t="shared" si="59"/>
        <v>26257642.660896532</v>
      </c>
      <c r="HX32" s="442">
        <f t="shared" si="59"/>
        <v>26113744.798632059</v>
      </c>
      <c r="HY32" s="442">
        <f t="shared" si="59"/>
        <v>25969247.361941487</v>
      </c>
      <c r="HZ32" s="442">
        <f t="shared" si="59"/>
        <v>25824147.852598034</v>
      </c>
      <c r="IA32" s="442">
        <f t="shared" si="59"/>
        <v>25678443.761965651</v>
      </c>
      <c r="IB32" s="442">
        <f t="shared" si="59"/>
        <v>25532132.570955634</v>
      </c>
      <c r="IC32" s="442">
        <f t="shared" si="59"/>
        <v>25385211.749983076</v>
      </c>
      <c r="ID32" s="442">
        <f t="shared" si="59"/>
        <v>25237678.758923132</v>
      </c>
      <c r="IE32" s="442">
        <f t="shared" si="59"/>
        <v>25089531.047067106</v>
      </c>
      <c r="IF32" s="442">
        <f t="shared" si="59"/>
        <v>24940766.053078346</v>
      </c>
      <c r="IG32" s="442">
        <f t="shared" si="59"/>
        <v>24791381.204947963</v>
      </c>
      <c r="IH32" s="442">
        <f t="shared" si="59"/>
        <v>24641373.919950373</v>
      </c>
      <c r="II32" s="442">
        <f t="shared" si="59"/>
        <v>24490741.604598626</v>
      </c>
      <c r="IJ32" s="442">
        <f t="shared" si="59"/>
        <v>24339481.654599581</v>
      </c>
      <c r="IK32" s="442">
        <f t="shared" si="59"/>
        <v>24187591.454808872</v>
      </c>
      <c r="IL32" s="442">
        <f t="shared" si="59"/>
        <v>24035068.379185703</v>
      </c>
      <c r="IM32" s="442">
        <f t="shared" si="59"/>
        <v>23881909.790747434</v>
      </c>
      <c r="IN32" s="442">
        <f t="shared" si="59"/>
        <v>23728113.041524008</v>
      </c>
      <c r="IO32" s="442">
        <f t="shared" si="59"/>
        <v>23573675.472512152</v>
      </c>
      <c r="IP32" s="442">
        <f t="shared" si="59"/>
        <v>23418594.413629413</v>
      </c>
      <c r="IQ32" s="442">
        <f t="shared" si="59"/>
        <v>23262867.183667995</v>
      </c>
      <c r="IR32" s="442">
        <f t="shared" si="59"/>
        <v>23106491.090248406</v>
      </c>
      <c r="IS32" s="442">
        <f t="shared" si="59"/>
        <v>22949463.429772899</v>
      </c>
      <c r="IT32" s="442">
        <f t="shared" si="59"/>
        <v>22791781.487378746</v>
      </c>
      <c r="IU32" s="442">
        <f t="shared" si="59"/>
        <v>22633442.536891285</v>
      </c>
      <c r="IV32" s="442">
        <f t="shared" si="59"/>
        <v>22474443.84077679</v>
      </c>
      <c r="IW32" s="442">
        <f t="shared" si="59"/>
        <v>22314782.650095154</v>
      </c>
      <c r="IX32" s="442">
        <f t="shared" si="59"/>
        <v>22154456.204452343</v>
      </c>
      <c r="IY32" s="442">
        <f t="shared" si="59"/>
        <v>21993461.731952686</v>
      </c>
      <c r="IZ32" s="442">
        <f t="shared" si="59"/>
        <v>21831796.449150946</v>
      </c>
      <c r="JA32" s="442">
        <f t="shared" si="59"/>
        <v>21669457.561004199</v>
      </c>
      <c r="JB32" s="442">
        <f t="shared" si="59"/>
        <v>21506442.260823511</v>
      </c>
      <c r="JC32" s="442">
        <f t="shared" si="59"/>
        <v>21342747.730225399</v>
      </c>
      <c r="JD32" s="442">
        <f t="shared" si="59"/>
        <v>21178371.139083132</v>
      </c>
      <c r="JE32" s="442">
        <f t="shared" si="59"/>
        <v>21013309.645477772</v>
      </c>
      <c r="JF32" s="442">
        <f t="shared" ref="JF32:LQ32" si="60">JE32-JF25</f>
        <v>20847560.395649053</v>
      </c>
      <c r="JG32" s="442">
        <f t="shared" si="60"/>
        <v>20681120.523946051</v>
      </c>
      <c r="JH32" s="442">
        <f t="shared" si="60"/>
        <v>20513987.15277762</v>
      </c>
      <c r="JI32" s="442">
        <f t="shared" si="60"/>
        <v>20346157.392562654</v>
      </c>
      <c r="JJ32" s="442">
        <f t="shared" si="60"/>
        <v>20177628.341680124</v>
      </c>
      <c r="JK32" s="442">
        <f t="shared" si="60"/>
        <v>20008397.086418916</v>
      </c>
      <c r="JL32" s="442">
        <f t="shared" si="60"/>
        <v>19838460.700927455</v>
      </c>
      <c r="JM32" s="442">
        <f t="shared" si="60"/>
        <v>19667816.247163113</v>
      </c>
      <c r="JN32" s="442">
        <f t="shared" si="60"/>
        <v>19496460.77484142</v>
      </c>
      <c r="JO32" s="442">
        <f t="shared" si="60"/>
        <v>19324391.321385052</v>
      </c>
      <c r="JP32" s="442">
        <f t="shared" si="60"/>
        <v>19151604.911872614</v>
      </c>
      <c r="JQ32" s="442">
        <f t="shared" si="60"/>
        <v>18978098.558987208</v>
      </c>
      <c r="JR32" s="442">
        <f t="shared" si="60"/>
        <v>18803869.262964781</v>
      </c>
      <c r="JS32" s="442">
        <f t="shared" si="60"/>
        <v>18628914.011542261</v>
      </c>
      <c r="JT32" s="442">
        <f t="shared" si="60"/>
        <v>18453229.779905479</v>
      </c>
      <c r="JU32" s="442">
        <f t="shared" si="60"/>
        <v>18276813.530636877</v>
      </c>
      <c r="JV32" s="442">
        <f t="shared" si="60"/>
        <v>18099662.213662989</v>
      </c>
      <c r="JW32" s="442">
        <f t="shared" si="60"/>
        <v>17921772.766201712</v>
      </c>
      <c r="JX32" s="442">
        <f t="shared" si="60"/>
        <v>17743142.112709343</v>
      </c>
      <c r="JY32" s="442">
        <f t="shared" si="60"/>
        <v>17563767.164827425</v>
      </c>
      <c r="JZ32" s="442">
        <f t="shared" si="60"/>
        <v>17383644.821329333</v>
      </c>
      <c r="KA32" s="442">
        <f t="shared" si="60"/>
        <v>17202771.968066663</v>
      </c>
      <c r="KB32" s="442">
        <f t="shared" si="60"/>
        <v>17021145.477915399</v>
      </c>
      <c r="KC32" s="442">
        <f t="shared" si="60"/>
        <v>16838762.210721839</v>
      </c>
      <c r="KD32" s="442">
        <f t="shared" si="60"/>
        <v>16655619.013248306</v>
      </c>
      <c r="KE32" s="442">
        <f t="shared" si="60"/>
        <v>16471712.719118632</v>
      </c>
      <c r="KF32" s="442">
        <f t="shared" si="60"/>
        <v>16287040.148763418</v>
      </c>
      <c r="KG32" s="442">
        <f t="shared" si="60"/>
        <v>16101598.109365059</v>
      </c>
      <c r="KH32" s="442">
        <f t="shared" si="60"/>
        <v>15915383.394802539</v>
      </c>
      <c r="KI32" s="442">
        <f t="shared" si="60"/>
        <v>15728392.785596007</v>
      </c>
      <c r="KJ32" s="442">
        <f t="shared" si="60"/>
        <v>15540623.048851117</v>
      </c>
      <c r="KK32" s="442">
        <f t="shared" si="60"/>
        <v>15352070.938203122</v>
      </c>
      <c r="KL32" s="442">
        <f t="shared" si="60"/>
        <v>15162733.193760762</v>
      </c>
      <c r="KM32" s="442">
        <f t="shared" si="60"/>
        <v>14972606.54204989</v>
      </c>
      <c r="KN32" s="442">
        <f t="shared" si="60"/>
        <v>14781687.695956891</v>
      </c>
      <c r="KO32" s="442">
        <f t="shared" si="60"/>
        <v>14589973.354671838</v>
      </c>
      <c r="KP32" s="442">
        <f t="shared" si="60"/>
        <v>14397460.203631429</v>
      </c>
      <c r="KQ32" s="442">
        <f t="shared" si="60"/>
        <v>14204144.914461685</v>
      </c>
      <c r="KR32" s="442">
        <f t="shared" si="60"/>
        <v>14010024.144920401</v>
      </c>
      <c r="KS32" s="442">
        <f t="shared" si="60"/>
        <v>13815094.538839363</v>
      </c>
      <c r="KT32" s="442">
        <f t="shared" si="60"/>
        <v>13619352.726066319</v>
      </c>
      <c r="KU32" s="442">
        <f t="shared" si="60"/>
        <v>13422795.322406722</v>
      </c>
      <c r="KV32" s="442">
        <f t="shared" si="60"/>
        <v>13225418.92956521</v>
      </c>
      <c r="KW32" s="442">
        <f t="shared" si="60"/>
        <v>13027220.135086857</v>
      </c>
      <c r="KX32" s="442">
        <f t="shared" si="60"/>
        <v>12828195.512298178</v>
      </c>
      <c r="KY32" s="442">
        <f t="shared" si="60"/>
        <v>12628341.62024788</v>
      </c>
      <c r="KZ32" s="442">
        <f t="shared" si="60"/>
        <v>12427655.003647372</v>
      </c>
      <c r="LA32" s="442">
        <f t="shared" si="60"/>
        <v>12226132.192811029</v>
      </c>
      <c r="LB32" s="442">
        <f t="shared" si="60"/>
        <v>12023769.703596201</v>
      </c>
      <c r="LC32" s="442">
        <f t="shared" si="60"/>
        <v>11820564.037342977</v>
      </c>
      <c r="LD32" s="442">
        <f t="shared" si="60"/>
        <v>11616511.680813698</v>
      </c>
      <c r="LE32" s="442">
        <f t="shared" si="60"/>
        <v>11411609.106132215</v>
      </c>
      <c r="LF32" s="442">
        <f t="shared" si="60"/>
        <v>11205852.770722892</v>
      </c>
      <c r="LG32" s="442">
        <f t="shared" si="60"/>
        <v>10999239.117249364</v>
      </c>
      <c r="LH32" s="442">
        <f t="shared" si="60"/>
        <v>10791764.573553029</v>
      </c>
      <c r="LI32" s="442">
        <f t="shared" si="60"/>
        <v>10583425.552591292</v>
      </c>
      <c r="LJ32" s="442">
        <f t="shared" si="60"/>
        <v>10374218.452375548</v>
      </c>
      <c r="LK32" s="442">
        <f t="shared" si="60"/>
        <v>10164139.655908905</v>
      </c>
      <c r="LL32" s="442">
        <f t="shared" si="60"/>
        <v>9953185.5311236512</v>
      </c>
      <c r="LM32" s="442">
        <f t="shared" si="60"/>
        <v>9741352.430818459</v>
      </c>
      <c r="LN32" s="442">
        <f t="shared" si="60"/>
        <v>9528636.6925953291</v>
      </c>
      <c r="LO32" s="442">
        <f t="shared" si="60"/>
        <v>9315034.638796268</v>
      </c>
      <c r="LP32" s="442">
        <f t="shared" si="60"/>
        <v>9100542.5764397122</v>
      </c>
      <c r="LQ32" s="442">
        <f t="shared" si="60"/>
        <v>8885156.7971566692</v>
      </c>
      <c r="LR32" s="442">
        <f t="shared" ref="LR32:NC32" si="61">LQ32-LR25</f>
        <v>8668873.5771266147</v>
      </c>
      <c r="LS32" s="442">
        <f t="shared" si="61"/>
        <v>8451689.1770131011</v>
      </c>
      <c r="LT32" s="442">
        <f t="shared" si="61"/>
        <v>8233599.8418991147</v>
      </c>
      <c r="LU32" s="442">
        <f t="shared" si="61"/>
        <v>8014601.801222153</v>
      </c>
      <c r="LV32" s="442">
        <f t="shared" si="61"/>
        <v>7794691.2687090375</v>
      </c>
      <c r="LW32" s="442">
        <f t="shared" si="61"/>
        <v>7573864.4423104506</v>
      </c>
      <c r="LX32" s="442">
        <f t="shared" si="61"/>
        <v>7352117.5041352035</v>
      </c>
      <c r="LY32" s="442">
        <f t="shared" si="61"/>
        <v>7129446.6203842256</v>
      </c>
      <c r="LZ32" s="442">
        <f t="shared" si="61"/>
        <v>6905847.9412842859</v>
      </c>
      <c r="MA32" s="442">
        <f t="shared" si="61"/>
        <v>6681317.6010214295</v>
      </c>
      <c r="MB32" s="442">
        <f t="shared" si="61"/>
        <v>6455851.7176741445</v>
      </c>
      <c r="MC32" s="442">
        <f t="shared" si="61"/>
        <v>6229446.3931462457</v>
      </c>
      <c r="MD32" s="442">
        <f t="shared" si="61"/>
        <v>6002097.7130994806</v>
      </c>
      <c r="ME32" s="442">
        <f t="shared" si="61"/>
        <v>5773801.7468858538</v>
      </c>
      <c r="MF32" s="442">
        <f t="shared" si="61"/>
        <v>5544554.5474796705</v>
      </c>
      <c r="MG32" s="442">
        <f t="shared" si="61"/>
        <v>5314352.1514092945</v>
      </c>
      <c r="MH32" s="442">
        <f t="shared" si="61"/>
        <v>5083190.5786886252</v>
      </c>
      <c r="MI32" s="442">
        <f t="shared" si="61"/>
        <v>4851065.8327482874</v>
      </c>
      <c r="MJ32" s="442">
        <f t="shared" si="61"/>
        <v>4617973.9003665308</v>
      </c>
      <c r="MK32" s="442">
        <f t="shared" si="61"/>
        <v>4383910.7515998501</v>
      </c>
      <c r="ML32" s="442">
        <f t="shared" si="61"/>
        <v>4148872.3397133085</v>
      </c>
      <c r="MM32" s="442">
        <f t="shared" si="61"/>
        <v>3912854.6011105729</v>
      </c>
      <c r="MN32" s="442">
        <f t="shared" si="61"/>
        <v>3675853.4552636594</v>
      </c>
      <c r="MO32" s="442">
        <f t="shared" si="61"/>
        <v>3437864.8046423839</v>
      </c>
      <c r="MP32" s="442">
        <f t="shared" si="61"/>
        <v>3198884.5346435197</v>
      </c>
      <c r="MQ32" s="442">
        <f t="shared" si="61"/>
        <v>2958908.5135196601</v>
      </c>
      <c r="MR32" s="442">
        <f t="shared" si="61"/>
        <v>2717932.5923077846</v>
      </c>
      <c r="MS32" s="442">
        <f t="shared" si="61"/>
        <v>2475952.604757526</v>
      </c>
      <c r="MT32" s="442">
        <f t="shared" si="61"/>
        <v>2232964.3672591415</v>
      </c>
      <c r="MU32" s="442">
        <f t="shared" si="61"/>
        <v>1988963.6787711803</v>
      </c>
      <c r="MV32" s="442">
        <f t="shared" si="61"/>
        <v>1743946.3207478528</v>
      </c>
      <c r="MW32" s="442">
        <f t="shared" si="61"/>
        <v>1497908.0570660946</v>
      </c>
      <c r="MX32" s="442">
        <f t="shared" si="61"/>
        <v>1250844.6339523292</v>
      </c>
      <c r="MY32" s="442">
        <f t="shared" si="61"/>
        <v>1002751.779908923</v>
      </c>
      <c r="MZ32" s="442">
        <f t="shared" si="61"/>
        <v>753625.20564033592</v>
      </c>
      <c r="NA32" s="442">
        <f t="shared" si="61"/>
        <v>503460.6039789631</v>
      </c>
      <c r="NB32" s="442">
        <f t="shared" si="61"/>
        <v>252253.64981066791</v>
      </c>
      <c r="NC32" s="442">
        <f t="shared" si="61"/>
        <v>4.8312358558177948E-9</v>
      </c>
      <c r="ND32" s="442"/>
      <c r="NE32" s="442"/>
      <c r="NF32" s="442"/>
      <c r="NG32" s="442"/>
      <c r="NH32" s="442"/>
      <c r="NI32" s="442"/>
      <c r="NJ32" s="442"/>
      <c r="NK32" s="442"/>
      <c r="NL32" s="442"/>
      <c r="NM32" s="442"/>
      <c r="NN32" s="442"/>
      <c r="NO32" s="442"/>
      <c r="NP32" s="442"/>
      <c r="NQ32" s="442"/>
      <c r="NR32" s="442"/>
      <c r="NS32" s="442"/>
      <c r="NT32" s="442"/>
      <c r="NU32" s="442"/>
      <c r="NV32" s="442"/>
      <c r="NW32" s="442"/>
      <c r="NX32" s="442"/>
      <c r="NY32" s="442"/>
      <c r="NZ32" s="442"/>
      <c r="OA32" s="442"/>
      <c r="OB32" s="442"/>
      <c r="OC32" s="442"/>
      <c r="OD32" s="442"/>
      <c r="OE32" s="442"/>
      <c r="OF32" s="442"/>
      <c r="OG32" s="442"/>
    </row>
    <row r="33" s="7" customFormat="1"/>
    <row r="34" s="7" customFormat="1"/>
    <row r="35" s="7" customFormat="1"/>
    <row r="36" s="7" customFormat="1"/>
    <row r="37" s="7" customFormat="1"/>
    <row r="38" s="7" customFormat="1"/>
    <row r="39" s="7" customFormat="1"/>
    <row r="40" s="7" customFormat="1"/>
    <row r="41" s="7" customFormat="1"/>
    <row r="42" s="7" customFormat="1"/>
    <row r="43" s="7" customFormat="1"/>
    <row r="44" s="7" customFormat="1"/>
    <row r="45" s="7" customFormat="1"/>
    <row r="46" s="7" customFormat="1"/>
    <row r="47" s="7" customFormat="1"/>
    <row r="48" s="7" customFormat="1"/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  <row r="56" s="7" customFormat="1"/>
    <row r="57" s="7" customFormat="1"/>
    <row r="58" s="7" customFormat="1"/>
    <row r="59" s="7" customFormat="1"/>
    <row r="60" s="7" customFormat="1"/>
    <row r="61" s="7" customFormat="1"/>
    <row r="62" s="7" customFormat="1"/>
    <row r="63" s="7" customFormat="1"/>
    <row r="64" s="7" customFormat="1"/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/>
    <row r="78" s="7" customFormat="1"/>
    <row r="79" s="7" customFormat="1"/>
    <row r="80" s="7" customFormat="1"/>
    <row r="81" s="7" customFormat="1"/>
    <row r="82" s="7" customFormat="1"/>
    <row r="83" s="7" customFormat="1"/>
    <row r="84" s="7" customFormat="1"/>
    <row r="85" s="7" customFormat="1"/>
    <row r="86" s="7" customFormat="1"/>
    <row r="87" s="7" customFormat="1"/>
    <row r="88" s="7" customFormat="1"/>
    <row r="89" s="7" customFormat="1"/>
    <row r="90" s="7" customFormat="1"/>
    <row r="91" s="7" customFormat="1"/>
    <row r="92" s="7" customFormat="1"/>
    <row r="93" s="7" customFormat="1"/>
    <row r="94" s="7" customFormat="1"/>
    <row r="95" s="7" customFormat="1"/>
    <row r="96" s="7" customFormat="1"/>
    <row r="97" s="7" customFormat="1"/>
    <row r="98" s="7" customFormat="1"/>
    <row r="99" s="7" customFormat="1"/>
    <row r="100" s="7" customFormat="1"/>
    <row r="101" s="7" customFormat="1"/>
    <row r="102" s="7" customFormat="1"/>
    <row r="103" s="7" customFormat="1"/>
    <row r="104" s="7" customFormat="1"/>
    <row r="105" s="7" customFormat="1"/>
    <row r="106" s="7" customFormat="1"/>
    <row r="107" s="7" customFormat="1"/>
    <row r="108" s="7" customFormat="1"/>
    <row r="109" s="7" customFormat="1"/>
    <row r="110" s="7" customFormat="1"/>
    <row r="111" s="7" customFormat="1"/>
    <row r="112" s="7" customFormat="1"/>
    <row r="113" s="7" customFormat="1"/>
    <row r="114" s="7" customFormat="1"/>
    <row r="115" s="7" customFormat="1"/>
    <row r="116" s="7" customFormat="1"/>
    <row r="117" s="7" customFormat="1"/>
    <row r="118" s="7" customFormat="1"/>
    <row r="119" s="7" customFormat="1"/>
    <row r="120" s="7" customFormat="1"/>
    <row r="121" s="7" customFormat="1"/>
    <row r="122" s="7" customFormat="1"/>
    <row r="123" s="7" customFormat="1"/>
    <row r="124" s="7" customFormat="1"/>
    <row r="125" s="7" customFormat="1"/>
    <row r="126" s="7" customFormat="1"/>
    <row r="127" s="7" customFormat="1"/>
    <row r="128" s="7" customFormat="1"/>
    <row r="129" s="7" customFormat="1"/>
    <row r="130" s="7" customFormat="1"/>
    <row r="131" s="7" customFormat="1"/>
    <row r="132" s="7" customFormat="1"/>
    <row r="133" s="7" customFormat="1"/>
    <row r="134" s="7" customFormat="1"/>
    <row r="135" s="7" customFormat="1"/>
    <row r="136" s="7" customFormat="1"/>
    <row r="137" s="7" customFormat="1"/>
    <row r="138" s="7" customFormat="1"/>
    <row r="139" s="7" customFormat="1"/>
    <row r="140" s="7" customFormat="1"/>
    <row r="141" s="7" customFormat="1"/>
    <row r="142" s="7" customFormat="1"/>
    <row r="143" s="7" customFormat="1"/>
    <row r="144" s="7" customFormat="1"/>
    <row r="145" s="7" customFormat="1"/>
    <row r="146" s="7" customFormat="1"/>
    <row r="147" s="7" customFormat="1"/>
    <row r="148" s="7" customFormat="1"/>
    <row r="149" s="7" customFormat="1"/>
    <row r="150" s="7" customFormat="1"/>
    <row r="151" s="7" customFormat="1"/>
    <row r="152" s="7" customFormat="1"/>
    <row r="153" s="7" customFormat="1"/>
    <row r="154" s="7" customFormat="1"/>
    <row r="155" s="7" customFormat="1"/>
    <row r="156" s="7" customFormat="1"/>
    <row r="157" s="7" customFormat="1"/>
    <row r="158" s="7" customFormat="1"/>
    <row r="159" s="7" customFormat="1"/>
    <row r="160" s="7" customFormat="1"/>
    <row r="161" s="7" customFormat="1"/>
    <row r="162" s="7" customFormat="1"/>
    <row r="163" s="7" customFormat="1"/>
    <row r="164" s="7" customFormat="1"/>
    <row r="165" s="7" customFormat="1"/>
    <row r="166" s="7" customFormat="1"/>
    <row r="167" s="7" customFormat="1"/>
    <row r="168" s="7" customFormat="1"/>
    <row r="169" s="7" customFormat="1"/>
    <row r="170" s="7" customFormat="1"/>
    <row r="171" s="7" customFormat="1"/>
    <row r="172" s="7" customFormat="1"/>
    <row r="173" s="7" customFormat="1"/>
    <row r="174" s="7" customFormat="1"/>
    <row r="175" s="7" customFormat="1"/>
    <row r="176" s="7" customFormat="1"/>
    <row r="177" s="7" customFormat="1"/>
    <row r="178" s="7" customFormat="1"/>
    <row r="179" s="7" customFormat="1"/>
    <row r="180" s="7" customFormat="1"/>
    <row r="181" s="7" customFormat="1"/>
    <row r="182" s="7" customFormat="1"/>
    <row r="183" s="7" customFormat="1"/>
    <row r="184" s="7" customFormat="1"/>
    <row r="185" s="7" customFormat="1"/>
    <row r="186" s="7" customFormat="1"/>
    <row r="187" s="7" customFormat="1"/>
    <row r="188" s="7" customFormat="1"/>
    <row r="189" s="7" customFormat="1"/>
    <row r="190" s="7" customFormat="1"/>
    <row r="191" s="7" customFormat="1"/>
    <row r="192" s="7" customFormat="1"/>
    <row r="193" s="7" customFormat="1"/>
    <row r="194" s="7" customFormat="1"/>
    <row r="195" s="7" customFormat="1"/>
    <row r="196" s="7" customFormat="1"/>
    <row r="197" s="7" customFormat="1"/>
    <row r="198" s="7" customFormat="1"/>
    <row r="199" s="7" customFormat="1"/>
    <row r="200" s="7" customFormat="1"/>
    <row r="201" s="7" customFormat="1"/>
    <row r="202" s="7" customFormat="1"/>
    <row r="203" s="7" customFormat="1"/>
    <row r="204" s="7" customFormat="1"/>
    <row r="205" s="7" customFormat="1"/>
    <row r="206" s="7" customFormat="1"/>
    <row r="207" s="7" customFormat="1"/>
    <row r="208" s="7" customFormat="1"/>
    <row r="209" s="7" customFormat="1"/>
    <row r="210" s="7" customFormat="1"/>
    <row r="211" s="7" customFormat="1"/>
    <row r="212" s="7" customFormat="1"/>
    <row r="213" s="7" customFormat="1"/>
    <row r="214" s="7" customFormat="1"/>
    <row r="215" s="7" customFormat="1"/>
    <row r="216" s="7" customFormat="1"/>
    <row r="217" s="7" customFormat="1"/>
    <row r="218" s="7" customFormat="1"/>
    <row r="219" s="7" customFormat="1"/>
    <row r="220" s="7" customFormat="1"/>
    <row r="221" s="7" customFormat="1"/>
    <row r="222" s="7" customFormat="1"/>
    <row r="223" s="7" customFormat="1"/>
    <row r="224" s="7" customFormat="1"/>
    <row r="225" s="7" customFormat="1"/>
    <row r="226" s="7" customFormat="1"/>
    <row r="227" s="7" customFormat="1"/>
    <row r="228" s="7" customFormat="1"/>
    <row r="229" s="7" customFormat="1"/>
    <row r="230" s="7" customFormat="1"/>
    <row r="231" s="7" customFormat="1"/>
    <row r="232" s="7" customFormat="1"/>
    <row r="233" s="7" customFormat="1"/>
    <row r="234" s="7" customFormat="1"/>
    <row r="235" s="7" customFormat="1"/>
    <row r="236" s="7" customFormat="1"/>
    <row r="237" s="7" customFormat="1"/>
    <row r="238" s="7" customFormat="1"/>
    <row r="239" s="7" customFormat="1"/>
    <row r="240" s="7" customFormat="1"/>
    <row r="241" s="7" customFormat="1"/>
    <row r="242" s="7" customFormat="1"/>
    <row r="243" s="7" customFormat="1"/>
    <row r="244" s="7" customFormat="1"/>
    <row r="245" s="7" customFormat="1"/>
    <row r="246" s="7" customFormat="1"/>
    <row r="247" s="7" customFormat="1"/>
    <row r="248" s="7" customFormat="1"/>
    <row r="249" s="7" customFormat="1"/>
    <row r="250" s="7" customFormat="1"/>
    <row r="251" s="7" customFormat="1"/>
    <row r="252" s="7" customFormat="1"/>
    <row r="253" s="7" customFormat="1"/>
    <row r="254" s="7" customFormat="1"/>
    <row r="255" s="7" customFormat="1"/>
    <row r="256" s="7" customFormat="1"/>
    <row r="257" s="7" customFormat="1"/>
    <row r="258" s="7" customFormat="1"/>
    <row r="259" s="7" customFormat="1"/>
    <row r="260" s="7" customFormat="1"/>
    <row r="261" s="7" customFormat="1"/>
    <row r="262" s="7" customFormat="1"/>
    <row r="263" s="7" customFormat="1"/>
    <row r="264" s="7" customFormat="1"/>
    <row r="265" s="7" customFormat="1"/>
    <row r="266" s="7" customFormat="1"/>
    <row r="267" s="7" customFormat="1"/>
    <row r="268" s="7" customFormat="1"/>
    <row r="269" s="7" customFormat="1"/>
    <row r="270" s="7" customFormat="1"/>
    <row r="271" s="7" customFormat="1"/>
    <row r="272" s="7" customFormat="1"/>
    <row r="273" s="7" customFormat="1"/>
    <row r="274" s="7" customFormat="1"/>
    <row r="275" s="7" customFormat="1"/>
    <row r="276" s="7" customFormat="1"/>
    <row r="277" s="7" customFormat="1"/>
    <row r="278" s="7" customFormat="1"/>
    <row r="279" s="7" customFormat="1"/>
    <row r="280" s="7" customFormat="1"/>
    <row r="281" s="7" customFormat="1"/>
    <row r="282" s="7" customFormat="1"/>
    <row r="283" s="7" customFormat="1"/>
    <row r="284" s="7" customFormat="1"/>
    <row r="285" s="7" customFormat="1"/>
    <row r="286" s="7" customFormat="1"/>
    <row r="287" s="7" customFormat="1"/>
    <row r="288" s="7" customFormat="1"/>
    <row r="289" s="7" customFormat="1"/>
    <row r="290" s="7" customFormat="1"/>
    <row r="291" s="7" customFormat="1"/>
    <row r="292" s="7" customFormat="1"/>
    <row r="293" s="7" customFormat="1"/>
    <row r="294" s="7" customFormat="1"/>
    <row r="295" s="7" customFormat="1"/>
    <row r="296" s="7" customFormat="1"/>
    <row r="297" s="7" customFormat="1"/>
    <row r="298" s="7" customFormat="1"/>
    <row r="299" s="7" customFormat="1"/>
    <row r="300" s="7" customFormat="1"/>
    <row r="301" s="7" customFormat="1"/>
    <row r="302" s="7" customFormat="1"/>
    <row r="303" s="7" customFormat="1"/>
    <row r="304" s="7" customFormat="1"/>
    <row r="305" s="7" customFormat="1"/>
    <row r="306" s="7" customFormat="1"/>
    <row r="307" s="7" customFormat="1"/>
    <row r="308" s="7" customFormat="1"/>
    <row r="309" s="7" customFormat="1"/>
    <row r="310" s="7" customFormat="1"/>
    <row r="311" s="7" customFormat="1"/>
    <row r="312" s="7" customFormat="1"/>
    <row r="313" s="7" customFormat="1"/>
    <row r="314" s="7" customFormat="1"/>
    <row r="315" s="7" customFormat="1"/>
    <row r="316" s="7" customFormat="1"/>
    <row r="317" s="7" customFormat="1"/>
    <row r="318" s="7" customFormat="1"/>
    <row r="319" s="7" customFormat="1"/>
    <row r="320" s="7" customFormat="1"/>
    <row r="321" s="7" customFormat="1"/>
    <row r="322" s="7" customFormat="1"/>
    <row r="323" s="7" customFormat="1"/>
    <row r="324" s="7" customFormat="1"/>
    <row r="325" s="7" customFormat="1"/>
    <row r="326" s="7" customFormat="1"/>
    <row r="327" s="7" customFormat="1"/>
    <row r="328" s="7" customFormat="1"/>
    <row r="329" s="7" customFormat="1"/>
    <row r="330" s="7" customFormat="1"/>
    <row r="331" s="7" customFormat="1"/>
    <row r="332" s="7" customFormat="1"/>
    <row r="333" s="7" customFormat="1"/>
    <row r="334" s="7" customFormat="1"/>
    <row r="335" s="7" customFormat="1"/>
    <row r="336" s="7" customFormat="1"/>
    <row r="337" s="7" customFormat="1"/>
    <row r="338" s="7" customFormat="1"/>
    <row r="339" s="7" customFormat="1"/>
    <row r="340" s="7" customFormat="1"/>
    <row r="341" s="7" customFormat="1"/>
    <row r="342" s="7" customFormat="1"/>
    <row r="343" s="7" customFormat="1"/>
    <row r="344" s="7" customFormat="1"/>
    <row r="345" s="7" customFormat="1"/>
    <row r="346" s="7" customFormat="1"/>
    <row r="347" s="7" customFormat="1"/>
    <row r="348" s="7" customFormat="1"/>
    <row r="349" s="7" customFormat="1"/>
    <row r="350" s="7" customFormat="1"/>
    <row r="351" s="7" customFormat="1"/>
    <row r="352" s="7" customFormat="1"/>
    <row r="353" s="7" customFormat="1"/>
    <row r="354" s="7" customFormat="1"/>
    <row r="355" s="7" customFormat="1"/>
    <row r="356" s="7" customFormat="1"/>
    <row r="357" s="7" customFormat="1"/>
    <row r="358" s="7" customFormat="1"/>
    <row r="359" s="7" customFormat="1"/>
    <row r="360" s="7" customFormat="1"/>
    <row r="361" s="7" customFormat="1"/>
    <row r="362" s="7" customFormat="1"/>
    <row r="363" s="7" customFormat="1"/>
    <row r="364" s="7" customFormat="1"/>
    <row r="365" s="7" customFormat="1"/>
    <row r="366" s="7" customFormat="1"/>
    <row r="367" s="7" customFormat="1"/>
    <row r="368" s="7" customFormat="1"/>
    <row r="369" s="7" customFormat="1"/>
    <row r="370" s="7" customFormat="1"/>
    <row r="371" s="7" customFormat="1"/>
    <row r="372" s="7" customFormat="1"/>
    <row r="373" s="7" customFormat="1"/>
    <row r="374" s="7" customFormat="1"/>
    <row r="375" s="7" customFormat="1"/>
    <row r="376" s="7" customFormat="1"/>
    <row r="377" s="7" customFormat="1"/>
    <row r="378" s="7" customFormat="1"/>
    <row r="379" s="7" customFormat="1"/>
    <row r="380" s="7" customFormat="1"/>
    <row r="381" s="7" customFormat="1"/>
    <row r="382" s="7" customFormat="1"/>
    <row r="383" s="7" customFormat="1"/>
    <row r="384" s="7" customFormat="1"/>
    <row r="385" s="7" customFormat="1"/>
    <row r="386" s="7" customFormat="1"/>
    <row r="387" s="7" customFormat="1"/>
    <row r="388" s="7" customFormat="1"/>
    <row r="389" s="7" customFormat="1"/>
    <row r="390" s="7" customFormat="1"/>
    <row r="391" s="7" customFormat="1"/>
    <row r="392" s="7" customFormat="1"/>
    <row r="393" s="7" customFormat="1"/>
    <row r="394" s="7" customFormat="1"/>
    <row r="395" s="7" customFormat="1"/>
    <row r="396" s="7" customFormat="1"/>
    <row r="397" s="7" customFormat="1"/>
    <row r="398" s="7" customFormat="1"/>
    <row r="399" s="7" customFormat="1"/>
    <row r="400" s="7" customFormat="1"/>
    <row r="401" s="7" customFormat="1"/>
    <row r="402" s="7" customFormat="1"/>
    <row r="403" s="7" customFormat="1"/>
    <row r="404" s="7" customFormat="1"/>
    <row r="405" s="7" customFormat="1"/>
    <row r="406" s="7" customFormat="1"/>
    <row r="407" s="7" customFormat="1"/>
    <row r="408" s="7" customFormat="1"/>
    <row r="409" s="7" customFormat="1"/>
    <row r="410" s="7" customFormat="1"/>
    <row r="411" s="7" customFormat="1"/>
    <row r="412" s="7" customFormat="1"/>
    <row r="413" s="7" customFormat="1"/>
    <row r="414" s="7" customFormat="1"/>
    <row r="415" s="7" customFormat="1"/>
    <row r="416" s="7" customFormat="1"/>
    <row r="417" s="7" customFormat="1"/>
    <row r="418" s="7" customFormat="1"/>
    <row r="419" s="7" customFormat="1"/>
    <row r="420" s="7" customFormat="1"/>
    <row r="421" s="7" customFormat="1"/>
    <row r="422" s="7" customFormat="1"/>
    <row r="423" s="7" customFormat="1"/>
    <row r="424" s="7" customFormat="1"/>
    <row r="425" s="7" customFormat="1"/>
    <row r="426" s="7" customFormat="1"/>
    <row r="427" s="7" customFormat="1"/>
    <row r="428" s="7" customFormat="1"/>
    <row r="429" s="7" customFormat="1"/>
    <row r="430" s="7" customFormat="1"/>
    <row r="431" s="7" customFormat="1"/>
    <row r="432" s="7" customFormat="1"/>
    <row r="433" s="7" customFormat="1"/>
    <row r="434" s="7" customFormat="1"/>
    <row r="435" s="7" customFormat="1"/>
    <row r="436" s="7" customForma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5363-FA04-4697-8566-ECD57DFE0E09}">
  <sheetPr>
    <tabColor theme="5"/>
  </sheetPr>
  <dimension ref="B1:AO14"/>
  <sheetViews>
    <sheetView showGridLines="0" topLeftCell="A40" workbookViewId="0">
      <selection activeCell="U55" sqref="U55"/>
    </sheetView>
  </sheetViews>
  <sheetFormatPr defaultRowHeight="13.5"/>
  <cols>
    <col min="1" max="1" width="2.7109375" style="7" customWidth="1"/>
    <col min="2" max="2" width="34.28515625" style="7" customWidth="1"/>
    <col min="3" max="3" width="9.140625" style="7"/>
    <col min="4" max="33" width="11" style="7" customWidth="1"/>
    <col min="34" max="16384" width="9.140625" style="7"/>
  </cols>
  <sheetData>
    <row r="1" spans="2:41" ht="9.75" customHeight="1"/>
    <row r="2" spans="2:41" ht="15">
      <c r="B2" s="439" t="s">
        <v>510</v>
      </c>
    </row>
    <row r="4" spans="2:41" ht="15.75">
      <c r="B4" s="749" t="s">
        <v>511</v>
      </c>
      <c r="C4" s="758" t="s">
        <v>521</v>
      </c>
      <c r="D4" s="759">
        <f>'Rental CF'!F7</f>
        <v>47330</v>
      </c>
      <c r="E4" s="759">
        <f>'Rental CF'!G7</f>
        <v>47695</v>
      </c>
      <c r="F4" s="759">
        <f>'Rental CF'!H7</f>
        <v>48060</v>
      </c>
      <c r="G4" s="759">
        <f>'Rental CF'!I7</f>
        <v>48426</v>
      </c>
      <c r="H4" s="759">
        <f>'Rental CF'!J7</f>
        <v>48791</v>
      </c>
      <c r="I4" s="759">
        <f>'Rental CF'!K7</f>
        <v>49156</v>
      </c>
      <c r="J4" s="759">
        <f>'Rental CF'!L7</f>
        <v>49521</v>
      </c>
      <c r="K4" s="759">
        <f>'Rental CF'!M7</f>
        <v>49887</v>
      </c>
      <c r="L4" s="759">
        <f>'Rental CF'!N7</f>
        <v>50252</v>
      </c>
      <c r="M4" s="759">
        <f>'Rental CF'!O7</f>
        <v>50617</v>
      </c>
      <c r="N4" s="759">
        <f>'Rental CF'!P7</f>
        <v>50982</v>
      </c>
      <c r="O4" s="759">
        <f>'Rental CF'!Q7</f>
        <v>51348</v>
      </c>
      <c r="P4" s="759">
        <f>'Rental CF'!R7</f>
        <v>51713</v>
      </c>
      <c r="Q4" s="759">
        <f>'Rental CF'!S7</f>
        <v>52078</v>
      </c>
      <c r="R4" s="759">
        <f>'Rental CF'!T7</f>
        <v>52443</v>
      </c>
      <c r="S4" s="759">
        <f>'Rental CF'!U7</f>
        <v>52809</v>
      </c>
      <c r="T4" s="759">
        <f>'Rental CF'!V7</f>
        <v>53174</v>
      </c>
      <c r="U4" s="759">
        <f>'Rental CF'!W7</f>
        <v>53539</v>
      </c>
      <c r="V4" s="759">
        <f>'Rental CF'!X7</f>
        <v>53904</v>
      </c>
      <c r="W4" s="759">
        <f>'Rental CF'!Y7</f>
        <v>54270</v>
      </c>
      <c r="X4" s="759">
        <f>'Rental CF'!Z7</f>
        <v>54635</v>
      </c>
      <c r="Y4" s="759">
        <f>'Rental CF'!AA7</f>
        <v>55000</v>
      </c>
      <c r="Z4" s="759">
        <f>'Rental CF'!AB7</f>
        <v>55365</v>
      </c>
      <c r="AA4" s="759">
        <f>'Rental CF'!AC7</f>
        <v>55731</v>
      </c>
      <c r="AB4" s="759">
        <f>'Rental CF'!AD7</f>
        <v>56096</v>
      </c>
      <c r="AC4" s="759">
        <f>'Rental CF'!AE7</f>
        <v>56461</v>
      </c>
      <c r="AD4" s="759">
        <f>'Rental CF'!AF7</f>
        <v>56826</v>
      </c>
      <c r="AE4" s="759">
        <f>'Rental CF'!AG7</f>
        <v>57192</v>
      </c>
      <c r="AF4" s="759">
        <f>'Rental CF'!AH7</f>
        <v>57557</v>
      </c>
      <c r="AG4" s="760">
        <f>'Rental CF'!AI7</f>
        <v>57922</v>
      </c>
      <c r="AH4" s="254"/>
      <c r="AI4" s="254"/>
      <c r="AJ4" s="254"/>
      <c r="AK4" s="254"/>
      <c r="AL4" s="254"/>
      <c r="AM4" s="254"/>
      <c r="AN4" s="254"/>
      <c r="AO4" s="254"/>
    </row>
    <row r="5" spans="2:41" ht="15.75">
      <c r="B5" s="750"/>
      <c r="AG5" s="65"/>
    </row>
    <row r="6" spans="2:41">
      <c r="B6" s="751" t="s">
        <v>512</v>
      </c>
      <c r="D6" s="442">
        <f>'Rental CF'!F55</f>
        <v>58597050.426132396</v>
      </c>
      <c r="E6" s="442">
        <f>'Rental CF'!G55</f>
        <v>59291720.397017419</v>
      </c>
      <c r="F6" s="442">
        <f>'Rental CF'!H55</f>
        <v>59985965.636191003</v>
      </c>
      <c r="G6" s="442">
        <f>'Rental CF'!I55</f>
        <v>60679348.105085053</v>
      </c>
      <c r="H6" s="442">
        <f>'Rental CF'!J55</f>
        <v>61371408.118042104</v>
      </c>
      <c r="I6" s="442">
        <f>'Rental CF'!K55</f>
        <v>62061663.52278395</v>
      </c>
      <c r="J6" s="442">
        <f>'Rental CF'!L55</f>
        <v>62749608.852892041</v>
      </c>
      <c r="K6" s="442">
        <f>'Rental CF'!M55</f>
        <v>63434714.451391906</v>
      </c>
      <c r="L6" s="442">
        <f>'Rental CF'!N55</f>
        <v>64116425.564505033</v>
      </c>
      <c r="M6" s="442">
        <f>'Rental CF'!O55</f>
        <v>64794161.404602945</v>
      </c>
      <c r="N6" s="442">
        <f>'Rental CF'!P55</f>
        <v>65467314.181367092</v>
      </c>
      <c r="O6" s="442">
        <f>'Rental CF'!Q55</f>
        <v>66135248.100126646</v>
      </c>
      <c r="P6" s="442">
        <f>'Rental CF'!R55</f>
        <v>66797298.326315366</v>
      </c>
      <c r="Q6" s="442">
        <f>'Rental CF'!S55</f>
        <v>67452769.914953426</v>
      </c>
      <c r="R6" s="442">
        <f>'Rental CF'!T55</f>
        <v>68100936.704027653</v>
      </c>
      <c r="S6" s="442">
        <f>'Rental CF'!U55</f>
        <v>68741040.170606598</v>
      </c>
      <c r="T6" s="442">
        <f>'Rental CF'!V55</f>
        <v>69372288.248492077</v>
      </c>
      <c r="U6" s="442">
        <f>'Rental CF'!W55</f>
        <v>69993854.106169447</v>
      </c>
      <c r="V6" s="442">
        <f>'Rental CF'!X55</f>
        <v>70604874.883781567</v>
      </c>
      <c r="W6" s="442">
        <f>'Rental CF'!Y55</f>
        <v>71204450.387810633</v>
      </c>
      <c r="X6" s="442">
        <f>'Rental CF'!Z55</f>
        <v>71791641.742110863</v>
      </c>
      <c r="Y6" s="442">
        <f>'Rental CF'!AA55</f>
        <v>72365469.99389343</v>
      </c>
      <c r="Z6" s="442">
        <f>'Rental CF'!AB55</f>
        <v>72924914.673219845</v>
      </c>
      <c r="AA6" s="442">
        <f>'Rental CF'!AC55</f>
        <v>73468912.304516271</v>
      </c>
      <c r="AB6" s="442">
        <f>'Rental CF'!AD55</f>
        <v>73996354.868573576</v>
      </c>
      <c r="AC6" s="442">
        <f>'Rental CF'!AE55</f>
        <v>74506088.213451028</v>
      </c>
      <c r="AD6" s="442">
        <f>'Rental CF'!AF55</f>
        <v>74996910.412651241</v>
      </c>
      <c r="AE6" s="442">
        <f>'Rental CF'!AG55</f>
        <v>75467570.068883345</v>
      </c>
      <c r="AF6" s="442">
        <f>'Rental CF'!AH55</f>
        <v>75916764.561679453</v>
      </c>
      <c r="AG6" s="453">
        <f>'Rental CF'!AI55</f>
        <v>76343138.237074092</v>
      </c>
    </row>
    <row r="7" spans="2:41">
      <c r="B7" s="756" t="s">
        <v>400</v>
      </c>
      <c r="D7" s="442">
        <f>'Rental CF'!F15</f>
        <v>7836489.2560975607</v>
      </c>
      <c r="E7" s="442">
        <f>'Rental CF'!G15</f>
        <v>7993219.041219512</v>
      </c>
      <c r="F7" s="442">
        <f>'Rental CF'!H15</f>
        <v>8153083.4220439019</v>
      </c>
      <c r="G7" s="442">
        <f>'Rental CF'!I15</f>
        <v>8316145.0904847812</v>
      </c>
      <c r="H7" s="442">
        <f>'Rental CF'!J15</f>
        <v>8482467.9922944754</v>
      </c>
      <c r="I7" s="442">
        <f>'Rental CF'!K15</f>
        <v>8652117.3521403652</v>
      </c>
      <c r="J7" s="442">
        <f>'Rental CF'!L15</f>
        <v>8825159.6991831735</v>
      </c>
      <c r="K7" s="442">
        <f>'Rental CF'!M15</f>
        <v>9001662.8931668364</v>
      </c>
      <c r="L7" s="442">
        <f>'Rental CF'!N15</f>
        <v>9181696.1510301735</v>
      </c>
      <c r="M7" s="442">
        <f>'Rental CF'!O15</f>
        <v>9365330.0740507767</v>
      </c>
      <c r="N7" s="442">
        <f>'Rental CF'!P15</f>
        <v>9552636.6755317897</v>
      </c>
      <c r="O7" s="442">
        <f>'Rental CF'!Q15</f>
        <v>9743689.4090424273</v>
      </c>
      <c r="P7" s="442">
        <f>'Rental CF'!R15</f>
        <v>9938563.1972232759</v>
      </c>
      <c r="Q7" s="442">
        <f>'Rental CF'!S15</f>
        <v>10137334.461167742</v>
      </c>
      <c r="R7" s="442">
        <f>'Rental CF'!T15</f>
        <v>10340081.150391098</v>
      </c>
      <c r="S7" s="442">
        <f>'Rental CF'!U15</f>
        <v>10546882.773398919</v>
      </c>
      <c r="T7" s="442">
        <f>'Rental CF'!V15</f>
        <v>10757820.428866899</v>
      </c>
      <c r="U7" s="442">
        <f>'Rental CF'!W15</f>
        <v>10972976.837444237</v>
      </c>
      <c r="V7" s="442">
        <f>'Rental CF'!X15</f>
        <v>11192436.374193121</v>
      </c>
      <c r="W7" s="442">
        <f>'Rental CF'!Y15</f>
        <v>11416285.101676982</v>
      </c>
      <c r="X7" s="442">
        <f>'Rental CF'!Z15</f>
        <v>11644610.803710522</v>
      </c>
      <c r="Y7" s="442">
        <f>'Rental CF'!AA15</f>
        <v>11877503.019784732</v>
      </c>
      <c r="Z7" s="442">
        <f>'Rental CF'!AB15</f>
        <v>12115053.080180427</v>
      </c>
      <c r="AA7" s="442">
        <f>'Rental CF'!AC15</f>
        <v>12357354.141784035</v>
      </c>
      <c r="AB7" s="442">
        <f>'Rental CF'!AD15</f>
        <v>12604501.224619716</v>
      </c>
      <c r="AC7" s="442">
        <f>'Rental CF'!AE15</f>
        <v>12856591.249112112</v>
      </c>
      <c r="AD7" s="442">
        <f>'Rental CF'!AF15</f>
        <v>13113723.074094353</v>
      </c>
      <c r="AE7" s="442">
        <f>'Rental CF'!AG15</f>
        <v>13375997.535576241</v>
      </c>
      <c r="AF7" s="442">
        <f>'Rental CF'!AH15</f>
        <v>13643517.486287765</v>
      </c>
      <c r="AG7" s="453">
        <f>'Rental CF'!AI15</f>
        <v>13916387.836013522</v>
      </c>
    </row>
    <row r="8" spans="2:41">
      <c r="B8" s="756" t="s">
        <v>518</v>
      </c>
      <c r="D8" s="442">
        <f>'Rental CF'!F29</f>
        <v>7442690.7932926826</v>
      </c>
      <c r="E8" s="442">
        <f>'Rental CF'!G29</f>
        <v>7591544.6091585364</v>
      </c>
      <c r="F8" s="442">
        <f>'Rental CF'!H29</f>
        <v>7743375.5013417071</v>
      </c>
      <c r="G8" s="442">
        <f>'Rental CF'!I29</f>
        <v>7898243.011368541</v>
      </c>
      <c r="H8" s="442">
        <f>'Rental CF'!J29</f>
        <v>8056207.8715959117</v>
      </c>
      <c r="I8" s="442">
        <f>'Rental CF'!K29</f>
        <v>8217332.0290278299</v>
      </c>
      <c r="J8" s="442">
        <f>'Rental CF'!L29</f>
        <v>8381678.6696083853</v>
      </c>
      <c r="K8" s="442">
        <f>'Rental CF'!M29</f>
        <v>8549312.2430005539</v>
      </c>
      <c r="L8" s="442">
        <f>'Rental CF'!N29</f>
        <v>8720298.487860566</v>
      </c>
      <c r="M8" s="442">
        <f>'Rental CF'!O29</f>
        <v>8894704.4576177765</v>
      </c>
      <c r="N8" s="442">
        <f>'Rental CF'!P29</f>
        <v>9072598.5467701331</v>
      </c>
      <c r="O8" s="442">
        <f>'Rental CF'!Q29</f>
        <v>9254050.5177055355</v>
      </c>
      <c r="P8" s="442">
        <f>'Rental CF'!R29</f>
        <v>9439131.5280596465</v>
      </c>
      <c r="Q8" s="442">
        <f>'Rental CF'!S29</f>
        <v>9627914.1586208381</v>
      </c>
      <c r="R8" s="442">
        <f>'Rental CF'!T29</f>
        <v>9820472.4417932555</v>
      </c>
      <c r="S8" s="442">
        <f>'Rental CF'!U29</f>
        <v>10016881.890629122</v>
      </c>
      <c r="T8" s="442">
        <f>'Rental CF'!V29</f>
        <v>10217219.528441705</v>
      </c>
      <c r="U8" s="442">
        <f>'Rental CF'!W29</f>
        <v>10421563.919010539</v>
      </c>
      <c r="V8" s="442">
        <f>'Rental CF'!X29</f>
        <v>10629995.197390748</v>
      </c>
      <c r="W8" s="442">
        <f>'Rental CF'!Y29</f>
        <v>10842595.101338563</v>
      </c>
      <c r="X8" s="442">
        <f>'Rental CF'!Z29</f>
        <v>11059447.003365334</v>
      </c>
      <c r="Y8" s="442">
        <f>'Rental CF'!AA29</f>
        <v>11280635.943432642</v>
      </c>
      <c r="Z8" s="442">
        <f>'Rental CF'!AB29</f>
        <v>11506248.662301293</v>
      </c>
      <c r="AA8" s="442">
        <f>'Rental CF'!AC29</f>
        <v>11736373.635547321</v>
      </c>
      <c r="AB8" s="442">
        <f>'Rental CF'!AD29</f>
        <v>11971101.108258268</v>
      </c>
      <c r="AC8" s="442">
        <f>'Rental CF'!AE29</f>
        <v>12210523.130423432</v>
      </c>
      <c r="AD8" s="442">
        <f>'Rental CF'!AF29</f>
        <v>12454733.593031902</v>
      </c>
      <c r="AE8" s="442">
        <f>'Rental CF'!AG29</f>
        <v>12703828.264892539</v>
      </c>
      <c r="AF8" s="442">
        <f>'Rental CF'!AH29</f>
        <v>12957904.830190388</v>
      </c>
      <c r="AG8" s="453">
        <f>'Rental CF'!AI29</f>
        <v>13217062.926794197</v>
      </c>
    </row>
    <row r="9" spans="2:41">
      <c r="B9" s="756" t="s">
        <v>519</v>
      </c>
      <c r="D9" s="761">
        <f>D6/D8</f>
        <v>7.8731002071105491</v>
      </c>
      <c r="E9" s="761">
        <f t="shared" ref="E9:AG9" si="0">E6/E8</f>
        <v>7.8102314416340421</v>
      </c>
      <c r="F9" s="761">
        <f t="shared" si="0"/>
        <v>7.7467463157116869</v>
      </c>
      <c r="G9" s="761">
        <f t="shared" si="0"/>
        <v>7.6826387865940129</v>
      </c>
      <c r="H9" s="761">
        <f t="shared" si="0"/>
        <v>7.6179027522889129</v>
      </c>
      <c r="I9" s="761">
        <f t="shared" si="0"/>
        <v>7.5525320509808216</v>
      </c>
      <c r="J9" s="761">
        <f t="shared" si="0"/>
        <v>7.4865204604442166</v>
      </c>
      <c r="K9" s="761">
        <f t="shared" si="0"/>
        <v>7.419861697451374</v>
      </c>
      <c r="L9" s="761">
        <f t="shared" si="0"/>
        <v>7.3525494171742887</v>
      </c>
      <c r="M9" s="761">
        <f t="shared" si="0"/>
        <v>7.284577212580758</v>
      </c>
      <c r="N9" s="761">
        <f t="shared" si="0"/>
        <v>7.2159386138245489</v>
      </c>
      <c r="O9" s="761">
        <f t="shared" si="0"/>
        <v>7.1466270876295503</v>
      </c>
      <c r="P9" s="761">
        <f t="shared" si="0"/>
        <v>7.0766360366679351</v>
      </c>
      <c r="Q9" s="761">
        <f t="shared" si="0"/>
        <v>7.005958798932185</v>
      </c>
      <c r="R9" s="761">
        <f t="shared" si="0"/>
        <v>6.9345886471009903</v>
      </c>
      <c r="S9" s="761">
        <f t="shared" si="0"/>
        <v>6.8625187878988996</v>
      </c>
      <c r="T9" s="761">
        <f t="shared" si="0"/>
        <v>6.7897423614497301</v>
      </c>
      <c r="U9" s="761">
        <f t="shared" si="0"/>
        <v>6.7162524406236068</v>
      </c>
      <c r="V9" s="761">
        <f t="shared" si="0"/>
        <v>6.6420420303776178</v>
      </c>
      <c r="W9" s="761">
        <f t="shared" si="0"/>
        <v>6.5671040670900043</v>
      </c>
      <c r="X9" s="761">
        <f t="shared" si="0"/>
        <v>6.4914314178878048</v>
      </c>
      <c r="Y9" s="761">
        <f t="shared" si="0"/>
        <v>6.4150168799679363</v>
      </c>
      <c r="Z9" s="761">
        <f t="shared" si="0"/>
        <v>6.3378531799116002</v>
      </c>
      <c r="AA9" s="761">
        <f t="shared" si="0"/>
        <v>6.2599329729919662</v>
      </c>
      <c r="AB9" s="761">
        <f t="shared" si="0"/>
        <v>6.1812488424750809</v>
      </c>
      <c r="AC9" s="761">
        <f t="shared" si="0"/>
        <v>6.1017932989139121</v>
      </c>
      <c r="AD9" s="761">
        <f t="shared" si="0"/>
        <v>6.0215587794354795</v>
      </c>
      <c r="AE9" s="761">
        <f t="shared" si="0"/>
        <v>5.9405376470209799</v>
      </c>
      <c r="AF9" s="761">
        <f t="shared" si="0"/>
        <v>5.858722189778887</v>
      </c>
      <c r="AG9" s="762">
        <f t="shared" si="0"/>
        <v>5.7761046202108943</v>
      </c>
    </row>
    <row r="10" spans="2:41">
      <c r="B10" s="757" t="s">
        <v>520</v>
      </c>
      <c r="D10" s="449">
        <f>'Rental CF'!F50</f>
        <v>1.1782948162516469</v>
      </c>
      <c r="E10" s="449">
        <f>'Rental CF'!G50</f>
        <v>1.1830880687416339</v>
      </c>
      <c r="F10" s="449">
        <f>'Rental CF'!H50</f>
        <v>1.1876427489719432</v>
      </c>
      <c r="G10" s="449">
        <f>'Rental CF'!I50</f>
        <v>1.1919565664837857</v>
      </c>
      <c r="H10" s="449">
        <f>'Rental CF'!J50</f>
        <v>1.1960274966241755</v>
      </c>
      <c r="I10" s="449">
        <f>'Rental CF'!K50</f>
        <v>1.1998537827358298</v>
      </c>
      <c r="J10" s="449">
        <f>'Rental CF'!L50</f>
        <v>1.2034339376250374</v>
      </c>
      <c r="K10" s="449">
        <f>'Rental CF'!M50</f>
        <v>1.2067667443086141</v>
      </c>
      <c r="L10" s="449">
        <f>'Rental CF'!N50</f>
        <v>1.2098512560445625</v>
      </c>
      <c r="M10" s="449">
        <f>'Rental CF'!O50</f>
        <v>1.2126867956545235</v>
      </c>
      <c r="N10" s="449">
        <f>'Rental CF'!P50</f>
        <v>1.215272954149418</v>
      </c>
      <c r="O10" s="449">
        <f>'Rental CF'!Q50</f>
        <v>1.2176095886729092</v>
      </c>
      <c r="P10" s="449">
        <f>'Rental CF'!R50</f>
        <v>1.2196968197803872</v>
      </c>
      <c r="Q10" s="449">
        <f>'Rental CF'!S50</f>
        <v>1.2215350280740538</v>
      </c>
      <c r="R10" s="449">
        <f>'Rental CF'!T50</f>
        <v>1.2231248502174181</v>
      </c>
      <c r="S10" s="449">
        <f>'Rental CF'!U50</f>
        <v>1.2244671743550082</v>
      </c>
      <c r="T10" s="449">
        <f>'Rental CF'!V50</f>
        <v>1.2255631349653873</v>
      </c>
      <c r="U10" s="449">
        <f>'Rental CF'!W50</f>
        <v>1.22641410717763</v>
      </c>
      <c r="V10" s="449">
        <f>'Rental CF'!X50</f>
        <v>1.2270217005832276</v>
      </c>
      <c r="W10" s="449">
        <f>'Rental CF'!Y50</f>
        <v>1.227387752576959</v>
      </c>
      <c r="X10" s="449">
        <f>'Rental CF'!Z50</f>
        <v>1.2275143212615944</v>
      </c>
      <c r="Y10" s="449">
        <f>'Rental CF'!AA50</f>
        <v>1.2274036779523689</v>
      </c>
      <c r="Z10" s="449">
        <f>'Rental CF'!AB50</f>
        <v>1.2270582993179759</v>
      </c>
      <c r="AA10" s="449">
        <f>'Rental CF'!AC50</f>
        <v>1.2264808591954164</v>
      </c>
      <c r="AB10" s="449">
        <f>'Rental CF'!AD50</f>
        <v>1.2256742201163535</v>
      </c>
      <c r="AC10" s="449">
        <f>'Rental CF'!AE50</f>
        <v>1.2246414245827382</v>
      </c>
      <c r="AD10" s="449">
        <f>'Rental CF'!AF50</f>
        <v>1.2233856861293182</v>
      </c>
      <c r="AE10" s="449">
        <f>'Rental CF'!AG50</f>
        <v>1.2219103802103084</v>
      </c>
      <c r="AF10" s="449">
        <f>'Rental CF'!AH50</f>
        <v>1.2202190349469519</v>
      </c>
      <c r="AG10" s="763">
        <f>'Rental CF'!AI50</f>
        <v>1.2183153217719409</v>
      </c>
    </row>
    <row r="11" spans="2:41">
      <c r="B11" s="756" t="s">
        <v>513</v>
      </c>
      <c r="D11" s="442">
        <f>'Rental CF'!F36</f>
        <v>4101793.5298292679</v>
      </c>
      <c r="E11" s="442">
        <f>'Rental CF'!G36</f>
        <v>4150420.4277912197</v>
      </c>
      <c r="F11" s="442">
        <f>'Rental CF'!H36</f>
        <v>4199017.5945333708</v>
      </c>
      <c r="G11" s="442">
        <f>'Rental CF'!I36</f>
        <v>4247554.3673559539</v>
      </c>
      <c r="H11" s="442">
        <f>'Rental CF'!J36</f>
        <v>4295998.5682629477</v>
      </c>
      <c r="I11" s="442">
        <f>'Rental CF'!K36</f>
        <v>4344316.4465948772</v>
      </c>
      <c r="J11" s="442">
        <f>'Rental CF'!L36</f>
        <v>4392472.6197024435</v>
      </c>
      <c r="K11" s="442">
        <f>'Rental CF'!M36</f>
        <v>4440430.0115974341</v>
      </c>
      <c r="L11" s="442">
        <f>'Rental CF'!N36</f>
        <v>4488149.7895153528</v>
      </c>
      <c r="M11" s="442">
        <f>'Rental CF'!O36</f>
        <v>4535591.2983222064</v>
      </c>
      <c r="N11" s="442">
        <f>'Rental CF'!P36</f>
        <v>4582711.9926956967</v>
      </c>
      <c r="O11" s="442">
        <f>'Rental CF'!Q36</f>
        <v>4629467.3670088658</v>
      </c>
      <c r="P11" s="442">
        <f>'Rental CF'!R36</f>
        <v>4675810.882842076</v>
      </c>
      <c r="Q11" s="442">
        <f>'Rental CF'!S36</f>
        <v>4721693.8940467406</v>
      </c>
      <c r="R11" s="442">
        <f>'Rental CF'!T36</f>
        <v>4767065.5692819357</v>
      </c>
      <c r="S11" s="442">
        <f>'Rental CF'!U36</f>
        <v>4811872.8119424628</v>
      </c>
      <c r="T11" s="442">
        <f>'Rental CF'!V36</f>
        <v>4856060.177394446</v>
      </c>
      <c r="U11" s="442">
        <f>'Rental CF'!W36</f>
        <v>4899569.7874318622</v>
      </c>
      <c r="V11" s="442">
        <f>'Rental CF'!X36</f>
        <v>4942341.2418647101</v>
      </c>
      <c r="W11" s="442">
        <f>'Rental CF'!Y36</f>
        <v>4984311.5271467445</v>
      </c>
      <c r="X11" s="442">
        <f>'Rental CF'!Z36</f>
        <v>5025414.9219477605</v>
      </c>
      <c r="Y11" s="442">
        <f>'Rental CF'!AA36</f>
        <v>5065582.899572541</v>
      </c>
      <c r="Z11" s="442">
        <f>'Rental CF'!AB36</f>
        <v>5104744.0271253893</v>
      </c>
      <c r="AA11" s="442">
        <f>'Rental CF'!AC36</f>
        <v>5142823.8613161398</v>
      </c>
      <c r="AB11" s="442">
        <f>'Rental CF'!AD36</f>
        <v>5179744.8408001512</v>
      </c>
      <c r="AC11" s="442">
        <f>'Rental CF'!AE36</f>
        <v>5215426.1749415724</v>
      </c>
      <c r="AD11" s="442">
        <f>'Rental CF'!AF36</f>
        <v>5249783.7288855873</v>
      </c>
      <c r="AE11" s="442">
        <f>'Rental CF'!AG36</f>
        <v>5282729.9048218345</v>
      </c>
      <c r="AF11" s="442">
        <f>'Rental CF'!AH36</f>
        <v>5314173.5193175627</v>
      </c>
      <c r="AG11" s="453">
        <f>'Rental CF'!AI36</f>
        <v>5344019.6765951868</v>
      </c>
    </row>
    <row r="12" spans="2:41">
      <c r="B12" s="756" t="s">
        <v>514</v>
      </c>
      <c r="D12" s="442">
        <f>-'Rental CF'!F46</f>
        <v>2975595.5960818124</v>
      </c>
      <c r="E12" s="442">
        <f>-'Rental CF'!G46</f>
        <v>2975595.5960818124</v>
      </c>
      <c r="F12" s="442">
        <f>-'Rental CF'!H46</f>
        <v>2975595.5960818124</v>
      </c>
      <c r="G12" s="442">
        <f>-'Rental CF'!I46</f>
        <v>2975595.5960818124</v>
      </c>
      <c r="H12" s="442">
        <f>-'Rental CF'!J46</f>
        <v>2975595.5960818124</v>
      </c>
      <c r="I12" s="442">
        <f>-'Rental CF'!K46</f>
        <v>2975595.5960818124</v>
      </c>
      <c r="J12" s="442">
        <f>-'Rental CF'!L46</f>
        <v>2975595.5960818124</v>
      </c>
      <c r="K12" s="442">
        <f>-'Rental CF'!M46</f>
        <v>2975595.5960818124</v>
      </c>
      <c r="L12" s="442">
        <f>-'Rental CF'!N46</f>
        <v>2975595.5960818124</v>
      </c>
      <c r="M12" s="442">
        <f>-'Rental CF'!O46</f>
        <v>2975595.5960818124</v>
      </c>
      <c r="N12" s="442">
        <f>-'Rental CF'!P46</f>
        <v>2975595.5960818124</v>
      </c>
      <c r="O12" s="442">
        <f>-'Rental CF'!Q46</f>
        <v>2975595.5960818124</v>
      </c>
      <c r="P12" s="442">
        <f>-'Rental CF'!R46</f>
        <v>2975595.5960818124</v>
      </c>
      <c r="Q12" s="442">
        <f>-'Rental CF'!S46</f>
        <v>2975595.5960818124</v>
      </c>
      <c r="R12" s="442">
        <f>-'Rental CF'!T46</f>
        <v>2975595.5960818124</v>
      </c>
      <c r="S12" s="442">
        <f>-'Rental CF'!U46</f>
        <v>2975595.5960818124</v>
      </c>
      <c r="T12" s="442">
        <f>-'Rental CF'!V46</f>
        <v>2975595.5960818124</v>
      </c>
      <c r="U12" s="442">
        <f>-'Rental CF'!W46</f>
        <v>2975595.5960818124</v>
      </c>
      <c r="V12" s="442">
        <f>-'Rental CF'!X46</f>
        <v>2975595.5960818124</v>
      </c>
      <c r="W12" s="442">
        <f>-'Rental CF'!Y46</f>
        <v>2975595.5960818124</v>
      </c>
      <c r="X12" s="442">
        <f>-'Rental CF'!Z46</f>
        <v>2975595.5960818124</v>
      </c>
      <c r="Y12" s="442">
        <f>-'Rental CF'!AA46</f>
        <v>2975595.5960818124</v>
      </c>
      <c r="Z12" s="442">
        <f>-'Rental CF'!AB46</f>
        <v>2975595.5960818124</v>
      </c>
      <c r="AA12" s="442">
        <f>-'Rental CF'!AC46</f>
        <v>2975595.5960818124</v>
      </c>
      <c r="AB12" s="442">
        <f>-'Rental CF'!AD46</f>
        <v>2975595.5960818124</v>
      </c>
      <c r="AC12" s="442">
        <f>-'Rental CF'!AE46</f>
        <v>2975595.5960818124</v>
      </c>
      <c r="AD12" s="442">
        <f>-'Rental CF'!AF46</f>
        <v>2975595.5960818124</v>
      </c>
      <c r="AE12" s="442">
        <f>-'Rental CF'!AG46</f>
        <v>2975595.5960818124</v>
      </c>
      <c r="AF12" s="442">
        <f>-'Rental CF'!AH46</f>
        <v>2975595.5960818124</v>
      </c>
      <c r="AG12" s="453">
        <f>-'Rental CF'!AI46</f>
        <v>2975595.5960818124</v>
      </c>
    </row>
    <row r="13" spans="2:41">
      <c r="B13" s="756" t="s">
        <v>515</v>
      </c>
      <c r="D13" s="449">
        <f>'Rental CF'!F51</f>
        <v>1.3784781558456412</v>
      </c>
      <c r="E13" s="449">
        <f>'Rental CF'!G51</f>
        <v>1.3948200599760217</v>
      </c>
      <c r="F13" s="449">
        <f>'Rental CF'!H51</f>
        <v>1.4111519724194137</v>
      </c>
      <c r="G13" s="449">
        <f>'Rental CF'!I51</f>
        <v>1.4274635884489895</v>
      </c>
      <c r="H13" s="449">
        <f>'Rental CF'!J51</f>
        <v>1.4437440940965929</v>
      </c>
      <c r="I13" s="449">
        <f>'Rental CF'!K51</f>
        <v>1.459982146873507</v>
      </c>
      <c r="J13" s="449">
        <f>'Rental CF'!L51</f>
        <v>1.4761658558328081</v>
      </c>
      <c r="K13" s="449">
        <f>'Rental CF'!M51</f>
        <v>1.4922827609519511</v>
      </c>
      <c r="L13" s="449">
        <f>'Rental CF'!N51</f>
        <v>1.5083198118135519</v>
      </c>
      <c r="M13" s="449">
        <f>'Rental CF'!O51</f>
        <v>1.5242633455616603</v>
      </c>
      <c r="N13" s="449">
        <f>'Rental CF'!P51</f>
        <v>1.5400990641100873</v>
      </c>
      <c r="O13" s="449">
        <f>'Rental CF'!Q51</f>
        <v>1.5558120105785977</v>
      </c>
      <c r="P13" s="449">
        <f>'Rental CF'!R51</f>
        <v>1.5713865449320679</v>
      </c>
      <c r="Q13" s="449">
        <f>'Rental CF'!S51</f>
        <v>1.586806318796864</v>
      </c>
      <c r="R13" s="449">
        <f>'Rental CF'!T51</f>
        <v>1.6020542494279413</v>
      </c>
      <c r="S13" s="449">
        <f>'Rental CF'!U51</f>
        <v>1.6171124927992946</v>
      </c>
      <c r="T13" s="449">
        <f>'Rental CF'!V51</f>
        <v>1.6319624157895585</v>
      </c>
      <c r="U13" s="449">
        <f>'Rental CF'!W51</f>
        <v>1.6465845674336559</v>
      </c>
      <c r="V13" s="449">
        <f>'Rental CF'!X51</f>
        <v>1.6609586492104833</v>
      </c>
      <c r="W13" s="449">
        <f>'Rental CF'!Y51</f>
        <v>1.6750634843356931</v>
      </c>
      <c r="X13" s="449">
        <f>'Rental CF'!Z51</f>
        <v>1.6888769860276367</v>
      </c>
      <c r="Y13" s="449">
        <f>'Rental CF'!AA51</f>
        <v>1.7023761247135767</v>
      </c>
      <c r="Z13" s="449">
        <f>'Rental CF'!AB51</f>
        <v>1.7155368941421962</v>
      </c>
      <c r="AA13" s="449">
        <f>'Rental CF'!AC51</f>
        <v>1.7283342763674197</v>
      </c>
      <c r="AB13" s="449">
        <f>'Rental CF'!AD51</f>
        <v>1.7407422055674184</v>
      </c>
      <c r="AC13" s="449">
        <f>'Rental CF'!AE51</f>
        <v>1.7527335306615963</v>
      </c>
      <c r="AD13" s="449">
        <f>'Rental CF'!AF51</f>
        <v>1.7642799766871438</v>
      </c>
      <c r="AE13" s="449">
        <f>'Rental CF'!AG51</f>
        <v>1.7753521048955703</v>
      </c>
      <c r="AF13" s="449">
        <f>'Rental CF'!AH51</f>
        <v>1.7859192715284058</v>
      </c>
      <c r="AG13" s="763">
        <f>'Rental CF'!AI51</f>
        <v>1.7959495852299467</v>
      </c>
    </row>
    <row r="14" spans="2:41">
      <c r="B14" s="764" t="s">
        <v>423</v>
      </c>
      <c r="C14" s="67"/>
      <c r="D14" s="754">
        <f>'Rental CF'!F48</f>
        <v>1126197.9337474555</v>
      </c>
      <c r="E14" s="754">
        <f>'Rental CF'!G48</f>
        <v>1174824.8317094073</v>
      </c>
      <c r="F14" s="754">
        <f>'Rental CF'!H48</f>
        <v>1223421.9984515584</v>
      </c>
      <c r="G14" s="754">
        <f>'Rental CF'!I48</f>
        <v>1271958.7712741415</v>
      </c>
      <c r="H14" s="754">
        <f>'Rental CF'!J48</f>
        <v>1320402.9721811353</v>
      </c>
      <c r="I14" s="754">
        <f>'Rental CF'!K48</f>
        <v>1368720.8505130648</v>
      </c>
      <c r="J14" s="754">
        <f>'Rental CF'!L48</f>
        <v>1416877.0236206311</v>
      </c>
      <c r="K14" s="754">
        <f>'Rental CF'!M48</f>
        <v>1464834.4155156217</v>
      </c>
      <c r="L14" s="754">
        <f>'Rental CF'!N48</f>
        <v>1512554.1934335404</v>
      </c>
      <c r="M14" s="754">
        <f>'Rental CF'!O48</f>
        <v>1559995.702240394</v>
      </c>
      <c r="N14" s="754">
        <f>'Rental CF'!P48</f>
        <v>1607116.3966138843</v>
      </c>
      <c r="O14" s="754">
        <f>'Rental CF'!Q48</f>
        <v>1653871.7709270534</v>
      </c>
      <c r="P14" s="754">
        <f>'Rental CF'!R48</f>
        <v>1700215.2867602636</v>
      </c>
      <c r="Q14" s="754">
        <f>'Rental CF'!S48</f>
        <v>1746098.2979649282</v>
      </c>
      <c r="R14" s="754">
        <f>'Rental CF'!T48</f>
        <v>1791469.9732001233</v>
      </c>
      <c r="S14" s="754">
        <f>'Rental CF'!U48</f>
        <v>1836277.2158606504</v>
      </c>
      <c r="T14" s="754">
        <f>'Rental CF'!V48</f>
        <v>1880464.5813126336</v>
      </c>
      <c r="U14" s="754">
        <f>'Rental CF'!W48</f>
        <v>1923974.1913500498</v>
      </c>
      <c r="V14" s="754">
        <f>'Rental CF'!X48</f>
        <v>1966745.6457828977</v>
      </c>
      <c r="W14" s="754">
        <f>'Rental CF'!Y48</f>
        <v>2008715.9310649321</v>
      </c>
      <c r="X14" s="754">
        <f>'Rental CF'!Z48</f>
        <v>2049819.3258659481</v>
      </c>
      <c r="Y14" s="754">
        <f>'Rental CF'!AA48</f>
        <v>2089987.3034907286</v>
      </c>
      <c r="Z14" s="754">
        <f>'Rental CF'!AB48</f>
        <v>2129148.4310435769</v>
      </c>
      <c r="AA14" s="754">
        <f>'Rental CF'!AC48</f>
        <v>2167228.2652343274</v>
      </c>
      <c r="AB14" s="754">
        <f>'Rental CF'!AD48</f>
        <v>2204149.2447183388</v>
      </c>
      <c r="AC14" s="754">
        <f>'Rental CF'!AE48</f>
        <v>2239830.57885976</v>
      </c>
      <c r="AD14" s="754">
        <f>'Rental CF'!AF48</f>
        <v>2274188.1328037749</v>
      </c>
      <c r="AE14" s="754">
        <f>'Rental CF'!AG48</f>
        <v>2307134.3087400221</v>
      </c>
      <c r="AF14" s="754">
        <f>'Rental CF'!AH48</f>
        <v>2338577.9232357503</v>
      </c>
      <c r="AG14" s="755">
        <f>'Rental CF'!AI48</f>
        <v>2368424.0805133744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B932-E1E2-4548-B09B-01E391DEF547}">
  <dimension ref="E3:R54"/>
  <sheetViews>
    <sheetView topLeftCell="D1" workbookViewId="0">
      <selection activeCell="U1" sqref="U1"/>
    </sheetView>
  </sheetViews>
  <sheetFormatPr defaultRowHeight="15"/>
  <cols>
    <col min="6" max="6" width="23" customWidth="1"/>
    <col min="10" max="10" width="15.28515625" bestFit="1" customWidth="1"/>
  </cols>
  <sheetData>
    <row r="3" spans="5:18">
      <c r="E3" t="s">
        <v>496</v>
      </c>
      <c r="F3" s="587">
        <f>-Budget!I62</f>
        <v>279782338.24671686</v>
      </c>
      <c r="H3" s="425">
        <v>0.9</v>
      </c>
      <c r="J3" s="588">
        <f>H3*F3</f>
        <v>251804104.42204517</v>
      </c>
      <c r="P3" t="s">
        <v>80</v>
      </c>
      <c r="R3" t="s">
        <v>80</v>
      </c>
    </row>
    <row r="4" spans="5:18">
      <c r="E4" t="s">
        <v>497</v>
      </c>
      <c r="P4" t="s">
        <v>81</v>
      </c>
      <c r="R4" t="s">
        <v>81</v>
      </c>
    </row>
    <row r="5" spans="5:18">
      <c r="F5">
        <f>'Sources and Uses'!C8</f>
        <v>10635591.365277611</v>
      </c>
      <c r="P5" t="s">
        <v>82</v>
      </c>
      <c r="R5" t="s">
        <v>82</v>
      </c>
    </row>
    <row r="6" spans="5:18">
      <c r="P6" t="s">
        <v>83</v>
      </c>
      <c r="R6" t="s">
        <v>83</v>
      </c>
    </row>
    <row r="7" spans="5:18">
      <c r="F7" s="587">
        <f>F3-F5</f>
        <v>269146746.88143927</v>
      </c>
    </row>
    <row r="8" spans="5:18">
      <c r="P8" t="s">
        <v>427</v>
      </c>
      <c r="R8" t="s">
        <v>427</v>
      </c>
    </row>
    <row r="9" spans="5:18">
      <c r="F9" s="425">
        <v>0.9</v>
      </c>
      <c r="P9" t="s">
        <v>120</v>
      </c>
      <c r="R9" t="s">
        <v>120</v>
      </c>
    </row>
    <row r="10" spans="5:18">
      <c r="P10" t="s">
        <v>121</v>
      </c>
      <c r="R10" t="s">
        <v>121</v>
      </c>
    </row>
    <row r="11" spans="5:18">
      <c r="F11" s="588">
        <f>F9*F7</f>
        <v>242232072.19329536</v>
      </c>
      <c r="P11" t="s">
        <v>122</v>
      </c>
      <c r="R11" t="s">
        <v>122</v>
      </c>
    </row>
    <row r="12" spans="5:18">
      <c r="F12" s="588"/>
      <c r="P12" t="s">
        <v>123</v>
      </c>
      <c r="R12" t="s">
        <v>123</v>
      </c>
    </row>
    <row r="13" spans="5:18">
      <c r="F13" s="588">
        <f>'Sources and Uses'!C5</f>
        <v>47186010.36664021</v>
      </c>
      <c r="P13" t="s">
        <v>16</v>
      </c>
      <c r="R13" t="s">
        <v>16</v>
      </c>
    </row>
    <row r="14" spans="5:18">
      <c r="F14" s="588">
        <f>'Sources and Uses'!C7</f>
        <v>47232000</v>
      </c>
      <c r="P14" t="s">
        <v>114</v>
      </c>
      <c r="R14" t="s">
        <v>114</v>
      </c>
    </row>
    <row r="15" spans="5:18">
      <c r="F15" s="588">
        <f>SUM(F13:F14)</f>
        <v>94418010.36664021</v>
      </c>
      <c r="P15" t="s">
        <v>124</v>
      </c>
      <c r="R15" t="s">
        <v>124</v>
      </c>
    </row>
    <row r="16" spans="5:18">
      <c r="P16" t="s">
        <v>17</v>
      </c>
      <c r="R16" t="s">
        <v>17</v>
      </c>
    </row>
    <row r="17" spans="16:18">
      <c r="P17" t="s">
        <v>125</v>
      </c>
      <c r="R17" t="s">
        <v>125</v>
      </c>
    </row>
    <row r="18" spans="16:18">
      <c r="P18" t="s">
        <v>126</v>
      </c>
      <c r="R18" t="s">
        <v>126</v>
      </c>
    </row>
    <row r="19" spans="16:18">
      <c r="P19" t="s">
        <v>127</v>
      </c>
      <c r="R19" t="s">
        <v>127</v>
      </c>
    </row>
    <row r="20" spans="16:18">
      <c r="P20" t="s">
        <v>128</v>
      </c>
      <c r="R20" t="s">
        <v>128</v>
      </c>
    </row>
    <row r="22" spans="16:18">
      <c r="P22" t="s">
        <v>137</v>
      </c>
      <c r="R22" t="s">
        <v>137</v>
      </c>
    </row>
    <row r="23" spans="16:18">
      <c r="P23" t="s">
        <v>138</v>
      </c>
      <c r="R23" t="s">
        <v>138</v>
      </c>
    </row>
    <row r="24" spans="16:18">
      <c r="P24" t="s">
        <v>139</v>
      </c>
      <c r="R24" t="s">
        <v>139</v>
      </c>
    </row>
    <row r="25" spans="16:18">
      <c r="P25" t="s">
        <v>140</v>
      </c>
      <c r="R25" t="s">
        <v>140</v>
      </c>
    </row>
    <row r="26" spans="16:18">
      <c r="P26" t="s">
        <v>141</v>
      </c>
      <c r="R26" t="s">
        <v>141</v>
      </c>
    </row>
    <row r="27" spans="16:18">
      <c r="P27" t="s">
        <v>142</v>
      </c>
      <c r="R27" t="s">
        <v>142</v>
      </c>
    </row>
    <row r="28" spans="16:18">
      <c r="P28" t="s">
        <v>143</v>
      </c>
      <c r="R28" t="s">
        <v>143</v>
      </c>
    </row>
    <row r="29" spans="16:18">
      <c r="P29" t="s">
        <v>144</v>
      </c>
      <c r="R29" t="s">
        <v>144</v>
      </c>
    </row>
    <row r="30" spans="16:18">
      <c r="P30" t="s">
        <v>145</v>
      </c>
      <c r="R30" t="s">
        <v>145</v>
      </c>
    </row>
    <row r="31" spans="16:18">
      <c r="P31" t="s">
        <v>146</v>
      </c>
      <c r="R31" t="s">
        <v>146</v>
      </c>
    </row>
    <row r="32" spans="16:18">
      <c r="P32" t="s">
        <v>147</v>
      </c>
      <c r="R32" t="s">
        <v>147</v>
      </c>
    </row>
    <row r="33" spans="16:18">
      <c r="P33" t="s">
        <v>148</v>
      </c>
      <c r="R33" t="s">
        <v>148</v>
      </c>
    </row>
    <row r="34" spans="16:18">
      <c r="P34" t="s">
        <v>149</v>
      </c>
      <c r="R34" t="s">
        <v>149</v>
      </c>
    </row>
    <row r="35" spans="16:18">
      <c r="P35" t="s">
        <v>114</v>
      </c>
      <c r="R35" t="s">
        <v>114</v>
      </c>
    </row>
    <row r="36" spans="16:18">
      <c r="P36" t="s">
        <v>150</v>
      </c>
      <c r="R36" t="s">
        <v>150</v>
      </c>
    </row>
    <row r="38" spans="16:18">
      <c r="P38" t="s">
        <v>153</v>
      </c>
      <c r="R38" t="s">
        <v>153</v>
      </c>
    </row>
    <row r="39" spans="16:18">
      <c r="P39" t="s">
        <v>154</v>
      </c>
      <c r="R39" t="s">
        <v>154</v>
      </c>
    </row>
    <row r="40" spans="16:18">
      <c r="P40" t="s">
        <v>155</v>
      </c>
      <c r="R40" t="s">
        <v>155</v>
      </c>
    </row>
    <row r="42" spans="16:18">
      <c r="P42" t="s">
        <v>428</v>
      </c>
      <c r="R42" t="s">
        <v>428</v>
      </c>
    </row>
    <row r="44" spans="16:18">
      <c r="P44" t="s">
        <v>425</v>
      </c>
      <c r="R44" t="s">
        <v>425</v>
      </c>
    </row>
    <row r="45" spans="16:18">
      <c r="P45" t="s">
        <v>157</v>
      </c>
      <c r="R45" t="s">
        <v>157</v>
      </c>
    </row>
    <row r="46" spans="16:18">
      <c r="P46" t="s">
        <v>397</v>
      </c>
      <c r="R46" t="s">
        <v>397</v>
      </c>
    </row>
    <row r="47" spans="16:18">
      <c r="P47" t="s">
        <v>158</v>
      </c>
      <c r="R47" t="s">
        <v>158</v>
      </c>
    </row>
    <row r="48" spans="16:18">
      <c r="P48" t="s">
        <v>159</v>
      </c>
      <c r="R48" t="s">
        <v>159</v>
      </c>
    </row>
    <row r="49" spans="16:18">
      <c r="P49" t="s">
        <v>312</v>
      </c>
      <c r="R49" t="s">
        <v>312</v>
      </c>
    </row>
    <row r="50" spans="16:18">
      <c r="P50" t="s">
        <v>426</v>
      </c>
      <c r="R50" t="s">
        <v>426</v>
      </c>
    </row>
    <row r="52" spans="16:18">
      <c r="P52" t="s">
        <v>181</v>
      </c>
      <c r="R52" t="s">
        <v>181</v>
      </c>
    </row>
    <row r="54" spans="16:18">
      <c r="P54" t="s">
        <v>429</v>
      </c>
      <c r="R54" t="s">
        <v>429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737CD-A8B0-4817-B3E1-C1255D85F65B}">
  <dimension ref="B1:Q33"/>
  <sheetViews>
    <sheetView showGridLines="0" workbookViewId="0">
      <selection activeCell="B17" sqref="B17"/>
    </sheetView>
  </sheetViews>
  <sheetFormatPr defaultRowHeight="15"/>
  <cols>
    <col min="1" max="1" width="3.42578125" customWidth="1"/>
    <col min="2" max="2" width="36.85546875" customWidth="1"/>
    <col min="3" max="3" width="13.28515625" customWidth="1"/>
  </cols>
  <sheetData>
    <row r="1" spans="2:3" ht="12" customHeight="1"/>
    <row r="2" spans="2:3">
      <c r="B2" s="3" t="s">
        <v>58</v>
      </c>
      <c r="C2" s="1" t="s">
        <v>59</v>
      </c>
    </row>
    <row r="3" spans="2:3">
      <c r="B3" t="s">
        <v>62</v>
      </c>
      <c r="C3" s="2" t="s">
        <v>60</v>
      </c>
    </row>
    <row r="4" spans="2:3">
      <c r="B4" t="s">
        <v>61</v>
      </c>
      <c r="C4" s="2" t="s">
        <v>63</v>
      </c>
    </row>
    <row r="5" spans="2:3">
      <c r="B5" t="s">
        <v>74</v>
      </c>
      <c r="C5" s="2" t="s">
        <v>73</v>
      </c>
    </row>
    <row r="6" spans="2:3">
      <c r="B6" t="s">
        <v>130</v>
      </c>
      <c r="C6" s="2" t="s">
        <v>129</v>
      </c>
    </row>
    <row r="7" spans="2:3">
      <c r="B7" t="s">
        <v>133</v>
      </c>
      <c r="C7" t="s">
        <v>134</v>
      </c>
    </row>
    <row r="8" spans="2:3">
      <c r="B8" t="s">
        <v>235</v>
      </c>
      <c r="C8" s="2" t="s">
        <v>234</v>
      </c>
    </row>
    <row r="9" spans="2:3">
      <c r="B9" t="s">
        <v>237</v>
      </c>
      <c r="C9" s="2" t="s">
        <v>236</v>
      </c>
    </row>
    <row r="17" spans="2:17">
      <c r="B17" t="s">
        <v>522</v>
      </c>
      <c r="C17" s="2" t="s">
        <v>523</v>
      </c>
    </row>
    <row r="20" spans="2:17" ht="15.75" thickBot="1">
      <c r="P20" t="s">
        <v>265</v>
      </c>
      <c r="Q20" s="568">
        <v>2.5000000000000001E-2</v>
      </c>
    </row>
    <row r="21" spans="2:17" ht="15.75" thickBot="1">
      <c r="B21" s="780" t="s">
        <v>184</v>
      </c>
      <c r="C21" s="780"/>
      <c r="D21" s="780"/>
      <c r="E21" s="780"/>
      <c r="F21" s="780"/>
      <c r="P21" t="s">
        <v>266</v>
      </c>
      <c r="Q21" s="568">
        <v>0.05</v>
      </c>
    </row>
    <row r="22" spans="2:17">
      <c r="B22" s="4" t="s">
        <v>185</v>
      </c>
      <c r="C22" s="781">
        <f>'Unit Mix'!C19</f>
        <v>328</v>
      </c>
      <c r="D22" s="782"/>
      <c r="E22" s="782"/>
      <c r="F22" s="782"/>
      <c r="Q22" s="568">
        <v>7.4999999999999997E-2</v>
      </c>
    </row>
    <row r="23" spans="2:17">
      <c r="B23" s="5" t="s">
        <v>186</v>
      </c>
      <c r="C23" s="783">
        <f>MIN(C22,100)*50000</f>
        <v>5000000</v>
      </c>
      <c r="D23" s="783"/>
      <c r="E23" s="783"/>
      <c r="F23" s="783"/>
      <c r="Q23" s="568">
        <v>0.1</v>
      </c>
    </row>
    <row r="24" spans="2:17">
      <c r="B24" s="5" t="s">
        <v>187</v>
      </c>
      <c r="C24" s="783">
        <f>MAX(0,MIN(C22,250)-100)*20000</f>
        <v>3000000</v>
      </c>
      <c r="D24" s="783"/>
      <c r="E24" s="783"/>
      <c r="F24" s="783"/>
      <c r="Q24" s="568">
        <v>0.125</v>
      </c>
    </row>
    <row r="25" spans="2:17">
      <c r="B25" s="5" t="s">
        <v>188</v>
      </c>
      <c r="C25" s="783">
        <f>MAX(0,C22-250)*10000</f>
        <v>780000</v>
      </c>
      <c r="D25" s="783"/>
      <c r="E25" s="783"/>
      <c r="F25" s="783"/>
      <c r="Q25" s="568">
        <v>0.15</v>
      </c>
    </row>
    <row r="26" spans="2:17">
      <c r="B26" s="6" t="s">
        <v>189</v>
      </c>
      <c r="C26" s="779">
        <f>C23+C24+C25</f>
        <v>8780000</v>
      </c>
      <c r="D26" s="779"/>
      <c r="E26" s="779"/>
      <c r="F26" s="779"/>
      <c r="Q26" s="568">
        <v>0.17499999999999999</v>
      </c>
    </row>
    <row r="27" spans="2:17">
      <c r="Q27" s="568">
        <v>0.2</v>
      </c>
    </row>
    <row r="28" spans="2:17">
      <c r="B28" s="62" t="s">
        <v>310</v>
      </c>
      <c r="C28" t="s">
        <v>357</v>
      </c>
    </row>
    <row r="31" spans="2:17">
      <c r="N31" t="s">
        <v>485</v>
      </c>
    </row>
    <row r="32" spans="2:17">
      <c r="N32" t="s">
        <v>486</v>
      </c>
      <c r="O32">
        <f>Mortgage!D54</f>
        <v>135087148.9470821</v>
      </c>
    </row>
    <row r="33" spans="14:14">
      <c r="N33" t="s">
        <v>487</v>
      </c>
    </row>
  </sheetData>
  <mergeCells count="6">
    <mergeCell ref="C26:F26"/>
    <mergeCell ref="B21:F21"/>
    <mergeCell ref="C22:F22"/>
    <mergeCell ref="C23:F23"/>
    <mergeCell ref="C24:F24"/>
    <mergeCell ref="C25:F25"/>
  </mergeCells>
  <hyperlinks>
    <hyperlink ref="C3" r:id="rId1" display="https://www.nyc.gov/assets/hpd/downloads/pdfs/services/hpd-ncf-term-sheet.pdf" xr:uid="{750BC9F2-24E7-43CB-884C-59050ECFA620}"/>
    <hyperlink ref="C4" r:id="rId2" display="https://www.nyc.gov/site/hpd/services-and-information/area-median-income.page" xr:uid="{F7906D32-143D-4D40-B664-C2CA2B7D4CC8}"/>
    <hyperlink ref="C5" r:id="rId3" display="https://legalclarity.org/lihtc-eligible-basis-costs-exclusions-and-rules/" xr:uid="{D189831D-2E1B-4E11-B076-5820BBF4F4E5}"/>
    <hyperlink ref="C6" r:id="rId4" display="https://fred.stlouisfed.org/series/MEDLISPRIPERSQUFEE35620" xr:uid="{9DD8128B-D18E-4CEF-A4A9-8C6794BF4356}"/>
    <hyperlink ref="C8" r:id="rId5" display="https://www.irs.gov/pub/irs-drop/rr-26-07.pdf" xr:uid="{8B979505-FCB5-4A3C-B704-4C0F81C9D733}"/>
    <hyperlink ref="C9" r:id="rId6" display="https://emma.msrb.org/P11921658-P11467776-P11917121.pdf" xr:uid="{A7DEAD97-71B6-431E-8F80-87245EDB8FB6}"/>
    <hyperlink ref="C17" r:id="rId7" display="https://nycpropertyvalue.org/articles/cap-rates-nyc-guide" xr:uid="{F348D106-8CCC-46A2-9B4D-1E9A0B847AF3}"/>
  </hyperlinks>
  <pageMargins left="0.7" right="0.7" top="0.75" bottom="0.75" header="0.3" footer="0.3"/>
  <drawing r:id="rId8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511A-1893-4FA7-96F4-82EC1BF00691}">
  <dimension ref="B2:R39"/>
  <sheetViews>
    <sheetView showGridLines="0" workbookViewId="0">
      <selection activeCell="B13" sqref="B13"/>
    </sheetView>
  </sheetViews>
  <sheetFormatPr defaultRowHeight="15"/>
  <cols>
    <col min="1" max="1" width="2" customWidth="1"/>
    <col min="3" max="3" width="12.5703125" bestFit="1" customWidth="1"/>
  </cols>
  <sheetData>
    <row r="2" spans="2:18">
      <c r="B2" s="1" t="s">
        <v>75</v>
      </c>
      <c r="E2" t="s">
        <v>76</v>
      </c>
    </row>
    <row r="3" spans="2:18">
      <c r="B3" t="s">
        <v>77</v>
      </c>
      <c r="C3" t="s">
        <v>78</v>
      </c>
      <c r="D3" t="s">
        <v>79</v>
      </c>
    </row>
    <row r="4" spans="2:18">
      <c r="B4" t="s">
        <v>80</v>
      </c>
      <c r="D4" t="s">
        <v>81</v>
      </c>
    </row>
    <row r="5" spans="2:18">
      <c r="D5" t="s">
        <v>82</v>
      </c>
    </row>
    <row r="6" spans="2:18">
      <c r="D6" t="s">
        <v>83</v>
      </c>
    </row>
    <row r="7" spans="2:18">
      <c r="B7" t="s">
        <v>84</v>
      </c>
      <c r="D7" t="s">
        <v>85</v>
      </c>
    </row>
    <row r="8" spans="2:18">
      <c r="D8" t="s">
        <v>86</v>
      </c>
    </row>
    <row r="9" spans="2:18">
      <c r="D9" t="s">
        <v>87</v>
      </c>
    </row>
    <row r="10" spans="2:18">
      <c r="D10" t="s">
        <v>88</v>
      </c>
    </row>
    <row r="11" spans="2:18">
      <c r="C11" t="s">
        <v>89</v>
      </c>
      <c r="D11" t="s">
        <v>90</v>
      </c>
    </row>
    <row r="12" spans="2:18">
      <c r="D12" t="s">
        <v>91</v>
      </c>
    </row>
    <row r="13" spans="2:18">
      <c r="D13" t="s">
        <v>92</v>
      </c>
      <c r="R13" s="284"/>
    </row>
    <row r="14" spans="2:18">
      <c r="D14" t="s">
        <v>93</v>
      </c>
      <c r="R14" s="253"/>
    </row>
    <row r="15" spans="2:18">
      <c r="D15" t="s">
        <v>94</v>
      </c>
    </row>
    <row r="16" spans="2:18">
      <c r="D16" t="s">
        <v>95</v>
      </c>
    </row>
    <row r="17" spans="2:4">
      <c r="D17" t="s">
        <v>96</v>
      </c>
    </row>
    <row r="18" spans="2:4">
      <c r="D18" t="s">
        <v>97</v>
      </c>
    </row>
    <row r="19" spans="2:4">
      <c r="D19" t="s">
        <v>98</v>
      </c>
    </row>
    <row r="20" spans="2:4">
      <c r="D20" t="s">
        <v>99</v>
      </c>
    </row>
    <row r="21" spans="2:4">
      <c r="D21" t="s">
        <v>100</v>
      </c>
    </row>
    <row r="22" spans="2:4">
      <c r="D22" t="s">
        <v>101</v>
      </c>
    </row>
    <row r="23" spans="2:4">
      <c r="D23" t="s">
        <v>102</v>
      </c>
    </row>
    <row r="24" spans="2:4">
      <c r="D24" t="s">
        <v>103</v>
      </c>
    </row>
    <row r="25" spans="2:4">
      <c r="D25" t="s">
        <v>104</v>
      </c>
    </row>
    <row r="26" spans="2:4">
      <c r="D26" t="s">
        <v>105</v>
      </c>
    </row>
    <row r="27" spans="2:4">
      <c r="D27" t="s">
        <v>17</v>
      </c>
    </row>
    <row r="28" spans="2:4">
      <c r="D28" t="s">
        <v>106</v>
      </c>
    </row>
    <row r="29" spans="2:4">
      <c r="D29" t="s">
        <v>107</v>
      </c>
    </row>
    <row r="30" spans="2:4">
      <c r="B30" t="s">
        <v>14</v>
      </c>
      <c r="D30" t="s">
        <v>108</v>
      </c>
    </row>
    <row r="31" spans="2:4">
      <c r="D31" t="s">
        <v>109</v>
      </c>
    </row>
    <row r="32" spans="2:4">
      <c r="D32" t="s">
        <v>110</v>
      </c>
    </row>
    <row r="33" spans="2:4">
      <c r="D33" t="s">
        <v>111</v>
      </c>
    </row>
    <row r="34" spans="2:4">
      <c r="D34" t="s">
        <v>112</v>
      </c>
    </row>
    <row r="35" spans="2:4">
      <c r="D35" t="s">
        <v>113</v>
      </c>
    </row>
    <row r="36" spans="2:4">
      <c r="D36" t="s">
        <v>114</v>
      </c>
    </row>
    <row r="37" spans="2:4">
      <c r="D37" t="s">
        <v>115</v>
      </c>
    </row>
    <row r="38" spans="2:4">
      <c r="B38" t="s">
        <v>116</v>
      </c>
      <c r="D38" t="s">
        <v>116</v>
      </c>
    </row>
    <row r="39" spans="2:4">
      <c r="B39" t="s">
        <v>117</v>
      </c>
      <c r="D39" t="s">
        <v>118</v>
      </c>
    </row>
  </sheetData>
  <dataValidations count="1">
    <dataValidation type="list" allowBlank="1" showInputMessage="1" showErrorMessage="1" sqref="R14" xr:uid="{4BE268A4-5F27-4094-8E03-DDE171A14CE1}">
      <formula1>$K$11:$OK$11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9603-0700-4A09-A8E5-773632B5577F}">
  <dimension ref="A4:AG18"/>
  <sheetViews>
    <sheetView showGridLines="0" workbookViewId="0">
      <selection activeCell="D17" sqref="D17"/>
    </sheetView>
  </sheetViews>
  <sheetFormatPr defaultRowHeight="15"/>
  <cols>
    <col min="4" max="4" width="11.28515625" bestFit="1" customWidth="1"/>
  </cols>
  <sheetData>
    <row r="4" spans="1:33"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</row>
    <row r="5" spans="1:33">
      <c r="D5">
        <v>2027</v>
      </c>
      <c r="E5">
        <v>2027</v>
      </c>
      <c r="F5">
        <v>2027</v>
      </c>
      <c r="G5">
        <v>2027</v>
      </c>
      <c r="H5">
        <v>2027</v>
      </c>
      <c r="I5">
        <v>2027</v>
      </c>
      <c r="J5">
        <v>2027</v>
      </c>
      <c r="K5">
        <v>2027</v>
      </c>
      <c r="L5">
        <v>2027</v>
      </c>
      <c r="M5">
        <v>2027</v>
      </c>
      <c r="N5">
        <v>2027</v>
      </c>
      <c r="O5">
        <v>2027</v>
      </c>
      <c r="P5">
        <v>2028</v>
      </c>
      <c r="Q5">
        <v>2028</v>
      </c>
      <c r="R5">
        <v>2028</v>
      </c>
      <c r="S5">
        <v>2028</v>
      </c>
      <c r="T5">
        <v>2028</v>
      </c>
      <c r="U5">
        <v>2028</v>
      </c>
      <c r="V5">
        <v>2028</v>
      </c>
      <c r="W5">
        <v>2028</v>
      </c>
      <c r="X5">
        <v>2028</v>
      </c>
      <c r="Y5">
        <v>2028</v>
      </c>
      <c r="Z5">
        <v>2028</v>
      </c>
      <c r="AA5">
        <v>2028</v>
      </c>
      <c r="AB5">
        <v>2029</v>
      </c>
      <c r="AC5">
        <v>2029</v>
      </c>
      <c r="AD5">
        <v>2029</v>
      </c>
      <c r="AE5">
        <v>2029</v>
      </c>
      <c r="AF5">
        <v>2029</v>
      </c>
      <c r="AG5">
        <v>2029</v>
      </c>
    </row>
    <row r="6" spans="1:33">
      <c r="A6" s="784"/>
      <c r="B6" s="784"/>
      <c r="C6" s="784"/>
      <c r="D6" s="784">
        <v>46418</v>
      </c>
      <c r="E6" s="784">
        <v>46446</v>
      </c>
      <c r="F6" s="784">
        <v>46477</v>
      </c>
      <c r="G6" s="784">
        <v>46507</v>
      </c>
      <c r="H6" s="784">
        <v>46538</v>
      </c>
      <c r="I6" s="784">
        <v>46568</v>
      </c>
      <c r="J6" s="784">
        <v>46599</v>
      </c>
      <c r="K6" s="784">
        <v>46630</v>
      </c>
      <c r="L6" s="784">
        <v>46660</v>
      </c>
      <c r="M6" s="784">
        <v>46691</v>
      </c>
      <c r="N6" s="784">
        <v>46721</v>
      </c>
      <c r="O6" s="784">
        <v>46752</v>
      </c>
      <c r="P6" s="784">
        <v>46783</v>
      </c>
      <c r="Q6" s="784">
        <v>46812</v>
      </c>
      <c r="R6" s="784">
        <v>46843</v>
      </c>
      <c r="S6" s="784">
        <v>46873</v>
      </c>
      <c r="T6" s="784">
        <v>46904</v>
      </c>
      <c r="U6" s="784">
        <v>46934</v>
      </c>
      <c r="V6" s="784">
        <v>46965</v>
      </c>
      <c r="W6" s="784">
        <v>46996</v>
      </c>
      <c r="X6" s="784">
        <v>47026</v>
      </c>
      <c r="Y6" s="784">
        <v>47057</v>
      </c>
      <c r="Z6" s="784">
        <v>47087</v>
      </c>
      <c r="AA6" s="784">
        <v>47118</v>
      </c>
      <c r="AB6" s="784">
        <v>47149</v>
      </c>
      <c r="AC6" s="784">
        <v>47177</v>
      </c>
      <c r="AD6" s="784">
        <v>47208</v>
      </c>
      <c r="AE6" s="784">
        <v>47238</v>
      </c>
      <c r="AF6" s="784">
        <v>47269</v>
      </c>
      <c r="AG6" s="784">
        <v>47299</v>
      </c>
    </row>
    <row r="8" spans="1:33">
      <c r="B8" t="s">
        <v>534</v>
      </c>
    </row>
    <row r="9" spans="1:33">
      <c r="B9" t="s">
        <v>372</v>
      </c>
      <c r="D9" s="587">
        <f>Budget!J62</f>
        <v>-3315316.5587902665</v>
      </c>
      <c r="E9" s="587">
        <f>Budget!K62</f>
        <v>-3315315.5587902665</v>
      </c>
      <c r="F9" s="587">
        <f>Budget!L62</f>
        <v>-3315315.5587902665</v>
      </c>
      <c r="G9" s="587">
        <f>Budget!M62</f>
        <v>-3315315.5587902665</v>
      </c>
      <c r="H9" s="587">
        <f>Budget!N62</f>
        <v>-3315315.5587902665</v>
      </c>
      <c r="I9" s="587">
        <f>Budget!O62</f>
        <v>-3315315.5587902665</v>
      </c>
      <c r="J9" s="587">
        <f>Budget!P62</f>
        <v>-10316954.838074826</v>
      </c>
      <c r="K9" s="587">
        <f>Budget!Q62</f>
        <v>-10316954.838074826</v>
      </c>
      <c r="L9" s="587">
        <f>Budget!R62</f>
        <v>-10316954.838074826</v>
      </c>
      <c r="M9" s="587">
        <f>Budget!S62</f>
        <v>-10316954.838074826</v>
      </c>
      <c r="N9" s="587">
        <f>Budget!T62</f>
        <v>-10316954.838074826</v>
      </c>
      <c r="O9" s="587">
        <f>Budget!U62</f>
        <v>-10316954.838074826</v>
      </c>
      <c r="P9" s="587">
        <f>Budget!V62</f>
        <v>-10316954.838074826</v>
      </c>
      <c r="Q9" s="587">
        <f>Budget!W62</f>
        <v>-10316954.838074826</v>
      </c>
      <c r="R9" s="587">
        <f>Budget!X62</f>
        <v>-10316954.838074826</v>
      </c>
      <c r="S9" s="587">
        <f>Budget!Y62</f>
        <v>-10316954.838074826</v>
      </c>
      <c r="T9" s="587">
        <f>Budget!Z62</f>
        <v>-10316954.838074826</v>
      </c>
      <c r="U9" s="587">
        <f>Budget!AA62</f>
        <v>-10316954.838074826</v>
      </c>
      <c r="V9" s="587">
        <f>Budget!AB62</f>
        <v>-10316954.838074826</v>
      </c>
      <c r="W9" s="587">
        <f>Budget!AC62</f>
        <v>-10316954.838074826</v>
      </c>
      <c r="X9" s="587">
        <f>Budget!AD62</f>
        <v>-10316954.838074826</v>
      </c>
      <c r="Y9" s="587">
        <f>Budget!AE62</f>
        <v>-10316954.838074826</v>
      </c>
      <c r="Z9" s="587">
        <f>Budget!AF62</f>
        <v>-10316954.838074826</v>
      </c>
      <c r="AA9" s="587">
        <f>Budget!AG62</f>
        <v>-10316954.838074826</v>
      </c>
      <c r="AB9" s="587">
        <f>Budget!AH62</f>
        <v>-10316954.838074826</v>
      </c>
      <c r="AC9" s="587">
        <f>Budget!AI62</f>
        <v>-10316954.838074826</v>
      </c>
      <c r="AD9" s="587">
        <f>Budget!AJ62</f>
        <v>-10316954.838074826</v>
      </c>
      <c r="AE9" s="587">
        <f>Budget!AK62</f>
        <v>-10316954.838074826</v>
      </c>
      <c r="AF9" s="587">
        <f>Budget!AL62</f>
        <v>-10316954.838074826</v>
      </c>
      <c r="AG9" s="587">
        <f>Budget!AM62</f>
        <v>-10316954.838074826</v>
      </c>
    </row>
    <row r="15" spans="1:33">
      <c r="B15" t="s">
        <v>533</v>
      </c>
    </row>
    <row r="16" spans="1:33">
      <c r="B16" t="s">
        <v>535</v>
      </c>
    </row>
    <row r="17" spans="2:2">
      <c r="B17" t="s">
        <v>536</v>
      </c>
    </row>
    <row r="18" spans="2:2">
      <c r="B18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Index</vt:lpstr>
      <vt:lpstr>Assumptions</vt:lpstr>
      <vt:lpstr>Unit Mix</vt:lpstr>
      <vt:lpstr>Sources and Uses</vt:lpstr>
      <vt:lpstr>Mortgage</vt:lpstr>
      <vt:lpstr>Construction Interest</vt:lpstr>
      <vt:lpstr>Operating Expenses &amp; Reserves</vt:lpstr>
      <vt:lpstr>Tax Credit Analysis</vt:lpstr>
      <vt:lpstr>Budget</vt:lpstr>
      <vt:lpstr>Development CF</vt:lpstr>
      <vt:lpstr>Rental CF</vt:lpstr>
      <vt:lpstr>Amortization</vt:lpstr>
      <vt:lpstr>KPI's</vt:lpstr>
      <vt:lpstr>tSET</vt:lpstr>
      <vt:lpstr>References</vt:lpstr>
      <vt:lpstr>Market Research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KHIZR</dc:creator>
  <cp:lastModifiedBy>ABDULLAH KHIZR</cp:lastModifiedBy>
  <dcterms:created xsi:type="dcterms:W3CDTF">2026-04-14T05:53:46Z</dcterms:created>
  <dcterms:modified xsi:type="dcterms:W3CDTF">2026-05-10T10:20:40Z</dcterms:modified>
</cp:coreProperties>
</file>